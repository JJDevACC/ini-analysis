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inancial Services\Corporate Planning\Planning Group\Craig\Temporary\2025\EAM - Pumpstation Flow\"/>
    </mc:Choice>
  </mc:AlternateContent>
  <xr:revisionPtr revIDLastSave="0" documentId="8_{1AB26F48-99F7-42F3-B344-642D10D21CB9}" xr6:coauthVersionLast="47" xr6:coauthVersionMax="47" xr10:uidLastSave="{00000000-0000-0000-0000-000000000000}"/>
  <bookViews>
    <workbookView xWindow="-120" yWindow="-120" windowWidth="24240" windowHeight="13140" activeTab="1" xr2:uid="{6D5F423B-7FAF-4AC7-8EAE-3A3667248BA3}"/>
  </bookViews>
  <sheets>
    <sheet name="final--&gt;" sheetId="9" r:id="rId1"/>
    <sheet name="combined" sheetId="8" r:id="rId2"/>
    <sheet name="parts --&gt;" sheetId="10" r:id="rId3"/>
    <sheet name="original" sheetId="1" r:id="rId4"/>
    <sheet name="piwebapi_edit" sheetId="2" r:id="rId5"/>
    <sheet name="car_edit" sheetId="4" r:id="rId6"/>
    <sheet name="reference--&gt;" sheetId="7" r:id="rId7"/>
    <sheet name="Major_CAR" sheetId="5" r:id="rId8"/>
    <sheet name="piwebapi_90d" sheetId="6" r:id="rId9"/>
  </sheets>
  <externalReferences>
    <externalReference r:id="rId10"/>
  </externalReferences>
  <definedNames>
    <definedName name="_xlnm._FilterDatabase" localSheetId="7" hidden="1">Major_CAR!$A$3:$Z$132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8" l="1"/>
  <c r="J3" i="8"/>
  <c r="I4" i="8"/>
  <c r="J4" i="8"/>
  <c r="I5" i="8"/>
  <c r="J5" i="8"/>
  <c r="I6" i="8"/>
  <c r="J6" i="8"/>
  <c r="I7" i="8"/>
  <c r="J7" i="8"/>
  <c r="I8" i="8"/>
  <c r="J8" i="8"/>
  <c r="I9" i="8"/>
  <c r="J9" i="8"/>
  <c r="I10" i="8"/>
  <c r="J10" i="8"/>
  <c r="I11" i="8"/>
  <c r="J11" i="8"/>
  <c r="I12" i="8"/>
  <c r="J12" i="8"/>
  <c r="I13" i="8"/>
  <c r="J13" i="8"/>
  <c r="I14" i="8"/>
  <c r="J14" i="8"/>
  <c r="I15" i="8"/>
  <c r="J15" i="8"/>
  <c r="I16" i="8"/>
  <c r="J16" i="8"/>
  <c r="I17" i="8"/>
  <c r="J17" i="8"/>
  <c r="I18" i="8"/>
  <c r="J18" i="8"/>
  <c r="I19" i="8"/>
  <c r="J19" i="8"/>
  <c r="I20" i="8"/>
  <c r="J20" i="8"/>
  <c r="I21" i="8"/>
  <c r="J21" i="8"/>
  <c r="I22" i="8"/>
  <c r="J22" i="8"/>
  <c r="I23" i="8"/>
  <c r="J23" i="8"/>
  <c r="I24" i="8"/>
  <c r="J24" i="8"/>
  <c r="I25" i="8"/>
  <c r="J25" i="8"/>
  <c r="I26" i="8"/>
  <c r="J26" i="8"/>
  <c r="I27" i="8"/>
  <c r="J27" i="8"/>
  <c r="I28" i="8"/>
  <c r="J28" i="8"/>
  <c r="I29" i="8"/>
  <c r="J29" i="8"/>
  <c r="I30" i="8"/>
  <c r="J30" i="8"/>
  <c r="I31" i="8"/>
  <c r="J31" i="8"/>
  <c r="I32" i="8"/>
  <c r="J32" i="8"/>
  <c r="I33" i="8"/>
  <c r="J33" i="8"/>
  <c r="I34" i="8"/>
  <c r="J34" i="8"/>
  <c r="I35" i="8"/>
  <c r="J35" i="8"/>
  <c r="I36" i="8"/>
  <c r="J36" i="8"/>
  <c r="I37" i="8"/>
  <c r="J37" i="8"/>
  <c r="I38" i="8"/>
  <c r="J38" i="8"/>
  <c r="I39" i="8"/>
  <c r="J39" i="8"/>
  <c r="I40" i="8"/>
  <c r="J40" i="8"/>
  <c r="I41" i="8"/>
  <c r="J41" i="8"/>
  <c r="I42" i="8"/>
  <c r="J42" i="8"/>
  <c r="I43" i="8"/>
  <c r="J43" i="8"/>
  <c r="I44" i="8"/>
  <c r="J44" i="8"/>
  <c r="I45" i="8"/>
  <c r="J45" i="8"/>
  <c r="I46" i="8"/>
  <c r="J46" i="8"/>
  <c r="I47" i="8"/>
  <c r="J47" i="8"/>
  <c r="I48" i="8"/>
  <c r="J48" i="8"/>
  <c r="I49" i="8"/>
  <c r="J49" i="8"/>
  <c r="I50" i="8"/>
  <c r="J50" i="8"/>
  <c r="I51" i="8"/>
  <c r="J51" i="8"/>
  <c r="I52" i="8"/>
  <c r="J52" i="8"/>
  <c r="I53" i="8"/>
  <c r="J53" i="8"/>
  <c r="I54" i="8"/>
  <c r="J54" i="8"/>
  <c r="I55" i="8"/>
  <c r="J55" i="8"/>
  <c r="I56" i="8"/>
  <c r="J56" i="8"/>
  <c r="I57" i="8"/>
  <c r="J57" i="8"/>
  <c r="I58" i="8"/>
  <c r="J58" i="8"/>
  <c r="I59" i="8"/>
  <c r="J59" i="8"/>
  <c r="I60" i="8"/>
  <c r="J60" i="8"/>
  <c r="I61" i="8"/>
  <c r="J61" i="8"/>
  <c r="I62" i="8"/>
  <c r="J62" i="8"/>
  <c r="I63" i="8"/>
  <c r="J63" i="8"/>
  <c r="I64" i="8"/>
  <c r="J64" i="8"/>
  <c r="I65" i="8"/>
  <c r="J65" i="8"/>
  <c r="I66" i="8"/>
  <c r="J66" i="8"/>
  <c r="I67" i="8"/>
  <c r="J67" i="8"/>
  <c r="I68" i="8"/>
  <c r="J68" i="8"/>
  <c r="I69" i="8"/>
  <c r="J69" i="8"/>
  <c r="I70" i="8"/>
  <c r="J70" i="8"/>
  <c r="I71" i="8"/>
  <c r="J71" i="8"/>
  <c r="I72" i="8"/>
  <c r="J72" i="8"/>
  <c r="I73" i="8"/>
  <c r="J73" i="8"/>
  <c r="I74" i="8"/>
  <c r="J74" i="8"/>
  <c r="I75" i="8"/>
  <c r="J75" i="8"/>
  <c r="I76" i="8"/>
  <c r="J76" i="8"/>
  <c r="I77" i="8"/>
  <c r="J77" i="8"/>
  <c r="I78" i="8"/>
  <c r="J78" i="8"/>
  <c r="I79" i="8"/>
  <c r="J79" i="8"/>
  <c r="I80" i="8"/>
  <c r="J80" i="8"/>
  <c r="I81" i="8"/>
  <c r="J81" i="8"/>
  <c r="I82" i="8"/>
  <c r="J82" i="8"/>
  <c r="I83" i="8"/>
  <c r="J83" i="8"/>
  <c r="I84" i="8"/>
  <c r="J84" i="8"/>
  <c r="I85" i="8"/>
  <c r="J85" i="8"/>
  <c r="I86" i="8"/>
  <c r="J86" i="8"/>
  <c r="I87" i="8"/>
  <c r="J87" i="8"/>
  <c r="I88" i="8"/>
  <c r="J88" i="8"/>
  <c r="I89" i="8"/>
  <c r="J89" i="8"/>
  <c r="I90" i="8"/>
  <c r="J90" i="8"/>
  <c r="I91" i="8"/>
  <c r="J91" i="8"/>
  <c r="I92" i="8"/>
  <c r="J92" i="8"/>
  <c r="I93" i="8"/>
  <c r="J93" i="8"/>
  <c r="I94" i="8"/>
  <c r="J94" i="8"/>
  <c r="I95" i="8"/>
  <c r="J95" i="8"/>
  <c r="I96" i="8"/>
  <c r="J96" i="8"/>
  <c r="I97" i="8"/>
  <c r="J97" i="8"/>
  <c r="I98" i="8"/>
  <c r="J98" i="8"/>
  <c r="I99" i="8"/>
  <c r="J99" i="8"/>
  <c r="I100" i="8"/>
  <c r="J100" i="8"/>
  <c r="I101" i="8"/>
  <c r="J101" i="8"/>
  <c r="I102" i="8"/>
  <c r="J102" i="8"/>
  <c r="I103" i="8"/>
  <c r="J103" i="8"/>
  <c r="I104" i="8"/>
  <c r="J104" i="8"/>
  <c r="I105" i="8"/>
  <c r="J105" i="8"/>
  <c r="I106" i="8"/>
  <c r="J106" i="8"/>
  <c r="I107" i="8"/>
  <c r="J107" i="8"/>
  <c r="I108" i="8"/>
  <c r="J108" i="8"/>
  <c r="I109" i="8"/>
  <c r="J109" i="8"/>
  <c r="I110" i="8"/>
  <c r="J110" i="8"/>
  <c r="I111" i="8"/>
  <c r="J111" i="8"/>
  <c r="I112" i="8"/>
  <c r="J112" i="8"/>
  <c r="I113" i="8"/>
  <c r="J113" i="8"/>
  <c r="I114" i="8"/>
  <c r="J114" i="8"/>
  <c r="I115" i="8"/>
  <c r="J115" i="8"/>
  <c r="I116" i="8"/>
  <c r="J116" i="8"/>
  <c r="I117" i="8"/>
  <c r="J117" i="8"/>
  <c r="I118" i="8"/>
  <c r="J118" i="8"/>
  <c r="I119" i="8"/>
  <c r="J119" i="8"/>
  <c r="I120" i="8"/>
  <c r="J120" i="8"/>
  <c r="I121" i="8"/>
  <c r="J121" i="8"/>
  <c r="I122" i="8"/>
  <c r="J122" i="8"/>
  <c r="I123" i="8"/>
  <c r="J123" i="8"/>
  <c r="I124" i="8"/>
  <c r="J124" i="8"/>
  <c r="I125" i="8"/>
  <c r="J125" i="8"/>
  <c r="I126" i="8"/>
  <c r="J126" i="8"/>
  <c r="I127" i="8"/>
  <c r="J127" i="8"/>
  <c r="I128" i="8"/>
  <c r="J128" i="8"/>
  <c r="I129" i="8"/>
  <c r="J129" i="8"/>
  <c r="I130" i="8"/>
  <c r="J130" i="8"/>
  <c r="I131" i="8"/>
  <c r="J131" i="8"/>
  <c r="I132" i="8"/>
  <c r="J132" i="8"/>
  <c r="I133" i="8"/>
  <c r="J133" i="8"/>
  <c r="I134" i="8"/>
  <c r="J134" i="8"/>
  <c r="I135" i="8"/>
  <c r="J135" i="8"/>
  <c r="I136" i="8"/>
  <c r="J136" i="8"/>
  <c r="I137" i="8"/>
  <c r="J137" i="8"/>
  <c r="I138" i="8"/>
  <c r="J138" i="8"/>
  <c r="I139" i="8"/>
  <c r="J139" i="8"/>
  <c r="I140" i="8"/>
  <c r="J140" i="8"/>
  <c r="I141" i="8"/>
  <c r="J141" i="8"/>
  <c r="I142" i="8"/>
  <c r="J142" i="8"/>
  <c r="I143" i="8"/>
  <c r="J143" i="8"/>
  <c r="I144" i="8"/>
  <c r="J144" i="8"/>
  <c r="I145" i="8"/>
  <c r="J145" i="8"/>
  <c r="I146" i="8"/>
  <c r="J146" i="8"/>
  <c r="I147" i="8"/>
  <c r="J147" i="8"/>
  <c r="I148" i="8"/>
  <c r="J148" i="8"/>
  <c r="I149" i="8"/>
  <c r="J149" i="8"/>
  <c r="I150" i="8"/>
  <c r="J150" i="8"/>
  <c r="I151" i="8"/>
  <c r="J151" i="8"/>
  <c r="I152" i="8"/>
  <c r="J152" i="8"/>
  <c r="I153" i="8"/>
  <c r="J153" i="8"/>
  <c r="I154" i="8"/>
  <c r="J154" i="8"/>
  <c r="I155" i="8"/>
  <c r="J155" i="8"/>
  <c r="I156" i="8"/>
  <c r="J156" i="8"/>
  <c r="I157" i="8"/>
  <c r="J157" i="8"/>
  <c r="I158" i="8"/>
  <c r="J158" i="8"/>
  <c r="I159" i="8"/>
  <c r="J159" i="8"/>
  <c r="I160" i="8"/>
  <c r="J160" i="8"/>
  <c r="I161" i="8"/>
  <c r="J161" i="8"/>
  <c r="I162" i="8"/>
  <c r="J162" i="8"/>
  <c r="I163" i="8"/>
  <c r="J163" i="8"/>
  <c r="I164" i="8"/>
  <c r="J164" i="8"/>
  <c r="I165" i="8"/>
  <c r="J165" i="8"/>
  <c r="I166" i="8"/>
  <c r="J166" i="8"/>
  <c r="I167" i="8"/>
  <c r="J167" i="8"/>
  <c r="I168" i="8"/>
  <c r="J168" i="8"/>
  <c r="I169" i="8"/>
  <c r="J169" i="8"/>
  <c r="I170" i="8"/>
  <c r="J170" i="8"/>
  <c r="I171" i="8"/>
  <c r="J171" i="8"/>
  <c r="I172" i="8"/>
  <c r="J172" i="8"/>
  <c r="I173" i="8"/>
  <c r="J173" i="8"/>
  <c r="I174" i="8"/>
  <c r="J174" i="8"/>
  <c r="I175" i="8"/>
  <c r="J175" i="8"/>
  <c r="I176" i="8"/>
  <c r="J176" i="8"/>
  <c r="I177" i="8"/>
  <c r="J177" i="8"/>
  <c r="I178" i="8"/>
  <c r="J178" i="8"/>
  <c r="I179" i="8"/>
  <c r="J179" i="8"/>
  <c r="I180" i="8"/>
  <c r="J180" i="8"/>
  <c r="I181" i="8"/>
  <c r="J181" i="8"/>
  <c r="I182" i="8"/>
  <c r="J182" i="8"/>
  <c r="I183" i="8"/>
  <c r="J183" i="8"/>
  <c r="I184" i="8"/>
  <c r="J184" i="8"/>
  <c r="I185" i="8"/>
  <c r="J185" i="8"/>
  <c r="I186" i="8"/>
  <c r="J186" i="8"/>
  <c r="I187" i="8"/>
  <c r="J187" i="8"/>
  <c r="I188" i="8"/>
  <c r="J188" i="8"/>
  <c r="I189" i="8"/>
  <c r="J189" i="8"/>
  <c r="I190" i="8"/>
  <c r="J190" i="8"/>
  <c r="I191" i="8"/>
  <c r="J191" i="8"/>
  <c r="I192" i="8"/>
  <c r="J192" i="8"/>
  <c r="I193" i="8"/>
  <c r="J193" i="8"/>
  <c r="I194" i="8"/>
  <c r="J194" i="8"/>
  <c r="I195" i="8"/>
  <c r="J195" i="8"/>
  <c r="I196" i="8"/>
  <c r="J196" i="8"/>
  <c r="I197" i="8"/>
  <c r="J197" i="8"/>
  <c r="I198" i="8"/>
  <c r="J198" i="8"/>
  <c r="I199" i="8"/>
  <c r="J199" i="8"/>
  <c r="I200" i="8"/>
  <c r="J200" i="8"/>
  <c r="I201" i="8"/>
  <c r="J201" i="8"/>
  <c r="I202" i="8"/>
  <c r="J202" i="8"/>
  <c r="I203" i="8"/>
  <c r="J203" i="8"/>
  <c r="I204" i="8"/>
  <c r="J204" i="8"/>
  <c r="I205" i="8"/>
  <c r="J205" i="8"/>
  <c r="I206" i="8"/>
  <c r="J206" i="8"/>
  <c r="I207" i="8"/>
  <c r="J207" i="8"/>
  <c r="I208" i="8"/>
  <c r="J208" i="8"/>
  <c r="I209" i="8"/>
  <c r="J209" i="8"/>
  <c r="I210" i="8"/>
  <c r="J210" i="8"/>
  <c r="I211" i="8"/>
  <c r="J211" i="8"/>
  <c r="I212" i="8"/>
  <c r="J212" i="8"/>
  <c r="I213" i="8"/>
  <c r="J213" i="8"/>
  <c r="I214" i="8"/>
  <c r="J214" i="8"/>
  <c r="I215" i="8"/>
  <c r="J215" i="8"/>
  <c r="I216" i="8"/>
  <c r="J216" i="8"/>
  <c r="I217" i="8"/>
  <c r="J217" i="8"/>
  <c r="I218" i="8"/>
  <c r="J218" i="8"/>
  <c r="I219" i="8"/>
  <c r="J219" i="8"/>
  <c r="I220" i="8"/>
  <c r="J220" i="8"/>
  <c r="I221" i="8"/>
  <c r="J221" i="8"/>
  <c r="I222" i="8"/>
  <c r="J222" i="8"/>
  <c r="I223" i="8"/>
  <c r="J223" i="8"/>
  <c r="I224" i="8"/>
  <c r="J224" i="8"/>
  <c r="I225" i="8"/>
  <c r="J225" i="8"/>
  <c r="I226" i="8"/>
  <c r="J226" i="8"/>
  <c r="I227" i="8"/>
  <c r="J227" i="8"/>
  <c r="I228" i="8"/>
  <c r="J228" i="8"/>
  <c r="I229" i="8"/>
  <c r="J229" i="8"/>
  <c r="I230" i="8"/>
  <c r="J230" i="8"/>
  <c r="I231" i="8"/>
  <c r="J231" i="8"/>
  <c r="I232" i="8"/>
  <c r="J232" i="8"/>
  <c r="I233" i="8"/>
  <c r="J233" i="8"/>
  <c r="I234" i="8"/>
  <c r="J234" i="8"/>
  <c r="I235" i="8"/>
  <c r="J235" i="8"/>
  <c r="I236" i="8"/>
  <c r="J236" i="8"/>
  <c r="I237" i="8"/>
  <c r="J237" i="8"/>
  <c r="I238" i="8"/>
  <c r="J238" i="8"/>
  <c r="I239" i="8"/>
  <c r="J239" i="8"/>
  <c r="I240" i="8"/>
  <c r="J240" i="8"/>
  <c r="I241" i="8"/>
  <c r="J241" i="8"/>
  <c r="I242" i="8"/>
  <c r="J242" i="8"/>
  <c r="I243" i="8"/>
  <c r="J243" i="8"/>
  <c r="I244" i="8"/>
  <c r="J244" i="8"/>
  <c r="I245" i="8"/>
  <c r="J245" i="8"/>
  <c r="I246" i="8"/>
  <c r="J246" i="8"/>
  <c r="I247" i="8"/>
  <c r="J247" i="8"/>
  <c r="I248" i="8"/>
  <c r="J248" i="8"/>
  <c r="I249" i="8"/>
  <c r="J249" i="8"/>
  <c r="I250" i="8"/>
  <c r="J250" i="8"/>
  <c r="I251" i="8"/>
  <c r="J251" i="8"/>
  <c r="I252" i="8"/>
  <c r="J252" i="8"/>
  <c r="I253" i="8"/>
  <c r="J253" i="8"/>
  <c r="I254" i="8"/>
  <c r="J254" i="8"/>
  <c r="I255" i="8"/>
  <c r="J255" i="8"/>
  <c r="I256" i="8"/>
  <c r="J256" i="8"/>
  <c r="I257" i="8"/>
  <c r="J257" i="8"/>
  <c r="I258" i="8"/>
  <c r="J258" i="8"/>
  <c r="I259" i="8"/>
  <c r="J259" i="8"/>
  <c r="I260" i="8"/>
  <c r="J260" i="8"/>
  <c r="I261" i="8"/>
  <c r="J261" i="8"/>
  <c r="I262" i="8"/>
  <c r="J262" i="8"/>
  <c r="I263" i="8"/>
  <c r="J263" i="8"/>
  <c r="I264" i="8"/>
  <c r="J264" i="8"/>
  <c r="I265" i="8"/>
  <c r="J265" i="8"/>
  <c r="I266" i="8"/>
  <c r="J266" i="8"/>
  <c r="I267" i="8"/>
  <c r="J267" i="8"/>
  <c r="I268" i="8"/>
  <c r="J268" i="8"/>
  <c r="I269" i="8"/>
  <c r="J269" i="8"/>
  <c r="I270" i="8"/>
  <c r="J270" i="8"/>
  <c r="I271" i="8"/>
  <c r="J271" i="8"/>
  <c r="I272" i="8"/>
  <c r="J272" i="8"/>
  <c r="I273" i="8"/>
  <c r="J273" i="8"/>
  <c r="I274" i="8"/>
  <c r="J274" i="8"/>
  <c r="I275" i="8"/>
  <c r="J275" i="8"/>
  <c r="I276" i="8"/>
  <c r="J276" i="8"/>
  <c r="I277" i="8"/>
  <c r="J277" i="8"/>
  <c r="I278" i="8"/>
  <c r="J278" i="8"/>
  <c r="I279" i="8"/>
  <c r="J279" i="8"/>
  <c r="I280" i="8"/>
  <c r="J280" i="8"/>
  <c r="I281" i="8"/>
  <c r="J281" i="8"/>
  <c r="I282" i="8"/>
  <c r="J282" i="8"/>
  <c r="I283" i="8"/>
  <c r="J283" i="8"/>
  <c r="I284" i="8"/>
  <c r="J284" i="8"/>
  <c r="I285" i="8"/>
  <c r="J285" i="8"/>
  <c r="I286" i="8"/>
  <c r="J286" i="8"/>
  <c r="I287" i="8"/>
  <c r="J287" i="8"/>
  <c r="I288" i="8"/>
  <c r="J288" i="8"/>
  <c r="I289" i="8"/>
  <c r="J289" i="8"/>
  <c r="I290" i="8"/>
  <c r="J290" i="8"/>
  <c r="I291" i="8"/>
  <c r="J291" i="8"/>
  <c r="I292" i="8"/>
  <c r="J292" i="8"/>
  <c r="I293" i="8"/>
  <c r="J293" i="8"/>
  <c r="I294" i="8"/>
  <c r="J294" i="8"/>
  <c r="I295" i="8"/>
  <c r="J295" i="8"/>
  <c r="I296" i="8"/>
  <c r="J296" i="8"/>
  <c r="I297" i="8"/>
  <c r="J297" i="8"/>
  <c r="I298" i="8"/>
  <c r="J298" i="8"/>
  <c r="I299" i="8"/>
  <c r="J299" i="8"/>
  <c r="I300" i="8"/>
  <c r="J300" i="8"/>
  <c r="I301" i="8"/>
  <c r="J301" i="8"/>
  <c r="I302" i="8"/>
  <c r="J302" i="8"/>
  <c r="I303" i="8"/>
  <c r="J303" i="8"/>
  <c r="I304" i="8"/>
  <c r="J304" i="8"/>
  <c r="I305" i="8"/>
  <c r="J305" i="8"/>
  <c r="I306" i="8"/>
  <c r="J306" i="8"/>
  <c r="I307" i="8"/>
  <c r="J307" i="8"/>
  <c r="I308" i="8"/>
  <c r="J308" i="8"/>
  <c r="I309" i="8"/>
  <c r="J309" i="8"/>
  <c r="I310" i="8"/>
  <c r="J310" i="8"/>
  <c r="I311" i="8"/>
  <c r="J311" i="8"/>
  <c r="I312" i="8"/>
  <c r="J312" i="8"/>
  <c r="I313" i="8"/>
  <c r="J313" i="8"/>
  <c r="I314" i="8"/>
  <c r="J314" i="8"/>
  <c r="I315" i="8"/>
  <c r="J315" i="8"/>
  <c r="I316" i="8"/>
  <c r="J316" i="8"/>
  <c r="I317" i="8"/>
  <c r="J317" i="8"/>
  <c r="I318" i="8"/>
  <c r="J318" i="8"/>
  <c r="I319" i="8"/>
  <c r="J319" i="8"/>
  <c r="I320" i="8"/>
  <c r="J320" i="8"/>
  <c r="I321" i="8"/>
  <c r="J321" i="8"/>
  <c r="I322" i="8"/>
  <c r="J322" i="8"/>
  <c r="I323" i="8"/>
  <c r="J323" i="8"/>
  <c r="I324" i="8"/>
  <c r="J324" i="8"/>
  <c r="I325" i="8"/>
  <c r="J325" i="8"/>
  <c r="I326" i="8"/>
  <c r="J326" i="8"/>
  <c r="I327" i="8"/>
  <c r="J327" i="8"/>
  <c r="I328" i="8"/>
  <c r="J328" i="8"/>
  <c r="I329" i="8"/>
  <c r="J329" i="8"/>
  <c r="I330" i="8"/>
  <c r="J330" i="8"/>
  <c r="I331" i="8"/>
  <c r="J331" i="8"/>
  <c r="I332" i="8"/>
  <c r="J332" i="8"/>
  <c r="I333" i="8"/>
  <c r="J333" i="8"/>
  <c r="I334" i="8"/>
  <c r="J334" i="8"/>
  <c r="I335" i="8"/>
  <c r="J335" i="8"/>
  <c r="I336" i="8"/>
  <c r="J336" i="8"/>
  <c r="I337" i="8"/>
  <c r="J337" i="8"/>
  <c r="I338" i="8"/>
  <c r="J338" i="8"/>
  <c r="I339" i="8"/>
  <c r="J339" i="8"/>
  <c r="I340" i="8"/>
  <c r="J340" i="8"/>
  <c r="I341" i="8"/>
  <c r="J341" i="8"/>
  <c r="I342" i="8"/>
  <c r="J342" i="8"/>
  <c r="I343" i="8"/>
  <c r="J343" i="8"/>
  <c r="I344" i="8"/>
  <c r="J344" i="8"/>
  <c r="I345" i="8"/>
  <c r="J345" i="8"/>
  <c r="I346" i="8"/>
  <c r="J346" i="8"/>
  <c r="I347" i="8"/>
  <c r="J347" i="8"/>
  <c r="I348" i="8"/>
  <c r="J348" i="8"/>
  <c r="I349" i="8"/>
  <c r="J349" i="8"/>
  <c r="I350" i="8"/>
  <c r="J350" i="8"/>
  <c r="I351" i="8"/>
  <c r="J351" i="8"/>
  <c r="I352" i="8"/>
  <c r="J352" i="8"/>
  <c r="I353" i="8"/>
  <c r="J353" i="8"/>
  <c r="I354" i="8"/>
  <c r="J354" i="8"/>
  <c r="I355" i="8"/>
  <c r="J355" i="8"/>
  <c r="I356" i="8"/>
  <c r="J356" i="8"/>
  <c r="I357" i="8"/>
  <c r="J357" i="8"/>
  <c r="I358" i="8"/>
  <c r="J358" i="8"/>
  <c r="I359" i="8"/>
  <c r="J359" i="8"/>
  <c r="I360" i="8"/>
  <c r="J360" i="8"/>
  <c r="I361" i="8"/>
  <c r="J361" i="8"/>
  <c r="I362" i="8"/>
  <c r="J362" i="8"/>
  <c r="I363" i="8"/>
  <c r="J363" i="8"/>
  <c r="I364" i="8"/>
  <c r="J364" i="8"/>
  <c r="I365" i="8"/>
  <c r="J365" i="8"/>
  <c r="I366" i="8"/>
  <c r="J366" i="8"/>
  <c r="I367" i="8"/>
  <c r="J367" i="8"/>
  <c r="I368" i="8"/>
  <c r="J368" i="8"/>
  <c r="I369" i="8"/>
  <c r="J369" i="8"/>
  <c r="I370" i="8"/>
  <c r="J370" i="8"/>
  <c r="I371" i="8"/>
  <c r="J371" i="8"/>
  <c r="I372" i="8"/>
  <c r="J372" i="8"/>
  <c r="I373" i="8"/>
  <c r="J373" i="8"/>
  <c r="I374" i="8"/>
  <c r="J374" i="8"/>
  <c r="I375" i="8"/>
  <c r="J375" i="8"/>
  <c r="I376" i="8"/>
  <c r="J376" i="8"/>
  <c r="I377" i="8"/>
  <c r="J377" i="8"/>
  <c r="I378" i="8"/>
  <c r="J378" i="8"/>
  <c r="I379" i="8"/>
  <c r="J379" i="8"/>
  <c r="I380" i="8"/>
  <c r="J380" i="8"/>
  <c r="I381" i="8"/>
  <c r="J381" i="8"/>
  <c r="I382" i="8"/>
  <c r="J382" i="8"/>
  <c r="I383" i="8"/>
  <c r="J383" i="8"/>
  <c r="I384" i="8"/>
  <c r="J384" i="8"/>
  <c r="I385" i="8"/>
  <c r="J385" i="8"/>
  <c r="I386" i="8"/>
  <c r="J386" i="8"/>
  <c r="I387" i="8"/>
  <c r="J387" i="8"/>
  <c r="I388" i="8"/>
  <c r="J388" i="8"/>
  <c r="I389" i="8"/>
  <c r="J389" i="8"/>
  <c r="I390" i="8"/>
  <c r="J390" i="8"/>
  <c r="I391" i="8"/>
  <c r="J391" i="8"/>
  <c r="I392" i="8"/>
  <c r="J392" i="8"/>
  <c r="I393" i="8"/>
  <c r="J393" i="8"/>
  <c r="I394" i="8"/>
  <c r="J394" i="8"/>
  <c r="I395" i="8"/>
  <c r="J395" i="8"/>
  <c r="I396" i="8"/>
  <c r="J396" i="8"/>
  <c r="I397" i="8"/>
  <c r="J397" i="8"/>
  <c r="I398" i="8"/>
  <c r="J398" i="8"/>
  <c r="I399" i="8"/>
  <c r="J399" i="8"/>
  <c r="I400" i="8"/>
  <c r="J400" i="8"/>
  <c r="I401" i="8"/>
  <c r="J401" i="8"/>
  <c r="I402" i="8"/>
  <c r="J402" i="8"/>
  <c r="I403" i="8"/>
  <c r="J403" i="8"/>
  <c r="I404" i="8"/>
  <c r="J404" i="8"/>
  <c r="I405" i="8"/>
  <c r="J405" i="8"/>
  <c r="I406" i="8"/>
  <c r="J406" i="8"/>
  <c r="I407" i="8"/>
  <c r="J407" i="8"/>
  <c r="I408" i="8"/>
  <c r="J408" i="8"/>
  <c r="I409" i="8"/>
  <c r="J409" i="8"/>
  <c r="I410" i="8"/>
  <c r="J410" i="8"/>
  <c r="I411" i="8"/>
  <c r="J411" i="8"/>
  <c r="I412" i="8"/>
  <c r="J412" i="8"/>
  <c r="I413" i="8"/>
  <c r="J413" i="8"/>
  <c r="I414" i="8"/>
  <c r="J414" i="8"/>
  <c r="I415" i="8"/>
  <c r="J415" i="8"/>
  <c r="I416" i="8"/>
  <c r="J416" i="8"/>
  <c r="I417" i="8"/>
  <c r="J417" i="8"/>
  <c r="I418" i="8"/>
  <c r="J418" i="8"/>
  <c r="I419" i="8"/>
  <c r="J419" i="8"/>
  <c r="I420" i="8"/>
  <c r="J420" i="8"/>
  <c r="I421" i="8"/>
  <c r="J421" i="8"/>
  <c r="I422" i="8"/>
  <c r="J422" i="8"/>
  <c r="I423" i="8"/>
  <c r="J423" i="8"/>
  <c r="I424" i="8"/>
  <c r="J424" i="8"/>
  <c r="I425" i="8"/>
  <c r="J425" i="8"/>
  <c r="I426" i="8"/>
  <c r="J426" i="8"/>
  <c r="I427" i="8"/>
  <c r="J427" i="8"/>
  <c r="I428" i="8"/>
  <c r="J428" i="8"/>
  <c r="I429" i="8"/>
  <c r="J429" i="8"/>
  <c r="I430" i="8"/>
  <c r="J430" i="8"/>
  <c r="I431" i="8"/>
  <c r="J431" i="8"/>
  <c r="I432" i="8"/>
  <c r="J432" i="8"/>
  <c r="I433" i="8"/>
  <c r="J433" i="8"/>
  <c r="I434" i="8"/>
  <c r="J434" i="8"/>
  <c r="I435" i="8"/>
  <c r="J435" i="8"/>
  <c r="I436" i="8"/>
  <c r="J436" i="8"/>
  <c r="I437" i="8"/>
  <c r="J437" i="8"/>
  <c r="I438" i="8"/>
  <c r="J438" i="8"/>
  <c r="I439" i="8"/>
  <c r="J439" i="8"/>
  <c r="I440" i="8"/>
  <c r="J440" i="8"/>
  <c r="I441" i="8"/>
  <c r="J441" i="8"/>
  <c r="I442" i="8"/>
  <c r="J442" i="8"/>
  <c r="I443" i="8"/>
  <c r="J443" i="8"/>
  <c r="I444" i="8"/>
  <c r="J444" i="8"/>
  <c r="I445" i="8"/>
  <c r="J445" i="8"/>
  <c r="I446" i="8"/>
  <c r="J446" i="8"/>
  <c r="I447" i="8"/>
  <c r="J447" i="8"/>
  <c r="I448" i="8"/>
  <c r="J448" i="8"/>
  <c r="I449" i="8"/>
  <c r="J449" i="8"/>
  <c r="I450" i="8"/>
  <c r="J450" i="8"/>
  <c r="I451" i="8"/>
  <c r="J451" i="8"/>
  <c r="I452" i="8"/>
  <c r="J452" i="8"/>
  <c r="I453" i="8"/>
  <c r="J453" i="8"/>
  <c r="I454" i="8"/>
  <c r="J454" i="8"/>
  <c r="I455" i="8"/>
  <c r="J455" i="8"/>
  <c r="I456" i="8"/>
  <c r="J456" i="8"/>
  <c r="I457" i="8"/>
  <c r="J457" i="8"/>
  <c r="I458" i="8"/>
  <c r="J458" i="8"/>
  <c r="I459" i="8"/>
  <c r="J459" i="8"/>
  <c r="I460" i="8"/>
  <c r="J460" i="8"/>
  <c r="I461" i="8"/>
  <c r="J461" i="8"/>
  <c r="I462" i="8"/>
  <c r="J462" i="8"/>
  <c r="I463" i="8"/>
  <c r="J463" i="8"/>
  <c r="I464" i="8"/>
  <c r="J464" i="8"/>
  <c r="I465" i="8"/>
  <c r="J465" i="8"/>
  <c r="I466" i="8"/>
  <c r="J466" i="8"/>
  <c r="I467" i="8"/>
  <c r="J467" i="8"/>
  <c r="I468" i="8"/>
  <c r="J468" i="8"/>
  <c r="I469" i="8"/>
  <c r="J469" i="8"/>
  <c r="I470" i="8"/>
  <c r="J470" i="8"/>
  <c r="I471" i="8"/>
  <c r="J471" i="8"/>
  <c r="I472" i="8"/>
  <c r="J472" i="8"/>
  <c r="I473" i="8"/>
  <c r="J473" i="8"/>
  <c r="I474" i="8"/>
  <c r="J474" i="8"/>
  <c r="I475" i="8"/>
  <c r="J475" i="8"/>
  <c r="I476" i="8"/>
  <c r="J476" i="8"/>
  <c r="I477" i="8"/>
  <c r="J477" i="8"/>
  <c r="I478" i="8"/>
  <c r="J478" i="8"/>
  <c r="I479" i="8"/>
  <c r="J479" i="8"/>
  <c r="I480" i="8"/>
  <c r="J480" i="8"/>
  <c r="I481" i="8"/>
  <c r="J481" i="8"/>
  <c r="I482" i="8"/>
  <c r="J482" i="8"/>
  <c r="I483" i="8"/>
  <c r="J483" i="8"/>
  <c r="I484" i="8"/>
  <c r="J484" i="8"/>
  <c r="I485" i="8"/>
  <c r="J485" i="8"/>
  <c r="I486" i="8"/>
  <c r="J486" i="8"/>
  <c r="I487" i="8"/>
  <c r="J487" i="8"/>
  <c r="I488" i="8"/>
  <c r="J488" i="8"/>
  <c r="I489" i="8"/>
  <c r="J489" i="8"/>
  <c r="I490" i="8"/>
  <c r="J490" i="8"/>
  <c r="I491" i="8"/>
  <c r="J491" i="8"/>
  <c r="I492" i="8"/>
  <c r="J492" i="8"/>
  <c r="I493" i="8"/>
  <c r="J493" i="8"/>
  <c r="I494" i="8"/>
  <c r="J494" i="8"/>
  <c r="I495" i="8"/>
  <c r="J495" i="8"/>
  <c r="I496" i="8"/>
  <c r="J496" i="8"/>
  <c r="I497" i="8"/>
  <c r="J497" i="8"/>
  <c r="I498" i="8"/>
  <c r="J498" i="8"/>
  <c r="I499" i="8"/>
  <c r="J499" i="8"/>
  <c r="I500" i="8"/>
  <c r="J500" i="8"/>
  <c r="I501" i="8"/>
  <c r="J501" i="8"/>
  <c r="I502" i="8"/>
  <c r="J502" i="8"/>
  <c r="I503" i="8"/>
  <c r="J503" i="8"/>
  <c r="I504" i="8"/>
  <c r="J504" i="8"/>
  <c r="I505" i="8"/>
  <c r="J505" i="8"/>
  <c r="I506" i="8"/>
  <c r="J506" i="8"/>
  <c r="I507" i="8"/>
  <c r="J507" i="8"/>
  <c r="I508" i="8"/>
  <c r="J508" i="8"/>
  <c r="I509" i="8"/>
  <c r="J509" i="8"/>
  <c r="I510" i="8"/>
  <c r="J510" i="8"/>
  <c r="I511" i="8"/>
  <c r="J511" i="8"/>
  <c r="I512" i="8"/>
  <c r="J512" i="8"/>
  <c r="I513" i="8"/>
  <c r="J513" i="8"/>
  <c r="I514" i="8"/>
  <c r="J514" i="8"/>
  <c r="I515" i="8"/>
  <c r="J515" i="8"/>
  <c r="I516" i="8"/>
  <c r="J516" i="8"/>
  <c r="I517" i="8"/>
  <c r="J517" i="8"/>
  <c r="I518" i="8"/>
  <c r="J518" i="8"/>
  <c r="I519" i="8"/>
  <c r="J519" i="8"/>
  <c r="I520" i="8"/>
  <c r="J520" i="8"/>
  <c r="I521" i="8"/>
  <c r="J521" i="8"/>
  <c r="I522" i="8"/>
  <c r="J522" i="8"/>
  <c r="I523" i="8"/>
  <c r="J523" i="8"/>
  <c r="I524" i="8"/>
  <c r="J524" i="8"/>
  <c r="I525" i="8"/>
  <c r="J525" i="8"/>
  <c r="I526" i="8"/>
  <c r="J526" i="8"/>
  <c r="I527" i="8"/>
  <c r="J527" i="8"/>
  <c r="I528" i="8"/>
  <c r="J528" i="8"/>
  <c r="I529" i="8"/>
  <c r="J529" i="8"/>
  <c r="I530" i="8"/>
  <c r="J530" i="8"/>
  <c r="I531" i="8"/>
  <c r="J531" i="8"/>
  <c r="I532" i="8"/>
  <c r="J532" i="8"/>
  <c r="I533" i="8"/>
  <c r="J533" i="8"/>
  <c r="I534" i="8"/>
  <c r="J534" i="8"/>
  <c r="I535" i="8"/>
  <c r="J535" i="8"/>
  <c r="I536" i="8"/>
  <c r="J536" i="8"/>
  <c r="I537" i="8"/>
  <c r="J537" i="8"/>
  <c r="I538" i="8"/>
  <c r="J538" i="8"/>
  <c r="I539" i="8"/>
  <c r="J539" i="8"/>
  <c r="I540" i="8"/>
  <c r="J540" i="8"/>
  <c r="I541" i="8"/>
  <c r="J541" i="8"/>
  <c r="I542" i="8"/>
  <c r="J542" i="8"/>
  <c r="I543" i="8"/>
  <c r="J543" i="8"/>
  <c r="I544" i="8"/>
  <c r="J544" i="8"/>
  <c r="I545" i="8"/>
  <c r="J545" i="8"/>
  <c r="I546" i="8"/>
  <c r="J546" i="8"/>
  <c r="I547" i="8"/>
  <c r="J547" i="8"/>
  <c r="I548" i="8"/>
  <c r="J548" i="8"/>
  <c r="I549" i="8"/>
  <c r="J549" i="8"/>
  <c r="I550" i="8"/>
  <c r="J550" i="8"/>
  <c r="I551" i="8"/>
  <c r="J551" i="8"/>
  <c r="I552" i="8"/>
  <c r="J552" i="8"/>
  <c r="I553" i="8"/>
  <c r="J553" i="8"/>
  <c r="I554" i="8"/>
  <c r="J554" i="8"/>
  <c r="I555" i="8"/>
  <c r="J555" i="8"/>
  <c r="I556" i="8"/>
  <c r="J556" i="8"/>
  <c r="I557" i="8"/>
  <c r="J557" i="8"/>
  <c r="I558" i="8"/>
  <c r="J558" i="8"/>
  <c r="I559" i="8"/>
  <c r="J559" i="8"/>
  <c r="I560" i="8"/>
  <c r="J560" i="8"/>
  <c r="I561" i="8"/>
  <c r="J561" i="8"/>
  <c r="I562" i="8"/>
  <c r="J562" i="8"/>
  <c r="I563" i="8"/>
  <c r="J563" i="8"/>
  <c r="I564" i="8"/>
  <c r="J564" i="8"/>
  <c r="I565" i="8"/>
  <c r="J565" i="8"/>
  <c r="I566" i="8"/>
  <c r="J566" i="8"/>
  <c r="I567" i="8"/>
  <c r="J567" i="8"/>
  <c r="I568" i="8"/>
  <c r="J568" i="8"/>
  <c r="I569" i="8"/>
  <c r="J569" i="8"/>
  <c r="I570" i="8"/>
  <c r="J570" i="8"/>
  <c r="I571" i="8"/>
  <c r="J571" i="8"/>
  <c r="I572" i="8"/>
  <c r="J572" i="8"/>
  <c r="I573" i="8"/>
  <c r="J573" i="8"/>
  <c r="I574" i="8"/>
  <c r="J574" i="8"/>
  <c r="I575" i="8"/>
  <c r="J575" i="8"/>
  <c r="I576" i="8"/>
  <c r="J576" i="8"/>
  <c r="I577" i="8"/>
  <c r="J577" i="8"/>
  <c r="I578" i="8"/>
  <c r="J578" i="8"/>
  <c r="I579" i="8"/>
  <c r="J579" i="8"/>
  <c r="I580" i="8"/>
  <c r="J580" i="8"/>
  <c r="I581" i="8"/>
  <c r="J581" i="8"/>
  <c r="I582" i="8"/>
  <c r="J582" i="8"/>
  <c r="I583" i="8"/>
  <c r="J583" i="8"/>
  <c r="I584" i="8"/>
  <c r="J584" i="8"/>
  <c r="I585" i="8"/>
  <c r="J585" i="8"/>
  <c r="I586" i="8"/>
  <c r="J586" i="8"/>
  <c r="I587" i="8"/>
  <c r="J587" i="8"/>
  <c r="I588" i="8"/>
  <c r="J588" i="8"/>
  <c r="I589" i="8"/>
  <c r="J589" i="8"/>
  <c r="I590" i="8"/>
  <c r="J590" i="8"/>
  <c r="I591" i="8"/>
  <c r="J591" i="8"/>
  <c r="I592" i="8"/>
  <c r="J592" i="8"/>
  <c r="I593" i="8"/>
  <c r="J593" i="8"/>
  <c r="I594" i="8"/>
  <c r="J594" i="8"/>
  <c r="I595" i="8"/>
  <c r="J595" i="8"/>
  <c r="I596" i="8"/>
  <c r="J596" i="8"/>
  <c r="I597" i="8"/>
  <c r="J597" i="8"/>
  <c r="I598" i="8"/>
  <c r="J598" i="8"/>
  <c r="I599" i="8"/>
  <c r="J599" i="8"/>
  <c r="I600" i="8"/>
  <c r="J600" i="8"/>
  <c r="I601" i="8"/>
  <c r="J601" i="8"/>
  <c r="I602" i="8"/>
  <c r="J602" i="8"/>
  <c r="I603" i="8"/>
  <c r="J603" i="8"/>
  <c r="I604" i="8"/>
  <c r="J604" i="8"/>
  <c r="I605" i="8"/>
  <c r="J605" i="8"/>
  <c r="I606" i="8"/>
  <c r="J606" i="8"/>
  <c r="I607" i="8"/>
  <c r="J607" i="8"/>
  <c r="I608" i="8"/>
  <c r="J608" i="8"/>
  <c r="I609" i="8"/>
  <c r="J609" i="8"/>
  <c r="I610" i="8"/>
  <c r="J610" i="8"/>
  <c r="I611" i="8"/>
  <c r="J611" i="8"/>
  <c r="I612" i="8"/>
  <c r="J612" i="8"/>
  <c r="I613" i="8"/>
  <c r="J613" i="8"/>
  <c r="I614" i="8"/>
  <c r="J614" i="8"/>
  <c r="I615" i="8"/>
  <c r="J615" i="8"/>
  <c r="I616" i="8"/>
  <c r="J616" i="8"/>
  <c r="I617" i="8"/>
  <c r="J617" i="8"/>
  <c r="I618" i="8"/>
  <c r="J618" i="8"/>
  <c r="I619" i="8"/>
  <c r="J619" i="8"/>
  <c r="I620" i="8"/>
  <c r="J620" i="8"/>
  <c r="I621" i="8"/>
  <c r="J621" i="8"/>
  <c r="I622" i="8"/>
  <c r="J622" i="8"/>
  <c r="I623" i="8"/>
  <c r="J623" i="8"/>
  <c r="I624" i="8"/>
  <c r="J624" i="8"/>
  <c r="I625" i="8"/>
  <c r="J625" i="8"/>
  <c r="I626" i="8"/>
  <c r="J626" i="8"/>
  <c r="I627" i="8"/>
  <c r="J627" i="8"/>
  <c r="I628" i="8"/>
  <c r="J628" i="8"/>
  <c r="I629" i="8"/>
  <c r="J629" i="8"/>
  <c r="I630" i="8"/>
  <c r="J630" i="8"/>
  <c r="I631" i="8"/>
  <c r="J631" i="8"/>
  <c r="I632" i="8"/>
  <c r="J632" i="8"/>
  <c r="I633" i="8"/>
  <c r="J633" i="8"/>
  <c r="I634" i="8"/>
  <c r="J634" i="8"/>
  <c r="I635" i="8"/>
  <c r="J635" i="8"/>
  <c r="I636" i="8"/>
  <c r="J636" i="8"/>
  <c r="I637" i="8"/>
  <c r="J637" i="8"/>
  <c r="I638" i="8"/>
  <c r="J638" i="8"/>
  <c r="I639" i="8"/>
  <c r="J639" i="8"/>
  <c r="I640" i="8"/>
  <c r="J640" i="8"/>
  <c r="I641" i="8"/>
  <c r="J641" i="8"/>
  <c r="I642" i="8"/>
  <c r="J642" i="8"/>
  <c r="I643" i="8"/>
  <c r="J643" i="8"/>
  <c r="I644" i="8"/>
  <c r="J644" i="8"/>
  <c r="I645" i="8"/>
  <c r="J645" i="8"/>
  <c r="I646" i="8"/>
  <c r="J646" i="8"/>
  <c r="I647" i="8"/>
  <c r="J647" i="8"/>
  <c r="I648" i="8"/>
  <c r="J648" i="8"/>
  <c r="I649" i="8"/>
  <c r="J649" i="8"/>
  <c r="I650" i="8"/>
  <c r="J650" i="8"/>
  <c r="I651" i="8"/>
  <c r="J651" i="8"/>
  <c r="I652" i="8"/>
  <c r="J652" i="8"/>
  <c r="I653" i="8"/>
  <c r="J653" i="8"/>
  <c r="I654" i="8"/>
  <c r="J654" i="8"/>
  <c r="I655" i="8"/>
  <c r="J655" i="8"/>
  <c r="I656" i="8"/>
  <c r="J656" i="8"/>
  <c r="I657" i="8"/>
  <c r="J657" i="8"/>
  <c r="I658" i="8"/>
  <c r="J658" i="8"/>
  <c r="I659" i="8"/>
  <c r="J659" i="8"/>
  <c r="I660" i="8"/>
  <c r="J660" i="8"/>
  <c r="I661" i="8"/>
  <c r="J661" i="8"/>
  <c r="I662" i="8"/>
  <c r="J662" i="8"/>
  <c r="I663" i="8"/>
  <c r="J663" i="8"/>
  <c r="I664" i="8"/>
  <c r="J664" i="8"/>
  <c r="I665" i="8"/>
  <c r="J665" i="8"/>
  <c r="I666" i="8"/>
  <c r="J666" i="8"/>
  <c r="I667" i="8"/>
  <c r="J667" i="8"/>
  <c r="I668" i="8"/>
  <c r="J668" i="8"/>
  <c r="I669" i="8"/>
  <c r="J669" i="8"/>
  <c r="I670" i="8"/>
  <c r="J670" i="8"/>
  <c r="I671" i="8"/>
  <c r="J671" i="8"/>
  <c r="I672" i="8"/>
  <c r="J672" i="8"/>
  <c r="I673" i="8"/>
  <c r="J673" i="8"/>
  <c r="I674" i="8"/>
  <c r="J674" i="8"/>
  <c r="I675" i="8"/>
  <c r="J675" i="8"/>
  <c r="I676" i="8"/>
  <c r="J676" i="8"/>
  <c r="I677" i="8"/>
  <c r="J677" i="8"/>
  <c r="I678" i="8"/>
  <c r="J678" i="8"/>
  <c r="I679" i="8"/>
  <c r="J679" i="8"/>
  <c r="I680" i="8"/>
  <c r="J680" i="8"/>
  <c r="I681" i="8"/>
  <c r="J681" i="8"/>
  <c r="I682" i="8"/>
  <c r="J682" i="8"/>
  <c r="I683" i="8"/>
  <c r="J683" i="8"/>
  <c r="I684" i="8"/>
  <c r="J684" i="8"/>
  <c r="I685" i="8"/>
  <c r="J685" i="8"/>
  <c r="I686" i="8"/>
  <c r="J686" i="8"/>
  <c r="I687" i="8"/>
  <c r="J687" i="8"/>
  <c r="I688" i="8"/>
  <c r="J688" i="8"/>
  <c r="I689" i="8"/>
  <c r="J689" i="8"/>
  <c r="I690" i="8"/>
  <c r="J690" i="8"/>
  <c r="I691" i="8"/>
  <c r="J691" i="8"/>
  <c r="I692" i="8"/>
  <c r="J692" i="8"/>
  <c r="I693" i="8"/>
  <c r="J693" i="8"/>
  <c r="I694" i="8"/>
  <c r="J694" i="8"/>
  <c r="I695" i="8"/>
  <c r="J695" i="8"/>
  <c r="I696" i="8"/>
  <c r="J696" i="8"/>
  <c r="I697" i="8"/>
  <c r="J697" i="8"/>
  <c r="I698" i="8"/>
  <c r="J698" i="8"/>
  <c r="I699" i="8"/>
  <c r="J699" i="8"/>
  <c r="I700" i="8"/>
  <c r="J700" i="8"/>
  <c r="I701" i="8"/>
  <c r="J701" i="8"/>
  <c r="I702" i="8"/>
  <c r="J702" i="8"/>
  <c r="I703" i="8"/>
  <c r="J703" i="8"/>
  <c r="I704" i="8"/>
  <c r="J704" i="8"/>
  <c r="I705" i="8"/>
  <c r="J705" i="8"/>
  <c r="I706" i="8"/>
  <c r="J706" i="8"/>
  <c r="I707" i="8"/>
  <c r="J707" i="8"/>
  <c r="I708" i="8"/>
  <c r="J708" i="8"/>
  <c r="I709" i="8"/>
  <c r="J709" i="8"/>
  <c r="I710" i="8"/>
  <c r="J710" i="8"/>
  <c r="I711" i="8"/>
  <c r="J711" i="8"/>
  <c r="I712" i="8"/>
  <c r="J712" i="8"/>
  <c r="I713" i="8"/>
  <c r="J713" i="8"/>
  <c r="I714" i="8"/>
  <c r="J714" i="8"/>
  <c r="I715" i="8"/>
  <c r="J715" i="8"/>
  <c r="I716" i="8"/>
  <c r="J716" i="8"/>
  <c r="I717" i="8"/>
  <c r="J717" i="8"/>
  <c r="I718" i="8"/>
  <c r="J718" i="8"/>
  <c r="I719" i="8"/>
  <c r="J719" i="8"/>
  <c r="I720" i="8"/>
  <c r="J720" i="8"/>
  <c r="I721" i="8"/>
  <c r="J721" i="8"/>
  <c r="I722" i="8"/>
  <c r="J722" i="8"/>
  <c r="I723" i="8"/>
  <c r="J723" i="8"/>
  <c r="I724" i="8"/>
  <c r="J724" i="8"/>
  <c r="I725" i="8"/>
  <c r="J725" i="8"/>
  <c r="I726" i="8"/>
  <c r="J726" i="8"/>
  <c r="I727" i="8"/>
  <c r="J727" i="8"/>
  <c r="I728" i="8"/>
  <c r="J728" i="8"/>
  <c r="I729" i="8"/>
  <c r="J729" i="8"/>
  <c r="I730" i="8"/>
  <c r="J730" i="8"/>
  <c r="I731" i="8"/>
  <c r="J731" i="8"/>
  <c r="I732" i="8"/>
  <c r="J732" i="8"/>
  <c r="I733" i="8"/>
  <c r="J733" i="8"/>
  <c r="I734" i="8"/>
  <c r="J734" i="8"/>
  <c r="I735" i="8"/>
  <c r="J735" i="8"/>
  <c r="I736" i="8"/>
  <c r="J736" i="8"/>
  <c r="I737" i="8"/>
  <c r="J737" i="8"/>
  <c r="I738" i="8"/>
  <c r="J738" i="8"/>
  <c r="I739" i="8"/>
  <c r="J739" i="8"/>
  <c r="I740" i="8"/>
  <c r="J740" i="8"/>
  <c r="I741" i="8"/>
  <c r="J741" i="8"/>
  <c r="I742" i="8"/>
  <c r="J742" i="8"/>
  <c r="I743" i="8"/>
  <c r="J743" i="8"/>
  <c r="I744" i="8"/>
  <c r="J744" i="8"/>
  <c r="I745" i="8"/>
  <c r="J745" i="8"/>
  <c r="I746" i="8"/>
  <c r="J746" i="8"/>
  <c r="I747" i="8"/>
  <c r="J747" i="8"/>
  <c r="I748" i="8"/>
  <c r="J748" i="8"/>
  <c r="I749" i="8"/>
  <c r="J749" i="8"/>
  <c r="I750" i="8"/>
  <c r="J750" i="8"/>
  <c r="I751" i="8"/>
  <c r="J751" i="8"/>
  <c r="I752" i="8"/>
  <c r="J752" i="8"/>
  <c r="I753" i="8"/>
  <c r="J753" i="8"/>
  <c r="I754" i="8"/>
  <c r="J754" i="8"/>
  <c r="I755" i="8"/>
  <c r="J755" i="8"/>
  <c r="I756" i="8"/>
  <c r="J756" i="8"/>
  <c r="I757" i="8"/>
  <c r="J757" i="8"/>
  <c r="I758" i="8"/>
  <c r="J758" i="8"/>
  <c r="I759" i="8"/>
  <c r="J759" i="8"/>
  <c r="I760" i="8"/>
  <c r="J760" i="8"/>
  <c r="I761" i="8"/>
  <c r="J761" i="8"/>
  <c r="I762" i="8"/>
  <c r="J762" i="8"/>
  <c r="I763" i="8"/>
  <c r="J763" i="8"/>
  <c r="I764" i="8"/>
  <c r="J764" i="8"/>
  <c r="I765" i="8"/>
  <c r="J765" i="8"/>
  <c r="I766" i="8"/>
  <c r="J766" i="8"/>
  <c r="I767" i="8"/>
  <c r="J767" i="8"/>
  <c r="I768" i="8"/>
  <c r="J768" i="8"/>
  <c r="I769" i="8"/>
  <c r="J769" i="8"/>
  <c r="I770" i="8"/>
  <c r="J770" i="8"/>
  <c r="I771" i="8"/>
  <c r="J771" i="8"/>
  <c r="I772" i="8"/>
  <c r="J772" i="8"/>
  <c r="I773" i="8"/>
  <c r="J773" i="8"/>
  <c r="I774" i="8"/>
  <c r="J774" i="8"/>
  <c r="I775" i="8"/>
  <c r="J775" i="8"/>
  <c r="I776" i="8"/>
  <c r="J776" i="8"/>
  <c r="I777" i="8"/>
  <c r="J777" i="8"/>
  <c r="I778" i="8"/>
  <c r="J778" i="8"/>
  <c r="I779" i="8"/>
  <c r="J779" i="8"/>
  <c r="I780" i="8"/>
  <c r="J780" i="8"/>
  <c r="I781" i="8"/>
  <c r="J781" i="8"/>
  <c r="I782" i="8"/>
  <c r="J782" i="8"/>
  <c r="I783" i="8"/>
  <c r="J783" i="8"/>
  <c r="I784" i="8"/>
  <c r="J784" i="8"/>
  <c r="I785" i="8"/>
  <c r="J785" i="8"/>
  <c r="I786" i="8"/>
  <c r="J786" i="8"/>
  <c r="I787" i="8"/>
  <c r="J787" i="8"/>
  <c r="I788" i="8"/>
  <c r="J788" i="8"/>
  <c r="I789" i="8"/>
  <c r="J789" i="8"/>
  <c r="I790" i="8"/>
  <c r="J790" i="8"/>
  <c r="I791" i="8"/>
  <c r="J791" i="8"/>
  <c r="I792" i="8"/>
  <c r="J792" i="8"/>
  <c r="I793" i="8"/>
  <c r="J793" i="8"/>
  <c r="I794" i="8"/>
  <c r="J794" i="8"/>
  <c r="I795" i="8"/>
  <c r="J795" i="8"/>
  <c r="I796" i="8"/>
  <c r="J796" i="8"/>
  <c r="I797" i="8"/>
  <c r="J797" i="8"/>
  <c r="I798" i="8"/>
  <c r="J798" i="8"/>
  <c r="I799" i="8"/>
  <c r="J799" i="8"/>
  <c r="I800" i="8"/>
  <c r="J800" i="8"/>
  <c r="I801" i="8"/>
  <c r="J801" i="8"/>
  <c r="I802" i="8"/>
  <c r="J802" i="8"/>
  <c r="I803" i="8"/>
  <c r="J803" i="8"/>
  <c r="I804" i="8"/>
  <c r="J804" i="8"/>
  <c r="I805" i="8"/>
  <c r="J805" i="8"/>
  <c r="I806" i="8"/>
  <c r="J806" i="8"/>
  <c r="I807" i="8"/>
  <c r="J807" i="8"/>
  <c r="I808" i="8"/>
  <c r="J808" i="8"/>
  <c r="I809" i="8"/>
  <c r="J809" i="8"/>
  <c r="I810" i="8"/>
  <c r="J810" i="8"/>
  <c r="I811" i="8"/>
  <c r="J811" i="8"/>
  <c r="I812" i="8"/>
  <c r="J812" i="8"/>
  <c r="I813" i="8"/>
  <c r="J813" i="8"/>
  <c r="I814" i="8"/>
  <c r="J814" i="8"/>
  <c r="I815" i="8"/>
  <c r="J815" i="8"/>
  <c r="I816" i="8"/>
  <c r="J816" i="8"/>
  <c r="I817" i="8"/>
  <c r="J817" i="8"/>
  <c r="I818" i="8"/>
  <c r="J818" i="8"/>
  <c r="I819" i="8"/>
  <c r="J819" i="8"/>
  <c r="I820" i="8"/>
  <c r="J820" i="8"/>
  <c r="I821" i="8"/>
  <c r="J821" i="8"/>
  <c r="I822" i="8"/>
  <c r="J822" i="8"/>
  <c r="I823" i="8"/>
  <c r="J823" i="8"/>
  <c r="I824" i="8"/>
  <c r="J824" i="8"/>
  <c r="I825" i="8"/>
  <c r="J825" i="8"/>
  <c r="I826" i="8"/>
  <c r="J826" i="8"/>
  <c r="I827" i="8"/>
  <c r="J827" i="8"/>
  <c r="I828" i="8"/>
  <c r="J828" i="8"/>
  <c r="I829" i="8"/>
  <c r="J829" i="8"/>
  <c r="I830" i="8"/>
  <c r="J830" i="8"/>
  <c r="I831" i="8"/>
  <c r="J831" i="8"/>
  <c r="I832" i="8"/>
  <c r="J832" i="8"/>
  <c r="I833" i="8"/>
  <c r="J833" i="8"/>
  <c r="I834" i="8"/>
  <c r="J834" i="8"/>
  <c r="I835" i="8"/>
  <c r="J835" i="8"/>
  <c r="I836" i="8"/>
  <c r="J836" i="8"/>
  <c r="I837" i="8"/>
  <c r="J837" i="8"/>
  <c r="I838" i="8"/>
  <c r="J838" i="8"/>
  <c r="I839" i="8"/>
  <c r="J839" i="8"/>
  <c r="I840" i="8"/>
  <c r="J840" i="8"/>
  <c r="I841" i="8"/>
  <c r="J841" i="8"/>
  <c r="I842" i="8"/>
  <c r="J842" i="8"/>
  <c r="I843" i="8"/>
  <c r="J843" i="8"/>
  <c r="I844" i="8"/>
  <c r="J844" i="8"/>
  <c r="I845" i="8"/>
  <c r="J845" i="8"/>
  <c r="I846" i="8"/>
  <c r="J846" i="8"/>
  <c r="I847" i="8"/>
  <c r="J847" i="8"/>
  <c r="I848" i="8"/>
  <c r="J848" i="8"/>
  <c r="I849" i="8"/>
  <c r="J849" i="8"/>
  <c r="I850" i="8"/>
  <c r="J850" i="8"/>
  <c r="I851" i="8"/>
  <c r="J851" i="8"/>
  <c r="I852" i="8"/>
  <c r="J852" i="8"/>
  <c r="I853" i="8"/>
  <c r="J853" i="8"/>
  <c r="I854" i="8"/>
  <c r="J854" i="8"/>
  <c r="I855" i="8"/>
  <c r="J855" i="8"/>
  <c r="I856" i="8"/>
  <c r="J856" i="8"/>
  <c r="I857" i="8"/>
  <c r="J857" i="8"/>
  <c r="I858" i="8"/>
  <c r="J858" i="8"/>
  <c r="I859" i="8"/>
  <c r="J859" i="8"/>
  <c r="I860" i="8"/>
  <c r="J860" i="8"/>
  <c r="I861" i="8"/>
  <c r="J861" i="8"/>
  <c r="I862" i="8"/>
  <c r="J862" i="8"/>
  <c r="I863" i="8"/>
  <c r="J863" i="8"/>
  <c r="I864" i="8"/>
  <c r="J864" i="8"/>
  <c r="I865" i="8"/>
  <c r="J865" i="8"/>
  <c r="I866" i="8"/>
  <c r="J866" i="8"/>
  <c r="I867" i="8"/>
  <c r="J867" i="8"/>
  <c r="I868" i="8"/>
  <c r="J868" i="8"/>
  <c r="I869" i="8"/>
  <c r="J869" i="8"/>
  <c r="I870" i="8"/>
  <c r="J870" i="8"/>
  <c r="I871" i="8"/>
  <c r="J871" i="8"/>
  <c r="I872" i="8"/>
  <c r="J872" i="8"/>
  <c r="I873" i="8"/>
  <c r="J873" i="8"/>
  <c r="I874" i="8"/>
  <c r="J874" i="8"/>
  <c r="I875" i="8"/>
  <c r="J875" i="8"/>
  <c r="I876" i="8"/>
  <c r="J876" i="8"/>
  <c r="I877" i="8"/>
  <c r="J877" i="8"/>
  <c r="I878" i="8"/>
  <c r="J878" i="8"/>
  <c r="I879" i="8"/>
  <c r="J879" i="8"/>
  <c r="I880" i="8"/>
  <c r="J880" i="8"/>
  <c r="I881" i="8"/>
  <c r="J881" i="8"/>
  <c r="I882" i="8"/>
  <c r="J882" i="8"/>
  <c r="I883" i="8"/>
  <c r="J883" i="8"/>
  <c r="I884" i="8"/>
  <c r="J884" i="8"/>
  <c r="I885" i="8"/>
  <c r="J885" i="8"/>
  <c r="I886" i="8"/>
  <c r="J886" i="8"/>
  <c r="I887" i="8"/>
  <c r="J887" i="8"/>
  <c r="I888" i="8"/>
  <c r="J888" i="8"/>
  <c r="I889" i="8"/>
  <c r="J889" i="8"/>
  <c r="I890" i="8"/>
  <c r="J890" i="8"/>
  <c r="I891" i="8"/>
  <c r="J891" i="8"/>
  <c r="I892" i="8"/>
  <c r="J892" i="8"/>
  <c r="I893" i="8"/>
  <c r="J893" i="8"/>
  <c r="I894" i="8"/>
  <c r="J894" i="8"/>
  <c r="I895" i="8"/>
  <c r="J895" i="8"/>
  <c r="I896" i="8"/>
  <c r="J896" i="8"/>
  <c r="I897" i="8"/>
  <c r="J897" i="8"/>
  <c r="I898" i="8"/>
  <c r="J898" i="8"/>
  <c r="I899" i="8"/>
  <c r="J899" i="8"/>
  <c r="I900" i="8"/>
  <c r="J900" i="8"/>
  <c r="I901" i="8"/>
  <c r="J901" i="8"/>
  <c r="I902" i="8"/>
  <c r="J902" i="8"/>
  <c r="I903" i="8"/>
  <c r="J903" i="8"/>
  <c r="I904" i="8"/>
  <c r="J904" i="8"/>
  <c r="I905" i="8"/>
  <c r="J905" i="8"/>
  <c r="I906" i="8"/>
  <c r="J906" i="8"/>
  <c r="I907" i="8"/>
  <c r="J907" i="8"/>
  <c r="I908" i="8"/>
  <c r="J908" i="8"/>
  <c r="I909" i="8"/>
  <c r="J909" i="8"/>
  <c r="I910" i="8"/>
  <c r="J910" i="8"/>
  <c r="I911" i="8"/>
  <c r="J911" i="8"/>
  <c r="I912" i="8"/>
  <c r="J912" i="8"/>
  <c r="I913" i="8"/>
  <c r="J913" i="8"/>
  <c r="I914" i="8"/>
  <c r="J914" i="8"/>
  <c r="I915" i="8"/>
  <c r="J915" i="8"/>
  <c r="I916" i="8"/>
  <c r="J916" i="8"/>
  <c r="I917" i="8"/>
  <c r="J917" i="8"/>
  <c r="I918" i="8"/>
  <c r="J918" i="8"/>
  <c r="I919" i="8"/>
  <c r="J919" i="8"/>
  <c r="I920" i="8"/>
  <c r="J920" i="8"/>
  <c r="I921" i="8"/>
  <c r="J921" i="8"/>
  <c r="I922" i="8"/>
  <c r="J922" i="8"/>
  <c r="I923" i="8"/>
  <c r="J923" i="8"/>
  <c r="I924" i="8"/>
  <c r="J924" i="8"/>
  <c r="I925" i="8"/>
  <c r="J925" i="8"/>
  <c r="I926" i="8"/>
  <c r="J926" i="8"/>
  <c r="I927" i="8"/>
  <c r="J927" i="8"/>
  <c r="I928" i="8"/>
  <c r="J928" i="8"/>
  <c r="I929" i="8"/>
  <c r="J929" i="8"/>
  <c r="I930" i="8"/>
  <c r="J930" i="8"/>
  <c r="I931" i="8"/>
  <c r="J931" i="8"/>
  <c r="I932" i="8"/>
  <c r="J932" i="8"/>
  <c r="I933" i="8"/>
  <c r="J933" i="8"/>
  <c r="I934" i="8"/>
  <c r="J934" i="8"/>
  <c r="I935" i="8"/>
  <c r="J935" i="8"/>
  <c r="I936" i="8"/>
  <c r="J936" i="8"/>
  <c r="I937" i="8"/>
  <c r="J937" i="8"/>
  <c r="I938" i="8"/>
  <c r="J938" i="8"/>
  <c r="I939" i="8"/>
  <c r="J939" i="8"/>
  <c r="I940" i="8"/>
  <c r="J940" i="8"/>
  <c r="I941" i="8"/>
  <c r="J941" i="8"/>
  <c r="I942" i="8"/>
  <c r="J942" i="8"/>
  <c r="I943" i="8"/>
  <c r="J943" i="8"/>
  <c r="I944" i="8"/>
  <c r="J944" i="8"/>
  <c r="I945" i="8"/>
  <c r="J945" i="8"/>
  <c r="I946" i="8"/>
  <c r="J946" i="8"/>
  <c r="I947" i="8"/>
  <c r="J947" i="8"/>
  <c r="I948" i="8"/>
  <c r="J948" i="8"/>
  <c r="I949" i="8"/>
  <c r="J949" i="8"/>
  <c r="I950" i="8"/>
  <c r="J950" i="8"/>
  <c r="I951" i="8"/>
  <c r="J951" i="8"/>
  <c r="I952" i="8"/>
  <c r="J952" i="8"/>
  <c r="I953" i="8"/>
  <c r="J953" i="8"/>
  <c r="I954" i="8"/>
  <c r="J954" i="8"/>
  <c r="I955" i="8"/>
  <c r="J955" i="8"/>
  <c r="I956" i="8"/>
  <c r="J956" i="8"/>
  <c r="I957" i="8"/>
  <c r="J957" i="8"/>
  <c r="I958" i="8"/>
  <c r="J958" i="8"/>
  <c r="I959" i="8"/>
  <c r="J959" i="8"/>
  <c r="I960" i="8"/>
  <c r="J960" i="8"/>
  <c r="I961" i="8"/>
  <c r="J961" i="8"/>
  <c r="I962" i="8"/>
  <c r="J962" i="8"/>
  <c r="I963" i="8"/>
  <c r="J963" i="8"/>
  <c r="I964" i="8"/>
  <c r="J964" i="8"/>
  <c r="I965" i="8"/>
  <c r="J965" i="8"/>
  <c r="I966" i="8"/>
  <c r="J966" i="8"/>
  <c r="I967" i="8"/>
  <c r="J967" i="8"/>
  <c r="I968" i="8"/>
  <c r="J968" i="8"/>
  <c r="I969" i="8"/>
  <c r="J969" i="8"/>
  <c r="I970" i="8"/>
  <c r="J970" i="8"/>
  <c r="I971" i="8"/>
  <c r="J971" i="8"/>
  <c r="I972" i="8"/>
  <c r="J972" i="8"/>
  <c r="I973" i="8"/>
  <c r="J973" i="8"/>
  <c r="I974" i="8"/>
  <c r="J974" i="8"/>
  <c r="I975" i="8"/>
  <c r="J975" i="8"/>
  <c r="I976" i="8"/>
  <c r="J976" i="8"/>
  <c r="I977" i="8"/>
  <c r="J977" i="8"/>
  <c r="I978" i="8"/>
  <c r="J978" i="8"/>
  <c r="I979" i="8"/>
  <c r="J979" i="8"/>
  <c r="I980" i="8"/>
  <c r="J980" i="8"/>
  <c r="I981" i="8"/>
  <c r="J981" i="8"/>
  <c r="I982" i="8"/>
  <c r="J982" i="8"/>
  <c r="I983" i="8"/>
  <c r="J983" i="8"/>
  <c r="I984" i="8"/>
  <c r="J984" i="8"/>
  <c r="I985" i="8"/>
  <c r="J985" i="8"/>
  <c r="I986" i="8"/>
  <c r="J986" i="8"/>
  <c r="I987" i="8"/>
  <c r="J987" i="8"/>
  <c r="I988" i="8"/>
  <c r="J988" i="8"/>
  <c r="I989" i="8"/>
  <c r="J989" i="8"/>
  <c r="I990" i="8"/>
  <c r="J990" i="8"/>
  <c r="I991" i="8"/>
  <c r="J991" i="8"/>
  <c r="I992" i="8"/>
  <c r="J992" i="8"/>
  <c r="I993" i="8"/>
  <c r="J993" i="8"/>
  <c r="I994" i="8"/>
  <c r="J994" i="8"/>
  <c r="I995" i="8"/>
  <c r="J995" i="8"/>
  <c r="I996" i="8"/>
  <c r="J996" i="8"/>
  <c r="I997" i="8"/>
  <c r="J997" i="8"/>
  <c r="I998" i="8"/>
  <c r="J998" i="8"/>
  <c r="I999" i="8"/>
  <c r="J999" i="8"/>
  <c r="I1000" i="8"/>
  <c r="J1000" i="8"/>
  <c r="I1001" i="8"/>
  <c r="J1001" i="8"/>
  <c r="I1002" i="8"/>
  <c r="J1002" i="8"/>
  <c r="I1003" i="8"/>
  <c r="J1003" i="8"/>
  <c r="I1004" i="8"/>
  <c r="J1004" i="8"/>
  <c r="I1005" i="8"/>
  <c r="J1005" i="8"/>
  <c r="I1006" i="8"/>
  <c r="J1006" i="8"/>
  <c r="I1007" i="8"/>
  <c r="J1007" i="8"/>
  <c r="I1008" i="8"/>
  <c r="J1008" i="8"/>
  <c r="I1009" i="8"/>
  <c r="J1009" i="8"/>
  <c r="I1010" i="8"/>
  <c r="J1010" i="8"/>
  <c r="I1011" i="8"/>
  <c r="J1011" i="8"/>
  <c r="I1012" i="8"/>
  <c r="J1012" i="8"/>
  <c r="I1013" i="8"/>
  <c r="J1013" i="8"/>
  <c r="I1014" i="8"/>
  <c r="J1014" i="8"/>
  <c r="I1015" i="8"/>
  <c r="J1015" i="8"/>
  <c r="I1016" i="8"/>
  <c r="J1016" i="8"/>
  <c r="I1017" i="8"/>
  <c r="J1017" i="8"/>
  <c r="I1018" i="8"/>
  <c r="J1018" i="8"/>
  <c r="I1019" i="8"/>
  <c r="J1019" i="8"/>
  <c r="I1020" i="8"/>
  <c r="J1020" i="8"/>
  <c r="I1021" i="8"/>
  <c r="J1021" i="8"/>
  <c r="I1022" i="8"/>
  <c r="J1022" i="8"/>
  <c r="I1023" i="8"/>
  <c r="J1023" i="8"/>
  <c r="I1024" i="8"/>
  <c r="J1024" i="8"/>
  <c r="I1025" i="8"/>
  <c r="J1025" i="8"/>
  <c r="I1026" i="8"/>
  <c r="J1026" i="8"/>
  <c r="I1027" i="8"/>
  <c r="J1027" i="8"/>
  <c r="I1028" i="8"/>
  <c r="J1028" i="8"/>
  <c r="I1029" i="8"/>
  <c r="J1029" i="8"/>
  <c r="I1030" i="8"/>
  <c r="J1030" i="8"/>
  <c r="I1031" i="8"/>
  <c r="J1031" i="8"/>
  <c r="I1032" i="8"/>
  <c r="J1032" i="8"/>
  <c r="I1033" i="8"/>
  <c r="J1033" i="8"/>
  <c r="I1034" i="8"/>
  <c r="J1034" i="8"/>
  <c r="I1035" i="8"/>
  <c r="J1035" i="8"/>
  <c r="I1036" i="8"/>
  <c r="J1036" i="8"/>
  <c r="I1037" i="8"/>
  <c r="J1037" i="8"/>
  <c r="I1038" i="8"/>
  <c r="J1038" i="8"/>
  <c r="I1039" i="8"/>
  <c r="J1039" i="8"/>
  <c r="I1040" i="8"/>
  <c r="J1040" i="8"/>
  <c r="I1041" i="8"/>
  <c r="J1041" i="8"/>
  <c r="I1042" i="8"/>
  <c r="J1042" i="8"/>
  <c r="I1043" i="8"/>
  <c r="J1043" i="8"/>
  <c r="I1044" i="8"/>
  <c r="J1044" i="8"/>
  <c r="I1045" i="8"/>
  <c r="J1045" i="8"/>
  <c r="I1046" i="8"/>
  <c r="J1046" i="8"/>
  <c r="I1047" i="8"/>
  <c r="J1047" i="8"/>
  <c r="I1048" i="8"/>
  <c r="J1048" i="8"/>
  <c r="I1049" i="8"/>
  <c r="J1049" i="8"/>
  <c r="I1050" i="8"/>
  <c r="J1050" i="8"/>
  <c r="I1051" i="8"/>
  <c r="J1051" i="8"/>
  <c r="I1052" i="8"/>
  <c r="J1052" i="8"/>
  <c r="I1053" i="8"/>
  <c r="J1053" i="8"/>
  <c r="I1054" i="8"/>
  <c r="J1054" i="8"/>
  <c r="I1055" i="8"/>
  <c r="J1055" i="8"/>
  <c r="I1056" i="8"/>
  <c r="J1056" i="8"/>
  <c r="I1057" i="8"/>
  <c r="J1057" i="8"/>
  <c r="I1058" i="8"/>
  <c r="J1058" i="8"/>
  <c r="I1059" i="8"/>
  <c r="J1059" i="8"/>
  <c r="I1060" i="8"/>
  <c r="J1060" i="8"/>
  <c r="I1061" i="8"/>
  <c r="J1061" i="8"/>
  <c r="I1062" i="8"/>
  <c r="J1062" i="8"/>
  <c r="I1063" i="8"/>
  <c r="J1063" i="8"/>
  <c r="I1064" i="8"/>
  <c r="J1064" i="8"/>
  <c r="I1065" i="8"/>
  <c r="J1065" i="8"/>
  <c r="I1066" i="8"/>
  <c r="J1066" i="8"/>
  <c r="I1067" i="8"/>
  <c r="J1067" i="8"/>
  <c r="I1068" i="8"/>
  <c r="J1068" i="8"/>
  <c r="I1069" i="8"/>
  <c r="J1069" i="8"/>
  <c r="I1070" i="8"/>
  <c r="J1070" i="8"/>
  <c r="I1071" i="8"/>
  <c r="J1071" i="8"/>
  <c r="I1072" i="8"/>
  <c r="J1072" i="8"/>
  <c r="I1073" i="8"/>
  <c r="J1073" i="8"/>
  <c r="I1074" i="8"/>
  <c r="J1074" i="8"/>
  <c r="I1075" i="8"/>
  <c r="J1075" i="8"/>
  <c r="I1076" i="8"/>
  <c r="J1076" i="8"/>
  <c r="I1077" i="8"/>
  <c r="J1077" i="8"/>
  <c r="I1078" i="8"/>
  <c r="J1078" i="8"/>
  <c r="I1079" i="8"/>
  <c r="J1079" i="8"/>
  <c r="I1080" i="8"/>
  <c r="J1080" i="8"/>
  <c r="I1081" i="8"/>
  <c r="J1081" i="8"/>
  <c r="I1082" i="8"/>
  <c r="J1082" i="8"/>
  <c r="I1083" i="8"/>
  <c r="J1083" i="8"/>
  <c r="I1084" i="8"/>
  <c r="J1084" i="8"/>
  <c r="I1085" i="8"/>
  <c r="J1085" i="8"/>
  <c r="I1086" i="8"/>
  <c r="J1086" i="8"/>
  <c r="I1087" i="8"/>
  <c r="J1087" i="8"/>
  <c r="I1088" i="8"/>
  <c r="J1088" i="8"/>
  <c r="I1089" i="8"/>
  <c r="J1089" i="8"/>
  <c r="I1090" i="8"/>
  <c r="J1090" i="8"/>
  <c r="I1091" i="8"/>
  <c r="J1091" i="8"/>
  <c r="I1092" i="8"/>
  <c r="J1092" i="8"/>
  <c r="I1093" i="8"/>
  <c r="J1093" i="8"/>
  <c r="I1094" i="8"/>
  <c r="J1094" i="8"/>
  <c r="I1095" i="8"/>
  <c r="J1095" i="8"/>
  <c r="I1096" i="8"/>
  <c r="J1096" i="8"/>
  <c r="I1097" i="8"/>
  <c r="J1097" i="8"/>
  <c r="I1098" i="8"/>
  <c r="J1098" i="8"/>
  <c r="I1099" i="8"/>
  <c r="J1099" i="8"/>
  <c r="I1100" i="8"/>
  <c r="J1100" i="8"/>
  <c r="I1101" i="8"/>
  <c r="J1101" i="8"/>
  <c r="I1102" i="8"/>
  <c r="J1102" i="8"/>
  <c r="I1103" i="8"/>
  <c r="J1103" i="8"/>
  <c r="I1104" i="8"/>
  <c r="J1104" i="8"/>
  <c r="I1105" i="8"/>
  <c r="J1105" i="8"/>
  <c r="I1106" i="8"/>
  <c r="J1106" i="8"/>
  <c r="I1107" i="8"/>
  <c r="J1107" i="8"/>
  <c r="I1108" i="8"/>
  <c r="J1108" i="8"/>
  <c r="I1109" i="8"/>
  <c r="J1109" i="8"/>
  <c r="I1110" i="8"/>
  <c r="J1110" i="8"/>
  <c r="I1111" i="8"/>
  <c r="J1111" i="8"/>
  <c r="I1112" i="8"/>
  <c r="J1112" i="8"/>
  <c r="I1113" i="8"/>
  <c r="J1113" i="8"/>
  <c r="I1114" i="8"/>
  <c r="J1114" i="8"/>
  <c r="I1115" i="8"/>
  <c r="J1115" i="8"/>
  <c r="I1116" i="8"/>
  <c r="J1116" i="8"/>
  <c r="I1117" i="8"/>
  <c r="J1117" i="8"/>
  <c r="I1118" i="8"/>
  <c r="J1118" i="8"/>
  <c r="I1119" i="8"/>
  <c r="J1119" i="8"/>
  <c r="I1120" i="8"/>
  <c r="J1120" i="8"/>
  <c r="I1121" i="8"/>
  <c r="J1121" i="8"/>
  <c r="I1122" i="8"/>
  <c r="J1122" i="8"/>
  <c r="I1123" i="8"/>
  <c r="J1123" i="8"/>
  <c r="I1124" i="8"/>
  <c r="J1124" i="8"/>
  <c r="I1125" i="8"/>
  <c r="J1125" i="8"/>
  <c r="I1126" i="8"/>
  <c r="J1126" i="8"/>
  <c r="I1127" i="8"/>
  <c r="J1127" i="8"/>
  <c r="I1128" i="8"/>
  <c r="J1128" i="8"/>
  <c r="I1129" i="8"/>
  <c r="J1129" i="8"/>
  <c r="I1130" i="8"/>
  <c r="J1130" i="8"/>
  <c r="I1131" i="8"/>
  <c r="J1131" i="8"/>
  <c r="I1132" i="8"/>
  <c r="J1132" i="8"/>
  <c r="I1133" i="8"/>
  <c r="J1133" i="8"/>
  <c r="I1134" i="8"/>
  <c r="J1134" i="8"/>
  <c r="I1135" i="8"/>
  <c r="J1135" i="8"/>
  <c r="I1136" i="8"/>
  <c r="J1136" i="8"/>
  <c r="I1137" i="8"/>
  <c r="J1137" i="8"/>
  <c r="I1138" i="8"/>
  <c r="J1138" i="8"/>
  <c r="I1139" i="8"/>
  <c r="J1139" i="8"/>
  <c r="I1140" i="8"/>
  <c r="J1140" i="8"/>
  <c r="I1141" i="8"/>
  <c r="J1141" i="8"/>
  <c r="I1142" i="8"/>
  <c r="J1142" i="8"/>
  <c r="I1143" i="8"/>
  <c r="J1143" i="8"/>
  <c r="I1144" i="8"/>
  <c r="J1144" i="8"/>
  <c r="I1145" i="8"/>
  <c r="J1145" i="8"/>
  <c r="I1146" i="8"/>
  <c r="J1146" i="8"/>
  <c r="I1147" i="8"/>
  <c r="J1147" i="8"/>
  <c r="I1148" i="8"/>
  <c r="J1148" i="8"/>
  <c r="I1149" i="8"/>
  <c r="J1149" i="8"/>
  <c r="I1150" i="8"/>
  <c r="J1150" i="8"/>
  <c r="I1151" i="8"/>
  <c r="J1151" i="8"/>
  <c r="I1152" i="8"/>
  <c r="J1152" i="8"/>
  <c r="I1153" i="8"/>
  <c r="J1153" i="8"/>
  <c r="I1154" i="8"/>
  <c r="J1154" i="8"/>
  <c r="I1155" i="8"/>
  <c r="J1155" i="8"/>
  <c r="I1156" i="8"/>
  <c r="J1156" i="8"/>
  <c r="I1157" i="8"/>
  <c r="J1157" i="8"/>
  <c r="I1158" i="8"/>
  <c r="J1158" i="8"/>
  <c r="I1159" i="8"/>
  <c r="J1159" i="8"/>
  <c r="I1160" i="8"/>
  <c r="J1160" i="8"/>
  <c r="I1161" i="8"/>
  <c r="J1161" i="8"/>
  <c r="I1162" i="8"/>
  <c r="J1162" i="8"/>
  <c r="I1163" i="8"/>
  <c r="J1163" i="8"/>
  <c r="I1164" i="8"/>
  <c r="J1164" i="8"/>
  <c r="I1165" i="8"/>
  <c r="J1165" i="8"/>
  <c r="I1166" i="8"/>
  <c r="J1166" i="8"/>
  <c r="I1167" i="8"/>
  <c r="J1167" i="8"/>
  <c r="I1168" i="8"/>
  <c r="J1168" i="8"/>
  <c r="I1169" i="8"/>
  <c r="J1169" i="8"/>
  <c r="I1170" i="8"/>
  <c r="J1170" i="8"/>
  <c r="I1171" i="8"/>
  <c r="J1171" i="8"/>
  <c r="I1172" i="8"/>
  <c r="J1172" i="8"/>
  <c r="I1173" i="8"/>
  <c r="J1173" i="8"/>
  <c r="I1174" i="8"/>
  <c r="J1174" i="8"/>
  <c r="I1175" i="8"/>
  <c r="J1175" i="8"/>
  <c r="I1176" i="8"/>
  <c r="J1176" i="8"/>
  <c r="I1177" i="8"/>
  <c r="J1177" i="8"/>
  <c r="I1178" i="8"/>
  <c r="J1178" i="8"/>
  <c r="I1179" i="8"/>
  <c r="J1179" i="8"/>
  <c r="I1180" i="8"/>
  <c r="J1180" i="8"/>
  <c r="I1181" i="8"/>
  <c r="J1181" i="8"/>
  <c r="I1182" i="8"/>
  <c r="J1182" i="8"/>
  <c r="I1183" i="8"/>
  <c r="J1183" i="8"/>
  <c r="I1184" i="8"/>
  <c r="J1184" i="8"/>
  <c r="I1185" i="8"/>
  <c r="J1185" i="8"/>
  <c r="I1186" i="8"/>
  <c r="J1186" i="8"/>
  <c r="I1187" i="8"/>
  <c r="J1187" i="8"/>
  <c r="I1188" i="8"/>
  <c r="J1188" i="8"/>
  <c r="I1189" i="8"/>
  <c r="J1189" i="8"/>
  <c r="I1190" i="8"/>
  <c r="J1190" i="8"/>
  <c r="I1191" i="8"/>
  <c r="J1191" i="8"/>
  <c r="I1192" i="8"/>
  <c r="J1192" i="8"/>
  <c r="I1193" i="8"/>
  <c r="J1193" i="8"/>
  <c r="I1194" i="8"/>
  <c r="J1194" i="8"/>
  <c r="I1195" i="8"/>
  <c r="J1195" i="8"/>
  <c r="I1196" i="8"/>
  <c r="J1196" i="8"/>
  <c r="I1197" i="8"/>
  <c r="J1197" i="8"/>
  <c r="I1198" i="8"/>
  <c r="J1198" i="8"/>
  <c r="I1199" i="8"/>
  <c r="J1199" i="8"/>
  <c r="I1200" i="8"/>
  <c r="J1200" i="8"/>
  <c r="I1201" i="8"/>
  <c r="J1201" i="8"/>
  <c r="I1202" i="8"/>
  <c r="J1202" i="8"/>
  <c r="I1203" i="8"/>
  <c r="J1203" i="8"/>
  <c r="I1204" i="8"/>
  <c r="J1204" i="8"/>
  <c r="I1205" i="8"/>
  <c r="J1205" i="8"/>
  <c r="I1206" i="8"/>
  <c r="J1206" i="8"/>
  <c r="I1207" i="8"/>
  <c r="J1207" i="8"/>
  <c r="I1208" i="8"/>
  <c r="J1208" i="8"/>
  <c r="I1209" i="8"/>
  <c r="J1209" i="8"/>
  <c r="I1210" i="8"/>
  <c r="J1210" i="8"/>
  <c r="I1211" i="8"/>
  <c r="J1211" i="8"/>
  <c r="I1212" i="8"/>
  <c r="J1212" i="8"/>
  <c r="I1213" i="8"/>
  <c r="J1213" i="8"/>
  <c r="I1214" i="8"/>
  <c r="J1214" i="8"/>
  <c r="I1215" i="8"/>
  <c r="J1215" i="8"/>
  <c r="I1216" i="8"/>
  <c r="J1216" i="8"/>
  <c r="I1217" i="8"/>
  <c r="J1217" i="8"/>
  <c r="I1218" i="8"/>
  <c r="J1218" i="8"/>
  <c r="I1219" i="8"/>
  <c r="J1219" i="8"/>
  <c r="I1220" i="8"/>
  <c r="J1220" i="8"/>
  <c r="I1221" i="8"/>
  <c r="J1221" i="8"/>
  <c r="I1222" i="8"/>
  <c r="J1222" i="8"/>
  <c r="I1223" i="8"/>
  <c r="J1223" i="8"/>
  <c r="I1224" i="8"/>
  <c r="J1224" i="8"/>
  <c r="I1225" i="8"/>
  <c r="J1225" i="8"/>
  <c r="I1226" i="8"/>
  <c r="J1226" i="8"/>
  <c r="I1227" i="8"/>
  <c r="J1227" i="8"/>
  <c r="I1228" i="8"/>
  <c r="J1228" i="8"/>
  <c r="I1229" i="8"/>
  <c r="J1229" i="8"/>
  <c r="I1230" i="8"/>
  <c r="J1230" i="8"/>
  <c r="I1231" i="8"/>
  <c r="J1231" i="8"/>
  <c r="I1232" i="8"/>
  <c r="J1232" i="8"/>
  <c r="I1233" i="8"/>
  <c r="J1233" i="8"/>
  <c r="I1234" i="8"/>
  <c r="J1234" i="8"/>
  <c r="I1235" i="8"/>
  <c r="J1235" i="8"/>
  <c r="I1236" i="8"/>
  <c r="J1236" i="8"/>
  <c r="I1237" i="8"/>
  <c r="J1237" i="8"/>
  <c r="I1238" i="8"/>
  <c r="J1238" i="8"/>
  <c r="I1239" i="8"/>
  <c r="J1239" i="8"/>
  <c r="I1240" i="8"/>
  <c r="J1240" i="8"/>
  <c r="I1241" i="8"/>
  <c r="J1241" i="8"/>
  <c r="I1242" i="8"/>
  <c r="J1242" i="8"/>
  <c r="I1243" i="8"/>
  <c r="J1243" i="8"/>
  <c r="I1244" i="8"/>
  <c r="J1244" i="8"/>
  <c r="I1245" i="8"/>
  <c r="J1245" i="8"/>
  <c r="I1246" i="8"/>
  <c r="J1246" i="8"/>
  <c r="I1247" i="8"/>
  <c r="J1247" i="8"/>
  <c r="I1248" i="8"/>
  <c r="J1248" i="8"/>
  <c r="I1249" i="8"/>
  <c r="J1249" i="8"/>
  <c r="I1250" i="8"/>
  <c r="J1250" i="8"/>
  <c r="I1251" i="8"/>
  <c r="J1251" i="8"/>
  <c r="I1252" i="8"/>
  <c r="J1252" i="8"/>
  <c r="I1253" i="8"/>
  <c r="J1253" i="8"/>
  <c r="I1254" i="8"/>
  <c r="J1254" i="8"/>
  <c r="I1255" i="8"/>
  <c r="J1255" i="8"/>
  <c r="I1256" i="8"/>
  <c r="J1256" i="8"/>
  <c r="I1257" i="8"/>
  <c r="J1257" i="8"/>
  <c r="I1258" i="8"/>
  <c r="J1258" i="8"/>
  <c r="I1259" i="8"/>
  <c r="J1259" i="8"/>
  <c r="I1260" i="8"/>
  <c r="J1260" i="8"/>
  <c r="I1261" i="8"/>
  <c r="J1261" i="8"/>
  <c r="I1262" i="8"/>
  <c r="J1262" i="8"/>
  <c r="I1263" i="8"/>
  <c r="J1263" i="8"/>
  <c r="I1264" i="8"/>
  <c r="J1264" i="8"/>
  <c r="I1265" i="8"/>
  <c r="J1265" i="8"/>
  <c r="I1266" i="8"/>
  <c r="J1266" i="8"/>
  <c r="I1267" i="8"/>
  <c r="J1267" i="8"/>
  <c r="I1268" i="8"/>
  <c r="J1268" i="8"/>
  <c r="I1269" i="8"/>
  <c r="J1269" i="8"/>
  <c r="I1270" i="8"/>
  <c r="J1270" i="8"/>
  <c r="I1271" i="8"/>
  <c r="J1271" i="8"/>
  <c r="I1272" i="8"/>
  <c r="J1272" i="8"/>
  <c r="I1273" i="8"/>
  <c r="J1273" i="8"/>
  <c r="I1274" i="8"/>
  <c r="J1274" i="8"/>
  <c r="I1275" i="8"/>
  <c r="J1275" i="8"/>
  <c r="I1276" i="8"/>
  <c r="J1276" i="8"/>
  <c r="I1277" i="8"/>
  <c r="J1277" i="8"/>
  <c r="I1278" i="8"/>
  <c r="J1278" i="8"/>
  <c r="I1279" i="8"/>
  <c r="J1279" i="8"/>
  <c r="I1280" i="8"/>
  <c r="J1280" i="8"/>
  <c r="I1281" i="8"/>
  <c r="J1281" i="8"/>
  <c r="I1282" i="8"/>
  <c r="J1282" i="8"/>
  <c r="I1283" i="8"/>
  <c r="J1283" i="8"/>
  <c r="I1284" i="8"/>
  <c r="J1284" i="8"/>
  <c r="I1285" i="8"/>
  <c r="J1285" i="8"/>
  <c r="I1286" i="8"/>
  <c r="J1286" i="8"/>
  <c r="I1287" i="8"/>
  <c r="J1287" i="8"/>
  <c r="I1288" i="8"/>
  <c r="J1288" i="8"/>
  <c r="I1289" i="8"/>
  <c r="J1289" i="8"/>
  <c r="I1290" i="8"/>
  <c r="J1290" i="8"/>
  <c r="I1291" i="8"/>
  <c r="J1291" i="8"/>
  <c r="I1292" i="8"/>
  <c r="J1292" i="8"/>
  <c r="I1293" i="8"/>
  <c r="J1293" i="8"/>
  <c r="I1294" i="8"/>
  <c r="J1294" i="8"/>
  <c r="I1295" i="8"/>
  <c r="J1295" i="8"/>
  <c r="I1296" i="8"/>
  <c r="J1296" i="8"/>
  <c r="I1297" i="8"/>
  <c r="J1297" i="8"/>
  <c r="I1298" i="8"/>
  <c r="J1298" i="8"/>
  <c r="I1299" i="8"/>
  <c r="J1299" i="8"/>
  <c r="I1300" i="8"/>
  <c r="J1300" i="8"/>
  <c r="I1301" i="8"/>
  <c r="J1301" i="8"/>
  <c r="I1302" i="8"/>
  <c r="J1302" i="8"/>
  <c r="I1303" i="8"/>
  <c r="J1303" i="8"/>
  <c r="I1304" i="8"/>
  <c r="J1304" i="8"/>
  <c r="I1305" i="8"/>
  <c r="J1305" i="8"/>
  <c r="I1306" i="8"/>
  <c r="J1306" i="8"/>
  <c r="I1307" i="8"/>
  <c r="J1307" i="8"/>
  <c r="I1308" i="8"/>
  <c r="J1308" i="8"/>
  <c r="I1309" i="8"/>
  <c r="J1309" i="8"/>
  <c r="I1310" i="8"/>
  <c r="J1310" i="8"/>
  <c r="I1311" i="8"/>
  <c r="J1311" i="8"/>
  <c r="I1312" i="8"/>
  <c r="J1312" i="8"/>
  <c r="I1313" i="8"/>
  <c r="J1313" i="8"/>
  <c r="I1314" i="8"/>
  <c r="J1314" i="8"/>
  <c r="I1315" i="8"/>
  <c r="J1315" i="8"/>
  <c r="I1316" i="8"/>
  <c r="J1316" i="8"/>
  <c r="I1317" i="8"/>
  <c r="J1317" i="8"/>
  <c r="I1318" i="8"/>
  <c r="J1318" i="8"/>
  <c r="I1319" i="8"/>
  <c r="J1319" i="8"/>
  <c r="I1320" i="8"/>
  <c r="J1320" i="8"/>
  <c r="I1321" i="8"/>
  <c r="J1321" i="8"/>
  <c r="I1322" i="8"/>
  <c r="J1322" i="8"/>
  <c r="I1323" i="8"/>
  <c r="J1323" i="8"/>
  <c r="I1324" i="8"/>
  <c r="J1324" i="8"/>
  <c r="I1325" i="8"/>
  <c r="J1325" i="8"/>
  <c r="I1326" i="8"/>
  <c r="J1326" i="8"/>
  <c r="I1327" i="8"/>
  <c r="J1327" i="8"/>
  <c r="I1328" i="8"/>
  <c r="J1328" i="8"/>
  <c r="I1329" i="8"/>
  <c r="J1329" i="8"/>
  <c r="I1330" i="8"/>
  <c r="J1330" i="8"/>
  <c r="I1331" i="8"/>
  <c r="J1331" i="8"/>
  <c r="I1332" i="8"/>
  <c r="J1332" i="8"/>
  <c r="I1333" i="8"/>
  <c r="J1333" i="8"/>
  <c r="I1334" i="8"/>
  <c r="J1334" i="8"/>
  <c r="I1335" i="8"/>
  <c r="J1335" i="8"/>
  <c r="I1336" i="8"/>
  <c r="J1336" i="8"/>
  <c r="I1337" i="8"/>
  <c r="J1337" i="8"/>
  <c r="I1338" i="8"/>
  <c r="J1338" i="8"/>
  <c r="I1339" i="8"/>
  <c r="J1339" i="8"/>
  <c r="I1340" i="8"/>
  <c r="J1340" i="8"/>
  <c r="I1341" i="8"/>
  <c r="J1341" i="8"/>
  <c r="I1342" i="8"/>
  <c r="J1342" i="8"/>
  <c r="I1343" i="8"/>
  <c r="J1343" i="8"/>
  <c r="I1344" i="8"/>
  <c r="J1344" i="8"/>
  <c r="I1345" i="8"/>
  <c r="J1345" i="8"/>
  <c r="I1346" i="8"/>
  <c r="J1346" i="8"/>
  <c r="I1347" i="8"/>
  <c r="J1347" i="8"/>
  <c r="I1348" i="8"/>
  <c r="J1348" i="8"/>
  <c r="I1349" i="8"/>
  <c r="J1349" i="8"/>
  <c r="I1350" i="8"/>
  <c r="J1350" i="8"/>
  <c r="I1351" i="8"/>
  <c r="J1351" i="8"/>
  <c r="I1352" i="8"/>
  <c r="J1352" i="8"/>
  <c r="I1353" i="8"/>
  <c r="J1353" i="8"/>
  <c r="I1354" i="8"/>
  <c r="J1354" i="8"/>
  <c r="I1355" i="8"/>
  <c r="J1355" i="8"/>
  <c r="I1356" i="8"/>
  <c r="J1356" i="8"/>
  <c r="I1357" i="8"/>
  <c r="J1357" i="8"/>
  <c r="I1358" i="8"/>
  <c r="J1358" i="8"/>
  <c r="I1359" i="8"/>
  <c r="J1359" i="8"/>
  <c r="I1360" i="8"/>
  <c r="J1360" i="8"/>
  <c r="I1361" i="8"/>
  <c r="J1361" i="8"/>
  <c r="I1362" i="8"/>
  <c r="J1362" i="8"/>
  <c r="I1363" i="8"/>
  <c r="J1363" i="8"/>
  <c r="I1364" i="8"/>
  <c r="J1364" i="8"/>
  <c r="I1365" i="8"/>
  <c r="J1365" i="8"/>
  <c r="I1366" i="8"/>
  <c r="J1366" i="8"/>
  <c r="I1367" i="8"/>
  <c r="J1367" i="8"/>
  <c r="I1368" i="8"/>
  <c r="J1368" i="8"/>
  <c r="I1369" i="8"/>
  <c r="J1369" i="8"/>
  <c r="I1370" i="8"/>
  <c r="J1370" i="8"/>
  <c r="I1371" i="8"/>
  <c r="J1371" i="8"/>
  <c r="I1372" i="8"/>
  <c r="J1372" i="8"/>
  <c r="I1373" i="8"/>
  <c r="J1373" i="8"/>
  <c r="I1374" i="8"/>
  <c r="J1374" i="8"/>
  <c r="I1375" i="8"/>
  <c r="J1375" i="8"/>
  <c r="I1376" i="8"/>
  <c r="J1376" i="8"/>
  <c r="I1377" i="8"/>
  <c r="J1377" i="8"/>
  <c r="I1378" i="8"/>
  <c r="J1378" i="8"/>
  <c r="I1379" i="8"/>
  <c r="J1379" i="8"/>
  <c r="I1380" i="8"/>
  <c r="J1380" i="8"/>
  <c r="I1381" i="8"/>
  <c r="J1381" i="8"/>
  <c r="I1382" i="8"/>
  <c r="J1382" i="8"/>
  <c r="I1383" i="8"/>
  <c r="J1383" i="8"/>
  <c r="I1384" i="8"/>
  <c r="J1384" i="8"/>
  <c r="I1385" i="8"/>
  <c r="J1385" i="8"/>
  <c r="I1386" i="8"/>
  <c r="J1386" i="8"/>
  <c r="I1387" i="8"/>
  <c r="J1387" i="8"/>
  <c r="I1388" i="8"/>
  <c r="J1388" i="8"/>
  <c r="I1389" i="8"/>
  <c r="J1389" i="8"/>
  <c r="I1390" i="8"/>
  <c r="J1390" i="8"/>
  <c r="I1391" i="8"/>
  <c r="J1391" i="8"/>
  <c r="I1392" i="8"/>
  <c r="J1392" i="8"/>
  <c r="I1393" i="8"/>
  <c r="J1393" i="8"/>
  <c r="I1394" i="8"/>
  <c r="J1394" i="8"/>
  <c r="I1395" i="8"/>
  <c r="J1395" i="8"/>
  <c r="I1396" i="8"/>
  <c r="J1396" i="8"/>
  <c r="I1397" i="8"/>
  <c r="J1397" i="8"/>
  <c r="I1398" i="8"/>
  <c r="J1398" i="8"/>
  <c r="I1399" i="8"/>
  <c r="J1399" i="8"/>
  <c r="I1400" i="8"/>
  <c r="J1400" i="8"/>
  <c r="I1401" i="8"/>
  <c r="J1401" i="8"/>
  <c r="I1402" i="8"/>
  <c r="J1402" i="8"/>
  <c r="I1403" i="8"/>
  <c r="J1403" i="8"/>
  <c r="I1404" i="8"/>
  <c r="J1404" i="8"/>
  <c r="I1405" i="8"/>
  <c r="J1405" i="8"/>
  <c r="I1406" i="8"/>
  <c r="J1406" i="8"/>
  <c r="I1407" i="8"/>
  <c r="J1407" i="8"/>
  <c r="I1408" i="8"/>
  <c r="J1408" i="8"/>
  <c r="I1409" i="8"/>
  <c r="J1409" i="8"/>
  <c r="I1410" i="8"/>
  <c r="J1410" i="8"/>
  <c r="I1411" i="8"/>
  <c r="J1411" i="8"/>
  <c r="I1412" i="8"/>
  <c r="J1412" i="8"/>
  <c r="I1413" i="8"/>
  <c r="J1413" i="8"/>
  <c r="I1414" i="8"/>
  <c r="J1414" i="8"/>
  <c r="I1415" i="8"/>
  <c r="J1415" i="8"/>
  <c r="I1416" i="8"/>
  <c r="J1416" i="8"/>
  <c r="I1417" i="8"/>
  <c r="J1417" i="8"/>
  <c r="I1418" i="8"/>
  <c r="J1418" i="8"/>
  <c r="I1419" i="8"/>
  <c r="J1419" i="8"/>
  <c r="I1420" i="8"/>
  <c r="J1420" i="8"/>
  <c r="I1421" i="8"/>
  <c r="J1421" i="8"/>
  <c r="I1422" i="8"/>
  <c r="J1422" i="8"/>
  <c r="I1423" i="8"/>
  <c r="J1423" i="8"/>
  <c r="I1424" i="8"/>
  <c r="J1424" i="8"/>
  <c r="I1425" i="8"/>
  <c r="J1425" i="8"/>
  <c r="I1426" i="8"/>
  <c r="J1426" i="8"/>
  <c r="I1427" i="8"/>
  <c r="J1427" i="8"/>
  <c r="I1428" i="8"/>
  <c r="J1428" i="8"/>
  <c r="I1429" i="8"/>
  <c r="J1429" i="8"/>
  <c r="I1430" i="8"/>
  <c r="J1430" i="8"/>
  <c r="I1431" i="8"/>
  <c r="J1431" i="8"/>
  <c r="I1432" i="8"/>
  <c r="J1432" i="8"/>
  <c r="I1433" i="8"/>
  <c r="J1433" i="8"/>
  <c r="I1434" i="8"/>
  <c r="J1434" i="8"/>
  <c r="I1435" i="8"/>
  <c r="J1435" i="8"/>
  <c r="I1436" i="8"/>
  <c r="J1436" i="8"/>
  <c r="I1437" i="8"/>
  <c r="J1437" i="8"/>
  <c r="I1438" i="8"/>
  <c r="J1438" i="8"/>
  <c r="I1439" i="8"/>
  <c r="J1439" i="8"/>
  <c r="I1440" i="8"/>
  <c r="J1440" i="8"/>
  <c r="I1441" i="8"/>
  <c r="J1441" i="8"/>
  <c r="I1442" i="8"/>
  <c r="J1442" i="8"/>
  <c r="I1443" i="8"/>
  <c r="J1443" i="8"/>
  <c r="I1444" i="8"/>
  <c r="J1444" i="8"/>
  <c r="I1445" i="8"/>
  <c r="J1445" i="8"/>
  <c r="I1446" i="8"/>
  <c r="J1446" i="8"/>
  <c r="I1447" i="8"/>
  <c r="J1447" i="8"/>
  <c r="I1448" i="8"/>
  <c r="J1448" i="8"/>
  <c r="I1449" i="8"/>
  <c r="J1449" i="8"/>
  <c r="I1450" i="8"/>
  <c r="J1450" i="8"/>
  <c r="I1451" i="8"/>
  <c r="J1451" i="8"/>
  <c r="I1452" i="8"/>
  <c r="J1452" i="8"/>
  <c r="I1453" i="8"/>
  <c r="J1453" i="8"/>
  <c r="I1454" i="8"/>
  <c r="J1454" i="8"/>
  <c r="I1455" i="8"/>
  <c r="J1455" i="8"/>
  <c r="I1456" i="8"/>
  <c r="J1456" i="8"/>
  <c r="I1457" i="8"/>
  <c r="J1457" i="8"/>
  <c r="I1458" i="8"/>
  <c r="J1458" i="8"/>
  <c r="I1459" i="8"/>
  <c r="J1459" i="8"/>
  <c r="I1460" i="8"/>
  <c r="J1460" i="8"/>
  <c r="I1461" i="8"/>
  <c r="J1461" i="8"/>
  <c r="I1462" i="8"/>
  <c r="J1462" i="8"/>
  <c r="I1463" i="8"/>
  <c r="J1463" i="8"/>
  <c r="I1464" i="8"/>
  <c r="J1464" i="8"/>
  <c r="I1465" i="8"/>
  <c r="J1465" i="8"/>
  <c r="I1466" i="8"/>
  <c r="J1466" i="8"/>
  <c r="I1467" i="8"/>
  <c r="J1467" i="8"/>
  <c r="I1468" i="8"/>
  <c r="J1468" i="8"/>
  <c r="I1469" i="8"/>
  <c r="J1469" i="8"/>
  <c r="I1470" i="8"/>
  <c r="J1470" i="8"/>
  <c r="I1471" i="8"/>
  <c r="J1471" i="8"/>
  <c r="I1472" i="8"/>
  <c r="J1472" i="8"/>
  <c r="I1473" i="8"/>
  <c r="J1473" i="8"/>
  <c r="I1474" i="8"/>
  <c r="J1474" i="8"/>
  <c r="I1475" i="8"/>
  <c r="J1475" i="8"/>
  <c r="I1476" i="8"/>
  <c r="J1476" i="8"/>
  <c r="I1477" i="8"/>
  <c r="J1477" i="8"/>
  <c r="I1478" i="8"/>
  <c r="J1478" i="8"/>
  <c r="I1479" i="8"/>
  <c r="J1479" i="8"/>
  <c r="I1480" i="8"/>
  <c r="J1480" i="8"/>
  <c r="I1481" i="8"/>
  <c r="J1481" i="8"/>
  <c r="I1482" i="8"/>
  <c r="J1482" i="8"/>
  <c r="I1483" i="8"/>
  <c r="J1483" i="8"/>
  <c r="I1484" i="8"/>
  <c r="J1484" i="8"/>
  <c r="I1485" i="8"/>
  <c r="J1485" i="8"/>
  <c r="I1486" i="8"/>
  <c r="J1486" i="8"/>
  <c r="I1487" i="8"/>
  <c r="J1487" i="8"/>
  <c r="I1488" i="8"/>
  <c r="J1488" i="8"/>
  <c r="I1489" i="8"/>
  <c r="J1489" i="8"/>
  <c r="I1490" i="8"/>
  <c r="J1490" i="8"/>
  <c r="I1491" i="8"/>
  <c r="J1491" i="8"/>
  <c r="I1492" i="8"/>
  <c r="J1492" i="8"/>
  <c r="I1493" i="8"/>
  <c r="J1493" i="8"/>
  <c r="I1494" i="8"/>
  <c r="J1494" i="8"/>
  <c r="I1495" i="8"/>
  <c r="J1495" i="8"/>
  <c r="I1496" i="8"/>
  <c r="J1496" i="8"/>
  <c r="I1497" i="8"/>
  <c r="J1497" i="8"/>
  <c r="I1498" i="8"/>
  <c r="J1498" i="8"/>
  <c r="I1499" i="8"/>
  <c r="J1499" i="8"/>
  <c r="I1500" i="8"/>
  <c r="J1500" i="8"/>
  <c r="I1501" i="8"/>
  <c r="J1501" i="8"/>
  <c r="I1502" i="8"/>
  <c r="J1502" i="8"/>
  <c r="I1503" i="8"/>
  <c r="J1503" i="8"/>
  <c r="I1504" i="8"/>
  <c r="J1504" i="8"/>
  <c r="I1505" i="8"/>
  <c r="J1505" i="8"/>
  <c r="I1506" i="8"/>
  <c r="J1506" i="8"/>
  <c r="I1507" i="8"/>
  <c r="J1507" i="8"/>
  <c r="I1508" i="8"/>
  <c r="J1508" i="8"/>
  <c r="I1509" i="8"/>
  <c r="J1509" i="8"/>
  <c r="I1510" i="8"/>
  <c r="J1510" i="8"/>
  <c r="I1511" i="8"/>
  <c r="J1511" i="8"/>
  <c r="I1512" i="8"/>
  <c r="J1512" i="8"/>
  <c r="I1513" i="8"/>
  <c r="J1513" i="8"/>
  <c r="I1514" i="8"/>
  <c r="J1514" i="8"/>
  <c r="I1515" i="8"/>
  <c r="J1515" i="8"/>
  <c r="I1516" i="8"/>
  <c r="J1516" i="8"/>
  <c r="I1517" i="8"/>
  <c r="J1517" i="8"/>
  <c r="I1518" i="8"/>
  <c r="J1518" i="8"/>
  <c r="I1519" i="8"/>
  <c r="J1519" i="8"/>
  <c r="I1520" i="8"/>
  <c r="J1520" i="8"/>
  <c r="I1521" i="8"/>
  <c r="J1521" i="8"/>
  <c r="I1522" i="8"/>
  <c r="J1522" i="8"/>
  <c r="I1523" i="8"/>
  <c r="J1523" i="8"/>
  <c r="I1524" i="8"/>
  <c r="J1524" i="8"/>
  <c r="I1525" i="8"/>
  <c r="J1525" i="8"/>
  <c r="I1526" i="8"/>
  <c r="J1526" i="8"/>
  <c r="I1527" i="8"/>
  <c r="J1527" i="8"/>
  <c r="I1528" i="8"/>
  <c r="J1528" i="8"/>
  <c r="I1529" i="8"/>
  <c r="J1529" i="8"/>
  <c r="I1530" i="8"/>
  <c r="J1530" i="8"/>
  <c r="I1531" i="8"/>
  <c r="J1531" i="8"/>
  <c r="I1532" i="8"/>
  <c r="J1532" i="8"/>
  <c r="I1533" i="8"/>
  <c r="J1533" i="8"/>
  <c r="I1534" i="8"/>
  <c r="J1534" i="8"/>
  <c r="I1535" i="8"/>
  <c r="J1535" i="8"/>
  <c r="I1536" i="8"/>
  <c r="J1536" i="8"/>
  <c r="I1537" i="8"/>
  <c r="J1537" i="8"/>
  <c r="I1538" i="8"/>
  <c r="J1538" i="8"/>
  <c r="I1539" i="8"/>
  <c r="J1539" i="8"/>
  <c r="I1540" i="8"/>
  <c r="J1540" i="8"/>
  <c r="I1541" i="8"/>
  <c r="J1541" i="8"/>
  <c r="I1542" i="8"/>
  <c r="J1542" i="8"/>
  <c r="I1543" i="8"/>
  <c r="J1543" i="8"/>
  <c r="I1544" i="8"/>
  <c r="J1544" i="8"/>
  <c r="I1545" i="8"/>
  <c r="J1545" i="8"/>
  <c r="I1546" i="8"/>
  <c r="J1546" i="8"/>
  <c r="I1547" i="8"/>
  <c r="J1547" i="8"/>
  <c r="I1548" i="8"/>
  <c r="J1548" i="8"/>
  <c r="I1549" i="8"/>
  <c r="J1549" i="8"/>
  <c r="I1550" i="8"/>
  <c r="J1550" i="8"/>
  <c r="I1551" i="8"/>
  <c r="J1551" i="8"/>
  <c r="I1552" i="8"/>
  <c r="J1552" i="8"/>
  <c r="I1553" i="8"/>
  <c r="J1553" i="8"/>
  <c r="I1554" i="8"/>
  <c r="J1554" i="8"/>
  <c r="I1555" i="8"/>
  <c r="J1555" i="8"/>
  <c r="I1556" i="8"/>
  <c r="J1556" i="8"/>
  <c r="I1557" i="8"/>
  <c r="J1557" i="8"/>
  <c r="I1558" i="8"/>
  <c r="J1558" i="8"/>
  <c r="I1559" i="8"/>
  <c r="J1559" i="8"/>
  <c r="I1560" i="8"/>
  <c r="J1560" i="8"/>
  <c r="I1561" i="8"/>
  <c r="J1561" i="8"/>
  <c r="I1562" i="8"/>
  <c r="J1562" i="8"/>
  <c r="I1563" i="8"/>
  <c r="J1563" i="8"/>
  <c r="I1564" i="8"/>
  <c r="J1564" i="8"/>
  <c r="I1565" i="8"/>
  <c r="J1565" i="8"/>
  <c r="I1566" i="8"/>
  <c r="J1566" i="8"/>
  <c r="I1567" i="8"/>
  <c r="J1567" i="8"/>
  <c r="I1568" i="8"/>
  <c r="J1568" i="8"/>
  <c r="I1569" i="8"/>
  <c r="J1569" i="8"/>
  <c r="I1570" i="8"/>
  <c r="J1570" i="8"/>
  <c r="I1571" i="8"/>
  <c r="J1571" i="8"/>
  <c r="I1572" i="8"/>
  <c r="J1572" i="8"/>
  <c r="I1573" i="8"/>
  <c r="J1573" i="8"/>
  <c r="I1574" i="8"/>
  <c r="J1574" i="8"/>
  <c r="I1575" i="8"/>
  <c r="J1575" i="8"/>
  <c r="I1576" i="8"/>
  <c r="J1576" i="8"/>
  <c r="I1577" i="8"/>
  <c r="J1577" i="8"/>
  <c r="I1578" i="8"/>
  <c r="J1578" i="8"/>
  <c r="I1579" i="8"/>
  <c r="J1579" i="8"/>
  <c r="I1580" i="8"/>
  <c r="J1580" i="8"/>
  <c r="I1581" i="8"/>
  <c r="J1581" i="8"/>
  <c r="I1582" i="8"/>
  <c r="J1582" i="8"/>
  <c r="I1583" i="8"/>
  <c r="J1583" i="8"/>
  <c r="I1584" i="8"/>
  <c r="J1584" i="8"/>
  <c r="I1585" i="8"/>
  <c r="J1585" i="8"/>
  <c r="I1586" i="8"/>
  <c r="J1586" i="8"/>
  <c r="I1587" i="8"/>
  <c r="J1587" i="8"/>
  <c r="I1588" i="8"/>
  <c r="J1588" i="8"/>
  <c r="I1589" i="8"/>
  <c r="J1589" i="8"/>
  <c r="I1590" i="8"/>
  <c r="J1590" i="8"/>
  <c r="I1591" i="8"/>
  <c r="J1591" i="8"/>
  <c r="I1592" i="8"/>
  <c r="J1592" i="8"/>
  <c r="I1593" i="8"/>
  <c r="J1593" i="8"/>
  <c r="I1594" i="8"/>
  <c r="J1594" i="8"/>
  <c r="I1595" i="8"/>
  <c r="J1595" i="8"/>
  <c r="I1596" i="8"/>
  <c r="J1596" i="8"/>
  <c r="I1597" i="8"/>
  <c r="J1597" i="8"/>
  <c r="I1598" i="8"/>
  <c r="J1598" i="8"/>
  <c r="I1599" i="8"/>
  <c r="J1599" i="8"/>
  <c r="I1600" i="8"/>
  <c r="J1600" i="8"/>
  <c r="I1601" i="8"/>
  <c r="J1601" i="8"/>
  <c r="I1602" i="8"/>
  <c r="J1602" i="8"/>
  <c r="I1603" i="8"/>
  <c r="J1603" i="8"/>
  <c r="I1604" i="8"/>
  <c r="J1604" i="8"/>
  <c r="I1605" i="8"/>
  <c r="J1605" i="8"/>
  <c r="I1606" i="8"/>
  <c r="J1606" i="8"/>
  <c r="I1607" i="8"/>
  <c r="J1607" i="8"/>
  <c r="I1608" i="8"/>
  <c r="J1608" i="8"/>
  <c r="I1609" i="8"/>
  <c r="J1609" i="8"/>
  <c r="I1610" i="8"/>
  <c r="J1610" i="8"/>
  <c r="I1611" i="8"/>
  <c r="J1611" i="8"/>
  <c r="I1612" i="8"/>
  <c r="J1612" i="8"/>
  <c r="I1613" i="8"/>
  <c r="J1613" i="8"/>
  <c r="I1614" i="8"/>
  <c r="J1614" i="8"/>
  <c r="I1615" i="8"/>
  <c r="J1615" i="8"/>
  <c r="I1616" i="8"/>
  <c r="J1616" i="8"/>
  <c r="I1617" i="8"/>
  <c r="J1617" i="8"/>
  <c r="I1618" i="8"/>
  <c r="J1618" i="8"/>
  <c r="I1619" i="8"/>
  <c r="J1619" i="8"/>
  <c r="I1620" i="8"/>
  <c r="J1620" i="8"/>
  <c r="I1621" i="8"/>
  <c r="J1621" i="8"/>
  <c r="I1622" i="8"/>
  <c r="J1622" i="8"/>
  <c r="I1623" i="8"/>
  <c r="J1623" i="8"/>
  <c r="I1624" i="8"/>
  <c r="J1624" i="8"/>
  <c r="I1625" i="8"/>
  <c r="J1625" i="8"/>
  <c r="I1626" i="8"/>
  <c r="J1626" i="8"/>
  <c r="I1627" i="8"/>
  <c r="J1627" i="8"/>
  <c r="I1628" i="8"/>
  <c r="J1628" i="8"/>
  <c r="I1629" i="8"/>
  <c r="J1629" i="8"/>
  <c r="I1630" i="8"/>
  <c r="J1630" i="8"/>
  <c r="I1631" i="8"/>
  <c r="J1631" i="8"/>
  <c r="I1632" i="8"/>
  <c r="J1632" i="8"/>
  <c r="I1633" i="8"/>
  <c r="J1633" i="8"/>
  <c r="I1634" i="8"/>
  <c r="J1634" i="8"/>
  <c r="I1635" i="8"/>
  <c r="J1635" i="8"/>
  <c r="I1636" i="8"/>
  <c r="J1636" i="8"/>
  <c r="I1637" i="8"/>
  <c r="J1637" i="8"/>
  <c r="I1638" i="8"/>
  <c r="J1638" i="8"/>
  <c r="I1639" i="8"/>
  <c r="J1639" i="8"/>
  <c r="I1640" i="8"/>
  <c r="J1640" i="8"/>
  <c r="I1641" i="8"/>
  <c r="J1641" i="8"/>
  <c r="I1642" i="8"/>
  <c r="J1642" i="8"/>
  <c r="I1643" i="8"/>
  <c r="J1643" i="8"/>
  <c r="I1644" i="8"/>
  <c r="J1644" i="8"/>
  <c r="I1645" i="8"/>
  <c r="J1645" i="8"/>
  <c r="I1646" i="8"/>
  <c r="J1646" i="8"/>
  <c r="I1647" i="8"/>
  <c r="J1647" i="8"/>
  <c r="I1648" i="8"/>
  <c r="J1648" i="8"/>
  <c r="I1649" i="8"/>
  <c r="J1649" i="8"/>
  <c r="I1650" i="8"/>
  <c r="J1650" i="8"/>
  <c r="I1651" i="8"/>
  <c r="J1651" i="8"/>
  <c r="I1652" i="8"/>
  <c r="J1652" i="8"/>
  <c r="I1653" i="8"/>
  <c r="J1653" i="8"/>
  <c r="I1654" i="8"/>
  <c r="J1654" i="8"/>
  <c r="I1655" i="8"/>
  <c r="J1655" i="8"/>
  <c r="I1656" i="8"/>
  <c r="J1656" i="8"/>
  <c r="I1657" i="8"/>
  <c r="J1657" i="8"/>
  <c r="I1658" i="8"/>
  <c r="J1658" i="8"/>
  <c r="I1659" i="8"/>
  <c r="J1659" i="8"/>
  <c r="I1660" i="8"/>
  <c r="J1660" i="8"/>
  <c r="I1661" i="8"/>
  <c r="J1661" i="8"/>
  <c r="I1662" i="8"/>
  <c r="J1662" i="8"/>
  <c r="I1663" i="8"/>
  <c r="J1663" i="8"/>
  <c r="I1664" i="8"/>
  <c r="J1664" i="8"/>
  <c r="I1665" i="8"/>
  <c r="J1665" i="8"/>
  <c r="I1666" i="8"/>
  <c r="J1666" i="8"/>
  <c r="I1667" i="8"/>
  <c r="J1667" i="8"/>
  <c r="I1668" i="8"/>
  <c r="J1668" i="8"/>
  <c r="I1669" i="8"/>
  <c r="J1669" i="8"/>
  <c r="I1670" i="8"/>
  <c r="J1670" i="8"/>
  <c r="I1671" i="8"/>
  <c r="J1671" i="8"/>
  <c r="I1672" i="8"/>
  <c r="J1672" i="8"/>
  <c r="I1673" i="8"/>
  <c r="J1673" i="8"/>
  <c r="I1674" i="8"/>
  <c r="J1674" i="8"/>
  <c r="J2" i="8"/>
  <c r="I2" i="8"/>
  <c r="G1674" i="8"/>
  <c r="G1673" i="8"/>
  <c r="G1672" i="8"/>
  <c r="G1671" i="8"/>
  <c r="G1670" i="8"/>
  <c r="G1669" i="8"/>
  <c r="G1668" i="8"/>
  <c r="G1667" i="8"/>
  <c r="G1666" i="8"/>
  <c r="G1665" i="8"/>
  <c r="G1664" i="8"/>
  <c r="G1663" i="8"/>
  <c r="G1662" i="8"/>
  <c r="G1661" i="8"/>
  <c r="G1660" i="8"/>
  <c r="G1659" i="8"/>
  <c r="G1658" i="8"/>
  <c r="G1657" i="8"/>
  <c r="G1656" i="8"/>
  <c r="G1655" i="8"/>
  <c r="G1654" i="8"/>
  <c r="G1653" i="8"/>
  <c r="G1652" i="8"/>
  <c r="G1651" i="8"/>
  <c r="G1650" i="8"/>
  <c r="G1649" i="8"/>
  <c r="G1648" i="8"/>
  <c r="G1647" i="8"/>
  <c r="G1646" i="8"/>
  <c r="G1645" i="8"/>
  <c r="G1644" i="8"/>
  <c r="G1643" i="8"/>
  <c r="G1642" i="8"/>
  <c r="G1641" i="8"/>
  <c r="G1640" i="8"/>
  <c r="G1639" i="8"/>
  <c r="G1638" i="8"/>
  <c r="G1637" i="8"/>
  <c r="G1636" i="8"/>
  <c r="G1635" i="8"/>
  <c r="G1634" i="8"/>
  <c r="G1633" i="8"/>
  <c r="G1632" i="8"/>
  <c r="G1631" i="8"/>
  <c r="G1630" i="8"/>
  <c r="G1629" i="8"/>
  <c r="G1628" i="8"/>
  <c r="G1627" i="8"/>
  <c r="G1626" i="8"/>
  <c r="G1625" i="8"/>
  <c r="G1624" i="8"/>
  <c r="G1623" i="8"/>
  <c r="G1622" i="8"/>
  <c r="G1621" i="8"/>
  <c r="G1620" i="8"/>
  <c r="G1619" i="8"/>
  <c r="G1618" i="8"/>
  <c r="G1617" i="8"/>
  <c r="G1616" i="8"/>
  <c r="G1615" i="8"/>
  <c r="G1614" i="8"/>
  <c r="G1613" i="8"/>
  <c r="G1612" i="8"/>
  <c r="G1611" i="8"/>
  <c r="G1610" i="8"/>
  <c r="G1609" i="8"/>
  <c r="G1608" i="8"/>
  <c r="G1607" i="8"/>
  <c r="G1606" i="8"/>
  <c r="G1605" i="8"/>
  <c r="G1604" i="8"/>
  <c r="G1603" i="8"/>
  <c r="G1602" i="8"/>
  <c r="G1601" i="8"/>
  <c r="G1600" i="8"/>
  <c r="G1599" i="8"/>
  <c r="G1598" i="8"/>
  <c r="G1597" i="8"/>
  <c r="G1596" i="8"/>
  <c r="G1595" i="8"/>
  <c r="G1594" i="8"/>
  <c r="G1593" i="8"/>
  <c r="G1592" i="8"/>
  <c r="G1591" i="8"/>
  <c r="G1590" i="8"/>
  <c r="G1589" i="8"/>
  <c r="G1588" i="8"/>
  <c r="G1587" i="8"/>
  <c r="G1586" i="8"/>
  <c r="G1585" i="8"/>
  <c r="G1584" i="8"/>
  <c r="G1583" i="8"/>
  <c r="G1582" i="8"/>
  <c r="G1581" i="8"/>
  <c r="G1580" i="8"/>
  <c r="G1579" i="8"/>
  <c r="G1578" i="8"/>
  <c r="G1577" i="8"/>
  <c r="G1576" i="8"/>
  <c r="G1575" i="8"/>
  <c r="G1574" i="8"/>
  <c r="G1573" i="8"/>
  <c r="G1572" i="8"/>
  <c r="G1571" i="8"/>
  <c r="G1570" i="8"/>
  <c r="G1569" i="8"/>
  <c r="G1568" i="8"/>
  <c r="G1567" i="8"/>
  <c r="G1566" i="8"/>
  <c r="G1565" i="8"/>
  <c r="G1564" i="8"/>
  <c r="G1563" i="8"/>
  <c r="G1562" i="8"/>
  <c r="G1561" i="8"/>
  <c r="G1560" i="8"/>
  <c r="G1559" i="8"/>
  <c r="G1558" i="8"/>
  <c r="G1557" i="8"/>
  <c r="G1556" i="8"/>
  <c r="G1555" i="8"/>
  <c r="G1554" i="8"/>
  <c r="G1553" i="8"/>
  <c r="G1552" i="8"/>
  <c r="G1551" i="8"/>
  <c r="G1550" i="8"/>
  <c r="G1549" i="8"/>
  <c r="G1548" i="8"/>
  <c r="G1547" i="8"/>
  <c r="G1546" i="8"/>
  <c r="G1545" i="8"/>
  <c r="G1544" i="8"/>
  <c r="G1543" i="8"/>
  <c r="G1542" i="8"/>
  <c r="G1541" i="8"/>
  <c r="G1540" i="8"/>
  <c r="G1539" i="8"/>
  <c r="G1538" i="8"/>
  <c r="G1537" i="8"/>
  <c r="G1536" i="8"/>
  <c r="G1535" i="8"/>
  <c r="G1534" i="8"/>
  <c r="G1533" i="8"/>
  <c r="G1532" i="8"/>
  <c r="G1531" i="8"/>
  <c r="G1530" i="8"/>
  <c r="G1529" i="8"/>
  <c r="G1528" i="8"/>
  <c r="G1527" i="8"/>
  <c r="G1526" i="8"/>
  <c r="G1525" i="8"/>
  <c r="G1524" i="8"/>
  <c r="G1523" i="8"/>
  <c r="G1522" i="8"/>
  <c r="G1521" i="8"/>
  <c r="G1520" i="8"/>
  <c r="G1519" i="8"/>
  <c r="G1518" i="8"/>
  <c r="G1517" i="8"/>
  <c r="G1516" i="8"/>
  <c r="G1515" i="8"/>
  <c r="G1514" i="8"/>
  <c r="G1513" i="8"/>
  <c r="G1512" i="8"/>
  <c r="G1511" i="8"/>
  <c r="G1510" i="8"/>
  <c r="G1509" i="8"/>
  <c r="G1508" i="8"/>
  <c r="G1507" i="8"/>
  <c r="G1506" i="8"/>
  <c r="G1505" i="8"/>
  <c r="G1504" i="8"/>
  <c r="G1503" i="8"/>
  <c r="G1502" i="8"/>
  <c r="G1501" i="8"/>
  <c r="G1500" i="8"/>
  <c r="G1499" i="8"/>
  <c r="G1498" i="8"/>
  <c r="G1497" i="8"/>
  <c r="G1496" i="8"/>
  <c r="G1495" i="8"/>
  <c r="G1494" i="8"/>
  <c r="G1493" i="8"/>
  <c r="G1492" i="8"/>
  <c r="G1491" i="8"/>
  <c r="G1490" i="8"/>
  <c r="G1489" i="8"/>
  <c r="G1488" i="8"/>
  <c r="G1487" i="8"/>
  <c r="G1486" i="8"/>
  <c r="G1485" i="8"/>
  <c r="G1484" i="8"/>
  <c r="G1483" i="8"/>
  <c r="G1482" i="8"/>
  <c r="G1481" i="8"/>
  <c r="G1480" i="8"/>
  <c r="G1479" i="8"/>
  <c r="G1478" i="8"/>
  <c r="G1477" i="8"/>
  <c r="G1476" i="8"/>
  <c r="G1475" i="8"/>
  <c r="G1474" i="8"/>
  <c r="G1473" i="8"/>
  <c r="G1472" i="8"/>
  <c r="G1471" i="8"/>
  <c r="G1470" i="8"/>
  <c r="G1469" i="8"/>
  <c r="G1468" i="8"/>
  <c r="G1467" i="8"/>
  <c r="G1466" i="8"/>
  <c r="G1465" i="8"/>
  <c r="G1464" i="8"/>
  <c r="G1463" i="8"/>
  <c r="G1462" i="8"/>
  <c r="G1461" i="8"/>
  <c r="G1460" i="8"/>
  <c r="G1459" i="8"/>
  <c r="G1458" i="8"/>
  <c r="G1457" i="8"/>
  <c r="G1456" i="8"/>
  <c r="G1455" i="8"/>
  <c r="G1454" i="8"/>
  <c r="G1453" i="8"/>
  <c r="G1452" i="8"/>
  <c r="G1451" i="8"/>
  <c r="G1450" i="8"/>
  <c r="G1449" i="8"/>
  <c r="G1448" i="8"/>
  <c r="G1447" i="8"/>
  <c r="G1446" i="8"/>
  <c r="G1445" i="8"/>
  <c r="G1444" i="8"/>
  <c r="G1443" i="8"/>
  <c r="G1442" i="8"/>
  <c r="G1441" i="8"/>
  <c r="G1440" i="8"/>
  <c r="G1439" i="8"/>
  <c r="G1438" i="8"/>
  <c r="G1437" i="8"/>
  <c r="G1436" i="8"/>
  <c r="G1435" i="8"/>
  <c r="G1434" i="8"/>
  <c r="G1433" i="8"/>
  <c r="G1432" i="8"/>
  <c r="G1431" i="8"/>
  <c r="G1430" i="8"/>
  <c r="G1429" i="8"/>
  <c r="G1428" i="8"/>
  <c r="G1427" i="8"/>
  <c r="G1426" i="8"/>
  <c r="G1425" i="8"/>
  <c r="G1424" i="8"/>
  <c r="G1423" i="8"/>
  <c r="G1422" i="8"/>
  <c r="G1421" i="8"/>
  <c r="G1420" i="8"/>
  <c r="G1419" i="8"/>
  <c r="G1418" i="8"/>
  <c r="G1417" i="8"/>
  <c r="G1416" i="8"/>
  <c r="G1415" i="8"/>
  <c r="G1414" i="8"/>
  <c r="G1413" i="8"/>
  <c r="G1412" i="8"/>
  <c r="G1411" i="8"/>
  <c r="G1410" i="8"/>
  <c r="G1409" i="8"/>
  <c r="G1408" i="8"/>
  <c r="G1407" i="8"/>
  <c r="G1406" i="8"/>
  <c r="G1405" i="8"/>
  <c r="G1404" i="8"/>
  <c r="G1403" i="8"/>
  <c r="G1402" i="8"/>
  <c r="G1401" i="8"/>
  <c r="G1400" i="8"/>
  <c r="G1399" i="8"/>
  <c r="G1398" i="8"/>
  <c r="G1397" i="8"/>
  <c r="G1396" i="8"/>
  <c r="G1395" i="8"/>
  <c r="G1394" i="8"/>
  <c r="G1393" i="8"/>
  <c r="G1392" i="8"/>
  <c r="G1391" i="8"/>
  <c r="G1390" i="8"/>
  <c r="G1389" i="8"/>
  <c r="G1388" i="8"/>
  <c r="G1387" i="8"/>
  <c r="G1386" i="8"/>
  <c r="G1385" i="8"/>
  <c r="G1384" i="8"/>
  <c r="G1383" i="8"/>
  <c r="G1382" i="8"/>
  <c r="G1381" i="8"/>
  <c r="G1380" i="8"/>
  <c r="G1379" i="8"/>
  <c r="G1378" i="8"/>
  <c r="G1377" i="8"/>
  <c r="G1376" i="8"/>
  <c r="G1375" i="8"/>
  <c r="G1374" i="8"/>
  <c r="G1373" i="8"/>
  <c r="G1372" i="8"/>
  <c r="G1371" i="8"/>
  <c r="G1370" i="8"/>
  <c r="G1369" i="8"/>
  <c r="G1368" i="8"/>
  <c r="G1367" i="8"/>
  <c r="G1366" i="8"/>
  <c r="G1365" i="8"/>
  <c r="G1364" i="8"/>
  <c r="G1363" i="8"/>
  <c r="G1362" i="8"/>
  <c r="G1361" i="8"/>
  <c r="G1360" i="8"/>
  <c r="G1359" i="8"/>
  <c r="G1358" i="8"/>
  <c r="G1357" i="8"/>
  <c r="G1356" i="8"/>
  <c r="G1355" i="8"/>
  <c r="G1354" i="8"/>
  <c r="G1353" i="8"/>
  <c r="G1352" i="8"/>
  <c r="G1351" i="8"/>
  <c r="G1350" i="8"/>
  <c r="G1349" i="8"/>
  <c r="G1348" i="8"/>
  <c r="G1347" i="8"/>
  <c r="G1346" i="8"/>
  <c r="G1345" i="8"/>
  <c r="G1344" i="8"/>
  <c r="G1343" i="8"/>
  <c r="G1342" i="8"/>
  <c r="G1341" i="8"/>
  <c r="G1340" i="8"/>
  <c r="G1339" i="8"/>
  <c r="G1338" i="8"/>
  <c r="G1337" i="8"/>
  <c r="G1336" i="8"/>
  <c r="G1335" i="8"/>
  <c r="G1334" i="8"/>
  <c r="G1333" i="8"/>
  <c r="G1332" i="8"/>
  <c r="G1331" i="8"/>
  <c r="G1330" i="8"/>
  <c r="G1329" i="8"/>
  <c r="G1328" i="8"/>
  <c r="G1327" i="8"/>
  <c r="G1326" i="8"/>
  <c r="G1325" i="8"/>
  <c r="G1324" i="8"/>
  <c r="G1323" i="8"/>
  <c r="G1322" i="8"/>
  <c r="G1321" i="8"/>
  <c r="G1320" i="8"/>
  <c r="G1319" i="8"/>
  <c r="G1318" i="8"/>
  <c r="G1317" i="8"/>
  <c r="G1316" i="8"/>
  <c r="G1315" i="8"/>
  <c r="G1314" i="8"/>
  <c r="G1313" i="8"/>
  <c r="G1312" i="8"/>
  <c r="G1311" i="8"/>
  <c r="G1310" i="8"/>
  <c r="G1309" i="8"/>
  <c r="G1308" i="8"/>
  <c r="G1307" i="8"/>
  <c r="G1306" i="8"/>
  <c r="G1305" i="8"/>
  <c r="G1304" i="8"/>
  <c r="G1303" i="8"/>
  <c r="G1302" i="8"/>
  <c r="G1301" i="8"/>
  <c r="G1300" i="8"/>
  <c r="G1299" i="8"/>
  <c r="G1298" i="8"/>
  <c r="G1297" i="8"/>
  <c r="G1296" i="8"/>
  <c r="G1295" i="8"/>
  <c r="G1294" i="8"/>
  <c r="G1293" i="8"/>
  <c r="G1292" i="8"/>
  <c r="G1291" i="8"/>
  <c r="G1290" i="8"/>
  <c r="G1289" i="8"/>
  <c r="G1288" i="8"/>
  <c r="G1287" i="8"/>
  <c r="G1286" i="8"/>
  <c r="G1285" i="8"/>
  <c r="G1284" i="8"/>
  <c r="G1283" i="8"/>
  <c r="G1282" i="8"/>
  <c r="G1281" i="8"/>
  <c r="G1280" i="8"/>
  <c r="G1279" i="8"/>
  <c r="G1278" i="8"/>
  <c r="G1277" i="8"/>
  <c r="G1276" i="8"/>
  <c r="G1275" i="8"/>
  <c r="G1274" i="8"/>
  <c r="G1273" i="8"/>
  <c r="G1272" i="8"/>
  <c r="G1271" i="8"/>
  <c r="G1270" i="8"/>
  <c r="G1269" i="8"/>
  <c r="G1268" i="8"/>
  <c r="G1267" i="8"/>
  <c r="G1266" i="8"/>
  <c r="G1265" i="8"/>
  <c r="G1264" i="8"/>
  <c r="G1263" i="8"/>
  <c r="G1262" i="8"/>
  <c r="G1261" i="8"/>
  <c r="G1260" i="8"/>
  <c r="G1259" i="8"/>
  <c r="G1258" i="8"/>
  <c r="G1257" i="8"/>
  <c r="G1256" i="8"/>
  <c r="G1255" i="8"/>
  <c r="G1254" i="8"/>
  <c r="G1253" i="8"/>
  <c r="G1252" i="8"/>
  <c r="G1251" i="8"/>
  <c r="G1250" i="8"/>
  <c r="G1249" i="8"/>
  <c r="G1248" i="8"/>
  <c r="G1247" i="8"/>
  <c r="G1246" i="8"/>
  <c r="G1245" i="8"/>
  <c r="G1244" i="8"/>
  <c r="G1243" i="8"/>
  <c r="G1242" i="8"/>
  <c r="G1241" i="8"/>
  <c r="G1240" i="8"/>
  <c r="G1239" i="8"/>
  <c r="G1238" i="8"/>
  <c r="G1237" i="8"/>
  <c r="G1236" i="8"/>
  <c r="G1235" i="8"/>
  <c r="G1234" i="8"/>
  <c r="G1233" i="8"/>
  <c r="G1232" i="8"/>
  <c r="G1231" i="8"/>
  <c r="G1230" i="8"/>
  <c r="G1229" i="8"/>
  <c r="G1228" i="8"/>
  <c r="G1227" i="8"/>
  <c r="G1226" i="8"/>
  <c r="G1225" i="8"/>
  <c r="G1224" i="8"/>
  <c r="G1223" i="8"/>
  <c r="G1222" i="8"/>
  <c r="G1221" i="8"/>
  <c r="G1220" i="8"/>
  <c r="G1219" i="8"/>
  <c r="G1218" i="8"/>
  <c r="G1217" i="8"/>
  <c r="G1216" i="8"/>
  <c r="G1215" i="8"/>
  <c r="G1214" i="8"/>
  <c r="G1213" i="8"/>
  <c r="G1212" i="8"/>
  <c r="G1211" i="8"/>
  <c r="G1210" i="8"/>
  <c r="G1209" i="8"/>
  <c r="G1208" i="8"/>
  <c r="G1207" i="8"/>
  <c r="G1206" i="8"/>
  <c r="G1205" i="8"/>
  <c r="G1204" i="8"/>
  <c r="G1203" i="8"/>
  <c r="G1202" i="8"/>
  <c r="G1201" i="8"/>
  <c r="G1200" i="8"/>
  <c r="G1199" i="8"/>
  <c r="G1198" i="8"/>
  <c r="G1197" i="8"/>
  <c r="G1196" i="8"/>
  <c r="G1195" i="8"/>
  <c r="G1194" i="8"/>
  <c r="G1193" i="8"/>
  <c r="G1192" i="8"/>
  <c r="G1191" i="8"/>
  <c r="G1190" i="8"/>
  <c r="G1189" i="8"/>
  <c r="G1188" i="8"/>
  <c r="G1187" i="8"/>
  <c r="G1186" i="8"/>
  <c r="G1185" i="8"/>
  <c r="G1184" i="8"/>
  <c r="G1183" i="8"/>
  <c r="G1182" i="8"/>
  <c r="G1181" i="8"/>
  <c r="G1180" i="8"/>
  <c r="G1179" i="8"/>
  <c r="G1178" i="8"/>
  <c r="G1177" i="8"/>
  <c r="G1176" i="8"/>
  <c r="G1175" i="8"/>
  <c r="G1174" i="8"/>
  <c r="G1173" i="8"/>
  <c r="G1172" i="8"/>
  <c r="G1171" i="8"/>
  <c r="G1170" i="8"/>
  <c r="G1169" i="8"/>
  <c r="G1168" i="8"/>
  <c r="G1167" i="8"/>
  <c r="G1166" i="8"/>
  <c r="G1165" i="8"/>
  <c r="G1164" i="8"/>
  <c r="G1163" i="8"/>
  <c r="G1162" i="8"/>
  <c r="G1161" i="8"/>
  <c r="G1160" i="8"/>
  <c r="G1159" i="8"/>
  <c r="G1158" i="8"/>
  <c r="G1157" i="8"/>
  <c r="G1156" i="8"/>
  <c r="G1155" i="8"/>
  <c r="G1154" i="8"/>
  <c r="G1153" i="8"/>
  <c r="G1152" i="8"/>
  <c r="G1151" i="8"/>
  <c r="G1150" i="8"/>
  <c r="G1149" i="8"/>
  <c r="G1148" i="8"/>
  <c r="G1147" i="8"/>
  <c r="G1146" i="8"/>
  <c r="G1145" i="8"/>
  <c r="G1144" i="8"/>
  <c r="G1143" i="8"/>
  <c r="G1142" i="8"/>
  <c r="G1141" i="8"/>
  <c r="G1140" i="8"/>
  <c r="G1139" i="8"/>
  <c r="G1138" i="8"/>
  <c r="G1137" i="8"/>
  <c r="G1136" i="8"/>
  <c r="G1135" i="8"/>
  <c r="G1134" i="8"/>
  <c r="G1133" i="8"/>
  <c r="G1132" i="8"/>
  <c r="G1131" i="8"/>
  <c r="G1130" i="8"/>
  <c r="G1129" i="8"/>
  <c r="G1128" i="8"/>
  <c r="G1127" i="8"/>
  <c r="G1126" i="8"/>
  <c r="G1125" i="8"/>
  <c r="G1124" i="8"/>
  <c r="G1123" i="8"/>
  <c r="G1122" i="8"/>
  <c r="G1121" i="8"/>
  <c r="G1120" i="8"/>
  <c r="G1119" i="8"/>
  <c r="G1118" i="8"/>
  <c r="G1117" i="8"/>
  <c r="G1116" i="8"/>
  <c r="G1115" i="8"/>
  <c r="G1114" i="8"/>
  <c r="G1113" i="8"/>
  <c r="G1112" i="8"/>
  <c r="G1111" i="8"/>
  <c r="G1110" i="8"/>
  <c r="G1109" i="8"/>
  <c r="G1108" i="8"/>
  <c r="G1107" i="8"/>
  <c r="G1106" i="8"/>
  <c r="G1105" i="8"/>
  <c r="G1104" i="8"/>
  <c r="G1103" i="8"/>
  <c r="G1102" i="8"/>
  <c r="G1101" i="8"/>
  <c r="G1100" i="8"/>
  <c r="G1099" i="8"/>
  <c r="G1098" i="8"/>
  <c r="G1097" i="8"/>
  <c r="G1096" i="8"/>
  <c r="G1095" i="8"/>
  <c r="G1094" i="8"/>
  <c r="G1093" i="8"/>
  <c r="G1092" i="8"/>
  <c r="G1091" i="8"/>
  <c r="G1090" i="8"/>
  <c r="G1089" i="8"/>
  <c r="G1088" i="8"/>
  <c r="G1087" i="8"/>
  <c r="G1086" i="8"/>
  <c r="G1085" i="8"/>
  <c r="G1084" i="8"/>
  <c r="G1083" i="8"/>
  <c r="G1082" i="8"/>
  <c r="G1081" i="8"/>
  <c r="G1080" i="8"/>
  <c r="G1079" i="8"/>
  <c r="G1078" i="8"/>
  <c r="G1077" i="8"/>
  <c r="G1076" i="8"/>
  <c r="G1075" i="8"/>
  <c r="G1074" i="8"/>
  <c r="G1073" i="8"/>
  <c r="G1072" i="8"/>
  <c r="G1071" i="8"/>
  <c r="G1070" i="8"/>
  <c r="G1069" i="8"/>
  <c r="G1068" i="8"/>
  <c r="G1067" i="8"/>
  <c r="G1066" i="8"/>
  <c r="G1065" i="8"/>
  <c r="G1064" i="8"/>
  <c r="G1063" i="8"/>
  <c r="G1062" i="8"/>
  <c r="G1061" i="8"/>
  <c r="G1060" i="8"/>
  <c r="G1059" i="8"/>
  <c r="G1058" i="8"/>
  <c r="G1057" i="8"/>
  <c r="G1056" i="8"/>
  <c r="G1055" i="8"/>
  <c r="G1054" i="8"/>
  <c r="G1053" i="8"/>
  <c r="G1052" i="8"/>
  <c r="G1051" i="8"/>
  <c r="G1050" i="8"/>
  <c r="G1049" i="8"/>
  <c r="G1048" i="8"/>
  <c r="G1047" i="8"/>
  <c r="G1046" i="8"/>
  <c r="G1045" i="8"/>
  <c r="G1044" i="8"/>
  <c r="G1043" i="8"/>
  <c r="G1042" i="8"/>
  <c r="G1041" i="8"/>
  <c r="G1040" i="8"/>
  <c r="G1039" i="8"/>
  <c r="G1038" i="8"/>
  <c r="G1037" i="8"/>
  <c r="G1036" i="8"/>
  <c r="G1035" i="8"/>
  <c r="G1034" i="8"/>
  <c r="G1033" i="8"/>
  <c r="G1032" i="8"/>
  <c r="G1031" i="8"/>
  <c r="G1030" i="8"/>
  <c r="G1029" i="8"/>
  <c r="G1028" i="8"/>
  <c r="G1027" i="8"/>
  <c r="G1026" i="8"/>
  <c r="G1025" i="8"/>
  <c r="G1024" i="8"/>
  <c r="G1023" i="8"/>
  <c r="G1022" i="8"/>
  <c r="G1021" i="8"/>
  <c r="G1020" i="8"/>
  <c r="G1019" i="8"/>
  <c r="G1018" i="8"/>
  <c r="G1017" i="8"/>
  <c r="G1016" i="8"/>
  <c r="G1015" i="8"/>
  <c r="G1014" i="8"/>
  <c r="G1013" i="8"/>
  <c r="G1012" i="8"/>
  <c r="G1011" i="8"/>
  <c r="G1010" i="8"/>
  <c r="G1009" i="8"/>
  <c r="G1008" i="8"/>
  <c r="G1007" i="8"/>
  <c r="G1006" i="8"/>
  <c r="G1005" i="8"/>
  <c r="G1004" i="8"/>
  <c r="G1003" i="8"/>
  <c r="G1002" i="8"/>
  <c r="G1001" i="8"/>
  <c r="G1000" i="8"/>
  <c r="G999" i="8"/>
  <c r="G998" i="8"/>
  <c r="G997" i="8"/>
  <c r="G996" i="8"/>
  <c r="G995" i="8"/>
  <c r="G994" i="8"/>
  <c r="G993" i="8"/>
  <c r="G992" i="8"/>
  <c r="G991" i="8"/>
  <c r="G990" i="8"/>
  <c r="G989" i="8"/>
  <c r="G988" i="8"/>
  <c r="G987" i="8"/>
  <c r="G986" i="8"/>
  <c r="G985" i="8"/>
  <c r="G984" i="8"/>
  <c r="G983" i="8"/>
  <c r="G982" i="8"/>
  <c r="G981" i="8"/>
  <c r="G980" i="8"/>
  <c r="G979" i="8"/>
  <c r="G978" i="8"/>
  <c r="G977" i="8"/>
  <c r="G976" i="8"/>
  <c r="G975" i="8"/>
  <c r="G974" i="8"/>
  <c r="G973" i="8"/>
  <c r="G972" i="8"/>
  <c r="G971" i="8"/>
  <c r="G970" i="8"/>
  <c r="G969" i="8"/>
  <c r="G968" i="8"/>
  <c r="G967" i="8"/>
  <c r="G966" i="8"/>
  <c r="G965" i="8"/>
  <c r="G964" i="8"/>
  <c r="G963" i="8"/>
  <c r="G962" i="8"/>
  <c r="G961" i="8"/>
  <c r="G960" i="8"/>
  <c r="G959" i="8"/>
  <c r="G958" i="8"/>
  <c r="G957" i="8"/>
  <c r="G956" i="8"/>
  <c r="G955" i="8"/>
  <c r="G954" i="8"/>
  <c r="G953" i="8"/>
  <c r="G952" i="8"/>
  <c r="G951" i="8"/>
  <c r="G950" i="8"/>
  <c r="G949" i="8"/>
  <c r="G948" i="8"/>
  <c r="G947" i="8"/>
  <c r="G946" i="8"/>
  <c r="G945" i="8"/>
  <c r="G944" i="8"/>
  <c r="G943" i="8"/>
  <c r="G942" i="8"/>
  <c r="G941" i="8"/>
  <c r="G940" i="8"/>
  <c r="G939" i="8"/>
  <c r="G938" i="8"/>
  <c r="G937" i="8"/>
  <c r="G936" i="8"/>
  <c r="G935" i="8"/>
  <c r="G934" i="8"/>
  <c r="G933" i="8"/>
  <c r="G932" i="8"/>
  <c r="G931" i="8"/>
  <c r="G930" i="8"/>
  <c r="G929" i="8"/>
  <c r="G928" i="8"/>
  <c r="G927" i="8"/>
  <c r="G926" i="8"/>
  <c r="G925" i="8"/>
  <c r="G924" i="8"/>
  <c r="G923" i="8"/>
  <c r="G922" i="8"/>
  <c r="G921" i="8"/>
  <c r="G920" i="8"/>
  <c r="G919" i="8"/>
  <c r="G918" i="8"/>
  <c r="G917" i="8"/>
  <c r="G916" i="8"/>
  <c r="G915" i="8"/>
  <c r="G914" i="8"/>
  <c r="G913" i="8"/>
  <c r="G912" i="8"/>
  <c r="G911" i="8"/>
  <c r="G910" i="8"/>
  <c r="G909" i="8"/>
  <c r="G908" i="8"/>
  <c r="G907" i="8"/>
  <c r="G906" i="8"/>
  <c r="G905" i="8"/>
  <c r="G904" i="8"/>
  <c r="G903" i="8"/>
  <c r="G902" i="8"/>
  <c r="G901" i="8"/>
  <c r="G900" i="8"/>
  <c r="G899" i="8"/>
  <c r="G898" i="8"/>
  <c r="G897" i="8"/>
  <c r="G896" i="8"/>
  <c r="G895" i="8"/>
  <c r="G894" i="8"/>
  <c r="G893" i="8"/>
  <c r="G892" i="8"/>
  <c r="G891" i="8"/>
  <c r="G890" i="8"/>
  <c r="G889" i="8"/>
  <c r="G888" i="8"/>
  <c r="G887" i="8"/>
  <c r="G886" i="8"/>
  <c r="G885" i="8"/>
  <c r="G884" i="8"/>
  <c r="G883" i="8"/>
  <c r="G882" i="8"/>
  <c r="G881" i="8"/>
  <c r="G880" i="8"/>
  <c r="G879" i="8"/>
  <c r="G878" i="8"/>
  <c r="G877" i="8"/>
  <c r="G876" i="8"/>
  <c r="G875" i="8"/>
  <c r="G874" i="8"/>
  <c r="G873" i="8"/>
  <c r="G872" i="8"/>
  <c r="G871" i="8"/>
  <c r="G870" i="8"/>
  <c r="G869" i="8"/>
  <c r="G868" i="8"/>
  <c r="G867" i="8"/>
  <c r="G866" i="8"/>
  <c r="G865" i="8"/>
  <c r="G864" i="8"/>
  <c r="G863" i="8"/>
  <c r="G862" i="8"/>
  <c r="G861" i="8"/>
  <c r="G860" i="8"/>
  <c r="G859" i="8"/>
  <c r="G858" i="8"/>
  <c r="G857" i="8"/>
  <c r="G856" i="8"/>
  <c r="G855" i="8"/>
  <c r="G854" i="8"/>
  <c r="G853" i="8"/>
  <c r="G852" i="8"/>
  <c r="G851" i="8"/>
  <c r="G850" i="8"/>
  <c r="G849" i="8"/>
  <c r="G848" i="8"/>
  <c r="G847" i="8"/>
  <c r="G846" i="8"/>
  <c r="G845" i="8"/>
  <c r="G844" i="8"/>
  <c r="G843" i="8"/>
  <c r="G842" i="8"/>
  <c r="G841" i="8"/>
  <c r="G840" i="8"/>
  <c r="G839" i="8"/>
  <c r="G838" i="8"/>
  <c r="G837" i="8"/>
  <c r="G836" i="8"/>
  <c r="G835" i="8"/>
  <c r="G834" i="8"/>
  <c r="G833" i="8"/>
  <c r="G832" i="8"/>
  <c r="G831" i="8"/>
  <c r="G830" i="8"/>
  <c r="G829" i="8"/>
  <c r="G828" i="8"/>
  <c r="G827" i="8"/>
  <c r="G826" i="8"/>
  <c r="G825" i="8"/>
  <c r="G824" i="8"/>
  <c r="G823" i="8"/>
  <c r="G822" i="8"/>
  <c r="G821" i="8"/>
  <c r="G820" i="8"/>
  <c r="G819" i="8"/>
  <c r="G818" i="8"/>
  <c r="G817" i="8"/>
  <c r="G816" i="8"/>
  <c r="G815" i="8"/>
  <c r="G814" i="8"/>
  <c r="G813" i="8"/>
  <c r="G812" i="8"/>
  <c r="G811" i="8"/>
  <c r="G810" i="8"/>
  <c r="G809" i="8"/>
  <c r="G808" i="8"/>
  <c r="G807" i="8"/>
  <c r="G806" i="8"/>
  <c r="G805" i="8"/>
  <c r="G804" i="8"/>
  <c r="G803" i="8"/>
  <c r="G802" i="8"/>
  <c r="G801" i="8"/>
  <c r="G800" i="8"/>
  <c r="G799" i="8"/>
  <c r="G798" i="8"/>
  <c r="G797" i="8"/>
  <c r="G796" i="8"/>
  <c r="G795" i="8"/>
  <c r="G794" i="8"/>
  <c r="G793" i="8"/>
  <c r="G792" i="8"/>
  <c r="G791" i="8"/>
  <c r="G790" i="8"/>
  <c r="G789" i="8"/>
  <c r="G788" i="8"/>
  <c r="G787" i="8"/>
  <c r="G786" i="8"/>
  <c r="G785" i="8"/>
  <c r="G784" i="8"/>
  <c r="G783" i="8"/>
  <c r="G782" i="8"/>
  <c r="G781" i="8"/>
  <c r="G780" i="8"/>
  <c r="G779" i="8"/>
  <c r="G778" i="8"/>
  <c r="G777" i="8"/>
  <c r="G776" i="8"/>
  <c r="G775" i="8"/>
  <c r="G774" i="8"/>
  <c r="G773" i="8"/>
  <c r="G772" i="8"/>
  <c r="G771" i="8"/>
  <c r="G770" i="8"/>
  <c r="G769" i="8"/>
  <c r="G768" i="8"/>
  <c r="G767" i="8"/>
  <c r="G766" i="8"/>
  <c r="G765" i="8"/>
  <c r="G764" i="8"/>
  <c r="G763" i="8"/>
  <c r="G762" i="8"/>
  <c r="G761" i="8"/>
  <c r="G760" i="8"/>
  <c r="G759" i="8"/>
  <c r="G758" i="8"/>
  <c r="G757" i="8"/>
  <c r="G756" i="8"/>
  <c r="G755" i="8"/>
  <c r="G754" i="8"/>
  <c r="G753" i="8"/>
  <c r="G752" i="8"/>
  <c r="G751" i="8"/>
  <c r="G750" i="8"/>
  <c r="G749" i="8"/>
  <c r="G748" i="8"/>
  <c r="G747" i="8"/>
  <c r="G746" i="8"/>
  <c r="G745" i="8"/>
  <c r="G744" i="8"/>
  <c r="G743" i="8"/>
  <c r="G742" i="8"/>
  <c r="G741" i="8"/>
  <c r="G740" i="8"/>
  <c r="G739" i="8"/>
  <c r="G738" i="8"/>
  <c r="G737" i="8"/>
  <c r="G736" i="8"/>
  <c r="G735" i="8"/>
  <c r="G734" i="8"/>
  <c r="G733" i="8"/>
  <c r="G732" i="8"/>
  <c r="G731" i="8"/>
  <c r="G730" i="8"/>
  <c r="G729" i="8"/>
  <c r="G728" i="8"/>
  <c r="G727" i="8"/>
  <c r="G726" i="8"/>
  <c r="G725" i="8"/>
  <c r="G724" i="8"/>
  <c r="G723" i="8"/>
  <c r="G722" i="8"/>
  <c r="G721" i="8"/>
  <c r="G720" i="8"/>
  <c r="G719" i="8"/>
  <c r="G718" i="8"/>
  <c r="G717" i="8"/>
  <c r="G716" i="8"/>
  <c r="G715" i="8"/>
  <c r="G714" i="8"/>
  <c r="G713" i="8"/>
  <c r="G712" i="8"/>
  <c r="G711" i="8"/>
  <c r="G710" i="8"/>
  <c r="G709" i="8"/>
  <c r="G708" i="8"/>
  <c r="G707" i="8"/>
  <c r="G706" i="8"/>
  <c r="G705" i="8"/>
  <c r="G704" i="8"/>
  <c r="G703" i="8"/>
  <c r="G702" i="8"/>
  <c r="G701" i="8"/>
  <c r="G700" i="8"/>
  <c r="G699" i="8"/>
  <c r="G698" i="8"/>
  <c r="G697" i="8"/>
  <c r="G696" i="8"/>
  <c r="G695" i="8"/>
  <c r="G694" i="8"/>
  <c r="G693" i="8"/>
  <c r="G692" i="8"/>
  <c r="G691" i="8"/>
  <c r="G690" i="8"/>
  <c r="G689" i="8"/>
  <c r="G688" i="8"/>
  <c r="G687" i="8"/>
  <c r="G686" i="8"/>
  <c r="G685" i="8"/>
  <c r="G684" i="8"/>
  <c r="G683" i="8"/>
  <c r="G682" i="8"/>
  <c r="G681" i="8"/>
  <c r="G680" i="8"/>
  <c r="G679" i="8"/>
  <c r="G678" i="8"/>
  <c r="G677" i="8"/>
  <c r="G676" i="8"/>
  <c r="G675" i="8"/>
  <c r="G674" i="8"/>
  <c r="G673" i="8"/>
  <c r="G672" i="8"/>
  <c r="G671" i="8"/>
  <c r="G670" i="8"/>
  <c r="G669" i="8"/>
  <c r="G668" i="8"/>
  <c r="G667" i="8"/>
  <c r="G666" i="8"/>
  <c r="G665" i="8"/>
  <c r="G664" i="8"/>
  <c r="G663" i="8"/>
  <c r="G662" i="8"/>
  <c r="G661" i="8"/>
  <c r="G660" i="8"/>
  <c r="G659" i="8"/>
  <c r="G658" i="8"/>
  <c r="G657" i="8"/>
  <c r="G656" i="8"/>
  <c r="G655" i="8"/>
  <c r="G654" i="8"/>
  <c r="G653" i="8"/>
  <c r="G652" i="8"/>
  <c r="G651" i="8"/>
  <c r="G650" i="8"/>
  <c r="G649" i="8"/>
  <c r="G648" i="8"/>
  <c r="G647" i="8"/>
  <c r="G646" i="8"/>
  <c r="G645" i="8"/>
  <c r="G644" i="8"/>
  <c r="G643" i="8"/>
  <c r="G642" i="8"/>
  <c r="G641" i="8"/>
  <c r="G640" i="8"/>
  <c r="G639" i="8"/>
  <c r="G638" i="8"/>
  <c r="G637" i="8"/>
  <c r="G636" i="8"/>
  <c r="G635" i="8"/>
  <c r="G634" i="8"/>
  <c r="G633" i="8"/>
  <c r="G632" i="8"/>
  <c r="G631" i="8"/>
  <c r="G630" i="8"/>
  <c r="G629" i="8"/>
  <c r="G628" i="8"/>
  <c r="G627" i="8"/>
  <c r="G626" i="8"/>
  <c r="G625" i="8"/>
  <c r="G624" i="8"/>
  <c r="G623" i="8"/>
  <c r="G622" i="8"/>
  <c r="G621" i="8"/>
  <c r="G620" i="8"/>
  <c r="G619" i="8"/>
  <c r="G618" i="8"/>
  <c r="G617" i="8"/>
  <c r="G616" i="8"/>
  <c r="G615" i="8"/>
  <c r="G614" i="8"/>
  <c r="G613" i="8"/>
  <c r="G612" i="8"/>
  <c r="G611" i="8"/>
  <c r="G610" i="8"/>
  <c r="G609" i="8"/>
  <c r="G608" i="8"/>
  <c r="G607" i="8"/>
  <c r="G606" i="8"/>
  <c r="G605" i="8"/>
  <c r="G604" i="8"/>
  <c r="G603" i="8"/>
  <c r="G602" i="8"/>
  <c r="G601" i="8"/>
  <c r="G600" i="8"/>
  <c r="G599" i="8"/>
  <c r="G598" i="8"/>
  <c r="G597" i="8"/>
  <c r="G596" i="8"/>
  <c r="G595" i="8"/>
  <c r="G594" i="8"/>
  <c r="G593" i="8"/>
  <c r="G592" i="8"/>
  <c r="G591" i="8"/>
  <c r="G590" i="8"/>
  <c r="G589" i="8"/>
  <c r="G588" i="8"/>
  <c r="G587" i="8"/>
  <c r="G586" i="8"/>
  <c r="G585" i="8"/>
  <c r="G584" i="8"/>
  <c r="G583" i="8"/>
  <c r="G582" i="8"/>
  <c r="G581" i="8"/>
  <c r="G580" i="8"/>
  <c r="G579" i="8"/>
  <c r="G578" i="8"/>
  <c r="G577" i="8"/>
  <c r="G576" i="8"/>
  <c r="G575" i="8"/>
  <c r="G574" i="8"/>
  <c r="G573" i="8"/>
  <c r="G572" i="8"/>
  <c r="G571" i="8"/>
  <c r="G570" i="8"/>
  <c r="G569" i="8"/>
  <c r="G568" i="8"/>
  <c r="G567" i="8"/>
  <c r="G566" i="8"/>
  <c r="G565" i="8"/>
  <c r="G564" i="8"/>
  <c r="G563" i="8"/>
  <c r="G562" i="8"/>
  <c r="G561" i="8"/>
  <c r="G560" i="8"/>
  <c r="G559" i="8"/>
  <c r="G558" i="8"/>
  <c r="G557" i="8"/>
  <c r="G556" i="8"/>
  <c r="G555" i="8"/>
  <c r="G554" i="8"/>
  <c r="G553" i="8"/>
  <c r="G552" i="8"/>
  <c r="G551" i="8"/>
  <c r="G550" i="8"/>
  <c r="G549" i="8"/>
  <c r="G548" i="8"/>
  <c r="G547" i="8"/>
  <c r="G546" i="8"/>
  <c r="G545" i="8"/>
  <c r="G544" i="8"/>
  <c r="G543" i="8"/>
  <c r="G542" i="8"/>
  <c r="G541" i="8"/>
  <c r="G540" i="8"/>
  <c r="G539" i="8"/>
  <c r="G538" i="8"/>
  <c r="G537" i="8"/>
  <c r="G536" i="8"/>
  <c r="G535" i="8"/>
  <c r="G534" i="8"/>
  <c r="G533" i="8"/>
  <c r="G532" i="8"/>
  <c r="G531" i="8"/>
  <c r="G530" i="8"/>
  <c r="G529" i="8"/>
  <c r="G528" i="8"/>
  <c r="G527" i="8"/>
  <c r="G526" i="8"/>
  <c r="G525" i="8"/>
  <c r="G524" i="8"/>
  <c r="G523" i="8"/>
  <c r="G522" i="8"/>
  <c r="G521" i="8"/>
  <c r="G520" i="8"/>
  <c r="G519" i="8"/>
  <c r="G518" i="8"/>
  <c r="G517" i="8"/>
  <c r="G516" i="8"/>
  <c r="G515" i="8"/>
  <c r="G514" i="8"/>
  <c r="G513" i="8"/>
  <c r="G512" i="8"/>
  <c r="G511" i="8"/>
  <c r="G510" i="8"/>
  <c r="G509" i="8"/>
  <c r="G508" i="8"/>
  <c r="G507" i="8"/>
  <c r="G506" i="8"/>
  <c r="G505" i="8"/>
  <c r="G504" i="8"/>
  <c r="G503" i="8"/>
  <c r="G502" i="8"/>
  <c r="G501" i="8"/>
  <c r="G500" i="8"/>
  <c r="G499" i="8"/>
  <c r="G498" i="8"/>
  <c r="G497" i="8"/>
  <c r="G496" i="8"/>
  <c r="G495" i="8"/>
  <c r="G494" i="8"/>
  <c r="G493" i="8"/>
  <c r="G492" i="8"/>
  <c r="G491" i="8"/>
  <c r="G490" i="8"/>
  <c r="G489" i="8"/>
  <c r="G488" i="8"/>
  <c r="G487" i="8"/>
  <c r="G486" i="8"/>
  <c r="G485" i="8"/>
  <c r="G484" i="8"/>
  <c r="G483" i="8"/>
  <c r="G482" i="8"/>
  <c r="G481" i="8"/>
  <c r="G480" i="8"/>
  <c r="G479" i="8"/>
  <c r="G478" i="8"/>
  <c r="G477" i="8"/>
  <c r="G476" i="8"/>
  <c r="G475" i="8"/>
  <c r="G474" i="8"/>
  <c r="G473" i="8"/>
  <c r="G472" i="8"/>
  <c r="G471" i="8"/>
  <c r="G470" i="8"/>
  <c r="G469" i="8"/>
  <c r="G468" i="8"/>
  <c r="G467" i="8"/>
  <c r="G466" i="8"/>
  <c r="G465" i="8"/>
  <c r="G464" i="8"/>
  <c r="G463" i="8"/>
  <c r="G462" i="8"/>
  <c r="G461" i="8"/>
  <c r="G460" i="8"/>
  <c r="G459" i="8"/>
  <c r="G458" i="8"/>
  <c r="G457" i="8"/>
  <c r="G456" i="8"/>
  <c r="G455" i="8"/>
  <c r="G454" i="8"/>
  <c r="G453" i="8"/>
  <c r="G452" i="8"/>
  <c r="G451" i="8"/>
  <c r="G450" i="8"/>
  <c r="G449" i="8"/>
  <c r="G448" i="8"/>
  <c r="G447" i="8"/>
  <c r="G446" i="8"/>
  <c r="G445" i="8"/>
  <c r="G444" i="8"/>
  <c r="G443" i="8"/>
  <c r="G442" i="8"/>
  <c r="G441" i="8"/>
  <c r="G440" i="8"/>
  <c r="G439" i="8"/>
  <c r="G438" i="8"/>
  <c r="G437" i="8"/>
  <c r="G436" i="8"/>
  <c r="G435" i="8"/>
  <c r="G434" i="8"/>
  <c r="G433" i="8"/>
  <c r="G432" i="8"/>
  <c r="G431" i="8"/>
  <c r="G430" i="8"/>
  <c r="G429" i="8"/>
  <c r="G428" i="8"/>
  <c r="G427" i="8"/>
  <c r="G426" i="8"/>
  <c r="G425" i="8"/>
  <c r="G424" i="8"/>
  <c r="G423" i="8"/>
  <c r="G422" i="8"/>
  <c r="G421" i="8"/>
  <c r="G420" i="8"/>
  <c r="G419" i="8"/>
  <c r="G418" i="8"/>
  <c r="G417" i="8"/>
  <c r="G416" i="8"/>
  <c r="G415" i="8"/>
  <c r="G414" i="8"/>
  <c r="G413" i="8"/>
  <c r="G412" i="8"/>
  <c r="G411" i="8"/>
  <c r="G410" i="8"/>
  <c r="G409" i="8"/>
  <c r="G408" i="8"/>
  <c r="G407" i="8"/>
  <c r="G406" i="8"/>
  <c r="G405" i="8"/>
  <c r="G404" i="8"/>
  <c r="G403" i="8"/>
  <c r="G402" i="8"/>
  <c r="G401" i="8"/>
  <c r="G400" i="8"/>
  <c r="G399" i="8"/>
  <c r="G398" i="8"/>
  <c r="G397" i="8"/>
  <c r="G396" i="8"/>
  <c r="G395" i="8"/>
  <c r="G394" i="8"/>
  <c r="G393" i="8"/>
  <c r="G392" i="8"/>
  <c r="G391" i="8"/>
  <c r="G390" i="8"/>
  <c r="G389" i="8"/>
  <c r="G388" i="8"/>
  <c r="G387" i="8"/>
  <c r="G386" i="8"/>
  <c r="G385" i="8"/>
  <c r="G384" i="8"/>
  <c r="G383" i="8"/>
  <c r="G382" i="8"/>
  <c r="G381" i="8"/>
  <c r="G380" i="8"/>
  <c r="G379" i="8"/>
  <c r="G378" i="8"/>
  <c r="G377" i="8"/>
  <c r="G376" i="8"/>
  <c r="G375" i="8"/>
  <c r="G374" i="8"/>
  <c r="G373" i="8"/>
  <c r="G372" i="8"/>
  <c r="G371" i="8"/>
  <c r="G370" i="8"/>
  <c r="G369" i="8"/>
  <c r="G368" i="8"/>
  <c r="G367" i="8"/>
  <c r="G366" i="8"/>
  <c r="G365" i="8"/>
  <c r="G364" i="8"/>
  <c r="G363" i="8"/>
  <c r="G362" i="8"/>
  <c r="G361" i="8"/>
  <c r="G360" i="8"/>
  <c r="G359" i="8"/>
  <c r="G358" i="8"/>
  <c r="G357" i="8"/>
  <c r="G356" i="8"/>
  <c r="G355" i="8"/>
  <c r="G354" i="8"/>
  <c r="G353" i="8"/>
  <c r="G352" i="8"/>
  <c r="G351" i="8"/>
  <c r="G350" i="8"/>
  <c r="G349" i="8"/>
  <c r="G348" i="8"/>
  <c r="G347" i="8"/>
  <c r="G346" i="8"/>
  <c r="G345" i="8"/>
  <c r="G344" i="8"/>
  <c r="G343" i="8"/>
  <c r="G342" i="8"/>
  <c r="G341" i="8"/>
  <c r="G340" i="8"/>
  <c r="G339" i="8"/>
  <c r="G338" i="8"/>
  <c r="G337" i="8"/>
  <c r="G336" i="8"/>
  <c r="G335" i="8"/>
  <c r="G334" i="8"/>
  <c r="G333" i="8"/>
  <c r="G332" i="8"/>
  <c r="G331" i="8"/>
  <c r="G330" i="8"/>
  <c r="G329" i="8"/>
  <c r="G328" i="8"/>
  <c r="G327" i="8"/>
  <c r="G326" i="8"/>
  <c r="G325" i="8"/>
  <c r="G324" i="8"/>
  <c r="G323" i="8"/>
  <c r="G322" i="8"/>
  <c r="G321" i="8"/>
  <c r="G320" i="8"/>
  <c r="G319" i="8"/>
  <c r="G318" i="8"/>
  <c r="G317" i="8"/>
  <c r="G316" i="8"/>
  <c r="G315" i="8"/>
  <c r="G314" i="8"/>
  <c r="G313" i="8"/>
  <c r="G312" i="8"/>
  <c r="G311" i="8"/>
  <c r="G310" i="8"/>
  <c r="G309" i="8"/>
  <c r="G308" i="8"/>
  <c r="G307" i="8"/>
  <c r="G306" i="8"/>
  <c r="G305" i="8"/>
  <c r="G304" i="8"/>
  <c r="G303" i="8"/>
  <c r="G302" i="8"/>
  <c r="G301" i="8"/>
  <c r="G300" i="8"/>
  <c r="G299" i="8"/>
  <c r="G298" i="8"/>
  <c r="G297" i="8"/>
  <c r="G296" i="8"/>
  <c r="G295" i="8"/>
  <c r="G294" i="8"/>
  <c r="G293" i="8"/>
  <c r="G292" i="8"/>
  <c r="G291" i="8"/>
  <c r="G290" i="8"/>
  <c r="G289" i="8"/>
  <c r="G288" i="8"/>
  <c r="G287" i="8"/>
  <c r="G286" i="8"/>
  <c r="G285" i="8"/>
  <c r="G284" i="8"/>
  <c r="G283" i="8"/>
  <c r="G282" i="8"/>
  <c r="G281" i="8"/>
  <c r="G280" i="8"/>
  <c r="G279" i="8"/>
  <c r="G278" i="8"/>
  <c r="G277" i="8"/>
  <c r="G276" i="8"/>
  <c r="G275" i="8"/>
  <c r="G274" i="8"/>
  <c r="G273" i="8"/>
  <c r="G272" i="8"/>
  <c r="G271" i="8"/>
  <c r="G270" i="8"/>
  <c r="G269" i="8"/>
  <c r="G268" i="8"/>
  <c r="G267" i="8"/>
  <c r="G266" i="8"/>
  <c r="G265" i="8"/>
  <c r="G264" i="8"/>
  <c r="G263" i="8"/>
  <c r="G262" i="8"/>
  <c r="G261" i="8"/>
  <c r="G260" i="8"/>
  <c r="G259" i="8"/>
  <c r="G258" i="8"/>
  <c r="G257" i="8"/>
  <c r="G256" i="8"/>
  <c r="G255" i="8"/>
  <c r="G254" i="8"/>
  <c r="G253" i="8"/>
  <c r="G252" i="8"/>
  <c r="G251" i="8"/>
  <c r="G250" i="8"/>
  <c r="G249" i="8"/>
  <c r="G248" i="8"/>
  <c r="G247" i="8"/>
  <c r="G246" i="8"/>
  <c r="G245" i="8"/>
  <c r="G244" i="8"/>
  <c r="G243" i="8"/>
  <c r="G242" i="8"/>
  <c r="G241" i="8"/>
  <c r="G240" i="8"/>
  <c r="G239" i="8"/>
  <c r="G238" i="8"/>
  <c r="G237" i="8"/>
  <c r="G236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3" i="8"/>
  <c r="G222" i="8"/>
  <c r="G221" i="8"/>
  <c r="G220" i="8"/>
  <c r="G219" i="8"/>
  <c r="G218" i="8"/>
  <c r="G217" i="8"/>
  <c r="G216" i="8"/>
  <c r="G215" i="8"/>
  <c r="G214" i="8"/>
  <c r="G213" i="8"/>
  <c r="G212" i="8"/>
  <c r="G211" i="8"/>
  <c r="G210" i="8"/>
  <c r="G209" i="8"/>
  <c r="G208" i="8"/>
  <c r="G207" i="8"/>
  <c r="G206" i="8"/>
  <c r="G205" i="8"/>
  <c r="G204" i="8"/>
  <c r="G203" i="8"/>
  <c r="G202" i="8"/>
  <c r="G201" i="8"/>
  <c r="G200" i="8"/>
  <c r="G199" i="8"/>
  <c r="G198" i="8"/>
  <c r="G197" i="8"/>
  <c r="G196" i="8"/>
  <c r="G195" i="8"/>
  <c r="G194" i="8"/>
  <c r="G193" i="8"/>
  <c r="G192" i="8"/>
  <c r="G191" i="8"/>
  <c r="G190" i="8"/>
  <c r="G189" i="8"/>
  <c r="G188" i="8"/>
  <c r="G187" i="8"/>
  <c r="G186" i="8"/>
  <c r="G185" i="8"/>
  <c r="G184" i="8"/>
  <c r="G183" i="8"/>
  <c r="G182" i="8"/>
  <c r="G181" i="8"/>
  <c r="G180" i="8"/>
  <c r="G179" i="8"/>
  <c r="G178" i="8"/>
  <c r="G177" i="8"/>
  <c r="G176" i="8"/>
  <c r="G175" i="8"/>
  <c r="G174" i="8"/>
  <c r="G173" i="8"/>
  <c r="G172" i="8"/>
  <c r="G171" i="8"/>
  <c r="G170" i="8"/>
  <c r="G169" i="8"/>
  <c r="G168" i="8"/>
  <c r="G167" i="8"/>
  <c r="G166" i="8"/>
  <c r="G165" i="8"/>
  <c r="G164" i="8"/>
  <c r="G163" i="8"/>
  <c r="G162" i="8"/>
  <c r="G161" i="8"/>
  <c r="G160" i="8"/>
  <c r="G159" i="8"/>
  <c r="G158" i="8"/>
  <c r="G157" i="8"/>
  <c r="G156" i="8"/>
  <c r="G155" i="8"/>
  <c r="G154" i="8"/>
  <c r="G153" i="8"/>
  <c r="G152" i="8"/>
  <c r="G151" i="8"/>
  <c r="G150" i="8"/>
  <c r="G149" i="8"/>
  <c r="G148" i="8"/>
  <c r="G147" i="8"/>
  <c r="G146" i="8"/>
  <c r="G145" i="8"/>
  <c r="G144" i="8"/>
  <c r="G143" i="8"/>
  <c r="G142" i="8"/>
  <c r="G141" i="8"/>
  <c r="G140" i="8"/>
  <c r="G139" i="8"/>
  <c r="G138" i="8"/>
  <c r="G137" i="8"/>
  <c r="G136" i="8"/>
  <c r="G135" i="8"/>
  <c r="G134" i="8"/>
  <c r="G133" i="8"/>
  <c r="G132" i="8"/>
  <c r="G131" i="8"/>
  <c r="G130" i="8"/>
  <c r="G129" i="8"/>
  <c r="G128" i="8"/>
  <c r="G127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O132" i="5"/>
  <c r="P132" i="5" s="1"/>
  <c r="Q132" i="5" s="1"/>
  <c r="O131" i="5"/>
  <c r="P131" i="5" s="1"/>
  <c r="Q131" i="5" s="1"/>
  <c r="O130" i="5"/>
  <c r="P130" i="5" s="1"/>
  <c r="Q130" i="5" s="1"/>
  <c r="O129" i="5"/>
  <c r="P129" i="5" s="1"/>
  <c r="Q129" i="5" s="1"/>
  <c r="O128" i="5"/>
  <c r="P128" i="5" s="1"/>
  <c r="Q128" i="5" s="1"/>
  <c r="O127" i="5"/>
  <c r="P127" i="5" s="1"/>
  <c r="Q127" i="5" s="1"/>
  <c r="O126" i="5"/>
  <c r="P126" i="5" s="1"/>
  <c r="Q126" i="5" s="1"/>
  <c r="O125" i="5"/>
  <c r="P125" i="5" s="1"/>
  <c r="Q125" i="5" s="1"/>
  <c r="O124" i="5"/>
  <c r="P124" i="5" s="1"/>
  <c r="Q124" i="5" s="1"/>
  <c r="O123" i="5"/>
  <c r="P123" i="5" s="1"/>
  <c r="Q123" i="5" s="1"/>
  <c r="O122" i="5"/>
  <c r="P122" i="5" s="1"/>
  <c r="Q122" i="5" s="1"/>
  <c r="O121" i="5"/>
  <c r="P121" i="5" s="1"/>
  <c r="Q121" i="5" s="1"/>
  <c r="O120" i="5"/>
  <c r="P120" i="5" s="1"/>
  <c r="Q120" i="5" s="1"/>
  <c r="O119" i="5"/>
  <c r="P119" i="5" s="1"/>
  <c r="Q119" i="5" s="1"/>
  <c r="O118" i="5"/>
  <c r="P118" i="5" s="1"/>
  <c r="Q118" i="5" s="1"/>
  <c r="O117" i="5"/>
  <c r="P117" i="5" s="1"/>
  <c r="Q117" i="5" s="1"/>
  <c r="O116" i="5"/>
  <c r="P116" i="5" s="1"/>
  <c r="Q116" i="5" s="1"/>
  <c r="O115" i="5"/>
  <c r="P115" i="5" s="1"/>
  <c r="Q115" i="5" s="1"/>
  <c r="O114" i="5"/>
  <c r="P114" i="5" s="1"/>
  <c r="Q114" i="5" s="1"/>
  <c r="O113" i="5"/>
  <c r="P113" i="5" s="1"/>
  <c r="Q113" i="5" s="1"/>
  <c r="O112" i="5"/>
  <c r="P112" i="5" s="1"/>
  <c r="Q112" i="5" s="1"/>
  <c r="O111" i="5"/>
  <c r="P111" i="5" s="1"/>
  <c r="Q111" i="5" s="1"/>
  <c r="K111" i="5"/>
  <c r="O110" i="5"/>
  <c r="P110" i="5" s="1"/>
  <c r="Q110" i="5" s="1"/>
  <c r="O109" i="5"/>
  <c r="P109" i="5" s="1"/>
  <c r="Q109" i="5" s="1"/>
  <c r="O108" i="5"/>
  <c r="P108" i="5" s="1"/>
  <c r="Q108" i="5" s="1"/>
  <c r="O107" i="5"/>
  <c r="P107" i="5" s="1"/>
  <c r="Q107" i="5" s="1"/>
  <c r="O106" i="5"/>
  <c r="P106" i="5" s="1"/>
  <c r="Q106" i="5" s="1"/>
  <c r="O105" i="5"/>
  <c r="P105" i="5" s="1"/>
  <c r="Q105" i="5" s="1"/>
  <c r="O104" i="5"/>
  <c r="P104" i="5" s="1"/>
  <c r="Q104" i="5" s="1"/>
  <c r="O103" i="5"/>
  <c r="P103" i="5" s="1"/>
  <c r="Q103" i="5" s="1"/>
  <c r="O102" i="5"/>
  <c r="P102" i="5" s="1"/>
  <c r="Q102" i="5" s="1"/>
  <c r="K102" i="5"/>
  <c r="O101" i="5"/>
  <c r="P101" i="5" s="1"/>
  <c r="Q101" i="5" s="1"/>
  <c r="O100" i="5"/>
  <c r="P100" i="5" s="1"/>
  <c r="Q100" i="5" s="1"/>
  <c r="O99" i="5"/>
  <c r="P99" i="5" s="1"/>
  <c r="Q99" i="5" s="1"/>
  <c r="O98" i="5"/>
  <c r="P98" i="5" s="1"/>
  <c r="Q98" i="5" s="1"/>
  <c r="O97" i="5"/>
  <c r="P97" i="5" s="1"/>
  <c r="Q97" i="5" s="1"/>
  <c r="O96" i="5"/>
  <c r="P96" i="5" s="1"/>
  <c r="Q96" i="5" s="1"/>
  <c r="O95" i="5"/>
  <c r="P95" i="5" s="1"/>
  <c r="Q95" i="5" s="1"/>
  <c r="O94" i="5"/>
  <c r="P94" i="5" s="1"/>
  <c r="Q94" i="5" s="1"/>
  <c r="O93" i="5"/>
  <c r="P93" i="5" s="1"/>
  <c r="Q93" i="5" s="1"/>
  <c r="O92" i="5"/>
  <c r="P92" i="5" s="1"/>
  <c r="Q92" i="5" s="1"/>
  <c r="O91" i="5"/>
  <c r="P91" i="5" s="1"/>
  <c r="Q91" i="5" s="1"/>
  <c r="O90" i="5"/>
  <c r="P90" i="5" s="1"/>
  <c r="Q90" i="5" s="1"/>
  <c r="O89" i="5"/>
  <c r="P89" i="5" s="1"/>
  <c r="Q89" i="5" s="1"/>
  <c r="O88" i="5"/>
  <c r="P88" i="5" s="1"/>
  <c r="Q88" i="5" s="1"/>
  <c r="O87" i="5"/>
  <c r="P87" i="5" s="1"/>
  <c r="Q87" i="5" s="1"/>
  <c r="O86" i="5"/>
  <c r="P86" i="5" s="1"/>
  <c r="Q86" i="5" s="1"/>
  <c r="O85" i="5"/>
  <c r="P85" i="5" s="1"/>
  <c r="Q85" i="5" s="1"/>
  <c r="O84" i="5"/>
  <c r="P84" i="5" s="1"/>
  <c r="Q84" i="5" s="1"/>
  <c r="O83" i="5"/>
  <c r="P83" i="5" s="1"/>
  <c r="Q83" i="5" s="1"/>
  <c r="O82" i="5"/>
  <c r="P82" i="5" s="1"/>
  <c r="Q82" i="5" s="1"/>
  <c r="O81" i="5"/>
  <c r="P81" i="5" s="1"/>
  <c r="Q81" i="5" s="1"/>
  <c r="O80" i="5"/>
  <c r="P80" i="5" s="1"/>
  <c r="Q80" i="5" s="1"/>
  <c r="O79" i="5"/>
  <c r="P79" i="5" s="1"/>
  <c r="Q79" i="5" s="1"/>
  <c r="O78" i="5"/>
  <c r="P78" i="5" s="1"/>
  <c r="Q78" i="5" s="1"/>
  <c r="O77" i="5"/>
  <c r="P77" i="5" s="1"/>
  <c r="Q77" i="5" s="1"/>
  <c r="O76" i="5"/>
  <c r="P76" i="5" s="1"/>
  <c r="Q76" i="5" s="1"/>
  <c r="O75" i="5"/>
  <c r="P75" i="5" s="1"/>
  <c r="Q75" i="5" s="1"/>
  <c r="O74" i="5"/>
  <c r="P74" i="5" s="1"/>
  <c r="Q74" i="5" s="1"/>
  <c r="O73" i="5"/>
  <c r="P73" i="5" s="1"/>
  <c r="Q73" i="5" s="1"/>
  <c r="O72" i="5"/>
  <c r="P72" i="5" s="1"/>
  <c r="Q72" i="5" s="1"/>
  <c r="O71" i="5"/>
  <c r="P71" i="5" s="1"/>
  <c r="Q71" i="5" s="1"/>
  <c r="O70" i="5"/>
  <c r="P70" i="5" s="1"/>
  <c r="Q70" i="5" s="1"/>
  <c r="O69" i="5"/>
  <c r="P69" i="5" s="1"/>
  <c r="Q69" i="5" s="1"/>
  <c r="O68" i="5"/>
  <c r="P68" i="5" s="1"/>
  <c r="Q68" i="5" s="1"/>
  <c r="O67" i="5"/>
  <c r="P67" i="5" s="1"/>
  <c r="Q67" i="5" s="1"/>
  <c r="O66" i="5"/>
  <c r="P66" i="5" s="1"/>
  <c r="Q66" i="5" s="1"/>
  <c r="O65" i="5"/>
  <c r="P65" i="5" s="1"/>
  <c r="Q65" i="5" s="1"/>
  <c r="O64" i="5"/>
  <c r="P64" i="5" s="1"/>
  <c r="Q64" i="5" s="1"/>
  <c r="O63" i="5"/>
  <c r="P63" i="5" s="1"/>
  <c r="Q63" i="5" s="1"/>
  <c r="K63" i="5"/>
  <c r="O62" i="5"/>
  <c r="P62" i="5" s="1"/>
  <c r="Q62" i="5" s="1"/>
  <c r="O61" i="5"/>
  <c r="P61" i="5" s="1"/>
  <c r="Q61" i="5" s="1"/>
  <c r="O60" i="5"/>
  <c r="P60" i="5" s="1"/>
  <c r="Q60" i="5" s="1"/>
  <c r="O59" i="5"/>
  <c r="P59" i="5" s="1"/>
  <c r="Q59" i="5" s="1"/>
  <c r="O58" i="5"/>
  <c r="P58" i="5" s="1"/>
  <c r="Q58" i="5" s="1"/>
  <c r="O57" i="5"/>
  <c r="P57" i="5" s="1"/>
  <c r="Q57" i="5" s="1"/>
  <c r="O56" i="5"/>
  <c r="P56" i="5" s="1"/>
  <c r="Q56" i="5" s="1"/>
  <c r="O55" i="5"/>
  <c r="P55" i="5" s="1"/>
  <c r="Q55" i="5" s="1"/>
  <c r="O54" i="5"/>
  <c r="P54" i="5" s="1"/>
  <c r="Q54" i="5" s="1"/>
  <c r="O53" i="5"/>
  <c r="P53" i="5" s="1"/>
  <c r="Q53" i="5" s="1"/>
  <c r="O52" i="5"/>
  <c r="P52" i="5" s="1"/>
  <c r="Q52" i="5" s="1"/>
  <c r="O51" i="5"/>
  <c r="P51" i="5" s="1"/>
  <c r="Q51" i="5" s="1"/>
  <c r="O50" i="5"/>
  <c r="P50" i="5" s="1"/>
  <c r="Q50" i="5" s="1"/>
  <c r="O49" i="5"/>
  <c r="P49" i="5" s="1"/>
  <c r="Q49" i="5" s="1"/>
  <c r="O48" i="5"/>
  <c r="P48" i="5" s="1"/>
  <c r="Q48" i="5" s="1"/>
  <c r="O47" i="5"/>
  <c r="P47" i="5" s="1"/>
  <c r="Q47" i="5" s="1"/>
  <c r="O46" i="5"/>
  <c r="P46" i="5" s="1"/>
  <c r="Q46" i="5" s="1"/>
  <c r="O45" i="5"/>
  <c r="P45" i="5" s="1"/>
  <c r="Q45" i="5" s="1"/>
  <c r="O44" i="5"/>
  <c r="P44" i="5" s="1"/>
  <c r="Q44" i="5" s="1"/>
  <c r="K44" i="5"/>
  <c r="O43" i="5"/>
  <c r="P43" i="5" s="1"/>
  <c r="Q43" i="5" s="1"/>
  <c r="O42" i="5"/>
  <c r="P42" i="5" s="1"/>
  <c r="Q42" i="5" s="1"/>
  <c r="O41" i="5"/>
  <c r="P41" i="5" s="1"/>
  <c r="Q41" i="5" s="1"/>
  <c r="O40" i="5"/>
  <c r="P40" i="5" s="1"/>
  <c r="Q40" i="5" s="1"/>
  <c r="O39" i="5"/>
  <c r="P39" i="5" s="1"/>
  <c r="Q39" i="5" s="1"/>
  <c r="O38" i="5"/>
  <c r="P38" i="5" s="1"/>
  <c r="Q38" i="5" s="1"/>
  <c r="O37" i="5"/>
  <c r="P37" i="5" s="1"/>
  <c r="Q37" i="5" s="1"/>
  <c r="O36" i="5"/>
  <c r="P36" i="5" s="1"/>
  <c r="Q36" i="5" s="1"/>
  <c r="O35" i="5"/>
  <c r="P35" i="5" s="1"/>
  <c r="Q35" i="5" s="1"/>
  <c r="O34" i="5"/>
  <c r="P34" i="5" s="1"/>
  <c r="Q34" i="5" s="1"/>
  <c r="O33" i="5"/>
  <c r="P33" i="5" s="1"/>
  <c r="Q33" i="5" s="1"/>
  <c r="O32" i="5"/>
  <c r="P32" i="5" s="1"/>
  <c r="Q32" i="5" s="1"/>
  <c r="K32" i="5"/>
  <c r="O31" i="5"/>
  <c r="P31" i="5" s="1"/>
  <c r="Q31" i="5" s="1"/>
  <c r="O30" i="5"/>
  <c r="P30" i="5" s="1"/>
  <c r="Q30" i="5" s="1"/>
  <c r="O29" i="5"/>
  <c r="P29" i="5" s="1"/>
  <c r="Q29" i="5" s="1"/>
  <c r="O28" i="5"/>
  <c r="P28" i="5" s="1"/>
  <c r="Q28" i="5" s="1"/>
  <c r="O27" i="5"/>
  <c r="P27" i="5" s="1"/>
  <c r="Q27" i="5" s="1"/>
  <c r="O26" i="5"/>
  <c r="P26" i="5" s="1"/>
  <c r="Q26" i="5" s="1"/>
  <c r="O25" i="5"/>
  <c r="P25" i="5" s="1"/>
  <c r="Q25" i="5" s="1"/>
  <c r="O24" i="5"/>
  <c r="P24" i="5" s="1"/>
  <c r="Q24" i="5" s="1"/>
  <c r="O23" i="5"/>
  <c r="P23" i="5" s="1"/>
  <c r="Q23" i="5" s="1"/>
  <c r="O22" i="5"/>
  <c r="P22" i="5" s="1"/>
  <c r="Q22" i="5" s="1"/>
  <c r="O21" i="5"/>
  <c r="P21" i="5" s="1"/>
  <c r="Q21" i="5" s="1"/>
  <c r="O20" i="5"/>
  <c r="P20" i="5" s="1"/>
  <c r="Q20" i="5" s="1"/>
  <c r="O19" i="5"/>
  <c r="P19" i="5" s="1"/>
  <c r="Q19" i="5" s="1"/>
  <c r="O18" i="5"/>
  <c r="P18" i="5" s="1"/>
  <c r="Q18" i="5" s="1"/>
  <c r="O17" i="5"/>
  <c r="P17" i="5" s="1"/>
  <c r="Q17" i="5" s="1"/>
  <c r="O16" i="5"/>
  <c r="P16" i="5" s="1"/>
  <c r="Q16" i="5" s="1"/>
  <c r="O15" i="5"/>
  <c r="P15" i="5" s="1"/>
  <c r="Q15" i="5" s="1"/>
  <c r="O14" i="5"/>
  <c r="P14" i="5" s="1"/>
  <c r="Q14" i="5" s="1"/>
  <c r="O13" i="5"/>
  <c r="P13" i="5" s="1"/>
  <c r="Q13" i="5" s="1"/>
  <c r="O12" i="5"/>
  <c r="P12" i="5" s="1"/>
  <c r="Q12" i="5" s="1"/>
  <c r="O11" i="5"/>
  <c r="P11" i="5" s="1"/>
  <c r="Q11" i="5" s="1"/>
  <c r="O10" i="5"/>
  <c r="P10" i="5" s="1"/>
  <c r="Q10" i="5" s="1"/>
  <c r="O9" i="5"/>
  <c r="P9" i="5" s="1"/>
  <c r="Q9" i="5" s="1"/>
  <c r="O8" i="5"/>
  <c r="P8" i="5" s="1"/>
  <c r="Q8" i="5" s="1"/>
  <c r="O7" i="5"/>
  <c r="P7" i="5" s="1"/>
  <c r="Q7" i="5" s="1"/>
  <c r="O6" i="5"/>
  <c r="P6" i="5" s="1"/>
  <c r="Q6" i="5" s="1"/>
  <c r="O5" i="5"/>
  <c r="P5" i="5" s="1"/>
  <c r="Q5" i="5" s="1"/>
  <c r="O4" i="5"/>
  <c r="P4" i="5" s="1"/>
  <c r="Q4" i="5" s="1"/>
  <c r="G1674" i="4" l="1"/>
  <c r="G1673" i="4"/>
  <c r="G1672" i="4"/>
  <c r="G1671" i="4"/>
  <c r="G1670" i="4"/>
  <c r="G1669" i="4"/>
  <c r="G1668" i="4"/>
  <c r="G1667" i="4"/>
  <c r="G1666" i="4"/>
  <c r="G1665" i="4"/>
  <c r="G1664" i="4"/>
  <c r="G1663" i="4"/>
  <c r="G1662" i="4"/>
  <c r="G1661" i="4"/>
  <c r="G1660" i="4"/>
  <c r="G1659" i="4"/>
  <c r="G1658" i="4"/>
  <c r="G1657" i="4"/>
  <c r="G1656" i="4"/>
  <c r="G1655" i="4"/>
  <c r="G1654" i="4"/>
  <c r="G1653" i="4"/>
  <c r="G1652" i="4"/>
  <c r="G1651" i="4"/>
  <c r="G1650" i="4"/>
  <c r="G1649" i="4"/>
  <c r="G1648" i="4"/>
  <c r="G1647" i="4"/>
  <c r="G1646" i="4"/>
  <c r="G1645" i="4"/>
  <c r="G1644" i="4"/>
  <c r="G1643" i="4"/>
  <c r="G1642" i="4"/>
  <c r="G1641" i="4"/>
  <c r="G1640" i="4"/>
  <c r="G1639" i="4"/>
  <c r="G1638" i="4"/>
  <c r="G1637" i="4"/>
  <c r="G1636" i="4"/>
  <c r="G1635" i="4"/>
  <c r="G1634" i="4"/>
  <c r="G1633" i="4"/>
  <c r="G1632" i="4"/>
  <c r="G1631" i="4"/>
  <c r="G1630" i="4"/>
  <c r="G1629" i="4"/>
  <c r="G1628" i="4"/>
  <c r="G1627" i="4"/>
  <c r="G1626" i="4"/>
  <c r="G1625" i="4"/>
  <c r="G1624" i="4"/>
  <c r="G1623" i="4"/>
  <c r="G1622" i="4"/>
  <c r="G1621" i="4"/>
  <c r="G1620" i="4"/>
  <c r="G1619" i="4"/>
  <c r="G1618" i="4"/>
  <c r="G1617" i="4"/>
  <c r="G1616" i="4"/>
  <c r="G1615" i="4"/>
  <c r="G1614" i="4"/>
  <c r="G1613" i="4"/>
  <c r="G1612" i="4"/>
  <c r="G1611" i="4"/>
  <c r="G1610" i="4"/>
  <c r="G1609" i="4"/>
  <c r="G1608" i="4"/>
  <c r="G1607" i="4"/>
  <c r="G1606" i="4"/>
  <c r="G1605" i="4"/>
  <c r="G1604" i="4"/>
  <c r="G1603" i="4"/>
  <c r="G1602" i="4"/>
  <c r="G1601" i="4"/>
  <c r="G1600" i="4"/>
  <c r="G1599" i="4"/>
  <c r="G1598" i="4"/>
  <c r="G1597" i="4"/>
  <c r="G1596" i="4"/>
  <c r="G1595" i="4"/>
  <c r="G1594" i="4"/>
  <c r="G1593" i="4"/>
  <c r="G1592" i="4"/>
  <c r="G1591" i="4"/>
  <c r="G1590" i="4"/>
  <c r="G1589" i="4"/>
  <c r="G1588" i="4"/>
  <c r="G1587" i="4"/>
  <c r="G1586" i="4"/>
  <c r="G1585" i="4"/>
  <c r="G1584" i="4"/>
  <c r="G1583" i="4"/>
  <c r="G1582" i="4"/>
  <c r="G1581" i="4"/>
  <c r="G1580" i="4"/>
  <c r="G1579" i="4"/>
  <c r="G1578" i="4"/>
  <c r="G1577" i="4"/>
  <c r="G1576" i="4"/>
  <c r="G1575" i="4"/>
  <c r="G1574" i="4"/>
  <c r="G1573" i="4"/>
  <c r="G1572" i="4"/>
  <c r="G1571" i="4"/>
  <c r="G1570" i="4"/>
  <c r="G1569" i="4"/>
  <c r="G1568" i="4"/>
  <c r="G1567" i="4"/>
  <c r="G1566" i="4"/>
  <c r="G1565" i="4"/>
  <c r="G1564" i="4"/>
  <c r="G1563" i="4"/>
  <c r="G1562" i="4"/>
  <c r="G1561" i="4"/>
  <c r="G1560" i="4"/>
  <c r="G1559" i="4"/>
  <c r="G1558" i="4"/>
  <c r="G1557" i="4"/>
  <c r="G1556" i="4"/>
  <c r="G1555" i="4"/>
  <c r="G1554" i="4"/>
  <c r="G1553" i="4"/>
  <c r="G1552" i="4"/>
  <c r="G1551" i="4"/>
  <c r="G1550" i="4"/>
  <c r="G1549" i="4"/>
  <c r="G1548" i="4"/>
  <c r="G1547" i="4"/>
  <c r="G1546" i="4"/>
  <c r="G1545" i="4"/>
  <c r="G1544" i="4"/>
  <c r="G1543" i="4"/>
  <c r="G1542" i="4"/>
  <c r="G1541" i="4"/>
  <c r="G1540" i="4"/>
  <c r="G1539" i="4"/>
  <c r="G1538" i="4"/>
  <c r="G1537" i="4"/>
  <c r="G1536" i="4"/>
  <c r="G1535" i="4"/>
  <c r="G1534" i="4"/>
  <c r="G1533" i="4"/>
  <c r="G1532" i="4"/>
  <c r="G1531" i="4"/>
  <c r="G1530" i="4"/>
  <c r="G1529" i="4"/>
  <c r="G1528" i="4"/>
  <c r="G1527" i="4"/>
  <c r="G1526" i="4"/>
  <c r="G1525" i="4"/>
  <c r="G1524" i="4"/>
  <c r="G1523" i="4"/>
  <c r="G1522" i="4"/>
  <c r="G1521" i="4"/>
  <c r="G1520" i="4"/>
  <c r="G1519" i="4"/>
  <c r="G1518" i="4"/>
  <c r="G1517" i="4"/>
  <c r="G1516" i="4"/>
  <c r="G1515" i="4"/>
  <c r="G1514" i="4"/>
  <c r="G1513" i="4"/>
  <c r="G1512" i="4"/>
  <c r="G1511" i="4"/>
  <c r="G1510" i="4"/>
  <c r="G1509" i="4"/>
  <c r="G1508" i="4"/>
  <c r="G1507" i="4"/>
  <c r="G1506" i="4"/>
  <c r="G1505" i="4"/>
  <c r="G1504" i="4"/>
  <c r="G1503" i="4"/>
  <c r="G1502" i="4"/>
  <c r="G1501" i="4"/>
  <c r="G1500" i="4"/>
  <c r="G1499" i="4"/>
  <c r="G1498" i="4"/>
  <c r="G1497" i="4"/>
  <c r="G1496" i="4"/>
  <c r="G1495" i="4"/>
  <c r="G1494" i="4"/>
  <c r="G1493" i="4"/>
  <c r="G1492" i="4"/>
  <c r="G1491" i="4"/>
  <c r="G1490" i="4"/>
  <c r="G1489" i="4"/>
  <c r="G1488" i="4"/>
  <c r="G1487" i="4"/>
  <c r="G1486" i="4"/>
  <c r="G1485" i="4"/>
  <c r="G1484" i="4"/>
  <c r="G1483" i="4"/>
  <c r="G1482" i="4"/>
  <c r="G1481" i="4"/>
  <c r="G1480" i="4"/>
  <c r="G1479" i="4"/>
  <c r="G1478" i="4"/>
  <c r="G1477" i="4"/>
  <c r="G1476" i="4"/>
  <c r="G1475" i="4"/>
  <c r="G1474" i="4"/>
  <c r="G1473" i="4"/>
  <c r="G1472" i="4"/>
  <c r="G1471" i="4"/>
  <c r="G1470" i="4"/>
  <c r="G1469" i="4"/>
  <c r="G1468" i="4"/>
  <c r="G1467" i="4"/>
  <c r="G1466" i="4"/>
  <c r="G1465" i="4"/>
  <c r="G1464" i="4"/>
  <c r="G1463" i="4"/>
  <c r="G1462" i="4"/>
  <c r="G1461" i="4"/>
  <c r="G1460" i="4"/>
  <c r="G1459" i="4"/>
  <c r="G1458" i="4"/>
  <c r="G1457" i="4"/>
  <c r="G1456" i="4"/>
  <c r="G1455" i="4"/>
  <c r="G1454" i="4"/>
  <c r="G1453" i="4"/>
  <c r="G1452" i="4"/>
  <c r="G1451" i="4"/>
  <c r="G1450" i="4"/>
  <c r="G1449" i="4"/>
  <c r="G1448" i="4"/>
  <c r="G1447" i="4"/>
  <c r="G1446" i="4"/>
  <c r="G1445" i="4"/>
  <c r="G1444" i="4"/>
  <c r="G1443" i="4"/>
  <c r="G1442" i="4"/>
  <c r="G1441" i="4"/>
  <c r="G1440" i="4"/>
  <c r="G1439" i="4"/>
  <c r="G1438" i="4"/>
  <c r="G1437" i="4"/>
  <c r="G1436" i="4"/>
  <c r="G1435" i="4"/>
  <c r="G1434" i="4"/>
  <c r="G1433" i="4"/>
  <c r="G1432" i="4"/>
  <c r="G1431" i="4"/>
  <c r="G1430" i="4"/>
  <c r="G1429" i="4"/>
  <c r="G1428" i="4"/>
  <c r="G1427" i="4"/>
  <c r="G1426" i="4"/>
  <c r="G1425" i="4"/>
  <c r="G1424" i="4"/>
  <c r="G1423" i="4"/>
  <c r="G1422" i="4"/>
  <c r="G1421" i="4"/>
  <c r="G1420" i="4"/>
  <c r="G1419" i="4"/>
  <c r="G1418" i="4"/>
  <c r="G1417" i="4"/>
  <c r="G1416" i="4"/>
  <c r="G1415" i="4"/>
  <c r="G1414" i="4"/>
  <c r="G1413" i="4"/>
  <c r="G1412" i="4"/>
  <c r="G1411" i="4"/>
  <c r="G1410" i="4"/>
  <c r="G1409" i="4"/>
  <c r="G1408" i="4"/>
  <c r="G1407" i="4"/>
  <c r="G1406" i="4"/>
  <c r="G1405" i="4"/>
  <c r="G1404" i="4"/>
  <c r="G1403" i="4"/>
  <c r="G1402" i="4"/>
  <c r="G1401" i="4"/>
  <c r="G1400" i="4"/>
  <c r="G1399" i="4"/>
  <c r="G1398" i="4"/>
  <c r="G1397" i="4"/>
  <c r="G1396" i="4"/>
  <c r="G1395" i="4"/>
  <c r="G1394" i="4"/>
  <c r="G1393" i="4"/>
  <c r="G1392" i="4"/>
  <c r="G1391" i="4"/>
  <c r="G1390" i="4"/>
  <c r="G1389" i="4"/>
  <c r="G1388" i="4"/>
  <c r="G1387" i="4"/>
  <c r="G1386" i="4"/>
  <c r="G1385" i="4"/>
  <c r="G1384" i="4"/>
  <c r="G1383" i="4"/>
  <c r="G1382" i="4"/>
  <c r="G1381" i="4"/>
  <c r="G1380" i="4"/>
  <c r="G1379" i="4"/>
  <c r="G1378" i="4"/>
  <c r="G1377" i="4"/>
  <c r="G1376" i="4"/>
  <c r="G1375" i="4"/>
  <c r="G1374" i="4"/>
  <c r="G1373" i="4"/>
  <c r="G1372" i="4"/>
  <c r="G1371" i="4"/>
  <c r="G1370" i="4"/>
  <c r="G1369" i="4"/>
  <c r="G1368" i="4"/>
  <c r="G1367" i="4"/>
  <c r="G1366" i="4"/>
  <c r="G1365" i="4"/>
  <c r="G1364" i="4"/>
  <c r="G1363" i="4"/>
  <c r="G1362" i="4"/>
  <c r="G1361" i="4"/>
  <c r="G1360" i="4"/>
  <c r="G1359" i="4"/>
  <c r="G1358" i="4"/>
  <c r="G1357" i="4"/>
  <c r="G1356" i="4"/>
  <c r="G1355" i="4"/>
  <c r="G1354" i="4"/>
  <c r="G1353" i="4"/>
  <c r="G1352" i="4"/>
  <c r="G1351" i="4"/>
  <c r="G1350" i="4"/>
  <c r="G1349" i="4"/>
  <c r="G1348" i="4"/>
  <c r="G1347" i="4"/>
  <c r="G1346" i="4"/>
  <c r="G1345" i="4"/>
  <c r="G1344" i="4"/>
  <c r="G1343" i="4"/>
  <c r="G1342" i="4"/>
  <c r="G1341" i="4"/>
  <c r="G1340" i="4"/>
  <c r="G1339" i="4"/>
  <c r="G1338" i="4"/>
  <c r="G1337" i="4"/>
  <c r="G1336" i="4"/>
  <c r="G1335" i="4"/>
  <c r="G1334" i="4"/>
  <c r="G1333" i="4"/>
  <c r="G1332" i="4"/>
  <c r="G1331" i="4"/>
  <c r="G1330" i="4"/>
  <c r="G1329" i="4"/>
  <c r="G1328" i="4"/>
  <c r="G1327" i="4"/>
  <c r="G1326" i="4"/>
  <c r="G1325" i="4"/>
  <c r="G1324" i="4"/>
  <c r="G1323" i="4"/>
  <c r="G1322" i="4"/>
  <c r="G1321" i="4"/>
  <c r="G1320" i="4"/>
  <c r="G1319" i="4"/>
  <c r="G1318" i="4"/>
  <c r="G1317" i="4"/>
  <c r="G1316" i="4"/>
  <c r="G1315" i="4"/>
  <c r="G1314" i="4"/>
  <c r="G1313" i="4"/>
  <c r="G1312" i="4"/>
  <c r="G1311" i="4"/>
  <c r="G1310" i="4"/>
  <c r="G1309" i="4"/>
  <c r="G1308" i="4"/>
  <c r="G1307" i="4"/>
  <c r="G1306" i="4"/>
  <c r="G1305" i="4"/>
  <c r="G1304" i="4"/>
  <c r="G1303" i="4"/>
  <c r="G1302" i="4"/>
  <c r="G1301" i="4"/>
  <c r="G1300" i="4"/>
  <c r="G1299" i="4"/>
  <c r="G1298" i="4"/>
  <c r="G1297" i="4"/>
  <c r="G1296" i="4"/>
  <c r="G1295" i="4"/>
  <c r="G1294" i="4"/>
  <c r="G1293" i="4"/>
  <c r="G1292" i="4"/>
  <c r="G1291" i="4"/>
  <c r="G1290" i="4"/>
  <c r="G1289" i="4"/>
  <c r="G1288" i="4"/>
  <c r="G1287" i="4"/>
  <c r="G1286" i="4"/>
  <c r="G1285" i="4"/>
  <c r="G1284" i="4"/>
  <c r="G1283" i="4"/>
  <c r="G1282" i="4"/>
  <c r="G1281" i="4"/>
  <c r="G1280" i="4"/>
  <c r="G1279" i="4"/>
  <c r="G1278" i="4"/>
  <c r="G1277" i="4"/>
  <c r="G1276" i="4"/>
  <c r="G1275" i="4"/>
  <c r="G1274" i="4"/>
  <c r="G1273" i="4"/>
  <c r="G1272" i="4"/>
  <c r="G1271" i="4"/>
  <c r="G1270" i="4"/>
  <c r="G1269" i="4"/>
  <c r="G1268" i="4"/>
  <c r="G1267" i="4"/>
  <c r="G1266" i="4"/>
  <c r="G1265" i="4"/>
  <c r="G1264" i="4"/>
  <c r="G1263" i="4"/>
  <c r="G1262" i="4"/>
  <c r="G1261" i="4"/>
  <c r="G1260" i="4"/>
  <c r="G1259" i="4"/>
  <c r="G1258" i="4"/>
  <c r="G1257" i="4"/>
  <c r="G1256" i="4"/>
  <c r="G1255" i="4"/>
  <c r="G1254" i="4"/>
  <c r="G1253" i="4"/>
  <c r="G1252" i="4"/>
  <c r="G1251" i="4"/>
  <c r="G1250" i="4"/>
  <c r="G1249" i="4"/>
  <c r="G1248" i="4"/>
  <c r="G1247" i="4"/>
  <c r="G1246" i="4"/>
  <c r="G1245" i="4"/>
  <c r="G1244" i="4"/>
  <c r="G1243" i="4"/>
  <c r="G1242" i="4"/>
  <c r="G1241" i="4"/>
  <c r="G1240" i="4"/>
  <c r="G1239" i="4"/>
  <c r="G1238" i="4"/>
  <c r="G1237" i="4"/>
  <c r="G1236" i="4"/>
  <c r="G1235" i="4"/>
  <c r="G1234" i="4"/>
  <c r="G1233" i="4"/>
  <c r="G1232" i="4"/>
  <c r="G1231" i="4"/>
  <c r="G1230" i="4"/>
  <c r="G1229" i="4"/>
  <c r="G1228" i="4"/>
  <c r="G1227" i="4"/>
  <c r="G1226" i="4"/>
  <c r="G1225" i="4"/>
  <c r="G1224" i="4"/>
  <c r="G1223" i="4"/>
  <c r="G1222" i="4"/>
  <c r="G1221" i="4"/>
  <c r="G1220" i="4"/>
  <c r="G1219" i="4"/>
  <c r="G1218" i="4"/>
  <c r="G1217" i="4"/>
  <c r="G1216" i="4"/>
  <c r="G1215" i="4"/>
  <c r="G1214" i="4"/>
  <c r="G1213" i="4"/>
  <c r="G1212" i="4"/>
  <c r="G1211" i="4"/>
  <c r="G1210" i="4"/>
  <c r="G1209" i="4"/>
  <c r="G1208" i="4"/>
  <c r="G1207" i="4"/>
  <c r="G1206" i="4"/>
  <c r="G1205" i="4"/>
  <c r="G1204" i="4"/>
  <c r="G1203" i="4"/>
  <c r="G1202" i="4"/>
  <c r="G1201" i="4"/>
  <c r="G1200" i="4"/>
  <c r="G1199" i="4"/>
  <c r="G1198" i="4"/>
  <c r="G1197" i="4"/>
  <c r="G1196" i="4"/>
  <c r="G1195" i="4"/>
  <c r="G1194" i="4"/>
  <c r="G1193" i="4"/>
  <c r="G1192" i="4"/>
  <c r="G1191" i="4"/>
  <c r="G1190" i="4"/>
  <c r="G1189" i="4"/>
  <c r="G1188" i="4"/>
  <c r="G1187" i="4"/>
  <c r="G1186" i="4"/>
  <c r="G1185" i="4"/>
  <c r="G1184" i="4"/>
  <c r="G1183" i="4"/>
  <c r="G1182" i="4"/>
  <c r="G1181" i="4"/>
  <c r="G1180" i="4"/>
  <c r="G1179" i="4"/>
  <c r="G1178" i="4"/>
  <c r="G1177" i="4"/>
  <c r="G1176" i="4"/>
  <c r="G1175" i="4"/>
  <c r="G1174" i="4"/>
  <c r="G1173" i="4"/>
  <c r="G1172" i="4"/>
  <c r="G1171" i="4"/>
  <c r="G1170" i="4"/>
  <c r="G1169" i="4"/>
  <c r="G1168" i="4"/>
  <c r="G1167" i="4"/>
  <c r="G1166" i="4"/>
  <c r="G1165" i="4"/>
  <c r="G1164" i="4"/>
  <c r="G1163" i="4"/>
  <c r="G1162" i="4"/>
  <c r="G1161" i="4"/>
  <c r="G1160" i="4"/>
  <c r="G1159" i="4"/>
  <c r="G1158" i="4"/>
  <c r="G1157" i="4"/>
  <c r="G1156" i="4"/>
  <c r="G1155" i="4"/>
  <c r="G1154" i="4"/>
  <c r="G1153" i="4"/>
  <c r="G1152" i="4"/>
  <c r="G1151" i="4"/>
  <c r="G1150" i="4"/>
  <c r="G1149" i="4"/>
  <c r="G1148" i="4"/>
  <c r="G1147" i="4"/>
  <c r="G1146" i="4"/>
  <c r="G1145" i="4"/>
  <c r="G1144" i="4"/>
  <c r="G1143" i="4"/>
  <c r="G1142" i="4"/>
  <c r="G1141" i="4"/>
  <c r="G1140" i="4"/>
  <c r="G1139" i="4"/>
  <c r="G1138" i="4"/>
  <c r="G1137" i="4"/>
  <c r="G1136" i="4"/>
  <c r="G1135" i="4"/>
  <c r="G1134" i="4"/>
  <c r="G1133" i="4"/>
  <c r="G1132" i="4"/>
  <c r="G1131" i="4"/>
  <c r="G1130" i="4"/>
  <c r="G1129" i="4"/>
  <c r="G1128" i="4"/>
  <c r="G1127" i="4"/>
  <c r="G1126" i="4"/>
  <c r="G1125" i="4"/>
  <c r="G1124" i="4"/>
  <c r="G1123" i="4"/>
  <c r="G1122" i="4"/>
  <c r="G1121" i="4"/>
  <c r="G1120" i="4"/>
  <c r="G1119" i="4"/>
  <c r="G1118" i="4"/>
  <c r="G1117" i="4"/>
  <c r="G1116" i="4"/>
  <c r="G1115" i="4"/>
  <c r="G1114" i="4"/>
  <c r="G1113" i="4"/>
  <c r="G1112" i="4"/>
  <c r="G1111" i="4"/>
  <c r="G1110" i="4"/>
  <c r="G1109" i="4"/>
  <c r="G1108" i="4"/>
  <c r="G1107" i="4"/>
  <c r="G1106" i="4"/>
  <c r="G1105" i="4"/>
  <c r="G1104" i="4"/>
  <c r="G1103" i="4"/>
  <c r="G1102" i="4"/>
  <c r="G1101" i="4"/>
  <c r="G1100" i="4"/>
  <c r="G1099" i="4"/>
  <c r="G1098" i="4"/>
  <c r="G1097" i="4"/>
  <c r="G1096" i="4"/>
  <c r="G1095" i="4"/>
  <c r="G1094" i="4"/>
  <c r="G1093" i="4"/>
  <c r="G1092" i="4"/>
  <c r="G1091" i="4"/>
  <c r="G1090" i="4"/>
  <c r="G1089" i="4"/>
  <c r="G1088" i="4"/>
  <c r="G1087" i="4"/>
  <c r="G1086" i="4"/>
  <c r="G1085" i="4"/>
  <c r="G1084" i="4"/>
  <c r="G1083" i="4"/>
  <c r="G1082" i="4"/>
  <c r="G1081" i="4"/>
  <c r="G1080" i="4"/>
  <c r="G1079" i="4"/>
  <c r="G1078" i="4"/>
  <c r="G1077" i="4"/>
  <c r="G1076" i="4"/>
  <c r="G1075" i="4"/>
  <c r="G1074" i="4"/>
  <c r="G1073" i="4"/>
  <c r="G1072" i="4"/>
  <c r="G1071" i="4"/>
  <c r="G1070" i="4"/>
  <c r="G1069" i="4"/>
  <c r="G1068" i="4"/>
  <c r="G1067" i="4"/>
  <c r="G1066" i="4"/>
  <c r="G1065" i="4"/>
  <c r="G1064" i="4"/>
  <c r="G1063" i="4"/>
  <c r="G1062" i="4"/>
  <c r="G1061" i="4"/>
  <c r="G1060" i="4"/>
  <c r="G1059" i="4"/>
  <c r="G1058" i="4"/>
  <c r="G1057" i="4"/>
  <c r="G1056" i="4"/>
  <c r="G1055" i="4"/>
  <c r="G1054" i="4"/>
  <c r="G1053" i="4"/>
  <c r="G1052" i="4"/>
  <c r="G1051" i="4"/>
  <c r="G1050" i="4"/>
  <c r="G1049" i="4"/>
  <c r="G1048" i="4"/>
  <c r="G1047" i="4"/>
  <c r="G1046" i="4"/>
  <c r="G1045" i="4"/>
  <c r="G1044" i="4"/>
  <c r="G1043" i="4"/>
  <c r="G1042" i="4"/>
  <c r="G1041" i="4"/>
  <c r="G1040" i="4"/>
  <c r="G1039" i="4"/>
  <c r="G1038" i="4"/>
  <c r="G1037" i="4"/>
  <c r="G1036" i="4"/>
  <c r="G1035" i="4"/>
  <c r="G1034" i="4"/>
  <c r="G1033" i="4"/>
  <c r="G1032" i="4"/>
  <c r="G1031" i="4"/>
  <c r="G1030" i="4"/>
  <c r="G1029" i="4"/>
  <c r="G1028" i="4"/>
  <c r="G1027" i="4"/>
  <c r="G1026" i="4"/>
  <c r="G1025" i="4"/>
  <c r="G1024" i="4"/>
  <c r="G1023" i="4"/>
  <c r="G1022" i="4"/>
  <c r="G1021" i="4"/>
  <c r="G1020" i="4"/>
  <c r="G1019" i="4"/>
  <c r="G1018" i="4"/>
  <c r="G1017" i="4"/>
  <c r="G1016" i="4"/>
  <c r="G1015" i="4"/>
  <c r="G1014" i="4"/>
  <c r="G1013" i="4"/>
  <c r="G1012" i="4"/>
  <c r="G1011" i="4"/>
  <c r="G1010" i="4"/>
  <c r="G1009" i="4"/>
  <c r="G1008" i="4"/>
  <c r="G1007" i="4"/>
  <c r="G1006" i="4"/>
  <c r="G1005" i="4"/>
  <c r="G1004" i="4"/>
  <c r="G1003" i="4"/>
  <c r="G1002" i="4"/>
  <c r="G1001" i="4"/>
  <c r="G1000" i="4"/>
  <c r="G999" i="4"/>
  <c r="G998" i="4"/>
  <c r="G997" i="4"/>
  <c r="G996" i="4"/>
  <c r="G995" i="4"/>
  <c r="G994" i="4"/>
  <c r="G993" i="4"/>
  <c r="G992" i="4"/>
  <c r="G991" i="4"/>
  <c r="G990" i="4"/>
  <c r="G989" i="4"/>
  <c r="G988" i="4"/>
  <c r="G987" i="4"/>
  <c r="G986" i="4"/>
  <c r="G985" i="4"/>
  <c r="G984" i="4"/>
  <c r="G983" i="4"/>
  <c r="G982" i="4"/>
  <c r="G981" i="4"/>
  <c r="G980" i="4"/>
  <c r="G979" i="4"/>
  <c r="G978" i="4"/>
  <c r="G977" i="4"/>
  <c r="G976" i="4"/>
  <c r="G975" i="4"/>
  <c r="G974" i="4"/>
  <c r="G973" i="4"/>
  <c r="G972" i="4"/>
  <c r="G971" i="4"/>
  <c r="G970" i="4"/>
  <c r="G969" i="4"/>
  <c r="G968" i="4"/>
  <c r="G967" i="4"/>
  <c r="G966" i="4"/>
  <c r="G965" i="4"/>
  <c r="G964" i="4"/>
  <c r="G963" i="4"/>
  <c r="G962" i="4"/>
  <c r="G961" i="4"/>
  <c r="G960" i="4"/>
  <c r="G959" i="4"/>
  <c r="G958" i="4"/>
  <c r="G957" i="4"/>
  <c r="G956" i="4"/>
  <c r="G955" i="4"/>
  <c r="G954" i="4"/>
  <c r="G953" i="4"/>
  <c r="G952" i="4"/>
  <c r="G951" i="4"/>
  <c r="G950" i="4"/>
  <c r="G949" i="4"/>
  <c r="G948" i="4"/>
  <c r="G947" i="4"/>
  <c r="G946" i="4"/>
  <c r="G945" i="4"/>
  <c r="G944" i="4"/>
  <c r="G943" i="4"/>
  <c r="G942" i="4"/>
  <c r="G941" i="4"/>
  <c r="G940" i="4"/>
  <c r="G939" i="4"/>
  <c r="G938" i="4"/>
  <c r="G937" i="4"/>
  <c r="G936" i="4"/>
  <c r="G935" i="4"/>
  <c r="G934" i="4"/>
  <c r="G933" i="4"/>
  <c r="G932" i="4"/>
  <c r="G931" i="4"/>
  <c r="G930" i="4"/>
  <c r="G929" i="4"/>
  <c r="G928" i="4"/>
  <c r="G927" i="4"/>
  <c r="G926" i="4"/>
  <c r="G925" i="4"/>
  <c r="G924" i="4"/>
  <c r="G923" i="4"/>
  <c r="G922" i="4"/>
  <c r="G921" i="4"/>
  <c r="G920" i="4"/>
  <c r="G919" i="4"/>
  <c r="G918" i="4"/>
  <c r="G917" i="4"/>
  <c r="G916" i="4"/>
  <c r="G915" i="4"/>
  <c r="G914" i="4"/>
  <c r="G913" i="4"/>
  <c r="G912" i="4"/>
  <c r="G911" i="4"/>
  <c r="G910" i="4"/>
  <c r="G909" i="4"/>
  <c r="G908" i="4"/>
  <c r="G907" i="4"/>
  <c r="G906" i="4"/>
  <c r="G905" i="4"/>
  <c r="G904" i="4"/>
  <c r="G903" i="4"/>
  <c r="G902" i="4"/>
  <c r="G901" i="4"/>
  <c r="G900" i="4"/>
  <c r="G899" i="4"/>
  <c r="G898" i="4"/>
  <c r="G897" i="4"/>
  <c r="G896" i="4"/>
  <c r="G895" i="4"/>
  <c r="G894" i="4"/>
  <c r="G893" i="4"/>
  <c r="G892" i="4"/>
  <c r="G891" i="4"/>
  <c r="G890" i="4"/>
  <c r="G889" i="4"/>
  <c r="G888" i="4"/>
  <c r="G887" i="4"/>
  <c r="G886" i="4"/>
  <c r="G885" i="4"/>
  <c r="G884" i="4"/>
  <c r="G883" i="4"/>
  <c r="G882" i="4"/>
  <c r="G881" i="4"/>
  <c r="G880" i="4"/>
  <c r="G879" i="4"/>
  <c r="G878" i="4"/>
  <c r="G877" i="4"/>
  <c r="G876" i="4"/>
  <c r="G875" i="4"/>
  <c r="G874" i="4"/>
  <c r="G873" i="4"/>
  <c r="G872" i="4"/>
  <c r="G871" i="4"/>
  <c r="G870" i="4"/>
  <c r="G869" i="4"/>
  <c r="G868" i="4"/>
  <c r="G867" i="4"/>
  <c r="G866" i="4"/>
  <c r="G865" i="4"/>
  <c r="G864" i="4"/>
  <c r="G863" i="4"/>
  <c r="G862" i="4"/>
  <c r="G861" i="4"/>
  <c r="G860" i="4"/>
  <c r="G859" i="4"/>
  <c r="G858" i="4"/>
  <c r="G857" i="4"/>
  <c r="G856" i="4"/>
  <c r="G855" i="4"/>
  <c r="G854" i="4"/>
  <c r="G853" i="4"/>
  <c r="G852" i="4"/>
  <c r="G851" i="4"/>
  <c r="G850" i="4"/>
  <c r="G849" i="4"/>
  <c r="G848" i="4"/>
  <c r="G847" i="4"/>
  <c r="G846" i="4"/>
  <c r="G845" i="4"/>
  <c r="G844" i="4"/>
  <c r="G843" i="4"/>
  <c r="G842" i="4"/>
  <c r="G841" i="4"/>
  <c r="G840" i="4"/>
  <c r="G839" i="4"/>
  <c r="G838" i="4"/>
  <c r="G837" i="4"/>
  <c r="G836" i="4"/>
  <c r="G835" i="4"/>
  <c r="G834" i="4"/>
  <c r="G833" i="4"/>
  <c r="G832" i="4"/>
  <c r="G831" i="4"/>
  <c r="G830" i="4"/>
  <c r="G829" i="4"/>
  <c r="G828" i="4"/>
  <c r="G827" i="4"/>
  <c r="G826" i="4"/>
  <c r="G825" i="4"/>
  <c r="G824" i="4"/>
  <c r="G823" i="4"/>
  <c r="G822" i="4"/>
  <c r="G821" i="4"/>
  <c r="G820" i="4"/>
  <c r="G819" i="4"/>
  <c r="G818" i="4"/>
  <c r="G817" i="4"/>
  <c r="G816" i="4"/>
  <c r="G815" i="4"/>
  <c r="G814" i="4"/>
  <c r="G813" i="4"/>
  <c r="G812" i="4"/>
  <c r="G811" i="4"/>
  <c r="G810" i="4"/>
  <c r="G809" i="4"/>
  <c r="G808" i="4"/>
  <c r="G807" i="4"/>
  <c r="G806" i="4"/>
  <c r="G805" i="4"/>
  <c r="G804" i="4"/>
  <c r="G803" i="4"/>
  <c r="G802" i="4"/>
  <c r="G801" i="4"/>
  <c r="G800" i="4"/>
  <c r="G799" i="4"/>
  <c r="G798" i="4"/>
  <c r="G797" i="4"/>
  <c r="G796" i="4"/>
  <c r="G795" i="4"/>
  <c r="G794" i="4"/>
  <c r="G793" i="4"/>
  <c r="G792" i="4"/>
  <c r="G791" i="4"/>
  <c r="G790" i="4"/>
  <c r="G789" i="4"/>
  <c r="G788" i="4"/>
  <c r="G787" i="4"/>
  <c r="G786" i="4"/>
  <c r="G785" i="4"/>
  <c r="G784" i="4"/>
  <c r="G783" i="4"/>
  <c r="G782" i="4"/>
  <c r="G781" i="4"/>
  <c r="G780" i="4"/>
  <c r="G779" i="4"/>
  <c r="G778" i="4"/>
  <c r="G777" i="4"/>
  <c r="G776" i="4"/>
  <c r="G775" i="4"/>
  <c r="G774" i="4"/>
  <c r="G773" i="4"/>
  <c r="G772" i="4"/>
  <c r="G771" i="4"/>
  <c r="G770" i="4"/>
  <c r="G769" i="4"/>
  <c r="G768" i="4"/>
  <c r="G767" i="4"/>
  <c r="G766" i="4"/>
  <c r="G765" i="4"/>
  <c r="G764" i="4"/>
  <c r="G763" i="4"/>
  <c r="G762" i="4"/>
  <c r="G761" i="4"/>
  <c r="G760" i="4"/>
  <c r="G759" i="4"/>
  <c r="G758" i="4"/>
  <c r="G757" i="4"/>
  <c r="G756" i="4"/>
  <c r="G755" i="4"/>
  <c r="G754" i="4"/>
  <c r="G753" i="4"/>
  <c r="G752" i="4"/>
  <c r="G751" i="4"/>
  <c r="G750" i="4"/>
  <c r="G749" i="4"/>
  <c r="G748" i="4"/>
  <c r="G747" i="4"/>
  <c r="G746" i="4"/>
  <c r="G745" i="4"/>
  <c r="G744" i="4"/>
  <c r="G743" i="4"/>
  <c r="G742" i="4"/>
  <c r="G741" i="4"/>
  <c r="G740" i="4"/>
  <c r="G739" i="4"/>
  <c r="G738" i="4"/>
  <c r="G737" i="4"/>
  <c r="G736" i="4"/>
  <c r="G735" i="4"/>
  <c r="G734" i="4"/>
  <c r="G733" i="4"/>
  <c r="G732" i="4"/>
  <c r="G731" i="4"/>
  <c r="G730" i="4"/>
  <c r="G729" i="4"/>
  <c r="G728" i="4"/>
  <c r="G727" i="4"/>
  <c r="G726" i="4"/>
  <c r="G725" i="4"/>
  <c r="G724" i="4"/>
  <c r="G723" i="4"/>
  <c r="G722" i="4"/>
  <c r="G721" i="4"/>
  <c r="G720" i="4"/>
  <c r="G719" i="4"/>
  <c r="G718" i="4"/>
  <c r="G717" i="4"/>
  <c r="G716" i="4"/>
  <c r="G715" i="4"/>
  <c r="G714" i="4"/>
  <c r="G713" i="4"/>
  <c r="G712" i="4"/>
  <c r="G711" i="4"/>
  <c r="G710" i="4"/>
  <c r="G709" i="4"/>
  <c r="G708" i="4"/>
  <c r="G707" i="4"/>
  <c r="G706" i="4"/>
  <c r="G705" i="4"/>
  <c r="G704" i="4"/>
  <c r="G703" i="4"/>
  <c r="G702" i="4"/>
  <c r="G701" i="4"/>
  <c r="G700" i="4"/>
  <c r="G699" i="4"/>
  <c r="G698" i="4"/>
  <c r="G697" i="4"/>
  <c r="G696" i="4"/>
  <c r="G695" i="4"/>
  <c r="G694" i="4"/>
  <c r="G693" i="4"/>
  <c r="G692" i="4"/>
  <c r="G691" i="4"/>
  <c r="G690" i="4"/>
  <c r="G689" i="4"/>
  <c r="G688" i="4"/>
  <c r="G687" i="4"/>
  <c r="G686" i="4"/>
  <c r="G685" i="4"/>
  <c r="G684" i="4"/>
  <c r="G683" i="4"/>
  <c r="G682" i="4"/>
  <c r="G681" i="4"/>
  <c r="G680" i="4"/>
  <c r="G679" i="4"/>
  <c r="G678" i="4"/>
  <c r="G677" i="4"/>
  <c r="G676" i="4"/>
  <c r="G675" i="4"/>
  <c r="G674" i="4"/>
  <c r="G673" i="4"/>
  <c r="G672" i="4"/>
  <c r="G671" i="4"/>
  <c r="G670" i="4"/>
  <c r="G669" i="4"/>
  <c r="G668" i="4"/>
  <c r="G667" i="4"/>
  <c r="G666" i="4"/>
  <c r="G665" i="4"/>
  <c r="G664" i="4"/>
  <c r="G663" i="4"/>
  <c r="G662" i="4"/>
  <c r="G661" i="4"/>
  <c r="G660" i="4"/>
  <c r="G659" i="4"/>
  <c r="G658" i="4"/>
  <c r="G657" i="4"/>
  <c r="G656" i="4"/>
  <c r="G655" i="4"/>
  <c r="G654" i="4"/>
  <c r="G653" i="4"/>
  <c r="G652" i="4"/>
  <c r="G651" i="4"/>
  <c r="G650" i="4"/>
  <c r="G649" i="4"/>
  <c r="G648" i="4"/>
  <c r="G647" i="4"/>
  <c r="G646" i="4"/>
  <c r="G645" i="4"/>
  <c r="G644" i="4"/>
  <c r="G643" i="4"/>
  <c r="G642" i="4"/>
  <c r="G641" i="4"/>
  <c r="G640" i="4"/>
  <c r="G639" i="4"/>
  <c r="G638" i="4"/>
  <c r="G637" i="4"/>
  <c r="G636" i="4"/>
  <c r="G635" i="4"/>
  <c r="G634" i="4"/>
  <c r="G633" i="4"/>
  <c r="G632" i="4"/>
  <c r="G631" i="4"/>
  <c r="G630" i="4"/>
  <c r="G629" i="4"/>
  <c r="G628" i="4"/>
  <c r="G627" i="4"/>
  <c r="G626" i="4"/>
  <c r="G625" i="4"/>
  <c r="G624" i="4"/>
  <c r="G623" i="4"/>
  <c r="G622" i="4"/>
  <c r="G621" i="4"/>
  <c r="G620" i="4"/>
  <c r="G619" i="4"/>
  <c r="G618" i="4"/>
  <c r="G617" i="4"/>
  <c r="G616" i="4"/>
  <c r="G615" i="4"/>
  <c r="G614" i="4"/>
  <c r="G613" i="4"/>
  <c r="G612" i="4"/>
  <c r="G611" i="4"/>
  <c r="G610" i="4"/>
  <c r="G609" i="4"/>
  <c r="G608" i="4"/>
  <c r="G607" i="4"/>
  <c r="G606" i="4"/>
  <c r="G605" i="4"/>
  <c r="G604" i="4"/>
  <c r="G603" i="4"/>
  <c r="G602" i="4"/>
  <c r="G601" i="4"/>
  <c r="G600" i="4"/>
  <c r="G599" i="4"/>
  <c r="G598" i="4"/>
  <c r="G597" i="4"/>
  <c r="G596" i="4"/>
  <c r="G595" i="4"/>
  <c r="G594" i="4"/>
  <c r="G593" i="4"/>
  <c r="G592" i="4"/>
  <c r="G591" i="4"/>
  <c r="G590" i="4"/>
  <c r="G589" i="4"/>
  <c r="G588" i="4"/>
  <c r="G587" i="4"/>
  <c r="G586" i="4"/>
  <c r="G585" i="4"/>
  <c r="G584" i="4"/>
  <c r="G583" i="4"/>
  <c r="G582" i="4"/>
  <c r="G581" i="4"/>
  <c r="G580" i="4"/>
  <c r="G579" i="4"/>
  <c r="G578" i="4"/>
  <c r="G577" i="4"/>
  <c r="G576" i="4"/>
  <c r="G575" i="4"/>
  <c r="G574" i="4"/>
  <c r="G573" i="4"/>
  <c r="G572" i="4"/>
  <c r="G571" i="4"/>
  <c r="G570" i="4"/>
  <c r="G569" i="4"/>
  <c r="G568" i="4"/>
  <c r="G567" i="4"/>
  <c r="G566" i="4"/>
  <c r="G565" i="4"/>
  <c r="G564" i="4"/>
  <c r="G563" i="4"/>
  <c r="G562" i="4"/>
  <c r="G561" i="4"/>
  <c r="G560" i="4"/>
  <c r="G559" i="4"/>
  <c r="G558" i="4"/>
  <c r="G557" i="4"/>
  <c r="G556" i="4"/>
  <c r="G555" i="4"/>
  <c r="G554" i="4"/>
  <c r="G553" i="4"/>
  <c r="G552" i="4"/>
  <c r="G551" i="4"/>
  <c r="G550" i="4"/>
  <c r="G549" i="4"/>
  <c r="G548" i="4"/>
  <c r="G547" i="4"/>
  <c r="G546" i="4"/>
  <c r="G545" i="4"/>
  <c r="G544" i="4"/>
  <c r="G543" i="4"/>
  <c r="G542" i="4"/>
  <c r="G541" i="4"/>
  <c r="G540" i="4"/>
  <c r="G539" i="4"/>
  <c r="G538" i="4"/>
  <c r="G537" i="4"/>
  <c r="G536" i="4"/>
  <c r="G535" i="4"/>
  <c r="G534" i="4"/>
  <c r="G533" i="4"/>
  <c r="G532" i="4"/>
  <c r="G531" i="4"/>
  <c r="G530" i="4"/>
  <c r="G529" i="4"/>
  <c r="G528" i="4"/>
  <c r="G527" i="4"/>
  <c r="G526" i="4"/>
  <c r="G525" i="4"/>
  <c r="G524" i="4"/>
  <c r="G523" i="4"/>
  <c r="G522" i="4"/>
  <c r="G521" i="4"/>
  <c r="G520" i="4"/>
  <c r="G519" i="4"/>
  <c r="G518" i="4"/>
  <c r="G517" i="4"/>
  <c r="G516" i="4"/>
  <c r="G515" i="4"/>
  <c r="G514" i="4"/>
  <c r="G513" i="4"/>
  <c r="G512" i="4"/>
  <c r="G511" i="4"/>
  <c r="G510" i="4"/>
  <c r="G509" i="4"/>
  <c r="G508" i="4"/>
  <c r="G507" i="4"/>
  <c r="G506" i="4"/>
  <c r="G505" i="4"/>
  <c r="G504" i="4"/>
  <c r="G503" i="4"/>
  <c r="G502" i="4"/>
  <c r="G501" i="4"/>
  <c r="G500" i="4"/>
  <c r="G499" i="4"/>
  <c r="G498" i="4"/>
  <c r="G497" i="4"/>
  <c r="G496" i="4"/>
  <c r="G495" i="4"/>
  <c r="G494" i="4"/>
  <c r="G493" i="4"/>
  <c r="G492" i="4"/>
  <c r="G491" i="4"/>
  <c r="G490" i="4"/>
  <c r="G489" i="4"/>
  <c r="G488" i="4"/>
  <c r="G487" i="4"/>
  <c r="G486" i="4"/>
  <c r="G485" i="4"/>
  <c r="G484" i="4"/>
  <c r="G483" i="4"/>
  <c r="G482" i="4"/>
  <c r="G481" i="4"/>
  <c r="G480" i="4"/>
  <c r="G479" i="4"/>
  <c r="G478" i="4"/>
  <c r="G477" i="4"/>
  <c r="G476" i="4"/>
  <c r="G475" i="4"/>
  <c r="G474" i="4"/>
  <c r="G473" i="4"/>
  <c r="G472" i="4"/>
  <c r="G471" i="4"/>
  <c r="G470" i="4"/>
  <c r="G469" i="4"/>
  <c r="G468" i="4"/>
  <c r="G467" i="4"/>
  <c r="G466" i="4"/>
  <c r="G465" i="4"/>
  <c r="G464" i="4"/>
  <c r="G463" i="4"/>
  <c r="G462" i="4"/>
  <c r="G461" i="4"/>
  <c r="G460" i="4"/>
  <c r="G459" i="4"/>
  <c r="G458" i="4"/>
  <c r="G457" i="4"/>
  <c r="G456" i="4"/>
  <c r="G455" i="4"/>
  <c r="G454" i="4"/>
  <c r="G453" i="4"/>
  <c r="G452" i="4"/>
  <c r="G451" i="4"/>
  <c r="G450" i="4"/>
  <c r="G449" i="4"/>
  <c r="G448" i="4"/>
  <c r="G447" i="4"/>
  <c r="G446" i="4"/>
  <c r="G445" i="4"/>
  <c r="G444" i="4"/>
  <c r="G443" i="4"/>
  <c r="G442" i="4"/>
  <c r="G441" i="4"/>
  <c r="G440" i="4"/>
  <c r="G439" i="4"/>
  <c r="G438" i="4"/>
  <c r="G437" i="4"/>
  <c r="G436" i="4"/>
  <c r="G435" i="4"/>
  <c r="G434" i="4"/>
  <c r="G433" i="4"/>
  <c r="G432" i="4"/>
  <c r="G431" i="4"/>
  <c r="G430" i="4"/>
  <c r="G429" i="4"/>
  <c r="G428" i="4"/>
  <c r="G427" i="4"/>
  <c r="G426" i="4"/>
  <c r="G425" i="4"/>
  <c r="G424" i="4"/>
  <c r="G423" i="4"/>
  <c r="G422" i="4"/>
  <c r="G421" i="4"/>
  <c r="G420" i="4"/>
  <c r="G419" i="4"/>
  <c r="G418" i="4"/>
  <c r="G417" i="4"/>
  <c r="G416" i="4"/>
  <c r="G415" i="4"/>
  <c r="G414" i="4"/>
  <c r="G413" i="4"/>
  <c r="G412" i="4"/>
  <c r="G411" i="4"/>
  <c r="G410" i="4"/>
  <c r="G409" i="4"/>
  <c r="G408" i="4"/>
  <c r="G407" i="4"/>
  <c r="G406" i="4"/>
  <c r="G405" i="4"/>
  <c r="G404" i="4"/>
  <c r="G403" i="4"/>
  <c r="G402" i="4"/>
  <c r="G401" i="4"/>
  <c r="G400" i="4"/>
  <c r="G399" i="4"/>
  <c r="G398" i="4"/>
  <c r="G397" i="4"/>
  <c r="G396" i="4"/>
  <c r="G395" i="4"/>
  <c r="G394" i="4"/>
  <c r="G393" i="4"/>
  <c r="G392" i="4"/>
  <c r="G391" i="4"/>
  <c r="G390" i="4"/>
  <c r="G389" i="4"/>
  <c r="G388" i="4"/>
  <c r="G387" i="4"/>
  <c r="G386" i="4"/>
  <c r="G385" i="4"/>
  <c r="G384" i="4"/>
  <c r="G383" i="4"/>
  <c r="G382" i="4"/>
  <c r="G381" i="4"/>
  <c r="G380" i="4"/>
  <c r="G379" i="4"/>
  <c r="G378" i="4"/>
  <c r="G377" i="4"/>
  <c r="G376" i="4"/>
  <c r="G375" i="4"/>
  <c r="G374" i="4"/>
  <c r="G373" i="4"/>
  <c r="G372" i="4"/>
  <c r="G371" i="4"/>
  <c r="G370" i="4"/>
  <c r="G369" i="4"/>
  <c r="G368" i="4"/>
  <c r="G367" i="4"/>
  <c r="G366" i="4"/>
  <c r="G365" i="4"/>
  <c r="G364" i="4"/>
  <c r="G363" i="4"/>
  <c r="G362" i="4"/>
  <c r="G361" i="4"/>
  <c r="G360" i="4"/>
  <c r="G359" i="4"/>
  <c r="G358" i="4"/>
  <c r="G357" i="4"/>
  <c r="G356" i="4"/>
  <c r="G355" i="4"/>
  <c r="G354" i="4"/>
  <c r="G353" i="4"/>
  <c r="G352" i="4"/>
  <c r="G351" i="4"/>
  <c r="G350" i="4"/>
  <c r="G349" i="4"/>
  <c r="G348" i="4"/>
  <c r="G347" i="4"/>
  <c r="G346" i="4"/>
  <c r="G345" i="4"/>
  <c r="G344" i="4"/>
  <c r="G343" i="4"/>
  <c r="G342" i="4"/>
  <c r="G341" i="4"/>
  <c r="G340" i="4"/>
  <c r="G339" i="4"/>
  <c r="G338" i="4"/>
  <c r="G337" i="4"/>
  <c r="G336" i="4"/>
  <c r="G335" i="4"/>
  <c r="G334" i="4"/>
  <c r="G333" i="4"/>
  <c r="G332" i="4"/>
  <c r="G331" i="4"/>
  <c r="G330" i="4"/>
  <c r="G329" i="4"/>
  <c r="G328" i="4"/>
  <c r="G327" i="4"/>
  <c r="G326" i="4"/>
  <c r="G325" i="4"/>
  <c r="G324" i="4"/>
  <c r="G323" i="4"/>
  <c r="G322" i="4"/>
  <c r="G321" i="4"/>
  <c r="G320" i="4"/>
  <c r="G319" i="4"/>
  <c r="G318" i="4"/>
  <c r="G317" i="4"/>
  <c r="G316" i="4"/>
  <c r="G315" i="4"/>
  <c r="G314" i="4"/>
  <c r="G313" i="4"/>
  <c r="G312" i="4"/>
  <c r="G311" i="4"/>
  <c r="G310" i="4"/>
  <c r="G309" i="4"/>
  <c r="G308" i="4"/>
  <c r="G307" i="4"/>
  <c r="G306" i="4"/>
  <c r="G305" i="4"/>
  <c r="G304" i="4"/>
  <c r="G303" i="4"/>
  <c r="G302" i="4"/>
  <c r="G301" i="4"/>
  <c r="G300" i="4"/>
  <c r="G299" i="4"/>
  <c r="G298" i="4"/>
  <c r="G297" i="4"/>
  <c r="G296" i="4"/>
  <c r="G295" i="4"/>
  <c r="G294" i="4"/>
  <c r="G293" i="4"/>
  <c r="G292" i="4"/>
  <c r="G291" i="4"/>
  <c r="G290" i="4"/>
  <c r="G289" i="4"/>
  <c r="G288" i="4"/>
  <c r="G287" i="4"/>
  <c r="G286" i="4"/>
  <c r="G285" i="4"/>
  <c r="G284" i="4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39" i="4"/>
  <c r="G238" i="4"/>
  <c r="G237" i="4"/>
  <c r="G236" i="4"/>
  <c r="G235" i="4"/>
  <c r="G234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21" i="4"/>
  <c r="G220" i="4"/>
  <c r="G219" i="4"/>
  <c r="G218" i="4"/>
  <c r="G217" i="4"/>
  <c r="G216" i="4"/>
  <c r="G215" i="4"/>
  <c r="G214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3" i="4"/>
  <c r="G192" i="4"/>
  <c r="G191" i="4"/>
  <c r="G190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J1674" i="1"/>
  <c r="I1674" i="1"/>
  <c r="G1674" i="1"/>
  <c r="J1673" i="1"/>
  <c r="I1673" i="1"/>
  <c r="G1673" i="1"/>
  <c r="J1672" i="1"/>
  <c r="I1672" i="1"/>
  <c r="G1672" i="1"/>
  <c r="J1671" i="1"/>
  <c r="I1671" i="1"/>
  <c r="G1671" i="1"/>
  <c r="J1670" i="1"/>
  <c r="I1670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J1458" i="1"/>
  <c r="I1458" i="1"/>
  <c r="G1458" i="1"/>
  <c r="J1457" i="1"/>
  <c r="I1457" i="1"/>
  <c r="G1457" i="1"/>
  <c r="J1456" i="1"/>
  <c r="I1456" i="1"/>
  <c r="G1456" i="1"/>
  <c r="J1455" i="1"/>
  <c r="I1455" i="1"/>
  <c r="G1455" i="1"/>
  <c r="J1454" i="1"/>
  <c r="I1454" i="1"/>
  <c r="G1454" i="1"/>
  <c r="J1453" i="1"/>
  <c r="I1453" i="1"/>
  <c r="G1453" i="1"/>
  <c r="J1452" i="1"/>
  <c r="I1452" i="1"/>
  <c r="G1452" i="1"/>
  <c r="J1451" i="1"/>
  <c r="I1451" i="1"/>
  <c r="G1451" i="1"/>
  <c r="J1450" i="1"/>
  <c r="I1450" i="1"/>
  <c r="G1450" i="1"/>
  <c r="J1449" i="1"/>
  <c r="I1449" i="1"/>
  <c r="G1449" i="1"/>
  <c r="J1448" i="1"/>
  <c r="I1448" i="1"/>
  <c r="G1448" i="1"/>
  <c r="J1447" i="1"/>
  <c r="I1447" i="1"/>
  <c r="G1447" i="1"/>
  <c r="J1446" i="1"/>
  <c r="I1446" i="1"/>
  <c r="G1446" i="1"/>
  <c r="J1445" i="1"/>
  <c r="I1445" i="1"/>
  <c r="G1445" i="1"/>
  <c r="J1444" i="1"/>
  <c r="I1444" i="1"/>
  <c r="G1444" i="1"/>
  <c r="J1443" i="1"/>
  <c r="I1443" i="1"/>
  <c r="G1443" i="1"/>
  <c r="J1442" i="1"/>
  <c r="I1442" i="1"/>
  <c r="G1442" i="1"/>
  <c r="J1441" i="1"/>
  <c r="I1441" i="1"/>
  <c r="G1441" i="1"/>
  <c r="J1440" i="1"/>
  <c r="I1440" i="1"/>
  <c r="G1440" i="1"/>
  <c r="J1439" i="1"/>
  <c r="I1439" i="1"/>
  <c r="G1439" i="1"/>
  <c r="J1438" i="1"/>
  <c r="I1438" i="1"/>
  <c r="G1438" i="1"/>
  <c r="J1437" i="1"/>
  <c r="I1437" i="1"/>
  <c r="G1437" i="1"/>
  <c r="J1436" i="1"/>
  <c r="I1436" i="1"/>
  <c r="G1436" i="1"/>
  <c r="J1435" i="1"/>
  <c r="I1435" i="1"/>
  <c r="G1435" i="1"/>
  <c r="J1434" i="1"/>
  <c r="I1434" i="1"/>
  <c r="G1434" i="1"/>
  <c r="J1433" i="1"/>
  <c r="I1433" i="1"/>
  <c r="G1433" i="1"/>
  <c r="J1432" i="1"/>
  <c r="I1432" i="1"/>
  <c r="G1432" i="1"/>
  <c r="J1431" i="1"/>
  <c r="I1431" i="1"/>
  <c r="G1431" i="1"/>
  <c r="J1430" i="1"/>
  <c r="I1430" i="1"/>
  <c r="G1430" i="1"/>
  <c r="J1429" i="1"/>
  <c r="I1429" i="1"/>
  <c r="G1429" i="1"/>
  <c r="J1428" i="1"/>
  <c r="I1428" i="1"/>
  <c r="G1428" i="1"/>
  <c r="J1427" i="1"/>
  <c r="I1427" i="1"/>
  <c r="G1427" i="1"/>
  <c r="J1426" i="1"/>
  <c r="I1426" i="1"/>
  <c r="G1426" i="1"/>
  <c r="J1425" i="1"/>
  <c r="I1425" i="1"/>
  <c r="G1425" i="1"/>
  <c r="J1424" i="1"/>
  <c r="I1424" i="1"/>
  <c r="G1424" i="1"/>
  <c r="J1423" i="1"/>
  <c r="I1423" i="1"/>
  <c r="G1423" i="1"/>
  <c r="J1422" i="1"/>
  <c r="I1422" i="1"/>
  <c r="G1422" i="1"/>
  <c r="J1421" i="1"/>
  <c r="I1421" i="1"/>
  <c r="G1421" i="1"/>
  <c r="J1420" i="1"/>
  <c r="I1420" i="1"/>
  <c r="G1420" i="1"/>
  <c r="J1419" i="1"/>
  <c r="I1419" i="1"/>
  <c r="G1419" i="1"/>
  <c r="J1418" i="1"/>
  <c r="I1418" i="1"/>
  <c r="G1418" i="1"/>
  <c r="J1417" i="1"/>
  <c r="I1417" i="1"/>
  <c r="G1417" i="1"/>
  <c r="J1416" i="1"/>
  <c r="I1416" i="1"/>
  <c r="G1416" i="1"/>
  <c r="J1415" i="1"/>
  <c r="I1415" i="1"/>
  <c r="G1415" i="1"/>
  <c r="J1414" i="1"/>
  <c r="I1414" i="1"/>
  <c r="G1414" i="1"/>
  <c r="J1413" i="1"/>
  <c r="I1413" i="1"/>
  <c r="G1413" i="1"/>
  <c r="J1412" i="1"/>
  <c r="I1412" i="1"/>
  <c r="G1412" i="1"/>
  <c r="J1411" i="1"/>
  <c r="I1411" i="1"/>
  <c r="G1411" i="1"/>
  <c r="J1410" i="1"/>
  <c r="I1410" i="1"/>
  <c r="G1410" i="1"/>
  <c r="J1409" i="1"/>
  <c r="I1409" i="1"/>
  <c r="G1409" i="1"/>
  <c r="J1408" i="1"/>
  <c r="I1408" i="1"/>
  <c r="G1408" i="1"/>
  <c r="J1407" i="1"/>
  <c r="I1407" i="1"/>
  <c r="G1407" i="1"/>
  <c r="J1406" i="1"/>
  <c r="I1406" i="1"/>
  <c r="G1406" i="1"/>
  <c r="J1405" i="1"/>
  <c r="I1405" i="1"/>
  <c r="G1405" i="1"/>
  <c r="J1404" i="1"/>
  <c r="I1404" i="1"/>
  <c r="G1404" i="1"/>
  <c r="J1403" i="1"/>
  <c r="I1403" i="1"/>
  <c r="G1403" i="1"/>
  <c r="J1402" i="1"/>
  <c r="I1402" i="1"/>
  <c r="G1402" i="1"/>
  <c r="J1401" i="1"/>
  <c r="I1401" i="1"/>
  <c r="G1401" i="1"/>
  <c r="J1400" i="1"/>
  <c r="I1400" i="1"/>
  <c r="G1400" i="1"/>
  <c r="J1399" i="1"/>
  <c r="I1399" i="1"/>
  <c r="G1399" i="1"/>
  <c r="J1398" i="1"/>
  <c r="I1398" i="1"/>
  <c r="G1398" i="1"/>
  <c r="J1397" i="1"/>
  <c r="I1397" i="1"/>
  <c r="G1397" i="1"/>
  <c r="J1396" i="1"/>
  <c r="I1396" i="1"/>
  <c r="G1396" i="1"/>
  <c r="J1395" i="1"/>
  <c r="I1395" i="1"/>
  <c r="G1395" i="1"/>
  <c r="J1394" i="1"/>
  <c r="I1394" i="1"/>
  <c r="G1394" i="1"/>
  <c r="J1393" i="1"/>
  <c r="I1393" i="1"/>
  <c r="G1393" i="1"/>
  <c r="J1392" i="1"/>
  <c r="I1392" i="1"/>
  <c r="G1392" i="1"/>
  <c r="J1391" i="1"/>
  <c r="I1391" i="1"/>
  <c r="G1391" i="1"/>
  <c r="J1390" i="1"/>
  <c r="I1390" i="1"/>
  <c r="G1390" i="1"/>
  <c r="J1389" i="1"/>
  <c r="I1389" i="1"/>
  <c r="G1389" i="1"/>
  <c r="J1388" i="1"/>
  <c r="I1388" i="1"/>
  <c r="G1388" i="1"/>
  <c r="J1387" i="1"/>
  <c r="I1387" i="1"/>
  <c r="G1387" i="1"/>
  <c r="J1386" i="1"/>
  <c r="I1386" i="1"/>
  <c r="G1386" i="1"/>
  <c r="J1385" i="1"/>
  <c r="I1385" i="1"/>
  <c r="G1385" i="1"/>
  <c r="J1384" i="1"/>
  <c r="I1384" i="1"/>
  <c r="G1384" i="1"/>
  <c r="J1383" i="1"/>
  <c r="I1383" i="1"/>
  <c r="G1383" i="1"/>
  <c r="J1382" i="1"/>
  <c r="I1382" i="1"/>
  <c r="G1382" i="1"/>
  <c r="J1381" i="1"/>
  <c r="I1381" i="1"/>
  <c r="G1381" i="1"/>
  <c r="J1380" i="1"/>
  <c r="I1380" i="1"/>
  <c r="G1380" i="1"/>
  <c r="J1379" i="1"/>
  <c r="I1379" i="1"/>
  <c r="G1379" i="1"/>
  <c r="J1378" i="1"/>
  <c r="I1378" i="1"/>
  <c r="G1378" i="1"/>
  <c r="J1377" i="1"/>
  <c r="I1377" i="1"/>
  <c r="G1377" i="1"/>
  <c r="J1376" i="1"/>
  <c r="I1376" i="1"/>
  <c r="G1376" i="1"/>
  <c r="J1375" i="1"/>
  <c r="I1375" i="1"/>
  <c r="G1375" i="1"/>
  <c r="J1374" i="1"/>
  <c r="I1374" i="1"/>
  <c r="G1374" i="1"/>
  <c r="J1373" i="1"/>
  <c r="I1373" i="1"/>
  <c r="G1373" i="1"/>
  <c r="J1372" i="1"/>
  <c r="I1372" i="1"/>
  <c r="G1372" i="1"/>
  <c r="J1371" i="1"/>
  <c r="I1371" i="1"/>
  <c r="G1371" i="1"/>
  <c r="J1370" i="1"/>
  <c r="I1370" i="1"/>
  <c r="G1370" i="1"/>
  <c r="J1369" i="1"/>
  <c r="I1369" i="1"/>
  <c r="G1369" i="1"/>
  <c r="J1368" i="1"/>
  <c r="I1368" i="1"/>
  <c r="G1368" i="1"/>
  <c r="J1367" i="1"/>
  <c r="I1367" i="1"/>
  <c r="G1367" i="1"/>
  <c r="J1366" i="1"/>
  <c r="I1366" i="1"/>
  <c r="G1366" i="1"/>
  <c r="J1365" i="1"/>
  <c r="I1365" i="1"/>
  <c r="G1365" i="1"/>
  <c r="J1364" i="1"/>
  <c r="I1364" i="1"/>
  <c r="G1364" i="1"/>
  <c r="J1363" i="1"/>
  <c r="I1363" i="1"/>
  <c r="G1363" i="1"/>
  <c r="J1362" i="1"/>
  <c r="I1362" i="1"/>
  <c r="G1362" i="1"/>
  <c r="J1361" i="1"/>
  <c r="I1361" i="1"/>
  <c r="G1361" i="1"/>
  <c r="J1360" i="1"/>
  <c r="I1360" i="1"/>
  <c r="G1360" i="1"/>
  <c r="J1359" i="1"/>
  <c r="I1359" i="1"/>
  <c r="G1359" i="1"/>
  <c r="J1358" i="1"/>
  <c r="I1358" i="1"/>
  <c r="G1358" i="1"/>
  <c r="J1357" i="1"/>
  <c r="I1357" i="1"/>
  <c r="G1357" i="1"/>
  <c r="J1356" i="1"/>
  <c r="I1356" i="1"/>
  <c r="G1356" i="1"/>
  <c r="J1355" i="1"/>
  <c r="I1355" i="1"/>
  <c r="G1355" i="1"/>
  <c r="J1354" i="1"/>
  <c r="I1354" i="1"/>
  <c r="G1354" i="1"/>
  <c r="J1353" i="1"/>
  <c r="I1353" i="1"/>
  <c r="G1353" i="1"/>
  <c r="J1352" i="1"/>
  <c r="I1352" i="1"/>
  <c r="G1352" i="1"/>
  <c r="J1351" i="1"/>
  <c r="I1351" i="1"/>
  <c r="G1351" i="1"/>
  <c r="J1350" i="1"/>
  <c r="I1350" i="1"/>
  <c r="G1350" i="1"/>
  <c r="J1349" i="1"/>
  <c r="I1349" i="1"/>
  <c r="G1349" i="1"/>
  <c r="J1348" i="1"/>
  <c r="I1348" i="1"/>
  <c r="G1348" i="1"/>
  <c r="J1347" i="1"/>
  <c r="I1347" i="1"/>
  <c r="G1347" i="1"/>
  <c r="J1346" i="1"/>
  <c r="I1346" i="1"/>
  <c r="G1346" i="1"/>
  <c r="J1345" i="1"/>
  <c r="I1345" i="1"/>
  <c r="G1345" i="1"/>
  <c r="J1344" i="1"/>
  <c r="I1344" i="1"/>
  <c r="G1344" i="1"/>
  <c r="J1343" i="1"/>
  <c r="I1343" i="1"/>
  <c r="G1343" i="1"/>
  <c r="J1342" i="1"/>
  <c r="I1342" i="1"/>
  <c r="G1342" i="1"/>
  <c r="J1341" i="1"/>
  <c r="I1341" i="1"/>
  <c r="G1341" i="1"/>
  <c r="J1340" i="1"/>
  <c r="I1340" i="1"/>
  <c r="G1340" i="1"/>
  <c r="J1339" i="1"/>
  <c r="I1339" i="1"/>
  <c r="G1339" i="1"/>
  <c r="J1338" i="1"/>
  <c r="I1338" i="1"/>
  <c r="G1338" i="1"/>
  <c r="J1337" i="1"/>
  <c r="I1337" i="1"/>
  <c r="G1337" i="1"/>
  <c r="J1336" i="1"/>
  <c r="I1336" i="1"/>
  <c r="G1336" i="1"/>
  <c r="J1335" i="1"/>
  <c r="I1335" i="1"/>
  <c r="G1335" i="1"/>
  <c r="J1334" i="1"/>
  <c r="I1334" i="1"/>
  <c r="G1334" i="1"/>
  <c r="J1333" i="1"/>
  <c r="I1333" i="1"/>
  <c r="G1333" i="1"/>
  <c r="J1332" i="1"/>
  <c r="I1332" i="1"/>
  <c r="G1332" i="1"/>
  <c r="J1331" i="1"/>
  <c r="I1331" i="1"/>
  <c r="G1331" i="1"/>
  <c r="J1330" i="1"/>
  <c r="I1330" i="1"/>
  <c r="G1330" i="1"/>
  <c r="J1329" i="1"/>
  <c r="I1329" i="1"/>
  <c r="G1329" i="1"/>
  <c r="J1328" i="1"/>
  <c r="I1328" i="1"/>
  <c r="G1328" i="1"/>
  <c r="J1327" i="1"/>
  <c r="I1327" i="1"/>
  <c r="G1327" i="1"/>
  <c r="J1326" i="1"/>
  <c r="I1326" i="1"/>
  <c r="G1326" i="1"/>
  <c r="J1325" i="1"/>
  <c r="I1325" i="1"/>
  <c r="G1325" i="1"/>
  <c r="J1324" i="1"/>
  <c r="I1324" i="1"/>
  <c r="G1324" i="1"/>
  <c r="J1323" i="1"/>
  <c r="I1323" i="1"/>
  <c r="G1323" i="1"/>
  <c r="J1322" i="1"/>
  <c r="I1322" i="1"/>
  <c r="G1322" i="1"/>
  <c r="J1321" i="1"/>
  <c r="I1321" i="1"/>
  <c r="G1321" i="1"/>
  <c r="J1320" i="1"/>
  <c r="I1320" i="1"/>
  <c r="G1320" i="1"/>
  <c r="J1319" i="1"/>
  <c r="I1319" i="1"/>
  <c r="G1319" i="1"/>
  <c r="J1318" i="1"/>
  <c r="I1318" i="1"/>
  <c r="G1318" i="1"/>
  <c r="J1317" i="1"/>
  <c r="I1317" i="1"/>
  <c r="G1317" i="1"/>
  <c r="J1316" i="1"/>
  <c r="I1316" i="1"/>
  <c r="G1316" i="1"/>
  <c r="J1315" i="1"/>
  <c r="I1315" i="1"/>
  <c r="G1315" i="1"/>
  <c r="J1314" i="1"/>
  <c r="I1314" i="1"/>
  <c r="G1314" i="1"/>
  <c r="J1313" i="1"/>
  <c r="I1313" i="1"/>
  <c r="G1313" i="1"/>
  <c r="J1312" i="1"/>
  <c r="I1312" i="1"/>
  <c r="G1312" i="1"/>
  <c r="J1311" i="1"/>
  <c r="I1311" i="1"/>
  <c r="G1311" i="1"/>
  <c r="J1310" i="1"/>
  <c r="I1310" i="1"/>
  <c r="G1310" i="1"/>
  <c r="J1309" i="1"/>
  <c r="I1309" i="1"/>
  <c r="G1309" i="1"/>
  <c r="J1308" i="1"/>
  <c r="I1308" i="1"/>
  <c r="G1308" i="1"/>
  <c r="J1307" i="1"/>
  <c r="I1307" i="1"/>
  <c r="G1307" i="1"/>
  <c r="J1306" i="1"/>
  <c r="I1306" i="1"/>
  <c r="G1306" i="1"/>
  <c r="J1305" i="1"/>
  <c r="I1305" i="1"/>
  <c r="G1305" i="1"/>
  <c r="J1304" i="1"/>
  <c r="I1304" i="1"/>
  <c r="G1304" i="1"/>
  <c r="J1303" i="1"/>
  <c r="I1303" i="1"/>
  <c r="G1303" i="1"/>
  <c r="J1302" i="1"/>
  <c r="I1302" i="1"/>
  <c r="G1302" i="1"/>
  <c r="J1301" i="1"/>
  <c r="I1301" i="1"/>
  <c r="G1301" i="1"/>
  <c r="J1300" i="1"/>
  <c r="I1300" i="1"/>
  <c r="G1300" i="1"/>
  <c r="J1299" i="1"/>
  <c r="I1299" i="1"/>
  <c r="G1299" i="1"/>
  <c r="J1298" i="1"/>
  <c r="I1298" i="1"/>
  <c r="G1298" i="1"/>
  <c r="J1297" i="1"/>
  <c r="I1297" i="1"/>
  <c r="G1297" i="1"/>
  <c r="J1296" i="1"/>
  <c r="I1296" i="1"/>
  <c r="G1296" i="1"/>
  <c r="J1295" i="1"/>
  <c r="I1295" i="1"/>
  <c r="G1295" i="1"/>
  <c r="J1294" i="1"/>
  <c r="I1294" i="1"/>
  <c r="G1294" i="1"/>
  <c r="J1293" i="1"/>
  <c r="I1293" i="1"/>
  <c r="G1293" i="1"/>
  <c r="J1292" i="1"/>
  <c r="I1292" i="1"/>
  <c r="G1292" i="1"/>
  <c r="J1291" i="1"/>
  <c r="I1291" i="1"/>
  <c r="G1291" i="1"/>
  <c r="J1290" i="1"/>
  <c r="I1290" i="1"/>
  <c r="G1290" i="1"/>
  <c r="J1289" i="1"/>
  <c r="I1289" i="1"/>
  <c r="G1289" i="1"/>
  <c r="J1288" i="1"/>
  <c r="I1288" i="1"/>
  <c r="G1288" i="1"/>
  <c r="J1287" i="1"/>
  <c r="I1287" i="1"/>
  <c r="G1287" i="1"/>
  <c r="J1286" i="1"/>
  <c r="I1286" i="1"/>
  <c r="G1286" i="1"/>
  <c r="J1285" i="1"/>
  <c r="I1285" i="1"/>
  <c r="G1285" i="1"/>
  <c r="J1284" i="1"/>
  <c r="I1284" i="1"/>
  <c r="G1284" i="1"/>
  <c r="J1283" i="1"/>
  <c r="I1283" i="1"/>
  <c r="G1283" i="1"/>
  <c r="J1282" i="1"/>
  <c r="I1282" i="1"/>
  <c r="G1282" i="1"/>
  <c r="J1281" i="1"/>
  <c r="I1281" i="1"/>
  <c r="G1281" i="1"/>
  <c r="J1280" i="1"/>
  <c r="I1280" i="1"/>
  <c r="G1280" i="1"/>
  <c r="J1279" i="1"/>
  <c r="I1279" i="1"/>
  <c r="G1279" i="1"/>
  <c r="J1278" i="1"/>
  <c r="I1278" i="1"/>
  <c r="G1278" i="1"/>
  <c r="J1277" i="1"/>
  <c r="I1277" i="1"/>
  <c r="G1277" i="1"/>
  <c r="J1276" i="1"/>
  <c r="I1276" i="1"/>
  <c r="G1276" i="1"/>
  <c r="J1275" i="1"/>
  <c r="I1275" i="1"/>
  <c r="G1275" i="1"/>
  <c r="J1274" i="1"/>
  <c r="I1274" i="1"/>
  <c r="G1274" i="1"/>
  <c r="J1273" i="1"/>
  <c r="I1273" i="1"/>
  <c r="G1273" i="1"/>
  <c r="J1272" i="1"/>
  <c r="I1272" i="1"/>
  <c r="G1272" i="1"/>
  <c r="J1271" i="1"/>
  <c r="I1271" i="1"/>
  <c r="G1271" i="1"/>
  <c r="J1270" i="1"/>
  <c r="I1270" i="1"/>
  <c r="G1270" i="1"/>
  <c r="J1269" i="1"/>
  <c r="I1269" i="1"/>
  <c r="G1269" i="1"/>
  <c r="J1268" i="1"/>
  <c r="I1268" i="1"/>
  <c r="G1268" i="1"/>
  <c r="J1267" i="1"/>
  <c r="I1267" i="1"/>
  <c r="G1267" i="1"/>
  <c r="J1266" i="1"/>
  <c r="I1266" i="1"/>
  <c r="G1266" i="1"/>
  <c r="J1265" i="1"/>
  <c r="I1265" i="1"/>
  <c r="G1265" i="1"/>
  <c r="J1264" i="1"/>
  <c r="I1264" i="1"/>
  <c r="G1264" i="1"/>
  <c r="J1263" i="1"/>
  <c r="I1263" i="1"/>
  <c r="G1263" i="1"/>
  <c r="J1262" i="1"/>
  <c r="I1262" i="1"/>
  <c r="G1262" i="1"/>
  <c r="J1261" i="1"/>
  <c r="I1261" i="1"/>
  <c r="G1261" i="1"/>
  <c r="J1260" i="1"/>
  <c r="I1260" i="1"/>
  <c r="G1260" i="1"/>
  <c r="J1259" i="1"/>
  <c r="I1259" i="1"/>
  <c r="G1259" i="1"/>
  <c r="J1258" i="1"/>
  <c r="I1258" i="1"/>
  <c r="G1258" i="1"/>
  <c r="J1257" i="1"/>
  <c r="I1257" i="1"/>
  <c r="G1257" i="1"/>
  <c r="J1256" i="1"/>
  <c r="I1256" i="1"/>
  <c r="G1256" i="1"/>
  <c r="J1255" i="1"/>
  <c r="I1255" i="1"/>
  <c r="G1255" i="1"/>
  <c r="J1254" i="1"/>
  <c r="I1254" i="1"/>
  <c r="G1254" i="1"/>
  <c r="J1253" i="1"/>
  <c r="I1253" i="1"/>
  <c r="G1253" i="1"/>
  <c r="J1252" i="1"/>
  <c r="I1252" i="1"/>
  <c r="G1252" i="1"/>
  <c r="J1251" i="1"/>
  <c r="I1251" i="1"/>
  <c r="G1251" i="1"/>
  <c r="J1250" i="1"/>
  <c r="I1250" i="1"/>
  <c r="G1250" i="1"/>
  <c r="J1249" i="1"/>
  <c r="I1249" i="1"/>
  <c r="G1249" i="1"/>
  <c r="J1248" i="1"/>
  <c r="I1248" i="1"/>
  <c r="G1248" i="1"/>
  <c r="J1247" i="1"/>
  <c r="I1247" i="1"/>
  <c r="G1247" i="1"/>
  <c r="J1246" i="1"/>
  <c r="I1246" i="1"/>
  <c r="G1246" i="1"/>
  <c r="J1245" i="1"/>
  <c r="I1245" i="1"/>
  <c r="G1245" i="1"/>
  <c r="J1244" i="1"/>
  <c r="I1244" i="1"/>
  <c r="G1244" i="1"/>
  <c r="J1243" i="1"/>
  <c r="I1243" i="1"/>
  <c r="G1243" i="1"/>
  <c r="J1242" i="1"/>
  <c r="I1242" i="1"/>
  <c r="G1242" i="1"/>
  <c r="J1241" i="1"/>
  <c r="I1241" i="1"/>
  <c r="G1241" i="1"/>
  <c r="J1240" i="1"/>
  <c r="I1240" i="1"/>
  <c r="G1240" i="1"/>
  <c r="J1239" i="1"/>
  <c r="I1239" i="1"/>
  <c r="G1239" i="1"/>
  <c r="J1238" i="1"/>
  <c r="I1238" i="1"/>
  <c r="G1238" i="1"/>
  <c r="J1237" i="1"/>
  <c r="I1237" i="1"/>
  <c r="G1237" i="1"/>
  <c r="J1236" i="1"/>
  <c r="I1236" i="1"/>
  <c r="G1236" i="1"/>
  <c r="J1235" i="1"/>
  <c r="I1235" i="1"/>
  <c r="G1235" i="1"/>
  <c r="J1234" i="1"/>
  <c r="I1234" i="1"/>
  <c r="G1234" i="1"/>
  <c r="J1233" i="1"/>
  <c r="I1233" i="1"/>
  <c r="G1233" i="1"/>
  <c r="J1232" i="1"/>
  <c r="I1232" i="1"/>
  <c r="G1232" i="1"/>
  <c r="J1231" i="1"/>
  <c r="I1231" i="1"/>
  <c r="G1231" i="1"/>
  <c r="J1230" i="1"/>
  <c r="I1230" i="1"/>
  <c r="G1230" i="1"/>
  <c r="J1229" i="1"/>
  <c r="I1229" i="1"/>
  <c r="G1229" i="1"/>
  <c r="J1228" i="1"/>
  <c r="I1228" i="1"/>
  <c r="G1228" i="1"/>
  <c r="J1227" i="1"/>
  <c r="I1227" i="1"/>
  <c r="G1227" i="1"/>
  <c r="J1226" i="1"/>
  <c r="I1226" i="1"/>
  <c r="G1226" i="1"/>
  <c r="J1225" i="1"/>
  <c r="I1225" i="1"/>
  <c r="G1225" i="1"/>
  <c r="J1224" i="1"/>
  <c r="I1224" i="1"/>
  <c r="G1224" i="1"/>
  <c r="J1223" i="1"/>
  <c r="I1223" i="1"/>
  <c r="G1223" i="1"/>
  <c r="J1222" i="1"/>
  <c r="I1222" i="1"/>
  <c r="G1222" i="1"/>
  <c r="J1221" i="1"/>
  <c r="I1221" i="1"/>
  <c r="G1221" i="1"/>
  <c r="J1220" i="1"/>
  <c r="I1220" i="1"/>
  <c r="G1220" i="1"/>
  <c r="J1219" i="1"/>
  <c r="I1219" i="1"/>
  <c r="G1219" i="1"/>
  <c r="J1218" i="1"/>
  <c r="I1218" i="1"/>
  <c r="G1218" i="1"/>
  <c r="J1217" i="1"/>
  <c r="I1217" i="1"/>
  <c r="G1217" i="1"/>
  <c r="J1216" i="1"/>
  <c r="I1216" i="1"/>
  <c r="G1216" i="1"/>
  <c r="J1215" i="1"/>
  <c r="I1215" i="1"/>
  <c r="G1215" i="1"/>
  <c r="J1214" i="1"/>
  <c r="I1214" i="1"/>
  <c r="G1214" i="1"/>
  <c r="J1213" i="1"/>
  <c r="I1213" i="1"/>
  <c r="G1213" i="1"/>
  <c r="J1212" i="1"/>
  <c r="I1212" i="1"/>
  <c r="G1212" i="1"/>
  <c r="J1211" i="1"/>
  <c r="I1211" i="1"/>
  <c r="G1211" i="1"/>
  <c r="J1210" i="1"/>
  <c r="I1210" i="1"/>
  <c r="G1210" i="1"/>
  <c r="J1209" i="1"/>
  <c r="I1209" i="1"/>
  <c r="G1209" i="1"/>
  <c r="J1208" i="1"/>
  <c r="I1208" i="1"/>
  <c r="G1208" i="1"/>
  <c r="J1207" i="1"/>
  <c r="I1207" i="1"/>
  <c r="G1207" i="1"/>
  <c r="J1206" i="1"/>
  <c r="I1206" i="1"/>
  <c r="G1206" i="1"/>
  <c r="J1205" i="1"/>
  <c r="I1205" i="1"/>
  <c r="G1205" i="1"/>
  <c r="J1204" i="1"/>
  <c r="I1204" i="1"/>
  <c r="G1204" i="1"/>
  <c r="J1203" i="1"/>
  <c r="I1203" i="1"/>
  <c r="G1203" i="1"/>
  <c r="J1202" i="1"/>
  <c r="I1202" i="1"/>
  <c r="G1202" i="1"/>
  <c r="J1201" i="1"/>
  <c r="I1201" i="1"/>
  <c r="G1201" i="1"/>
  <c r="J1200" i="1"/>
  <c r="I1200" i="1"/>
  <c r="G1200" i="1"/>
  <c r="J1199" i="1"/>
  <c r="I1199" i="1"/>
  <c r="G1199" i="1"/>
  <c r="J1198" i="1"/>
  <c r="I1198" i="1"/>
  <c r="G1198" i="1"/>
  <c r="J1197" i="1"/>
  <c r="I1197" i="1"/>
  <c r="G1197" i="1"/>
  <c r="J1196" i="1"/>
  <c r="I1196" i="1"/>
  <c r="G1196" i="1"/>
  <c r="J1195" i="1"/>
  <c r="I1195" i="1"/>
  <c r="G1195" i="1"/>
  <c r="J1194" i="1"/>
  <c r="I1194" i="1"/>
  <c r="G1194" i="1"/>
  <c r="J1193" i="1"/>
  <c r="I1193" i="1"/>
  <c r="G1193" i="1"/>
  <c r="J1192" i="1"/>
  <c r="I1192" i="1"/>
  <c r="G1192" i="1"/>
  <c r="J1191" i="1"/>
  <c r="I1191" i="1"/>
  <c r="G1191" i="1"/>
  <c r="J1190" i="1"/>
  <c r="I1190" i="1"/>
  <c r="G1190" i="1"/>
  <c r="J1189" i="1"/>
  <c r="I1189" i="1"/>
  <c r="G1189" i="1"/>
  <c r="J1188" i="1"/>
  <c r="I1188" i="1"/>
  <c r="G1188" i="1"/>
  <c r="J1187" i="1"/>
  <c r="I1187" i="1"/>
  <c r="G1187" i="1"/>
  <c r="J1186" i="1"/>
  <c r="I1186" i="1"/>
  <c r="G1186" i="1"/>
  <c r="J1185" i="1"/>
  <c r="I1185" i="1"/>
  <c r="G1185" i="1"/>
  <c r="J1184" i="1"/>
  <c r="I1184" i="1"/>
  <c r="G1184" i="1"/>
  <c r="J1183" i="1"/>
  <c r="I1183" i="1"/>
  <c r="G1183" i="1"/>
  <c r="J1182" i="1"/>
  <c r="I1182" i="1"/>
  <c r="G1182" i="1"/>
  <c r="J1181" i="1"/>
  <c r="I1181" i="1"/>
  <c r="G1181" i="1"/>
  <c r="J1180" i="1"/>
  <c r="I1180" i="1"/>
  <c r="G1180" i="1"/>
  <c r="J1179" i="1"/>
  <c r="I1179" i="1"/>
  <c r="G1179" i="1"/>
  <c r="J1178" i="1"/>
  <c r="I1178" i="1"/>
  <c r="G1178" i="1"/>
  <c r="J1177" i="1"/>
  <c r="I1177" i="1"/>
  <c r="G1177" i="1"/>
  <c r="J1176" i="1"/>
  <c r="I1176" i="1"/>
  <c r="G1176" i="1"/>
  <c r="J1175" i="1"/>
  <c r="I1175" i="1"/>
  <c r="G1175" i="1"/>
  <c r="J1174" i="1"/>
  <c r="I1174" i="1"/>
  <c r="G1174" i="1"/>
  <c r="J1173" i="1"/>
  <c r="I1173" i="1"/>
  <c r="G1173" i="1"/>
  <c r="J1172" i="1"/>
  <c r="I1172" i="1"/>
  <c r="G1172" i="1"/>
  <c r="J1171" i="1"/>
  <c r="I1171" i="1"/>
  <c r="G1171" i="1"/>
  <c r="J1170" i="1"/>
  <c r="I1170" i="1"/>
  <c r="G1170" i="1"/>
  <c r="J1169" i="1"/>
  <c r="I1169" i="1"/>
  <c r="G1169" i="1"/>
  <c r="J1168" i="1"/>
  <c r="I1168" i="1"/>
  <c r="G1168" i="1"/>
  <c r="J1167" i="1"/>
  <c r="I1167" i="1"/>
  <c r="G1167" i="1"/>
  <c r="J1166" i="1"/>
  <c r="I1166" i="1"/>
  <c r="G1166" i="1"/>
  <c r="J1165" i="1"/>
  <c r="I1165" i="1"/>
  <c r="G1165" i="1"/>
  <c r="J1164" i="1"/>
  <c r="I1164" i="1"/>
  <c r="G1164" i="1"/>
  <c r="J1163" i="1"/>
  <c r="I1163" i="1"/>
  <c r="G1163" i="1"/>
  <c r="J1162" i="1"/>
  <c r="I1162" i="1"/>
  <c r="G1162" i="1"/>
  <c r="J1161" i="1"/>
  <c r="I1161" i="1"/>
  <c r="G1161" i="1"/>
  <c r="J1160" i="1"/>
  <c r="I1160" i="1"/>
  <c r="G1160" i="1"/>
  <c r="J1159" i="1"/>
  <c r="I1159" i="1"/>
  <c r="G1159" i="1"/>
  <c r="J1158" i="1"/>
  <c r="I1158" i="1"/>
  <c r="G1158" i="1"/>
  <c r="J1157" i="1"/>
  <c r="I1157" i="1"/>
  <c r="G1157" i="1"/>
  <c r="J1156" i="1"/>
  <c r="I1156" i="1"/>
  <c r="G1156" i="1"/>
  <c r="J1155" i="1"/>
  <c r="I1155" i="1"/>
  <c r="G1155" i="1"/>
  <c r="J1154" i="1"/>
  <c r="I1154" i="1"/>
  <c r="G1154" i="1"/>
  <c r="J1153" i="1"/>
  <c r="I1153" i="1"/>
  <c r="G1153" i="1"/>
  <c r="J1152" i="1"/>
  <c r="I1152" i="1"/>
  <c r="G1152" i="1"/>
  <c r="J1151" i="1"/>
  <c r="I1151" i="1"/>
  <c r="G1151" i="1"/>
  <c r="J1150" i="1"/>
  <c r="I1150" i="1"/>
  <c r="G1150" i="1"/>
  <c r="J1149" i="1"/>
  <c r="I1149" i="1"/>
  <c r="G1149" i="1"/>
  <c r="J1148" i="1"/>
  <c r="I1148" i="1"/>
  <c r="G1148" i="1"/>
  <c r="J1147" i="1"/>
  <c r="I1147" i="1"/>
  <c r="G1147" i="1"/>
  <c r="J1146" i="1"/>
  <c r="I1146" i="1"/>
  <c r="G1146" i="1"/>
  <c r="J1145" i="1"/>
  <c r="I1145" i="1"/>
  <c r="G1145" i="1"/>
  <c r="J1144" i="1"/>
  <c r="I1144" i="1"/>
  <c r="G1144" i="1"/>
  <c r="J1143" i="1"/>
  <c r="I1143" i="1"/>
  <c r="G1143" i="1"/>
  <c r="J1142" i="1"/>
  <c r="I1142" i="1"/>
  <c r="G1142" i="1"/>
  <c r="J1141" i="1"/>
  <c r="I1141" i="1"/>
  <c r="G1141" i="1"/>
  <c r="J1140" i="1"/>
  <c r="I1140" i="1"/>
  <c r="G1140" i="1"/>
  <c r="J1139" i="1"/>
  <c r="I1139" i="1"/>
  <c r="G1139" i="1"/>
  <c r="J1138" i="1"/>
  <c r="I1138" i="1"/>
  <c r="G1138" i="1"/>
  <c r="J1137" i="1"/>
  <c r="I1137" i="1"/>
  <c r="G1137" i="1"/>
  <c r="J1136" i="1"/>
  <c r="I1136" i="1"/>
  <c r="G1136" i="1"/>
  <c r="J1135" i="1"/>
  <c r="I1135" i="1"/>
  <c r="G1135" i="1"/>
  <c r="J1134" i="1"/>
  <c r="I1134" i="1"/>
  <c r="G1134" i="1"/>
  <c r="J1133" i="1"/>
  <c r="I1133" i="1"/>
  <c r="G1133" i="1"/>
  <c r="J1132" i="1"/>
  <c r="I1132" i="1"/>
  <c r="G1132" i="1"/>
  <c r="J1131" i="1"/>
  <c r="I1131" i="1"/>
  <c r="G1131" i="1"/>
  <c r="J1130" i="1"/>
  <c r="I1130" i="1"/>
  <c r="G1130" i="1"/>
  <c r="J1129" i="1"/>
  <c r="I1129" i="1"/>
  <c r="G1129" i="1"/>
  <c r="J1128" i="1"/>
  <c r="I1128" i="1"/>
  <c r="G1128" i="1"/>
  <c r="J1127" i="1"/>
  <c r="I1127" i="1"/>
  <c r="G1127" i="1"/>
  <c r="J1126" i="1"/>
  <c r="I1126" i="1"/>
  <c r="G1126" i="1"/>
  <c r="J1125" i="1"/>
  <c r="I1125" i="1"/>
  <c r="G1125" i="1"/>
  <c r="J1124" i="1"/>
  <c r="I1124" i="1"/>
  <c r="G1124" i="1"/>
  <c r="J1123" i="1"/>
  <c r="I1123" i="1"/>
  <c r="G1123" i="1"/>
  <c r="J1122" i="1"/>
  <c r="I1122" i="1"/>
  <c r="G1122" i="1"/>
  <c r="J1121" i="1"/>
  <c r="I1121" i="1"/>
  <c r="G1121" i="1"/>
  <c r="J1120" i="1"/>
  <c r="I1120" i="1"/>
  <c r="G1120" i="1"/>
  <c r="J1119" i="1"/>
  <c r="I1119" i="1"/>
  <c r="G1119" i="1"/>
  <c r="J1118" i="1"/>
  <c r="I1118" i="1"/>
  <c r="G1118" i="1"/>
  <c r="J1117" i="1"/>
  <c r="I1117" i="1"/>
  <c r="G1117" i="1"/>
  <c r="J1116" i="1"/>
  <c r="I1116" i="1"/>
  <c r="G1116" i="1"/>
  <c r="J1115" i="1"/>
  <c r="I1115" i="1"/>
  <c r="G1115" i="1"/>
  <c r="J1114" i="1"/>
  <c r="I1114" i="1"/>
  <c r="G1114" i="1"/>
  <c r="J1113" i="1"/>
  <c r="I1113" i="1"/>
  <c r="G1113" i="1"/>
  <c r="J1112" i="1"/>
  <c r="I1112" i="1"/>
  <c r="G1112" i="1"/>
  <c r="J1111" i="1"/>
  <c r="I1111" i="1"/>
  <c r="G1111" i="1"/>
  <c r="J1110" i="1"/>
  <c r="I1110" i="1"/>
  <c r="G1110" i="1"/>
  <c r="J1109" i="1"/>
  <c r="I1109" i="1"/>
  <c r="G1109" i="1"/>
  <c r="J1108" i="1"/>
  <c r="I1108" i="1"/>
  <c r="G1108" i="1"/>
  <c r="J1107" i="1"/>
  <c r="I1107" i="1"/>
  <c r="G1107" i="1"/>
  <c r="J1106" i="1"/>
  <c r="I1106" i="1"/>
  <c r="G1106" i="1"/>
  <c r="J1105" i="1"/>
  <c r="I1105" i="1"/>
  <c r="G1105" i="1"/>
  <c r="J1104" i="1"/>
  <c r="I1104" i="1"/>
  <c r="G1104" i="1"/>
  <c r="J1103" i="1"/>
  <c r="I1103" i="1"/>
  <c r="G1103" i="1"/>
  <c r="J1102" i="1"/>
  <c r="I1102" i="1"/>
  <c r="G1102" i="1"/>
  <c r="J1101" i="1"/>
  <c r="I1101" i="1"/>
  <c r="G1101" i="1"/>
  <c r="J1100" i="1"/>
  <c r="I1100" i="1"/>
  <c r="G1100" i="1"/>
  <c r="J1099" i="1"/>
  <c r="I1099" i="1"/>
  <c r="G1099" i="1"/>
  <c r="J1098" i="1"/>
  <c r="I1098" i="1"/>
  <c r="G1098" i="1"/>
  <c r="J1097" i="1"/>
  <c r="I1097" i="1"/>
  <c r="G1097" i="1"/>
  <c r="J1096" i="1"/>
  <c r="I1096" i="1"/>
  <c r="G1096" i="1"/>
  <c r="J1095" i="1"/>
  <c r="I1095" i="1"/>
  <c r="G1095" i="1"/>
  <c r="J1094" i="1"/>
  <c r="I1094" i="1"/>
  <c r="G1094" i="1"/>
  <c r="J1093" i="1"/>
  <c r="I1093" i="1"/>
  <c r="G1093" i="1"/>
  <c r="J1092" i="1"/>
  <c r="I1092" i="1"/>
  <c r="G1092" i="1"/>
  <c r="J1091" i="1"/>
  <c r="I1091" i="1"/>
  <c r="G1091" i="1"/>
  <c r="J1090" i="1"/>
  <c r="I1090" i="1"/>
  <c r="G1090" i="1"/>
  <c r="J1089" i="1"/>
  <c r="I1089" i="1"/>
  <c r="G1089" i="1"/>
  <c r="J1088" i="1"/>
  <c r="I1088" i="1"/>
  <c r="G1088" i="1"/>
  <c r="J1087" i="1"/>
  <c r="I1087" i="1"/>
  <c r="G1087" i="1"/>
  <c r="J1086" i="1"/>
  <c r="I1086" i="1"/>
  <c r="G1086" i="1"/>
  <c r="J1085" i="1"/>
  <c r="I1085" i="1"/>
  <c r="G1085" i="1"/>
  <c r="J1084" i="1"/>
  <c r="I1084" i="1"/>
  <c r="G1084" i="1"/>
  <c r="J1083" i="1"/>
  <c r="I1083" i="1"/>
  <c r="G1083" i="1"/>
  <c r="J1082" i="1"/>
  <c r="I1082" i="1"/>
  <c r="G1082" i="1"/>
  <c r="J1081" i="1"/>
  <c r="I1081" i="1"/>
  <c r="G1081" i="1"/>
  <c r="J1080" i="1"/>
  <c r="I1080" i="1"/>
  <c r="G1080" i="1"/>
  <c r="J1079" i="1"/>
  <c r="I1079" i="1"/>
  <c r="G1079" i="1"/>
  <c r="J1078" i="1"/>
  <c r="I1078" i="1"/>
  <c r="G1078" i="1"/>
  <c r="J1077" i="1"/>
  <c r="I1077" i="1"/>
  <c r="G1077" i="1"/>
  <c r="J1076" i="1"/>
  <c r="I1076" i="1"/>
  <c r="G1076" i="1"/>
  <c r="J1075" i="1"/>
  <c r="I1075" i="1"/>
  <c r="G1075" i="1"/>
  <c r="J1074" i="1"/>
  <c r="I1074" i="1"/>
  <c r="G1074" i="1"/>
  <c r="J1073" i="1"/>
  <c r="I1073" i="1"/>
  <c r="G1073" i="1"/>
  <c r="J1072" i="1"/>
  <c r="I1072" i="1"/>
  <c r="G1072" i="1"/>
  <c r="J1071" i="1"/>
  <c r="I1071" i="1"/>
  <c r="G1071" i="1"/>
  <c r="J1070" i="1"/>
  <c r="I1070" i="1"/>
  <c r="G1070" i="1"/>
  <c r="J1069" i="1"/>
  <c r="I1069" i="1"/>
  <c r="G1069" i="1"/>
  <c r="J1068" i="1"/>
  <c r="I1068" i="1"/>
  <c r="G1068" i="1"/>
  <c r="J1067" i="1"/>
  <c r="I1067" i="1"/>
  <c r="G1067" i="1"/>
  <c r="J1066" i="1"/>
  <c r="I1066" i="1"/>
  <c r="G1066" i="1"/>
  <c r="J1065" i="1"/>
  <c r="I1065" i="1"/>
  <c r="G1065" i="1"/>
  <c r="J1064" i="1"/>
  <c r="I1064" i="1"/>
  <c r="G1064" i="1"/>
  <c r="J1063" i="1"/>
  <c r="I1063" i="1"/>
  <c r="G1063" i="1"/>
  <c r="J1062" i="1"/>
  <c r="I1062" i="1"/>
  <c r="G1062" i="1"/>
  <c r="J1061" i="1"/>
  <c r="I1061" i="1"/>
  <c r="G1061" i="1"/>
  <c r="J1060" i="1"/>
  <c r="I1060" i="1"/>
  <c r="G1060" i="1"/>
  <c r="J1059" i="1"/>
  <c r="I1059" i="1"/>
  <c r="G1059" i="1"/>
  <c r="J1058" i="1"/>
  <c r="I1058" i="1"/>
  <c r="G1058" i="1"/>
  <c r="J1057" i="1"/>
  <c r="I1057" i="1"/>
  <c r="G1057" i="1"/>
  <c r="J1056" i="1"/>
  <c r="I1056" i="1"/>
  <c r="G1056" i="1"/>
  <c r="J1055" i="1"/>
  <c r="I1055" i="1"/>
  <c r="G1055" i="1"/>
  <c r="J1054" i="1"/>
  <c r="I1054" i="1"/>
  <c r="G1054" i="1"/>
  <c r="J1053" i="1"/>
  <c r="I1053" i="1"/>
  <c r="G1053" i="1"/>
  <c r="J1052" i="1"/>
  <c r="I1052" i="1"/>
  <c r="G1052" i="1"/>
  <c r="J1051" i="1"/>
  <c r="I1051" i="1"/>
  <c r="G1051" i="1"/>
  <c r="J1050" i="1"/>
  <c r="I1050" i="1"/>
  <c r="G1050" i="1"/>
  <c r="J1049" i="1"/>
  <c r="I1049" i="1"/>
  <c r="G1049" i="1"/>
  <c r="J1048" i="1"/>
  <c r="I1048" i="1"/>
  <c r="G1048" i="1"/>
  <c r="J1047" i="1"/>
  <c r="I1047" i="1"/>
  <c r="G1047" i="1"/>
  <c r="J1046" i="1"/>
  <c r="I1046" i="1"/>
  <c r="G1046" i="1"/>
  <c r="J1045" i="1"/>
  <c r="I1045" i="1"/>
  <c r="G1045" i="1"/>
  <c r="J1044" i="1"/>
  <c r="I1044" i="1"/>
  <c r="G1044" i="1"/>
  <c r="J1043" i="1"/>
  <c r="I1043" i="1"/>
  <c r="G1043" i="1"/>
  <c r="J1042" i="1"/>
  <c r="I1042" i="1"/>
  <c r="G1042" i="1"/>
  <c r="J1041" i="1"/>
  <c r="I1041" i="1"/>
  <c r="G1041" i="1"/>
  <c r="J1040" i="1"/>
  <c r="I1040" i="1"/>
  <c r="G1040" i="1"/>
  <c r="J1039" i="1"/>
  <c r="I1039" i="1"/>
  <c r="G1039" i="1"/>
  <c r="J1038" i="1"/>
  <c r="I1038" i="1"/>
  <c r="G1038" i="1"/>
  <c r="J1037" i="1"/>
  <c r="I1037" i="1"/>
  <c r="G1037" i="1"/>
  <c r="J1036" i="1"/>
  <c r="I1036" i="1"/>
  <c r="G1036" i="1"/>
  <c r="J1035" i="1"/>
  <c r="I1035" i="1"/>
  <c r="G1035" i="1"/>
  <c r="J1034" i="1"/>
  <c r="I1034" i="1"/>
  <c r="G1034" i="1"/>
  <c r="J1033" i="1"/>
  <c r="I1033" i="1"/>
  <c r="G1033" i="1"/>
  <c r="J1032" i="1"/>
  <c r="I1032" i="1"/>
  <c r="G1032" i="1"/>
  <c r="J1031" i="1"/>
  <c r="I1031" i="1"/>
  <c r="G1031" i="1"/>
  <c r="J1030" i="1"/>
  <c r="I1030" i="1"/>
  <c r="G1030" i="1"/>
  <c r="J1029" i="1"/>
  <c r="I1029" i="1"/>
  <c r="G1029" i="1"/>
  <c r="J1028" i="1"/>
  <c r="I1028" i="1"/>
  <c r="G1028" i="1"/>
  <c r="J1027" i="1"/>
  <c r="I1027" i="1"/>
  <c r="G1027" i="1"/>
  <c r="J1026" i="1"/>
  <c r="I1026" i="1"/>
  <c r="G1026" i="1"/>
  <c r="J1025" i="1"/>
  <c r="I1025" i="1"/>
  <c r="G1025" i="1"/>
  <c r="J1024" i="1"/>
  <c r="I1024" i="1"/>
  <c r="G1024" i="1"/>
  <c r="J1023" i="1"/>
  <c r="I1023" i="1"/>
  <c r="G1023" i="1"/>
  <c r="J1022" i="1"/>
  <c r="I1022" i="1"/>
  <c r="G1022" i="1"/>
  <c r="J1021" i="1"/>
  <c r="I1021" i="1"/>
  <c r="G1021" i="1"/>
  <c r="J1020" i="1"/>
  <c r="I1020" i="1"/>
  <c r="G1020" i="1"/>
  <c r="J1019" i="1"/>
  <c r="I1019" i="1"/>
  <c r="G1019" i="1"/>
  <c r="J1018" i="1"/>
  <c r="I1018" i="1"/>
  <c r="G1018" i="1"/>
  <c r="J1017" i="1"/>
  <c r="I1017" i="1"/>
  <c r="G1017" i="1"/>
  <c r="J1016" i="1"/>
  <c r="I1016" i="1"/>
  <c r="G1016" i="1"/>
  <c r="J1015" i="1"/>
  <c r="I1015" i="1"/>
  <c r="G1015" i="1"/>
  <c r="J1014" i="1"/>
  <c r="I1014" i="1"/>
  <c r="G1014" i="1"/>
  <c r="J1013" i="1"/>
  <c r="I1013" i="1"/>
  <c r="G1013" i="1"/>
  <c r="J1012" i="1"/>
  <c r="I1012" i="1"/>
  <c r="G1012" i="1"/>
  <c r="J1011" i="1"/>
  <c r="I1011" i="1"/>
  <c r="G1011" i="1"/>
  <c r="J1010" i="1"/>
  <c r="I1010" i="1"/>
  <c r="G1010" i="1"/>
  <c r="J1009" i="1"/>
  <c r="I1009" i="1"/>
  <c r="G1009" i="1"/>
  <c r="J1008" i="1"/>
  <c r="I1008" i="1"/>
  <c r="G1008" i="1"/>
  <c r="J1007" i="1"/>
  <c r="I1007" i="1"/>
  <c r="G1007" i="1"/>
  <c r="J1006" i="1"/>
  <c r="I1006" i="1"/>
  <c r="G1006" i="1"/>
  <c r="J1005" i="1"/>
  <c r="I1005" i="1"/>
  <c r="G1005" i="1"/>
  <c r="J1004" i="1"/>
  <c r="I1004" i="1"/>
  <c r="G1004" i="1"/>
  <c r="J1003" i="1"/>
  <c r="I1003" i="1"/>
  <c r="G1003" i="1"/>
  <c r="J1002" i="1"/>
  <c r="I1002" i="1"/>
  <c r="G1002" i="1"/>
  <c r="J1001" i="1"/>
  <c r="I1001" i="1"/>
  <c r="G1001" i="1"/>
  <c r="J1000" i="1"/>
  <c r="I1000" i="1"/>
  <c r="G1000" i="1"/>
  <c r="J999" i="1"/>
  <c r="I999" i="1"/>
  <c r="G999" i="1"/>
  <c r="J998" i="1"/>
  <c r="I998" i="1"/>
  <c r="G998" i="1"/>
  <c r="J997" i="1"/>
  <c r="I997" i="1"/>
  <c r="G997" i="1"/>
  <c r="J996" i="1"/>
  <c r="I996" i="1"/>
  <c r="G996" i="1"/>
  <c r="J995" i="1"/>
  <c r="I995" i="1"/>
  <c r="G995" i="1"/>
  <c r="J994" i="1"/>
  <c r="I994" i="1"/>
  <c r="G994" i="1"/>
  <c r="J993" i="1"/>
  <c r="I993" i="1"/>
  <c r="G993" i="1"/>
  <c r="J992" i="1"/>
  <c r="I992" i="1"/>
  <c r="G992" i="1"/>
  <c r="J991" i="1"/>
  <c r="I991" i="1"/>
  <c r="G991" i="1"/>
  <c r="J990" i="1"/>
  <c r="I990" i="1"/>
  <c r="G990" i="1"/>
  <c r="J989" i="1"/>
  <c r="I989" i="1"/>
  <c r="G989" i="1"/>
  <c r="J988" i="1"/>
  <c r="I988" i="1"/>
  <c r="G988" i="1"/>
  <c r="J987" i="1"/>
  <c r="I987" i="1"/>
  <c r="G987" i="1"/>
  <c r="J986" i="1"/>
  <c r="I986" i="1"/>
  <c r="G986" i="1"/>
  <c r="J985" i="1"/>
  <c r="I985" i="1"/>
  <c r="G985" i="1"/>
  <c r="J984" i="1"/>
  <c r="I984" i="1"/>
  <c r="G984" i="1"/>
  <c r="J983" i="1"/>
  <c r="I983" i="1"/>
  <c r="G983" i="1"/>
  <c r="J982" i="1"/>
  <c r="I982" i="1"/>
  <c r="G982" i="1"/>
  <c r="J981" i="1"/>
  <c r="I981" i="1"/>
  <c r="G981" i="1"/>
  <c r="J980" i="1"/>
  <c r="I980" i="1"/>
  <c r="G980" i="1"/>
  <c r="J979" i="1"/>
  <c r="I979" i="1"/>
  <c r="G979" i="1"/>
  <c r="J978" i="1"/>
  <c r="I978" i="1"/>
  <c r="G978" i="1"/>
  <c r="J977" i="1"/>
  <c r="I977" i="1"/>
  <c r="G977" i="1"/>
  <c r="J976" i="1"/>
  <c r="I976" i="1"/>
  <c r="G976" i="1"/>
  <c r="J975" i="1"/>
  <c r="I975" i="1"/>
  <c r="G975" i="1"/>
  <c r="J974" i="1"/>
  <c r="I974" i="1"/>
  <c r="G974" i="1"/>
  <c r="J973" i="1"/>
  <c r="I973" i="1"/>
  <c r="G973" i="1"/>
  <c r="J972" i="1"/>
  <c r="I972" i="1"/>
  <c r="G972" i="1"/>
  <c r="J971" i="1"/>
  <c r="I971" i="1"/>
  <c r="G971" i="1"/>
  <c r="J970" i="1"/>
  <c r="I970" i="1"/>
  <c r="G970" i="1"/>
  <c r="J969" i="1"/>
  <c r="I969" i="1"/>
  <c r="G969" i="1"/>
  <c r="J968" i="1"/>
  <c r="I968" i="1"/>
  <c r="G968" i="1"/>
  <c r="J967" i="1"/>
  <c r="I967" i="1"/>
  <c r="G967" i="1"/>
  <c r="J966" i="1"/>
  <c r="I966" i="1"/>
  <c r="G966" i="1"/>
  <c r="J965" i="1"/>
  <c r="I965" i="1"/>
  <c r="G965" i="1"/>
  <c r="J964" i="1"/>
  <c r="I964" i="1"/>
  <c r="G964" i="1"/>
  <c r="J963" i="1"/>
  <c r="I963" i="1"/>
  <c r="G963" i="1"/>
  <c r="J962" i="1"/>
  <c r="I962" i="1"/>
  <c r="G962" i="1"/>
  <c r="J961" i="1"/>
  <c r="I961" i="1"/>
  <c r="G961" i="1"/>
  <c r="J960" i="1"/>
  <c r="I960" i="1"/>
  <c r="G960" i="1"/>
  <c r="J959" i="1"/>
  <c r="I959" i="1"/>
  <c r="G959" i="1"/>
  <c r="J958" i="1"/>
  <c r="I958" i="1"/>
  <c r="G958" i="1"/>
  <c r="J957" i="1"/>
  <c r="I957" i="1"/>
  <c r="G957" i="1"/>
  <c r="J956" i="1"/>
  <c r="I956" i="1"/>
  <c r="G956" i="1"/>
  <c r="J955" i="1"/>
  <c r="I955" i="1"/>
  <c r="G955" i="1"/>
  <c r="J954" i="1"/>
  <c r="I954" i="1"/>
  <c r="G954" i="1"/>
  <c r="J953" i="1"/>
  <c r="I953" i="1"/>
  <c r="G953" i="1"/>
  <c r="J952" i="1"/>
  <c r="I952" i="1"/>
  <c r="G952" i="1"/>
  <c r="J951" i="1"/>
  <c r="I951" i="1"/>
  <c r="G951" i="1"/>
  <c r="J950" i="1"/>
  <c r="I950" i="1"/>
  <c r="G950" i="1"/>
  <c r="J949" i="1"/>
  <c r="I949" i="1"/>
  <c r="G949" i="1"/>
  <c r="J948" i="1"/>
  <c r="I948" i="1"/>
  <c r="G948" i="1"/>
  <c r="J947" i="1"/>
  <c r="I947" i="1"/>
  <c r="G947" i="1"/>
  <c r="J946" i="1"/>
  <c r="I946" i="1"/>
  <c r="G946" i="1"/>
  <c r="J945" i="1"/>
  <c r="I945" i="1"/>
  <c r="G945" i="1"/>
  <c r="J944" i="1"/>
  <c r="I944" i="1"/>
  <c r="G944" i="1"/>
  <c r="J943" i="1"/>
  <c r="I943" i="1"/>
  <c r="G943" i="1"/>
  <c r="J942" i="1"/>
  <c r="I942" i="1"/>
  <c r="G942" i="1"/>
  <c r="J941" i="1"/>
  <c r="I941" i="1"/>
  <c r="G941" i="1"/>
  <c r="J940" i="1"/>
  <c r="I940" i="1"/>
  <c r="G940" i="1"/>
  <c r="J939" i="1"/>
  <c r="I939" i="1"/>
  <c r="G939" i="1"/>
  <c r="J938" i="1"/>
  <c r="I938" i="1"/>
  <c r="G938" i="1"/>
  <c r="J937" i="1"/>
  <c r="I937" i="1"/>
  <c r="G937" i="1"/>
  <c r="J936" i="1"/>
  <c r="I936" i="1"/>
  <c r="G936" i="1"/>
  <c r="J935" i="1"/>
  <c r="I935" i="1"/>
  <c r="G935" i="1"/>
  <c r="J934" i="1"/>
  <c r="I934" i="1"/>
  <c r="G934" i="1"/>
  <c r="J933" i="1"/>
  <c r="I933" i="1"/>
  <c r="G933" i="1"/>
  <c r="J932" i="1"/>
  <c r="I932" i="1"/>
  <c r="G932" i="1"/>
  <c r="J931" i="1"/>
  <c r="I931" i="1"/>
  <c r="G931" i="1"/>
  <c r="J930" i="1"/>
  <c r="I930" i="1"/>
  <c r="G930" i="1"/>
  <c r="J929" i="1"/>
  <c r="I929" i="1"/>
  <c r="G929" i="1"/>
  <c r="J928" i="1"/>
  <c r="I928" i="1"/>
  <c r="G928" i="1"/>
  <c r="J927" i="1"/>
  <c r="I927" i="1"/>
  <c r="G927" i="1"/>
  <c r="J926" i="1"/>
  <c r="I926" i="1"/>
  <c r="G926" i="1"/>
  <c r="J925" i="1"/>
  <c r="I925" i="1"/>
  <c r="G925" i="1"/>
  <c r="J924" i="1"/>
  <c r="I924" i="1"/>
  <c r="G924" i="1"/>
  <c r="J923" i="1"/>
  <c r="I923" i="1"/>
  <c r="G923" i="1"/>
  <c r="J922" i="1"/>
  <c r="I922" i="1"/>
  <c r="G922" i="1"/>
  <c r="J921" i="1"/>
  <c r="I921" i="1"/>
  <c r="G921" i="1"/>
  <c r="J920" i="1"/>
  <c r="I920" i="1"/>
  <c r="G920" i="1"/>
  <c r="J919" i="1"/>
  <c r="I919" i="1"/>
  <c r="G919" i="1"/>
  <c r="J918" i="1"/>
  <c r="I918" i="1"/>
  <c r="G918" i="1"/>
  <c r="J917" i="1"/>
  <c r="I917" i="1"/>
  <c r="G917" i="1"/>
  <c r="J916" i="1"/>
  <c r="I916" i="1"/>
  <c r="G916" i="1"/>
  <c r="J915" i="1"/>
  <c r="I915" i="1"/>
  <c r="G915" i="1"/>
  <c r="J914" i="1"/>
  <c r="I914" i="1"/>
  <c r="G914" i="1"/>
  <c r="J913" i="1"/>
  <c r="I913" i="1"/>
  <c r="G913" i="1"/>
  <c r="J912" i="1"/>
  <c r="I912" i="1"/>
  <c r="G912" i="1"/>
  <c r="J911" i="1"/>
  <c r="I911" i="1"/>
  <c r="G911" i="1"/>
  <c r="J910" i="1"/>
  <c r="I910" i="1"/>
  <c r="G910" i="1"/>
  <c r="J909" i="1"/>
  <c r="I909" i="1"/>
  <c r="G909" i="1"/>
  <c r="J908" i="1"/>
  <c r="I908" i="1"/>
  <c r="G908" i="1"/>
  <c r="J907" i="1"/>
  <c r="I907" i="1"/>
  <c r="G907" i="1"/>
  <c r="J906" i="1"/>
  <c r="I906" i="1"/>
  <c r="G906" i="1"/>
  <c r="J905" i="1"/>
  <c r="I905" i="1"/>
  <c r="G905" i="1"/>
  <c r="J904" i="1"/>
  <c r="I904" i="1"/>
  <c r="G904" i="1"/>
  <c r="J903" i="1"/>
  <c r="I903" i="1"/>
  <c r="G903" i="1"/>
  <c r="J902" i="1"/>
  <c r="I902" i="1"/>
  <c r="G902" i="1"/>
  <c r="J901" i="1"/>
  <c r="I901" i="1"/>
  <c r="G901" i="1"/>
  <c r="J900" i="1"/>
  <c r="I900" i="1"/>
  <c r="G900" i="1"/>
  <c r="J899" i="1"/>
  <c r="I899" i="1"/>
  <c r="G899" i="1"/>
  <c r="J898" i="1"/>
  <c r="I898" i="1"/>
  <c r="G898" i="1"/>
  <c r="J897" i="1"/>
  <c r="I897" i="1"/>
  <c r="G897" i="1"/>
  <c r="J896" i="1"/>
  <c r="I896" i="1"/>
  <c r="G896" i="1"/>
  <c r="J895" i="1"/>
  <c r="I895" i="1"/>
  <c r="G895" i="1"/>
  <c r="J894" i="1"/>
  <c r="I894" i="1"/>
  <c r="G894" i="1"/>
  <c r="J893" i="1"/>
  <c r="I893" i="1"/>
  <c r="G893" i="1"/>
  <c r="J892" i="1"/>
  <c r="I892" i="1"/>
  <c r="G892" i="1"/>
  <c r="J891" i="1"/>
  <c r="I891" i="1"/>
  <c r="G891" i="1"/>
  <c r="J890" i="1"/>
  <c r="I890" i="1"/>
  <c r="G890" i="1"/>
  <c r="J889" i="1"/>
  <c r="I889" i="1"/>
  <c r="G889" i="1"/>
  <c r="J888" i="1"/>
  <c r="I888" i="1"/>
  <c r="G888" i="1"/>
  <c r="J887" i="1"/>
  <c r="I887" i="1"/>
  <c r="G887" i="1"/>
  <c r="J886" i="1"/>
  <c r="I886" i="1"/>
  <c r="G886" i="1"/>
  <c r="J885" i="1"/>
  <c r="I885" i="1"/>
  <c r="G885" i="1"/>
  <c r="J884" i="1"/>
  <c r="I884" i="1"/>
  <c r="G884" i="1"/>
  <c r="J883" i="1"/>
  <c r="I883" i="1"/>
  <c r="G883" i="1"/>
  <c r="J882" i="1"/>
  <c r="I882" i="1"/>
  <c r="G882" i="1"/>
  <c r="J881" i="1"/>
  <c r="I881" i="1"/>
  <c r="G881" i="1"/>
  <c r="J880" i="1"/>
  <c r="I880" i="1"/>
  <c r="G880" i="1"/>
  <c r="J879" i="1"/>
  <c r="I879" i="1"/>
  <c r="G879" i="1"/>
  <c r="J878" i="1"/>
  <c r="I878" i="1"/>
  <c r="G878" i="1"/>
  <c r="J877" i="1"/>
  <c r="I877" i="1"/>
  <c r="G877" i="1"/>
  <c r="J876" i="1"/>
  <c r="I876" i="1"/>
  <c r="G876" i="1"/>
  <c r="J875" i="1"/>
  <c r="I875" i="1"/>
  <c r="G875" i="1"/>
  <c r="J874" i="1"/>
  <c r="I874" i="1"/>
  <c r="G874" i="1"/>
  <c r="J873" i="1"/>
  <c r="I873" i="1"/>
  <c r="G873" i="1"/>
  <c r="J872" i="1"/>
  <c r="I872" i="1"/>
  <c r="G872" i="1"/>
  <c r="J871" i="1"/>
  <c r="I871" i="1"/>
  <c r="G871" i="1"/>
  <c r="J870" i="1"/>
  <c r="I870" i="1"/>
  <c r="G870" i="1"/>
  <c r="J869" i="1"/>
  <c r="I869" i="1"/>
  <c r="G869" i="1"/>
  <c r="J868" i="1"/>
  <c r="I868" i="1"/>
  <c r="G868" i="1"/>
  <c r="J867" i="1"/>
  <c r="I867" i="1"/>
  <c r="G867" i="1"/>
  <c r="J866" i="1"/>
  <c r="I866" i="1"/>
  <c r="G866" i="1"/>
  <c r="J865" i="1"/>
  <c r="I865" i="1"/>
  <c r="G865" i="1"/>
  <c r="J864" i="1"/>
  <c r="I864" i="1"/>
  <c r="G864" i="1"/>
  <c r="J863" i="1"/>
  <c r="I863" i="1"/>
  <c r="G863" i="1"/>
  <c r="J862" i="1"/>
  <c r="I862" i="1"/>
  <c r="G862" i="1"/>
  <c r="J861" i="1"/>
  <c r="I861" i="1"/>
  <c r="G861" i="1"/>
  <c r="J860" i="1"/>
  <c r="I860" i="1"/>
  <c r="G860" i="1"/>
  <c r="J859" i="1"/>
  <c r="I859" i="1"/>
  <c r="G859" i="1"/>
  <c r="J858" i="1"/>
  <c r="I858" i="1"/>
  <c r="G858" i="1"/>
  <c r="J857" i="1"/>
  <c r="I857" i="1"/>
  <c r="G857" i="1"/>
  <c r="J856" i="1"/>
  <c r="I856" i="1"/>
  <c r="G856" i="1"/>
  <c r="J855" i="1"/>
  <c r="I855" i="1"/>
  <c r="G855" i="1"/>
  <c r="J854" i="1"/>
  <c r="I854" i="1"/>
  <c r="G854" i="1"/>
  <c r="J853" i="1"/>
  <c r="I853" i="1"/>
  <c r="G853" i="1"/>
  <c r="J852" i="1"/>
  <c r="I852" i="1"/>
  <c r="G852" i="1"/>
  <c r="J851" i="1"/>
  <c r="I851" i="1"/>
  <c r="G851" i="1"/>
  <c r="J850" i="1"/>
  <c r="I850" i="1"/>
  <c r="G850" i="1"/>
  <c r="J849" i="1"/>
  <c r="I849" i="1"/>
  <c r="G849" i="1"/>
  <c r="J848" i="1"/>
  <c r="I848" i="1"/>
  <c r="G848" i="1"/>
  <c r="J847" i="1"/>
  <c r="I847" i="1"/>
  <c r="G847" i="1"/>
  <c r="J846" i="1"/>
  <c r="I846" i="1"/>
  <c r="G846" i="1"/>
  <c r="J845" i="1"/>
  <c r="I845" i="1"/>
  <c r="G845" i="1"/>
  <c r="J844" i="1"/>
  <c r="I844" i="1"/>
  <c r="G844" i="1"/>
  <c r="J843" i="1"/>
  <c r="I843" i="1"/>
  <c r="G843" i="1"/>
  <c r="J842" i="1"/>
  <c r="I842" i="1"/>
  <c r="G842" i="1"/>
  <c r="J841" i="1"/>
  <c r="I841" i="1"/>
  <c r="G841" i="1"/>
  <c r="J840" i="1"/>
  <c r="I840" i="1"/>
  <c r="G840" i="1"/>
  <c r="J839" i="1"/>
  <c r="I839" i="1"/>
  <c r="G839" i="1"/>
  <c r="J838" i="1"/>
  <c r="I838" i="1"/>
  <c r="G838" i="1"/>
  <c r="J837" i="1"/>
  <c r="I837" i="1"/>
  <c r="G837" i="1"/>
  <c r="J836" i="1"/>
  <c r="I836" i="1"/>
  <c r="G836" i="1"/>
  <c r="J835" i="1"/>
  <c r="I835" i="1"/>
  <c r="G835" i="1"/>
  <c r="J834" i="1"/>
  <c r="I834" i="1"/>
  <c r="G834" i="1"/>
  <c r="J833" i="1"/>
  <c r="I833" i="1"/>
  <c r="G833" i="1"/>
  <c r="J832" i="1"/>
  <c r="I832" i="1"/>
  <c r="G832" i="1"/>
  <c r="J831" i="1"/>
  <c r="I831" i="1"/>
  <c r="G831" i="1"/>
  <c r="J830" i="1"/>
  <c r="I830" i="1"/>
  <c r="G830" i="1"/>
  <c r="J829" i="1"/>
  <c r="I829" i="1"/>
  <c r="G829" i="1"/>
  <c r="J828" i="1"/>
  <c r="I828" i="1"/>
  <c r="G828" i="1"/>
  <c r="J827" i="1"/>
  <c r="I827" i="1"/>
  <c r="G827" i="1"/>
  <c r="J826" i="1"/>
  <c r="I826" i="1"/>
  <c r="G826" i="1"/>
  <c r="J825" i="1"/>
  <c r="I825" i="1"/>
  <c r="G825" i="1"/>
  <c r="J824" i="1"/>
  <c r="I824" i="1"/>
  <c r="G824" i="1"/>
  <c r="J823" i="1"/>
  <c r="I823" i="1"/>
  <c r="G823" i="1"/>
  <c r="J822" i="1"/>
  <c r="I822" i="1"/>
  <c r="G822" i="1"/>
  <c r="J821" i="1"/>
  <c r="I821" i="1"/>
  <c r="G821" i="1"/>
  <c r="J820" i="1"/>
  <c r="I820" i="1"/>
  <c r="G820" i="1"/>
  <c r="J819" i="1"/>
  <c r="I819" i="1"/>
  <c r="G819" i="1"/>
  <c r="J818" i="1"/>
  <c r="I818" i="1"/>
  <c r="G818" i="1"/>
  <c r="J817" i="1"/>
  <c r="I817" i="1"/>
  <c r="G817" i="1"/>
  <c r="J816" i="1"/>
  <c r="I816" i="1"/>
  <c r="G816" i="1"/>
  <c r="J815" i="1"/>
  <c r="I815" i="1"/>
  <c r="G815" i="1"/>
  <c r="J814" i="1"/>
  <c r="I814" i="1"/>
  <c r="G814" i="1"/>
  <c r="J813" i="1"/>
  <c r="I813" i="1"/>
  <c r="G813" i="1"/>
  <c r="J812" i="1"/>
  <c r="I812" i="1"/>
  <c r="G812" i="1"/>
  <c r="J811" i="1"/>
  <c r="I811" i="1"/>
  <c r="G811" i="1"/>
  <c r="J810" i="1"/>
  <c r="I810" i="1"/>
  <c r="G810" i="1"/>
  <c r="J809" i="1"/>
  <c r="I809" i="1"/>
  <c r="G809" i="1"/>
  <c r="J808" i="1"/>
  <c r="I808" i="1"/>
  <c r="G808" i="1"/>
  <c r="J807" i="1"/>
  <c r="I807" i="1"/>
  <c r="G807" i="1"/>
  <c r="J806" i="1"/>
  <c r="I806" i="1"/>
  <c r="G806" i="1"/>
  <c r="J805" i="1"/>
  <c r="I805" i="1"/>
  <c r="G805" i="1"/>
  <c r="J804" i="1"/>
  <c r="I804" i="1"/>
  <c r="G804" i="1"/>
  <c r="J803" i="1"/>
  <c r="I803" i="1"/>
  <c r="G803" i="1"/>
  <c r="J802" i="1"/>
  <c r="I802" i="1"/>
  <c r="G802" i="1"/>
  <c r="J801" i="1"/>
  <c r="I801" i="1"/>
  <c r="G801" i="1"/>
  <c r="J800" i="1"/>
  <c r="I800" i="1"/>
  <c r="G800" i="1"/>
  <c r="J799" i="1"/>
  <c r="I799" i="1"/>
  <c r="G799" i="1"/>
  <c r="J798" i="1"/>
  <c r="I798" i="1"/>
  <c r="G798" i="1"/>
  <c r="J797" i="1"/>
  <c r="I797" i="1"/>
  <c r="G797" i="1"/>
  <c r="J796" i="1"/>
  <c r="I796" i="1"/>
  <c r="G796" i="1"/>
  <c r="J795" i="1"/>
  <c r="I795" i="1"/>
  <c r="G795" i="1"/>
  <c r="J794" i="1"/>
  <c r="I794" i="1"/>
  <c r="G794" i="1"/>
  <c r="J793" i="1"/>
  <c r="I793" i="1"/>
  <c r="G793" i="1"/>
  <c r="J792" i="1"/>
  <c r="I792" i="1"/>
  <c r="G792" i="1"/>
  <c r="J791" i="1"/>
  <c r="I791" i="1"/>
  <c r="G791" i="1"/>
  <c r="J790" i="1"/>
  <c r="I790" i="1"/>
  <c r="G790" i="1"/>
  <c r="J789" i="1"/>
  <c r="I789" i="1"/>
  <c r="G789" i="1"/>
  <c r="J788" i="1"/>
  <c r="I788" i="1"/>
  <c r="G788" i="1"/>
  <c r="J787" i="1"/>
  <c r="I787" i="1"/>
  <c r="G787" i="1"/>
  <c r="J786" i="1"/>
  <c r="I786" i="1"/>
  <c r="G786" i="1"/>
  <c r="J785" i="1"/>
  <c r="I785" i="1"/>
  <c r="G785" i="1"/>
  <c r="J784" i="1"/>
  <c r="I784" i="1"/>
  <c r="G784" i="1"/>
  <c r="J783" i="1"/>
  <c r="I783" i="1"/>
  <c r="G783" i="1"/>
  <c r="J782" i="1"/>
  <c r="I782" i="1"/>
  <c r="G782" i="1"/>
  <c r="J781" i="1"/>
  <c r="I781" i="1"/>
  <c r="G781" i="1"/>
  <c r="J780" i="1"/>
  <c r="I780" i="1"/>
  <c r="G780" i="1"/>
  <c r="J779" i="1"/>
  <c r="I779" i="1"/>
  <c r="G779" i="1"/>
  <c r="J778" i="1"/>
  <c r="I778" i="1"/>
  <c r="G778" i="1"/>
  <c r="J777" i="1"/>
  <c r="I777" i="1"/>
  <c r="G777" i="1"/>
  <c r="J776" i="1"/>
  <c r="I776" i="1"/>
  <c r="G776" i="1"/>
  <c r="J775" i="1"/>
  <c r="I775" i="1"/>
  <c r="G775" i="1"/>
  <c r="J774" i="1"/>
  <c r="I774" i="1"/>
  <c r="G774" i="1"/>
  <c r="J773" i="1"/>
  <c r="I773" i="1"/>
  <c r="G773" i="1"/>
  <c r="J772" i="1"/>
  <c r="I772" i="1"/>
  <c r="G772" i="1"/>
  <c r="J771" i="1"/>
  <c r="I771" i="1"/>
  <c r="G771" i="1"/>
  <c r="J770" i="1"/>
  <c r="I770" i="1"/>
  <c r="G770" i="1"/>
  <c r="J769" i="1"/>
  <c r="I769" i="1"/>
  <c r="G769" i="1"/>
  <c r="J768" i="1"/>
  <c r="I768" i="1"/>
  <c r="G768" i="1"/>
  <c r="J767" i="1"/>
  <c r="I767" i="1"/>
  <c r="G767" i="1"/>
  <c r="J766" i="1"/>
  <c r="I766" i="1"/>
  <c r="G766" i="1"/>
  <c r="J765" i="1"/>
  <c r="I765" i="1"/>
  <c r="G765" i="1"/>
  <c r="J764" i="1"/>
  <c r="I764" i="1"/>
  <c r="G764" i="1"/>
  <c r="J763" i="1"/>
  <c r="I763" i="1"/>
  <c r="G763" i="1"/>
  <c r="J762" i="1"/>
  <c r="I762" i="1"/>
  <c r="G762" i="1"/>
  <c r="J761" i="1"/>
  <c r="I761" i="1"/>
  <c r="G761" i="1"/>
  <c r="J760" i="1"/>
  <c r="I760" i="1"/>
  <c r="G760" i="1"/>
  <c r="J759" i="1"/>
  <c r="I759" i="1"/>
  <c r="G759" i="1"/>
  <c r="J758" i="1"/>
  <c r="I758" i="1"/>
  <c r="G758" i="1"/>
  <c r="J757" i="1"/>
  <c r="I757" i="1"/>
  <c r="G757" i="1"/>
  <c r="J756" i="1"/>
  <c r="I756" i="1"/>
  <c r="G756" i="1"/>
  <c r="J755" i="1"/>
  <c r="I755" i="1"/>
  <c r="G755" i="1"/>
  <c r="J754" i="1"/>
  <c r="I754" i="1"/>
  <c r="G754" i="1"/>
  <c r="J753" i="1"/>
  <c r="I753" i="1"/>
  <c r="G753" i="1"/>
  <c r="J752" i="1"/>
  <c r="I752" i="1"/>
  <c r="G752" i="1"/>
  <c r="J751" i="1"/>
  <c r="I751" i="1"/>
  <c r="G751" i="1"/>
  <c r="J750" i="1"/>
  <c r="I750" i="1"/>
  <c r="G750" i="1"/>
  <c r="J749" i="1"/>
  <c r="I749" i="1"/>
  <c r="G749" i="1"/>
  <c r="J748" i="1"/>
  <c r="I748" i="1"/>
  <c r="G748" i="1"/>
  <c r="J747" i="1"/>
  <c r="I747" i="1"/>
  <c r="G747" i="1"/>
  <c r="J746" i="1"/>
  <c r="I746" i="1"/>
  <c r="G746" i="1"/>
  <c r="J745" i="1"/>
  <c r="I745" i="1"/>
  <c r="G745" i="1"/>
  <c r="J744" i="1"/>
  <c r="I744" i="1"/>
  <c r="G744" i="1"/>
  <c r="J743" i="1"/>
  <c r="I743" i="1"/>
  <c r="G743" i="1"/>
  <c r="J742" i="1"/>
  <c r="I742" i="1"/>
  <c r="G742" i="1"/>
  <c r="J741" i="1"/>
  <c r="I741" i="1"/>
  <c r="G741" i="1"/>
  <c r="J740" i="1"/>
  <c r="I740" i="1"/>
  <c r="G740" i="1"/>
  <c r="J739" i="1"/>
  <c r="I739" i="1"/>
  <c r="G739" i="1"/>
  <c r="J738" i="1"/>
  <c r="I738" i="1"/>
  <c r="G738" i="1"/>
  <c r="J737" i="1"/>
  <c r="I737" i="1"/>
  <c r="G737" i="1"/>
  <c r="J736" i="1"/>
  <c r="I736" i="1"/>
  <c r="G736" i="1"/>
  <c r="J735" i="1"/>
  <c r="I735" i="1"/>
  <c r="G735" i="1"/>
  <c r="J734" i="1"/>
  <c r="I734" i="1"/>
  <c r="G734" i="1"/>
  <c r="J733" i="1"/>
  <c r="I733" i="1"/>
  <c r="G733" i="1"/>
  <c r="J732" i="1"/>
  <c r="I732" i="1"/>
  <c r="G732" i="1"/>
  <c r="J731" i="1"/>
  <c r="I731" i="1"/>
  <c r="G731" i="1"/>
  <c r="J730" i="1"/>
  <c r="I730" i="1"/>
  <c r="G730" i="1"/>
  <c r="J729" i="1"/>
  <c r="I729" i="1"/>
  <c r="G729" i="1"/>
  <c r="J728" i="1"/>
  <c r="I728" i="1"/>
  <c r="G728" i="1"/>
  <c r="J727" i="1"/>
  <c r="I727" i="1"/>
  <c r="G727" i="1"/>
  <c r="J726" i="1"/>
  <c r="I726" i="1"/>
  <c r="G726" i="1"/>
  <c r="J725" i="1"/>
  <c r="I725" i="1"/>
  <c r="G725" i="1"/>
  <c r="J724" i="1"/>
  <c r="I724" i="1"/>
  <c r="G724" i="1"/>
  <c r="J723" i="1"/>
  <c r="I723" i="1"/>
  <c r="G723" i="1"/>
  <c r="J722" i="1"/>
  <c r="I722" i="1"/>
  <c r="G722" i="1"/>
  <c r="J721" i="1"/>
  <c r="I721" i="1"/>
  <c r="G721" i="1"/>
  <c r="J720" i="1"/>
  <c r="I720" i="1"/>
  <c r="G720" i="1"/>
  <c r="J719" i="1"/>
  <c r="I719" i="1"/>
  <c r="G719" i="1"/>
  <c r="J718" i="1"/>
  <c r="I718" i="1"/>
  <c r="G718" i="1"/>
  <c r="J717" i="1"/>
  <c r="I717" i="1"/>
  <c r="G717" i="1"/>
  <c r="J716" i="1"/>
  <c r="I716" i="1"/>
  <c r="G716" i="1"/>
  <c r="J715" i="1"/>
  <c r="I715" i="1"/>
  <c r="G715" i="1"/>
  <c r="J714" i="1"/>
  <c r="I714" i="1"/>
  <c r="G714" i="1"/>
  <c r="J713" i="1"/>
  <c r="I713" i="1"/>
  <c r="G713" i="1"/>
  <c r="J712" i="1"/>
  <c r="I712" i="1"/>
  <c r="G712" i="1"/>
  <c r="J711" i="1"/>
  <c r="I711" i="1"/>
  <c r="G711" i="1"/>
  <c r="J710" i="1"/>
  <c r="I710" i="1"/>
  <c r="G710" i="1"/>
  <c r="J709" i="1"/>
  <c r="I709" i="1"/>
  <c r="G709" i="1"/>
  <c r="J708" i="1"/>
  <c r="I708" i="1"/>
  <c r="G708" i="1"/>
  <c r="J707" i="1"/>
  <c r="I707" i="1"/>
  <c r="G707" i="1"/>
  <c r="J706" i="1"/>
  <c r="I706" i="1"/>
  <c r="G706" i="1"/>
  <c r="J705" i="1"/>
  <c r="I705" i="1"/>
  <c r="G705" i="1"/>
  <c r="J704" i="1"/>
  <c r="I704" i="1"/>
  <c r="G704" i="1"/>
  <c r="J703" i="1"/>
  <c r="I703" i="1"/>
  <c r="G703" i="1"/>
  <c r="J702" i="1"/>
  <c r="I702" i="1"/>
  <c r="G702" i="1"/>
  <c r="J701" i="1"/>
  <c r="I701" i="1"/>
  <c r="G701" i="1"/>
  <c r="J700" i="1"/>
  <c r="I700" i="1"/>
  <c r="G700" i="1"/>
  <c r="J699" i="1"/>
  <c r="I699" i="1"/>
  <c r="G699" i="1"/>
  <c r="J698" i="1"/>
  <c r="I698" i="1"/>
  <c r="G698" i="1"/>
  <c r="J697" i="1"/>
  <c r="I697" i="1"/>
  <c r="G697" i="1"/>
  <c r="J696" i="1"/>
  <c r="I696" i="1"/>
  <c r="G696" i="1"/>
  <c r="J695" i="1"/>
  <c r="I695" i="1"/>
  <c r="G695" i="1"/>
  <c r="J694" i="1"/>
  <c r="I694" i="1"/>
  <c r="G694" i="1"/>
  <c r="J693" i="1"/>
  <c r="I693" i="1"/>
  <c r="G693" i="1"/>
  <c r="J692" i="1"/>
  <c r="I692" i="1"/>
  <c r="G692" i="1"/>
  <c r="J691" i="1"/>
  <c r="I691" i="1"/>
  <c r="G691" i="1"/>
  <c r="J690" i="1"/>
  <c r="I690" i="1"/>
  <c r="G690" i="1"/>
  <c r="J689" i="1"/>
  <c r="I689" i="1"/>
  <c r="G689" i="1"/>
  <c r="J688" i="1"/>
  <c r="I688" i="1"/>
  <c r="G688" i="1"/>
  <c r="J687" i="1"/>
  <c r="I687" i="1"/>
  <c r="G687" i="1"/>
  <c r="J686" i="1"/>
  <c r="I686" i="1"/>
  <c r="G686" i="1"/>
  <c r="J685" i="1"/>
  <c r="I685" i="1"/>
  <c r="G685" i="1"/>
  <c r="J684" i="1"/>
  <c r="I684" i="1"/>
  <c r="G684" i="1"/>
  <c r="J683" i="1"/>
  <c r="I683" i="1"/>
  <c r="G683" i="1"/>
  <c r="J682" i="1"/>
  <c r="I682" i="1"/>
  <c r="G682" i="1"/>
  <c r="J681" i="1"/>
  <c r="I681" i="1"/>
  <c r="G681" i="1"/>
  <c r="J680" i="1"/>
  <c r="I680" i="1"/>
  <c r="G680" i="1"/>
  <c r="J679" i="1"/>
  <c r="I679" i="1"/>
  <c r="G679" i="1"/>
  <c r="J678" i="1"/>
  <c r="I678" i="1"/>
  <c r="G678" i="1"/>
  <c r="J677" i="1"/>
  <c r="I677" i="1"/>
  <c r="G677" i="1"/>
  <c r="J676" i="1"/>
  <c r="I676" i="1"/>
  <c r="G676" i="1"/>
  <c r="J675" i="1"/>
  <c r="I675" i="1"/>
  <c r="G675" i="1"/>
  <c r="J674" i="1"/>
  <c r="I674" i="1"/>
  <c r="G674" i="1"/>
  <c r="J673" i="1"/>
  <c r="I673" i="1"/>
  <c r="G673" i="1"/>
  <c r="J672" i="1"/>
  <c r="I672" i="1"/>
  <c r="G672" i="1"/>
  <c r="J671" i="1"/>
  <c r="I671" i="1"/>
  <c r="G671" i="1"/>
  <c r="J670" i="1"/>
  <c r="I670" i="1"/>
  <c r="G670" i="1"/>
  <c r="J669" i="1"/>
  <c r="I669" i="1"/>
  <c r="G669" i="1"/>
  <c r="J668" i="1"/>
  <c r="I668" i="1"/>
  <c r="G668" i="1"/>
  <c r="J667" i="1"/>
  <c r="I667" i="1"/>
  <c r="G667" i="1"/>
  <c r="J666" i="1"/>
  <c r="I666" i="1"/>
  <c r="G666" i="1"/>
  <c r="J665" i="1"/>
  <c r="I665" i="1"/>
  <c r="G665" i="1"/>
  <c r="J664" i="1"/>
  <c r="I664" i="1"/>
  <c r="G664" i="1"/>
  <c r="J663" i="1"/>
  <c r="I663" i="1"/>
  <c r="G663" i="1"/>
  <c r="J662" i="1"/>
  <c r="I662" i="1"/>
  <c r="G662" i="1"/>
  <c r="J661" i="1"/>
  <c r="I661" i="1"/>
  <c r="G661" i="1"/>
  <c r="J660" i="1"/>
  <c r="I660" i="1"/>
  <c r="G660" i="1"/>
  <c r="J659" i="1"/>
  <c r="I659" i="1"/>
  <c r="G659" i="1"/>
  <c r="J658" i="1"/>
  <c r="I658" i="1"/>
  <c r="G658" i="1"/>
  <c r="J657" i="1"/>
  <c r="I657" i="1"/>
  <c r="G657" i="1"/>
  <c r="J656" i="1"/>
  <c r="I656" i="1"/>
  <c r="G656" i="1"/>
  <c r="J655" i="1"/>
  <c r="I655" i="1"/>
  <c r="G655" i="1"/>
  <c r="J654" i="1"/>
  <c r="I654" i="1"/>
  <c r="G654" i="1"/>
  <c r="J653" i="1"/>
  <c r="I653" i="1"/>
  <c r="G653" i="1"/>
  <c r="J652" i="1"/>
  <c r="I652" i="1"/>
  <c r="G652" i="1"/>
  <c r="J651" i="1"/>
  <c r="I651" i="1"/>
  <c r="G651" i="1"/>
  <c r="J650" i="1"/>
  <c r="I650" i="1"/>
  <c r="G650" i="1"/>
  <c r="J649" i="1"/>
  <c r="I649" i="1"/>
  <c r="G649" i="1"/>
  <c r="J648" i="1"/>
  <c r="I648" i="1"/>
  <c r="G648" i="1"/>
  <c r="J647" i="1"/>
  <c r="I647" i="1"/>
  <c r="G647" i="1"/>
  <c r="J646" i="1"/>
  <c r="I646" i="1"/>
  <c r="G646" i="1"/>
  <c r="J645" i="1"/>
  <c r="I645" i="1"/>
  <c r="G645" i="1"/>
  <c r="J644" i="1"/>
  <c r="I644" i="1"/>
  <c r="G644" i="1"/>
  <c r="J643" i="1"/>
  <c r="I643" i="1"/>
  <c r="G643" i="1"/>
  <c r="J642" i="1"/>
  <c r="I642" i="1"/>
  <c r="G642" i="1"/>
  <c r="J641" i="1"/>
  <c r="I641" i="1"/>
  <c r="G641" i="1"/>
  <c r="J640" i="1"/>
  <c r="I640" i="1"/>
  <c r="G640" i="1"/>
  <c r="J639" i="1"/>
  <c r="I639" i="1"/>
  <c r="G639" i="1"/>
  <c r="J638" i="1"/>
  <c r="I638" i="1"/>
  <c r="G638" i="1"/>
  <c r="J637" i="1"/>
  <c r="I637" i="1"/>
  <c r="G637" i="1"/>
  <c r="J636" i="1"/>
  <c r="I636" i="1"/>
  <c r="G636" i="1"/>
  <c r="J635" i="1"/>
  <c r="I635" i="1"/>
  <c r="G635" i="1"/>
  <c r="J634" i="1"/>
  <c r="I634" i="1"/>
  <c r="G634" i="1"/>
  <c r="J633" i="1"/>
  <c r="I633" i="1"/>
  <c r="G633" i="1"/>
  <c r="J632" i="1"/>
  <c r="I632" i="1"/>
  <c r="G632" i="1"/>
  <c r="J631" i="1"/>
  <c r="I631" i="1"/>
  <c r="G631" i="1"/>
  <c r="J630" i="1"/>
  <c r="I630" i="1"/>
  <c r="G630" i="1"/>
  <c r="J629" i="1"/>
  <c r="I629" i="1"/>
  <c r="G629" i="1"/>
  <c r="J628" i="1"/>
  <c r="I628" i="1"/>
  <c r="G628" i="1"/>
  <c r="J627" i="1"/>
  <c r="I627" i="1"/>
  <c r="G627" i="1"/>
  <c r="J626" i="1"/>
  <c r="I626" i="1"/>
  <c r="G626" i="1"/>
  <c r="J625" i="1"/>
  <c r="I625" i="1"/>
  <c r="G625" i="1"/>
  <c r="J624" i="1"/>
  <c r="I624" i="1"/>
  <c r="G624" i="1"/>
  <c r="J623" i="1"/>
  <c r="I623" i="1"/>
  <c r="G623" i="1"/>
  <c r="J622" i="1"/>
  <c r="I622" i="1"/>
  <c r="G622" i="1"/>
  <c r="J621" i="1"/>
  <c r="I621" i="1"/>
  <c r="G621" i="1"/>
  <c r="J620" i="1"/>
  <c r="I620" i="1"/>
  <c r="G620" i="1"/>
  <c r="J619" i="1"/>
  <c r="I619" i="1"/>
  <c r="G619" i="1"/>
  <c r="J618" i="1"/>
  <c r="I618" i="1"/>
  <c r="G618" i="1"/>
  <c r="J617" i="1"/>
  <c r="I617" i="1"/>
  <c r="G617" i="1"/>
  <c r="J616" i="1"/>
  <c r="I616" i="1"/>
  <c r="G616" i="1"/>
  <c r="J615" i="1"/>
  <c r="I615" i="1"/>
  <c r="G615" i="1"/>
  <c r="J614" i="1"/>
  <c r="I614" i="1"/>
  <c r="G614" i="1"/>
  <c r="J613" i="1"/>
  <c r="I613" i="1"/>
  <c r="G613" i="1"/>
  <c r="J612" i="1"/>
  <c r="I612" i="1"/>
  <c r="G612" i="1"/>
  <c r="J611" i="1"/>
  <c r="I611" i="1"/>
  <c r="G611" i="1"/>
  <c r="J610" i="1"/>
  <c r="I610" i="1"/>
  <c r="G610" i="1"/>
  <c r="J609" i="1"/>
  <c r="I609" i="1"/>
  <c r="G609" i="1"/>
  <c r="J608" i="1"/>
  <c r="I608" i="1"/>
  <c r="G608" i="1"/>
  <c r="J607" i="1"/>
  <c r="I607" i="1"/>
  <c r="G607" i="1"/>
  <c r="J606" i="1"/>
  <c r="I606" i="1"/>
  <c r="G606" i="1"/>
  <c r="J605" i="1"/>
  <c r="I605" i="1"/>
  <c r="G605" i="1"/>
  <c r="J604" i="1"/>
  <c r="I604" i="1"/>
  <c r="G604" i="1"/>
  <c r="J603" i="1"/>
  <c r="I603" i="1"/>
  <c r="G603" i="1"/>
  <c r="J602" i="1"/>
  <c r="I602" i="1"/>
  <c r="G602" i="1"/>
  <c r="J601" i="1"/>
  <c r="I601" i="1"/>
  <c r="G601" i="1"/>
  <c r="J600" i="1"/>
  <c r="I600" i="1"/>
  <c r="G600" i="1"/>
  <c r="J599" i="1"/>
  <c r="I599" i="1"/>
  <c r="G599" i="1"/>
  <c r="J598" i="1"/>
  <c r="I598" i="1"/>
  <c r="G598" i="1"/>
  <c r="J597" i="1"/>
  <c r="I597" i="1"/>
  <c r="G597" i="1"/>
  <c r="J596" i="1"/>
  <c r="I596" i="1"/>
  <c r="G596" i="1"/>
  <c r="J595" i="1"/>
  <c r="I595" i="1"/>
  <c r="G595" i="1"/>
  <c r="J594" i="1"/>
  <c r="I594" i="1"/>
  <c r="G594" i="1"/>
  <c r="J593" i="1"/>
  <c r="I593" i="1"/>
  <c r="G593" i="1"/>
  <c r="J592" i="1"/>
  <c r="I592" i="1"/>
  <c r="G592" i="1"/>
  <c r="J591" i="1"/>
  <c r="I591" i="1"/>
  <c r="G591" i="1"/>
  <c r="J590" i="1"/>
  <c r="I590" i="1"/>
  <c r="G590" i="1"/>
  <c r="J589" i="1"/>
  <c r="I589" i="1"/>
  <c r="G589" i="1"/>
  <c r="J588" i="1"/>
  <c r="I588" i="1"/>
  <c r="G588" i="1"/>
  <c r="J587" i="1"/>
  <c r="I587" i="1"/>
  <c r="G587" i="1"/>
  <c r="J586" i="1"/>
  <c r="I586" i="1"/>
  <c r="G586" i="1"/>
  <c r="J585" i="1"/>
  <c r="I585" i="1"/>
  <c r="G585" i="1"/>
  <c r="J584" i="1"/>
  <c r="I584" i="1"/>
  <c r="G584" i="1"/>
  <c r="J583" i="1"/>
  <c r="I583" i="1"/>
  <c r="G583" i="1"/>
  <c r="J582" i="1"/>
  <c r="I582" i="1"/>
  <c r="G582" i="1"/>
  <c r="J581" i="1"/>
  <c r="I581" i="1"/>
  <c r="G581" i="1"/>
  <c r="J580" i="1"/>
  <c r="I580" i="1"/>
  <c r="G580" i="1"/>
  <c r="J579" i="1"/>
  <c r="I579" i="1"/>
  <c r="G579" i="1"/>
  <c r="J578" i="1"/>
  <c r="I578" i="1"/>
  <c r="G578" i="1"/>
  <c r="J577" i="1"/>
  <c r="I577" i="1"/>
  <c r="G577" i="1"/>
  <c r="J576" i="1"/>
  <c r="I576" i="1"/>
  <c r="G576" i="1"/>
  <c r="J575" i="1"/>
  <c r="I575" i="1"/>
  <c r="G575" i="1"/>
  <c r="J574" i="1"/>
  <c r="I574" i="1"/>
  <c r="G574" i="1"/>
  <c r="J573" i="1"/>
  <c r="I573" i="1"/>
  <c r="G573" i="1"/>
  <c r="J572" i="1"/>
  <c r="I572" i="1"/>
  <c r="G572" i="1"/>
  <c r="J571" i="1"/>
  <c r="I571" i="1"/>
  <c r="G571" i="1"/>
  <c r="J570" i="1"/>
  <c r="I570" i="1"/>
  <c r="G570" i="1"/>
  <c r="J569" i="1"/>
  <c r="I569" i="1"/>
  <c r="G569" i="1"/>
  <c r="J568" i="1"/>
  <c r="I568" i="1"/>
  <c r="G568" i="1"/>
  <c r="J567" i="1"/>
  <c r="I567" i="1"/>
  <c r="G567" i="1"/>
  <c r="J566" i="1"/>
  <c r="I566" i="1"/>
  <c r="G566" i="1"/>
  <c r="J565" i="1"/>
  <c r="I565" i="1"/>
  <c r="G565" i="1"/>
  <c r="J564" i="1"/>
  <c r="I564" i="1"/>
  <c r="G564" i="1"/>
  <c r="J563" i="1"/>
  <c r="I563" i="1"/>
  <c r="G563" i="1"/>
  <c r="J562" i="1"/>
  <c r="I562" i="1"/>
  <c r="G562" i="1"/>
  <c r="J561" i="1"/>
  <c r="I561" i="1"/>
  <c r="G561" i="1"/>
  <c r="J560" i="1"/>
  <c r="I560" i="1"/>
  <c r="G560" i="1"/>
  <c r="J559" i="1"/>
  <c r="I559" i="1"/>
  <c r="G559" i="1"/>
  <c r="J558" i="1"/>
  <c r="I558" i="1"/>
  <c r="G558" i="1"/>
  <c r="J557" i="1"/>
  <c r="I557" i="1"/>
  <c r="G557" i="1"/>
  <c r="J556" i="1"/>
  <c r="I556" i="1"/>
  <c r="G556" i="1"/>
  <c r="J555" i="1"/>
  <c r="I555" i="1"/>
  <c r="G555" i="1"/>
  <c r="J554" i="1"/>
  <c r="I554" i="1"/>
  <c r="G554" i="1"/>
  <c r="J553" i="1"/>
  <c r="I553" i="1"/>
  <c r="G553" i="1"/>
  <c r="J552" i="1"/>
  <c r="I552" i="1"/>
  <c r="G552" i="1"/>
  <c r="J551" i="1"/>
  <c r="I551" i="1"/>
  <c r="G551" i="1"/>
  <c r="J550" i="1"/>
  <c r="I550" i="1"/>
  <c r="G550" i="1"/>
  <c r="J549" i="1"/>
  <c r="I549" i="1"/>
  <c r="G549" i="1"/>
  <c r="J548" i="1"/>
  <c r="I548" i="1"/>
  <c r="G548" i="1"/>
  <c r="J547" i="1"/>
  <c r="I547" i="1"/>
  <c r="G547" i="1"/>
  <c r="J546" i="1"/>
  <c r="I546" i="1"/>
  <c r="G546" i="1"/>
  <c r="J545" i="1"/>
  <c r="I545" i="1"/>
  <c r="G545" i="1"/>
  <c r="J544" i="1"/>
  <c r="I544" i="1"/>
  <c r="G544" i="1"/>
  <c r="J543" i="1"/>
  <c r="I543" i="1"/>
  <c r="G543" i="1"/>
  <c r="J542" i="1"/>
  <c r="I542" i="1"/>
  <c r="G542" i="1"/>
  <c r="J541" i="1"/>
  <c r="I541" i="1"/>
  <c r="G541" i="1"/>
  <c r="J540" i="1"/>
  <c r="I540" i="1"/>
  <c r="G540" i="1"/>
  <c r="J539" i="1"/>
  <c r="I539" i="1"/>
  <c r="G539" i="1"/>
  <c r="J538" i="1"/>
  <c r="I538" i="1"/>
  <c r="G538" i="1"/>
  <c r="J537" i="1"/>
  <c r="I537" i="1"/>
  <c r="G537" i="1"/>
  <c r="J536" i="1"/>
  <c r="I536" i="1"/>
  <c r="G536" i="1"/>
  <c r="J535" i="1"/>
  <c r="I535" i="1"/>
  <c r="G535" i="1"/>
  <c r="J534" i="1"/>
  <c r="I534" i="1"/>
  <c r="G534" i="1"/>
  <c r="J533" i="1"/>
  <c r="I533" i="1"/>
  <c r="G533" i="1"/>
  <c r="J532" i="1"/>
  <c r="I532" i="1"/>
  <c r="G532" i="1"/>
  <c r="J531" i="1"/>
  <c r="I531" i="1"/>
  <c r="G531" i="1"/>
  <c r="J530" i="1"/>
  <c r="I530" i="1"/>
  <c r="G530" i="1"/>
  <c r="J529" i="1"/>
  <c r="I529" i="1"/>
  <c r="G529" i="1"/>
  <c r="J528" i="1"/>
  <c r="I528" i="1"/>
  <c r="G528" i="1"/>
  <c r="J527" i="1"/>
  <c r="I527" i="1"/>
  <c r="G527" i="1"/>
  <c r="J526" i="1"/>
  <c r="I526" i="1"/>
  <c r="G526" i="1"/>
  <c r="J525" i="1"/>
  <c r="I525" i="1"/>
  <c r="G525" i="1"/>
  <c r="J524" i="1"/>
  <c r="I524" i="1"/>
  <c r="G524" i="1"/>
  <c r="J523" i="1"/>
  <c r="I523" i="1"/>
  <c r="G523" i="1"/>
  <c r="J522" i="1"/>
  <c r="I522" i="1"/>
  <c r="G522" i="1"/>
  <c r="J521" i="1"/>
  <c r="I521" i="1"/>
  <c r="G521" i="1"/>
  <c r="J520" i="1"/>
  <c r="I520" i="1"/>
  <c r="G520" i="1"/>
  <c r="J519" i="1"/>
  <c r="I519" i="1"/>
  <c r="G519" i="1"/>
  <c r="J518" i="1"/>
  <c r="I518" i="1"/>
  <c r="G518" i="1"/>
  <c r="J517" i="1"/>
  <c r="I517" i="1"/>
  <c r="G517" i="1"/>
  <c r="J516" i="1"/>
  <c r="I516" i="1"/>
  <c r="G516" i="1"/>
  <c r="J515" i="1"/>
  <c r="I515" i="1"/>
  <c r="G515" i="1"/>
  <c r="J514" i="1"/>
  <c r="I514" i="1"/>
  <c r="G514" i="1"/>
  <c r="J513" i="1"/>
  <c r="I513" i="1"/>
  <c r="G513" i="1"/>
  <c r="J512" i="1"/>
  <c r="I512" i="1"/>
  <c r="G512" i="1"/>
  <c r="J511" i="1"/>
  <c r="I511" i="1"/>
  <c r="G511" i="1"/>
  <c r="J510" i="1"/>
  <c r="I510" i="1"/>
  <c r="G510" i="1"/>
  <c r="J509" i="1"/>
  <c r="I509" i="1"/>
  <c r="G509" i="1"/>
  <c r="J508" i="1"/>
  <c r="I508" i="1"/>
  <c r="G508" i="1"/>
  <c r="J507" i="1"/>
  <c r="I507" i="1"/>
  <c r="G507" i="1"/>
  <c r="J506" i="1"/>
  <c r="I506" i="1"/>
  <c r="G506" i="1"/>
  <c r="G505" i="1"/>
  <c r="J504" i="1"/>
  <c r="I504" i="1"/>
  <c r="G504" i="1"/>
  <c r="J503" i="1"/>
  <c r="I503" i="1"/>
  <c r="G503" i="1"/>
  <c r="J502" i="1"/>
  <c r="I502" i="1"/>
  <c r="G502" i="1"/>
  <c r="J501" i="1"/>
  <c r="I501" i="1"/>
  <c r="G501" i="1"/>
  <c r="J500" i="1"/>
  <c r="I500" i="1"/>
  <c r="G500" i="1"/>
  <c r="J499" i="1"/>
  <c r="I499" i="1"/>
  <c r="G499" i="1"/>
  <c r="J498" i="1"/>
  <c r="I498" i="1"/>
  <c r="G498" i="1"/>
  <c r="J497" i="1"/>
  <c r="I497" i="1"/>
  <c r="G497" i="1"/>
  <c r="J496" i="1"/>
  <c r="I496" i="1"/>
  <c r="G496" i="1"/>
  <c r="J495" i="1"/>
  <c r="I495" i="1"/>
  <c r="G495" i="1"/>
  <c r="J494" i="1"/>
  <c r="I494" i="1"/>
  <c r="G494" i="1"/>
  <c r="J493" i="1"/>
  <c r="I493" i="1"/>
  <c r="G493" i="1"/>
  <c r="J492" i="1"/>
  <c r="I492" i="1"/>
  <c r="G492" i="1"/>
  <c r="J491" i="1"/>
  <c r="I491" i="1"/>
  <c r="G491" i="1"/>
  <c r="J490" i="1"/>
  <c r="I490" i="1"/>
  <c r="G490" i="1"/>
  <c r="J489" i="1"/>
  <c r="I489" i="1"/>
  <c r="G489" i="1"/>
  <c r="J488" i="1"/>
  <c r="I488" i="1"/>
  <c r="G488" i="1"/>
  <c r="J487" i="1"/>
  <c r="I487" i="1"/>
  <c r="G487" i="1"/>
  <c r="J486" i="1"/>
  <c r="I486" i="1"/>
  <c r="G486" i="1"/>
  <c r="J485" i="1"/>
  <c r="I485" i="1"/>
  <c r="G485" i="1"/>
  <c r="J484" i="1"/>
  <c r="I484" i="1"/>
  <c r="G484" i="1"/>
  <c r="J483" i="1"/>
  <c r="I483" i="1"/>
  <c r="G483" i="1"/>
  <c r="J482" i="1"/>
  <c r="I482" i="1"/>
  <c r="G482" i="1"/>
  <c r="J481" i="1"/>
  <c r="I481" i="1"/>
  <c r="G481" i="1"/>
  <c r="J480" i="1"/>
  <c r="I480" i="1"/>
  <c r="G480" i="1"/>
  <c r="J479" i="1"/>
  <c r="I479" i="1"/>
  <c r="G479" i="1"/>
  <c r="J478" i="1"/>
  <c r="I478" i="1"/>
  <c r="G478" i="1"/>
  <c r="J477" i="1"/>
  <c r="I477" i="1"/>
  <c r="G477" i="1"/>
  <c r="J476" i="1"/>
  <c r="I476" i="1"/>
  <c r="G476" i="1"/>
  <c r="J475" i="1"/>
  <c r="I475" i="1"/>
  <c r="G475" i="1"/>
  <c r="J474" i="1"/>
  <c r="I474" i="1"/>
  <c r="G474" i="1"/>
  <c r="J473" i="1"/>
  <c r="I473" i="1"/>
  <c r="G473" i="1"/>
  <c r="J472" i="1"/>
  <c r="I472" i="1"/>
  <c r="G472" i="1"/>
  <c r="J471" i="1"/>
  <c r="I471" i="1"/>
  <c r="G471" i="1"/>
  <c r="J470" i="1"/>
  <c r="I470" i="1"/>
  <c r="G470" i="1"/>
  <c r="J469" i="1"/>
  <c r="I469" i="1"/>
  <c r="G469" i="1"/>
  <c r="J468" i="1"/>
  <c r="I468" i="1"/>
  <c r="G468" i="1"/>
  <c r="J467" i="1"/>
  <c r="I467" i="1"/>
  <c r="G467" i="1"/>
  <c r="J466" i="1"/>
  <c r="I466" i="1"/>
  <c r="G466" i="1"/>
  <c r="J465" i="1"/>
  <c r="I465" i="1"/>
  <c r="G465" i="1"/>
  <c r="J464" i="1"/>
  <c r="I464" i="1"/>
  <c r="G464" i="1"/>
  <c r="J463" i="1"/>
  <c r="I463" i="1"/>
  <c r="G463" i="1"/>
  <c r="J462" i="1"/>
  <c r="I462" i="1"/>
  <c r="G462" i="1"/>
  <c r="J461" i="1"/>
  <c r="I461" i="1"/>
  <c r="G461" i="1"/>
  <c r="J460" i="1"/>
  <c r="I460" i="1"/>
  <c r="G460" i="1"/>
  <c r="J459" i="1"/>
  <c r="I459" i="1"/>
  <c r="G459" i="1"/>
  <c r="J458" i="1"/>
  <c r="I458" i="1"/>
  <c r="G458" i="1"/>
  <c r="J457" i="1"/>
  <c r="I457" i="1"/>
  <c r="G457" i="1"/>
  <c r="J456" i="1"/>
  <c r="I456" i="1"/>
  <c r="G456" i="1"/>
  <c r="J455" i="1"/>
  <c r="I455" i="1"/>
  <c r="G455" i="1"/>
  <c r="J454" i="1"/>
  <c r="I454" i="1"/>
  <c r="G454" i="1"/>
  <c r="J453" i="1"/>
  <c r="I453" i="1"/>
  <c r="G453" i="1"/>
  <c r="J452" i="1"/>
  <c r="I452" i="1"/>
  <c r="G452" i="1"/>
  <c r="J451" i="1"/>
  <c r="I451" i="1"/>
  <c r="G451" i="1"/>
  <c r="J450" i="1"/>
  <c r="I450" i="1"/>
  <c r="G450" i="1"/>
  <c r="J449" i="1"/>
  <c r="I449" i="1"/>
  <c r="G449" i="1"/>
  <c r="J448" i="1"/>
  <c r="I448" i="1"/>
  <c r="G448" i="1"/>
  <c r="J447" i="1"/>
  <c r="I447" i="1"/>
  <c r="G447" i="1"/>
  <c r="J446" i="1"/>
  <c r="I446" i="1"/>
  <c r="G446" i="1"/>
  <c r="J445" i="1"/>
  <c r="I445" i="1"/>
  <c r="G445" i="1"/>
  <c r="J444" i="1"/>
  <c r="I444" i="1"/>
  <c r="G444" i="1"/>
  <c r="J443" i="1"/>
  <c r="I443" i="1"/>
  <c r="G443" i="1"/>
  <c r="J442" i="1"/>
  <c r="I442" i="1"/>
  <c r="G442" i="1"/>
  <c r="J441" i="1"/>
  <c r="I441" i="1"/>
  <c r="G441" i="1"/>
  <c r="J440" i="1"/>
  <c r="I440" i="1"/>
  <c r="G440" i="1"/>
  <c r="J439" i="1"/>
  <c r="I439" i="1"/>
  <c r="G439" i="1"/>
  <c r="J438" i="1"/>
  <c r="I438" i="1"/>
  <c r="G438" i="1"/>
  <c r="J437" i="1"/>
  <c r="I437" i="1"/>
  <c r="G437" i="1"/>
  <c r="J436" i="1"/>
  <c r="I436" i="1"/>
  <c r="G436" i="1"/>
  <c r="J435" i="1"/>
  <c r="I435" i="1"/>
  <c r="G435" i="1"/>
  <c r="J434" i="1"/>
  <c r="I434" i="1"/>
  <c r="G434" i="1"/>
  <c r="J433" i="1"/>
  <c r="I433" i="1"/>
  <c r="G433" i="1"/>
  <c r="J432" i="1"/>
  <c r="I432" i="1"/>
  <c r="G432" i="1"/>
  <c r="J431" i="1"/>
  <c r="I431" i="1"/>
  <c r="G431" i="1"/>
  <c r="J430" i="1"/>
  <c r="I430" i="1"/>
  <c r="G430" i="1"/>
  <c r="J429" i="1"/>
  <c r="I429" i="1"/>
  <c r="G429" i="1"/>
  <c r="J428" i="1"/>
  <c r="I428" i="1"/>
  <c r="G428" i="1"/>
  <c r="J427" i="1"/>
  <c r="I427" i="1"/>
  <c r="G427" i="1"/>
  <c r="J426" i="1"/>
  <c r="I426" i="1"/>
  <c r="G426" i="1"/>
  <c r="J425" i="1"/>
  <c r="I425" i="1"/>
  <c r="G425" i="1"/>
  <c r="J424" i="1"/>
  <c r="I424" i="1"/>
  <c r="G424" i="1"/>
  <c r="J423" i="1"/>
  <c r="I423" i="1"/>
  <c r="G423" i="1"/>
  <c r="J422" i="1"/>
  <c r="I422" i="1"/>
  <c r="G422" i="1"/>
  <c r="J421" i="1"/>
  <c r="I421" i="1"/>
  <c r="G421" i="1"/>
  <c r="J420" i="1"/>
  <c r="I420" i="1"/>
  <c r="G420" i="1"/>
  <c r="J419" i="1"/>
  <c r="I419" i="1"/>
  <c r="G419" i="1"/>
  <c r="J418" i="1"/>
  <c r="I418" i="1"/>
  <c r="G418" i="1"/>
  <c r="J417" i="1"/>
  <c r="I417" i="1"/>
  <c r="G417" i="1"/>
  <c r="J416" i="1"/>
  <c r="I416" i="1"/>
  <c r="G416" i="1"/>
  <c r="J415" i="1"/>
  <c r="I415" i="1"/>
  <c r="G415" i="1"/>
  <c r="J414" i="1"/>
  <c r="I414" i="1"/>
  <c r="G414" i="1"/>
  <c r="J413" i="1"/>
  <c r="I413" i="1"/>
  <c r="G413" i="1"/>
  <c r="J412" i="1"/>
  <c r="I412" i="1"/>
  <c r="G412" i="1"/>
  <c r="J411" i="1"/>
  <c r="I411" i="1"/>
  <c r="G411" i="1"/>
  <c r="J410" i="1"/>
  <c r="I410" i="1"/>
  <c r="G410" i="1"/>
  <c r="J409" i="1"/>
  <c r="I409" i="1"/>
  <c r="G409" i="1"/>
  <c r="J408" i="1"/>
  <c r="I408" i="1"/>
  <c r="G408" i="1"/>
  <c r="J407" i="1"/>
  <c r="I407" i="1"/>
  <c r="G407" i="1"/>
  <c r="J406" i="1"/>
  <c r="I406" i="1"/>
  <c r="G406" i="1"/>
  <c r="J405" i="1"/>
  <c r="I405" i="1"/>
  <c r="G405" i="1"/>
  <c r="J404" i="1"/>
  <c r="I404" i="1"/>
  <c r="G404" i="1"/>
  <c r="J403" i="1"/>
  <c r="I403" i="1"/>
  <c r="G403" i="1"/>
  <c r="J402" i="1"/>
  <c r="I402" i="1"/>
  <c r="G402" i="1"/>
  <c r="J401" i="1"/>
  <c r="I401" i="1"/>
  <c r="G401" i="1"/>
  <c r="J400" i="1"/>
  <c r="I400" i="1"/>
  <c r="G400" i="1"/>
  <c r="J399" i="1"/>
  <c r="I399" i="1"/>
  <c r="G399" i="1"/>
  <c r="J398" i="1"/>
  <c r="I398" i="1"/>
  <c r="G398" i="1"/>
  <c r="J397" i="1"/>
  <c r="I397" i="1"/>
  <c r="G397" i="1"/>
  <c r="J396" i="1"/>
  <c r="I396" i="1"/>
  <c r="G396" i="1"/>
  <c r="J395" i="1"/>
  <c r="I395" i="1"/>
  <c r="G395" i="1"/>
  <c r="J394" i="1"/>
  <c r="I394" i="1"/>
  <c r="G394" i="1"/>
  <c r="J393" i="1"/>
  <c r="I393" i="1"/>
  <c r="G393" i="1"/>
  <c r="J392" i="1"/>
  <c r="I392" i="1"/>
  <c r="G392" i="1"/>
  <c r="J391" i="1"/>
  <c r="I391" i="1"/>
  <c r="G391" i="1"/>
  <c r="J390" i="1"/>
  <c r="I390" i="1"/>
  <c r="G390" i="1"/>
  <c r="J389" i="1"/>
  <c r="I389" i="1"/>
  <c r="G389" i="1"/>
  <c r="J388" i="1"/>
  <c r="I388" i="1"/>
  <c r="G388" i="1"/>
  <c r="J387" i="1"/>
  <c r="I387" i="1"/>
  <c r="G387" i="1"/>
  <c r="J386" i="1"/>
  <c r="I386" i="1"/>
  <c r="G386" i="1"/>
  <c r="J385" i="1"/>
  <c r="I385" i="1"/>
  <c r="G385" i="1"/>
  <c r="J384" i="1"/>
  <c r="I384" i="1"/>
  <c r="G384" i="1"/>
  <c r="J383" i="1"/>
  <c r="I383" i="1"/>
  <c r="G383" i="1"/>
  <c r="J382" i="1"/>
  <c r="I382" i="1"/>
  <c r="G382" i="1"/>
  <c r="J381" i="1"/>
  <c r="I381" i="1"/>
  <c r="G381" i="1"/>
  <c r="J380" i="1"/>
  <c r="I380" i="1"/>
  <c r="G380" i="1"/>
  <c r="J379" i="1"/>
  <c r="I379" i="1"/>
  <c r="G379" i="1"/>
  <c r="J378" i="1"/>
  <c r="I378" i="1"/>
  <c r="G378" i="1"/>
  <c r="J377" i="1"/>
  <c r="I377" i="1"/>
  <c r="G377" i="1"/>
  <c r="J376" i="1"/>
  <c r="I376" i="1"/>
  <c r="G376" i="1"/>
  <c r="J375" i="1"/>
  <c r="I375" i="1"/>
  <c r="G375" i="1"/>
  <c r="J374" i="1"/>
  <c r="I374" i="1"/>
  <c r="G374" i="1"/>
  <c r="J373" i="1"/>
  <c r="I373" i="1"/>
  <c r="G373" i="1"/>
  <c r="J372" i="1"/>
  <c r="I372" i="1"/>
  <c r="G372" i="1"/>
  <c r="J371" i="1"/>
  <c r="I371" i="1"/>
  <c r="G371" i="1"/>
  <c r="J370" i="1"/>
  <c r="I370" i="1"/>
  <c r="G370" i="1"/>
  <c r="J369" i="1"/>
  <c r="I369" i="1"/>
  <c r="G369" i="1"/>
  <c r="J368" i="1"/>
  <c r="I368" i="1"/>
  <c r="G368" i="1"/>
  <c r="J367" i="1"/>
  <c r="I367" i="1"/>
  <c r="G367" i="1"/>
  <c r="J366" i="1"/>
  <c r="I366" i="1"/>
  <c r="G366" i="1"/>
  <c r="J365" i="1"/>
  <c r="I365" i="1"/>
  <c r="G365" i="1"/>
  <c r="J364" i="1"/>
  <c r="I364" i="1"/>
  <c r="G364" i="1"/>
  <c r="J363" i="1"/>
  <c r="I363" i="1"/>
  <c r="G363" i="1"/>
  <c r="J362" i="1"/>
  <c r="I362" i="1"/>
  <c r="G362" i="1"/>
  <c r="J361" i="1"/>
  <c r="I361" i="1"/>
  <c r="G361" i="1"/>
  <c r="J360" i="1"/>
  <c r="I360" i="1"/>
  <c r="G360" i="1"/>
  <c r="J359" i="1"/>
  <c r="I359" i="1"/>
  <c r="G359" i="1"/>
  <c r="J358" i="1"/>
  <c r="I358" i="1"/>
  <c r="G358" i="1"/>
  <c r="J357" i="1"/>
  <c r="I357" i="1"/>
  <c r="G357" i="1"/>
  <c r="J356" i="1"/>
  <c r="I356" i="1"/>
  <c r="G356" i="1"/>
  <c r="J355" i="1"/>
  <c r="I355" i="1"/>
  <c r="G355" i="1"/>
  <c r="J354" i="1"/>
  <c r="I354" i="1"/>
  <c r="G354" i="1"/>
  <c r="J353" i="1"/>
  <c r="I353" i="1"/>
  <c r="G353" i="1"/>
  <c r="J352" i="1"/>
  <c r="I352" i="1"/>
  <c r="G352" i="1"/>
  <c r="J351" i="1"/>
  <c r="I351" i="1"/>
  <c r="G351" i="1"/>
  <c r="J350" i="1"/>
  <c r="I350" i="1"/>
  <c r="G350" i="1"/>
  <c r="J349" i="1"/>
  <c r="I349" i="1"/>
  <c r="G349" i="1"/>
  <c r="J348" i="1"/>
  <c r="I348" i="1"/>
  <c r="G348" i="1"/>
  <c r="J347" i="1"/>
  <c r="I347" i="1"/>
  <c r="G347" i="1"/>
  <c r="J346" i="1"/>
  <c r="I346" i="1"/>
  <c r="G346" i="1"/>
  <c r="J345" i="1"/>
  <c r="I345" i="1"/>
  <c r="G345" i="1"/>
  <c r="J344" i="1"/>
  <c r="I344" i="1"/>
  <c r="G344" i="1"/>
  <c r="J343" i="1"/>
  <c r="I343" i="1"/>
  <c r="G343" i="1"/>
  <c r="J342" i="1"/>
  <c r="I342" i="1"/>
  <c r="G342" i="1"/>
  <c r="J341" i="1"/>
  <c r="I341" i="1"/>
  <c r="G341" i="1"/>
  <c r="J340" i="1"/>
  <c r="I340" i="1"/>
  <c r="G340" i="1"/>
  <c r="J339" i="1"/>
  <c r="I339" i="1"/>
  <c r="G339" i="1"/>
  <c r="J338" i="1"/>
  <c r="I338" i="1"/>
  <c r="G338" i="1"/>
  <c r="J337" i="1"/>
  <c r="I337" i="1"/>
  <c r="G337" i="1"/>
  <c r="J336" i="1"/>
  <c r="I336" i="1"/>
  <c r="G336" i="1"/>
  <c r="J335" i="1"/>
  <c r="I335" i="1"/>
  <c r="G335" i="1"/>
  <c r="J334" i="1"/>
  <c r="I334" i="1"/>
  <c r="G334" i="1"/>
  <c r="J333" i="1"/>
  <c r="I333" i="1"/>
  <c r="G333" i="1"/>
  <c r="J332" i="1"/>
  <c r="I332" i="1"/>
  <c r="G332" i="1"/>
  <c r="J331" i="1"/>
  <c r="I331" i="1"/>
  <c r="G331" i="1"/>
  <c r="J330" i="1"/>
  <c r="I330" i="1"/>
  <c r="G330" i="1"/>
  <c r="J329" i="1"/>
  <c r="I329" i="1"/>
  <c r="G329" i="1"/>
  <c r="J328" i="1"/>
  <c r="I328" i="1"/>
  <c r="G328" i="1"/>
  <c r="J327" i="1"/>
  <c r="I327" i="1"/>
  <c r="G327" i="1"/>
  <c r="J326" i="1"/>
  <c r="I326" i="1"/>
  <c r="G326" i="1"/>
  <c r="J325" i="1"/>
  <c r="I325" i="1"/>
  <c r="G325" i="1"/>
  <c r="J324" i="1"/>
  <c r="I324" i="1"/>
  <c r="G324" i="1"/>
  <c r="J323" i="1"/>
  <c r="I323" i="1"/>
  <c r="G323" i="1"/>
  <c r="J322" i="1"/>
  <c r="I322" i="1"/>
  <c r="G322" i="1"/>
  <c r="J321" i="1"/>
  <c r="I321" i="1"/>
  <c r="G321" i="1"/>
  <c r="J320" i="1"/>
  <c r="I320" i="1"/>
  <c r="G320" i="1"/>
  <c r="J319" i="1"/>
  <c r="I319" i="1"/>
  <c r="G319" i="1"/>
  <c r="J318" i="1"/>
  <c r="I318" i="1"/>
  <c r="G318" i="1"/>
  <c r="J317" i="1"/>
  <c r="I317" i="1"/>
  <c r="G317" i="1"/>
  <c r="J316" i="1"/>
  <c r="I316" i="1"/>
  <c r="G316" i="1"/>
  <c r="J315" i="1"/>
  <c r="I315" i="1"/>
  <c r="G315" i="1"/>
  <c r="J314" i="1"/>
  <c r="I314" i="1"/>
  <c r="G314" i="1"/>
  <c r="J313" i="1"/>
  <c r="I313" i="1"/>
  <c r="G313" i="1"/>
  <c r="J312" i="1"/>
  <c r="I312" i="1"/>
  <c r="G312" i="1"/>
  <c r="J311" i="1"/>
  <c r="I311" i="1"/>
  <c r="G311" i="1"/>
  <c r="J310" i="1"/>
  <c r="I310" i="1"/>
  <c r="G310" i="1"/>
  <c r="J309" i="1"/>
  <c r="I309" i="1"/>
  <c r="G309" i="1"/>
  <c r="J308" i="1"/>
  <c r="I308" i="1"/>
  <c r="G308" i="1"/>
  <c r="J307" i="1"/>
  <c r="I307" i="1"/>
  <c r="G307" i="1"/>
  <c r="J306" i="1"/>
  <c r="I306" i="1"/>
  <c r="G306" i="1"/>
  <c r="J305" i="1"/>
  <c r="I305" i="1"/>
  <c r="G305" i="1"/>
  <c r="J304" i="1"/>
  <c r="I304" i="1"/>
  <c r="G304" i="1"/>
  <c r="J303" i="1"/>
  <c r="I303" i="1"/>
  <c r="G303" i="1"/>
  <c r="J302" i="1"/>
  <c r="I302" i="1"/>
  <c r="G302" i="1"/>
  <c r="J301" i="1"/>
  <c r="I301" i="1"/>
  <c r="G301" i="1"/>
  <c r="J300" i="1"/>
  <c r="I300" i="1"/>
  <c r="G300" i="1"/>
  <c r="J299" i="1"/>
  <c r="I299" i="1"/>
  <c r="G299" i="1"/>
  <c r="J298" i="1"/>
  <c r="I298" i="1"/>
  <c r="G298" i="1"/>
  <c r="J297" i="1"/>
  <c r="I297" i="1"/>
  <c r="G297" i="1"/>
  <c r="J296" i="1"/>
  <c r="I296" i="1"/>
  <c r="G296" i="1"/>
  <c r="J295" i="1"/>
  <c r="I295" i="1"/>
  <c r="G295" i="1"/>
  <c r="J294" i="1"/>
  <c r="I294" i="1"/>
  <c r="G294" i="1"/>
  <c r="J293" i="1"/>
  <c r="I293" i="1"/>
  <c r="G293" i="1"/>
  <c r="J292" i="1"/>
  <c r="I292" i="1"/>
  <c r="G292" i="1"/>
  <c r="J291" i="1"/>
  <c r="I291" i="1"/>
  <c r="G291" i="1"/>
  <c r="J290" i="1"/>
  <c r="I290" i="1"/>
  <c r="G290" i="1"/>
  <c r="J289" i="1"/>
  <c r="I289" i="1"/>
  <c r="G289" i="1"/>
  <c r="J288" i="1"/>
  <c r="I288" i="1"/>
  <c r="G288" i="1"/>
  <c r="J287" i="1"/>
  <c r="I287" i="1"/>
  <c r="G287" i="1"/>
  <c r="J286" i="1"/>
  <c r="I286" i="1"/>
  <c r="G286" i="1"/>
  <c r="J285" i="1"/>
  <c r="I285" i="1"/>
  <c r="G285" i="1"/>
  <c r="J284" i="1"/>
  <c r="I284" i="1"/>
  <c r="G284" i="1"/>
  <c r="J283" i="1"/>
  <c r="I283" i="1"/>
  <c r="G283" i="1"/>
  <c r="J282" i="1"/>
  <c r="I282" i="1"/>
  <c r="G282" i="1"/>
  <c r="J281" i="1"/>
  <c r="I281" i="1"/>
  <c r="G281" i="1"/>
  <c r="J280" i="1"/>
  <c r="I280" i="1"/>
  <c r="G280" i="1"/>
  <c r="J279" i="1"/>
  <c r="I279" i="1"/>
  <c r="G279" i="1"/>
  <c r="J278" i="1"/>
  <c r="I278" i="1"/>
  <c r="G278" i="1"/>
  <c r="J277" i="1"/>
  <c r="I277" i="1"/>
  <c r="G277" i="1"/>
  <c r="J276" i="1"/>
  <c r="I276" i="1"/>
  <c r="G276" i="1"/>
  <c r="J275" i="1"/>
  <c r="I275" i="1"/>
  <c r="G275" i="1"/>
  <c r="J274" i="1"/>
  <c r="I274" i="1"/>
  <c r="G274" i="1"/>
  <c r="J273" i="1"/>
  <c r="I273" i="1"/>
  <c r="G273" i="1"/>
  <c r="J272" i="1"/>
  <c r="I272" i="1"/>
  <c r="G272" i="1"/>
  <c r="J271" i="1"/>
  <c r="I271" i="1"/>
  <c r="G271" i="1"/>
  <c r="J270" i="1"/>
  <c r="I270" i="1"/>
  <c r="G270" i="1"/>
  <c r="J269" i="1"/>
  <c r="I269" i="1"/>
  <c r="G269" i="1"/>
  <c r="J268" i="1"/>
  <c r="I268" i="1"/>
  <c r="G268" i="1"/>
  <c r="J267" i="1"/>
  <c r="I267" i="1"/>
  <c r="G267" i="1"/>
  <c r="J266" i="1"/>
  <c r="I266" i="1"/>
  <c r="G266" i="1"/>
  <c r="J265" i="1"/>
  <c r="I265" i="1"/>
  <c r="G265" i="1"/>
  <c r="J264" i="1"/>
  <c r="I264" i="1"/>
  <c r="G264" i="1"/>
  <c r="J263" i="1"/>
  <c r="I263" i="1"/>
  <c r="G263" i="1"/>
  <c r="J262" i="1"/>
  <c r="I262" i="1"/>
  <c r="G262" i="1"/>
  <c r="J261" i="1"/>
  <c r="I261" i="1"/>
  <c r="G261" i="1"/>
  <c r="J260" i="1"/>
  <c r="I260" i="1"/>
  <c r="G260" i="1"/>
  <c r="J259" i="1"/>
  <c r="I259" i="1"/>
  <c r="G259" i="1"/>
  <c r="J258" i="1"/>
  <c r="I258" i="1"/>
  <c r="G258" i="1"/>
  <c r="J257" i="1"/>
  <c r="I257" i="1"/>
  <c r="G257" i="1"/>
  <c r="J256" i="1"/>
  <c r="I256" i="1"/>
  <c r="G256" i="1"/>
  <c r="J255" i="1"/>
  <c r="I255" i="1"/>
  <c r="G255" i="1"/>
  <c r="J254" i="1"/>
  <c r="I254" i="1"/>
  <c r="G254" i="1"/>
  <c r="J253" i="1"/>
  <c r="I253" i="1"/>
  <c r="G253" i="1"/>
  <c r="J252" i="1"/>
  <c r="I252" i="1"/>
  <c r="G252" i="1"/>
  <c r="J251" i="1"/>
  <c r="I251" i="1"/>
  <c r="G251" i="1"/>
  <c r="J250" i="1"/>
  <c r="I250" i="1"/>
  <c r="G250" i="1"/>
  <c r="J249" i="1"/>
  <c r="I249" i="1"/>
  <c r="G249" i="1"/>
  <c r="J248" i="1"/>
  <c r="I248" i="1"/>
  <c r="G248" i="1"/>
  <c r="J247" i="1"/>
  <c r="I247" i="1"/>
  <c r="G247" i="1"/>
  <c r="J246" i="1"/>
  <c r="I246" i="1"/>
  <c r="G246" i="1"/>
  <c r="J245" i="1"/>
  <c r="I245" i="1"/>
  <c r="G245" i="1"/>
  <c r="J244" i="1"/>
  <c r="I244" i="1"/>
  <c r="G244" i="1"/>
  <c r="J243" i="1"/>
  <c r="I243" i="1"/>
  <c r="G243" i="1"/>
  <c r="J242" i="1"/>
  <c r="I242" i="1"/>
  <c r="G242" i="1"/>
  <c r="J241" i="1"/>
  <c r="I241" i="1"/>
  <c r="G241" i="1"/>
  <c r="J240" i="1"/>
  <c r="I240" i="1"/>
  <c r="G240" i="1"/>
  <c r="J239" i="1"/>
  <c r="I239" i="1"/>
  <c r="G239" i="1"/>
  <c r="J238" i="1"/>
  <c r="I238" i="1"/>
  <c r="G238" i="1"/>
  <c r="J237" i="1"/>
  <c r="I237" i="1"/>
  <c r="G237" i="1"/>
  <c r="J236" i="1"/>
  <c r="I236" i="1"/>
  <c r="G236" i="1"/>
  <c r="J235" i="1"/>
  <c r="I235" i="1"/>
  <c r="G235" i="1"/>
  <c r="J234" i="1"/>
  <c r="I234" i="1"/>
  <c r="G234" i="1"/>
  <c r="J233" i="1"/>
  <c r="I233" i="1"/>
  <c r="G233" i="1"/>
  <c r="J232" i="1"/>
  <c r="I232" i="1"/>
  <c r="G232" i="1"/>
  <c r="J231" i="1"/>
  <c r="I231" i="1"/>
  <c r="G231" i="1"/>
  <c r="J230" i="1"/>
  <c r="I230" i="1"/>
  <c r="G230" i="1"/>
  <c r="J229" i="1"/>
  <c r="I229" i="1"/>
  <c r="G229" i="1"/>
  <c r="J228" i="1"/>
  <c r="I228" i="1"/>
  <c r="G228" i="1"/>
  <c r="J227" i="1"/>
  <c r="I227" i="1"/>
  <c r="G227" i="1"/>
  <c r="J226" i="1"/>
  <c r="I226" i="1"/>
  <c r="G226" i="1"/>
  <c r="J225" i="1"/>
  <c r="I225" i="1"/>
  <c r="G225" i="1"/>
  <c r="J224" i="1"/>
  <c r="I224" i="1"/>
  <c r="G224" i="1"/>
  <c r="J223" i="1"/>
  <c r="I223" i="1"/>
  <c r="G223" i="1"/>
  <c r="J222" i="1"/>
  <c r="I222" i="1"/>
  <c r="G222" i="1"/>
  <c r="J221" i="1"/>
  <c r="I221" i="1"/>
  <c r="G221" i="1"/>
  <c r="J220" i="1"/>
  <c r="I220" i="1"/>
  <c r="G220" i="1"/>
  <c r="J219" i="1"/>
  <c r="I219" i="1"/>
  <c r="G219" i="1"/>
  <c r="J218" i="1"/>
  <c r="I218" i="1"/>
  <c r="G218" i="1"/>
  <c r="J217" i="1"/>
  <c r="I217" i="1"/>
  <c r="G217" i="1"/>
  <c r="J216" i="1"/>
  <c r="I216" i="1"/>
  <c r="G216" i="1"/>
  <c r="J215" i="1"/>
  <c r="I215" i="1"/>
  <c r="G215" i="1"/>
  <c r="J214" i="1"/>
  <c r="I214" i="1"/>
  <c r="G214" i="1"/>
  <c r="J213" i="1"/>
  <c r="I213" i="1"/>
  <c r="G213" i="1"/>
  <c r="J212" i="1"/>
  <c r="I212" i="1"/>
  <c r="G212" i="1"/>
  <c r="J211" i="1"/>
  <c r="I211" i="1"/>
  <c r="G211" i="1"/>
  <c r="J210" i="1"/>
  <c r="I210" i="1"/>
  <c r="G210" i="1"/>
  <c r="J209" i="1"/>
  <c r="I209" i="1"/>
  <c r="G209" i="1"/>
  <c r="J208" i="1"/>
  <c r="I208" i="1"/>
  <c r="G208" i="1"/>
  <c r="J207" i="1"/>
  <c r="I207" i="1"/>
  <c r="G207" i="1"/>
  <c r="J206" i="1"/>
  <c r="I206" i="1"/>
  <c r="G206" i="1"/>
  <c r="J205" i="1"/>
  <c r="I205" i="1"/>
  <c r="G205" i="1"/>
  <c r="J204" i="1"/>
  <c r="I204" i="1"/>
  <c r="G204" i="1"/>
  <c r="J203" i="1"/>
  <c r="I203" i="1"/>
  <c r="G203" i="1"/>
  <c r="J202" i="1"/>
  <c r="I202" i="1"/>
  <c r="G202" i="1"/>
  <c r="J201" i="1"/>
  <c r="I201" i="1"/>
  <c r="G201" i="1"/>
  <c r="J200" i="1"/>
  <c r="I200" i="1"/>
  <c r="G200" i="1"/>
  <c r="J199" i="1"/>
  <c r="I199" i="1"/>
  <c r="G199" i="1"/>
  <c r="J198" i="1"/>
  <c r="I198" i="1"/>
  <c r="G198" i="1"/>
  <c r="J197" i="1"/>
  <c r="I197" i="1"/>
  <c r="G197" i="1"/>
  <c r="J196" i="1"/>
  <c r="I196" i="1"/>
  <c r="G196" i="1"/>
  <c r="J195" i="1"/>
  <c r="I195" i="1"/>
  <c r="G195" i="1"/>
  <c r="J194" i="1"/>
  <c r="I194" i="1"/>
  <c r="G194" i="1"/>
  <c r="J193" i="1"/>
  <c r="I193" i="1"/>
  <c r="G193" i="1"/>
  <c r="J192" i="1"/>
  <c r="I192" i="1"/>
  <c r="G192" i="1"/>
  <c r="J191" i="1"/>
  <c r="I191" i="1"/>
  <c r="G191" i="1"/>
  <c r="J190" i="1"/>
  <c r="I190" i="1"/>
  <c r="G190" i="1"/>
  <c r="J189" i="1"/>
  <c r="I189" i="1"/>
  <c r="G189" i="1"/>
  <c r="J188" i="1"/>
  <c r="I188" i="1"/>
  <c r="G188" i="1"/>
  <c r="J187" i="1"/>
  <c r="I187" i="1"/>
  <c r="G187" i="1"/>
  <c r="J186" i="1"/>
  <c r="I186" i="1"/>
  <c r="G186" i="1"/>
  <c r="J185" i="1"/>
  <c r="I185" i="1"/>
  <c r="G185" i="1"/>
  <c r="J184" i="1"/>
  <c r="I184" i="1"/>
  <c r="G184" i="1"/>
  <c r="J183" i="1"/>
  <c r="I183" i="1"/>
  <c r="G183" i="1"/>
  <c r="J182" i="1"/>
  <c r="I182" i="1"/>
  <c r="G182" i="1"/>
  <c r="J181" i="1"/>
  <c r="I181" i="1"/>
  <c r="G181" i="1"/>
  <c r="J180" i="1"/>
  <c r="I180" i="1"/>
  <c r="G180" i="1"/>
  <c r="J179" i="1"/>
  <c r="I179" i="1"/>
  <c r="G179" i="1"/>
  <c r="J178" i="1"/>
  <c r="I178" i="1"/>
  <c r="G178" i="1"/>
  <c r="J177" i="1"/>
  <c r="I177" i="1"/>
  <c r="G177" i="1"/>
  <c r="J176" i="1"/>
  <c r="I176" i="1"/>
  <c r="G176" i="1"/>
  <c r="J175" i="1"/>
  <c r="I175" i="1"/>
  <c r="G175" i="1"/>
  <c r="J174" i="1"/>
  <c r="I174" i="1"/>
  <c r="G174" i="1"/>
  <c r="J173" i="1"/>
  <c r="I173" i="1"/>
  <c r="G173" i="1"/>
  <c r="J172" i="1"/>
  <c r="I172" i="1"/>
  <c r="G172" i="1"/>
  <c r="J171" i="1"/>
  <c r="I171" i="1"/>
  <c r="G171" i="1"/>
  <c r="J170" i="1"/>
  <c r="I170" i="1"/>
  <c r="G170" i="1"/>
  <c r="J169" i="1"/>
  <c r="I169" i="1"/>
  <c r="G169" i="1"/>
  <c r="J168" i="1"/>
  <c r="I168" i="1"/>
  <c r="G168" i="1"/>
  <c r="J167" i="1"/>
  <c r="I167" i="1"/>
  <c r="G167" i="1"/>
  <c r="J166" i="1"/>
  <c r="I166" i="1"/>
  <c r="G166" i="1"/>
  <c r="J165" i="1"/>
  <c r="I165" i="1"/>
  <c r="G165" i="1"/>
  <c r="J164" i="1"/>
  <c r="I164" i="1"/>
  <c r="G164" i="1"/>
  <c r="J163" i="1"/>
  <c r="I163" i="1"/>
  <c r="G163" i="1"/>
  <c r="J162" i="1"/>
  <c r="I162" i="1"/>
  <c r="G162" i="1"/>
  <c r="J161" i="1"/>
  <c r="I161" i="1"/>
  <c r="G161" i="1"/>
  <c r="J160" i="1"/>
  <c r="I160" i="1"/>
  <c r="G160" i="1"/>
  <c r="J159" i="1"/>
  <c r="I159" i="1"/>
  <c r="G159" i="1"/>
  <c r="J158" i="1"/>
  <c r="I158" i="1"/>
  <c r="G158" i="1"/>
  <c r="J157" i="1"/>
  <c r="I157" i="1"/>
  <c r="G157" i="1"/>
  <c r="J156" i="1"/>
  <c r="I156" i="1"/>
  <c r="G156" i="1"/>
  <c r="J155" i="1"/>
  <c r="I155" i="1"/>
  <c r="G155" i="1"/>
  <c r="J154" i="1"/>
  <c r="I154" i="1"/>
  <c r="G154" i="1"/>
  <c r="J153" i="1"/>
  <c r="I153" i="1"/>
  <c r="G153" i="1"/>
  <c r="J152" i="1"/>
  <c r="I152" i="1"/>
  <c r="G152" i="1"/>
  <c r="J151" i="1"/>
  <c r="I151" i="1"/>
  <c r="G151" i="1"/>
  <c r="J150" i="1"/>
  <c r="I150" i="1"/>
  <c r="G150" i="1"/>
  <c r="J149" i="1"/>
  <c r="I149" i="1"/>
  <c r="G149" i="1"/>
  <c r="J148" i="1"/>
  <c r="I148" i="1"/>
  <c r="G148" i="1"/>
  <c r="J147" i="1"/>
  <c r="I147" i="1"/>
  <c r="G147" i="1"/>
  <c r="J146" i="1"/>
  <c r="I146" i="1"/>
  <c r="G146" i="1"/>
  <c r="J145" i="1"/>
  <c r="I145" i="1"/>
  <c r="G145" i="1"/>
  <c r="J144" i="1"/>
  <c r="I144" i="1"/>
  <c r="G144" i="1"/>
  <c r="J143" i="1"/>
  <c r="I143" i="1"/>
  <c r="G143" i="1"/>
  <c r="J142" i="1"/>
  <c r="I142" i="1"/>
  <c r="G142" i="1"/>
  <c r="J141" i="1"/>
  <c r="I141" i="1"/>
  <c r="G141" i="1"/>
  <c r="J140" i="1"/>
  <c r="I140" i="1"/>
  <c r="G140" i="1"/>
  <c r="J139" i="1"/>
  <c r="I139" i="1"/>
  <c r="G139" i="1"/>
  <c r="J138" i="1"/>
  <c r="I138" i="1"/>
  <c r="G138" i="1"/>
  <c r="J137" i="1"/>
  <c r="I137" i="1"/>
  <c r="G137" i="1"/>
  <c r="J136" i="1"/>
  <c r="I136" i="1"/>
  <c r="G136" i="1"/>
  <c r="J135" i="1"/>
  <c r="I135" i="1"/>
  <c r="G135" i="1"/>
  <c r="J134" i="1"/>
  <c r="I134" i="1"/>
  <c r="G134" i="1"/>
  <c r="J133" i="1"/>
  <c r="I133" i="1"/>
  <c r="G133" i="1"/>
  <c r="J132" i="1"/>
  <c r="I132" i="1"/>
  <c r="G132" i="1"/>
  <c r="J131" i="1"/>
  <c r="I131" i="1"/>
  <c r="G131" i="1"/>
  <c r="J130" i="1"/>
  <c r="I130" i="1"/>
  <c r="G130" i="1"/>
  <c r="J129" i="1"/>
  <c r="I129" i="1"/>
  <c r="G129" i="1"/>
  <c r="J128" i="1"/>
  <c r="I128" i="1"/>
  <c r="G128" i="1"/>
  <c r="J127" i="1"/>
  <c r="I127" i="1"/>
  <c r="G127" i="1"/>
  <c r="J126" i="1"/>
  <c r="I126" i="1"/>
  <c r="G126" i="1"/>
  <c r="J125" i="1"/>
  <c r="I125" i="1"/>
  <c r="G125" i="1"/>
  <c r="J124" i="1"/>
  <c r="I124" i="1"/>
  <c r="G124" i="1"/>
  <c r="J123" i="1"/>
  <c r="I123" i="1"/>
  <c r="G123" i="1"/>
  <c r="J122" i="1"/>
  <c r="I122" i="1"/>
  <c r="G122" i="1"/>
  <c r="J121" i="1"/>
  <c r="I121" i="1"/>
  <c r="G121" i="1"/>
  <c r="J120" i="1"/>
  <c r="I120" i="1"/>
  <c r="G120" i="1"/>
  <c r="J119" i="1"/>
  <c r="I119" i="1"/>
  <c r="G119" i="1"/>
  <c r="J118" i="1"/>
  <c r="I118" i="1"/>
  <c r="G118" i="1"/>
  <c r="J117" i="1"/>
  <c r="I117" i="1"/>
  <c r="G117" i="1"/>
  <c r="J116" i="1"/>
  <c r="I116" i="1"/>
  <c r="G116" i="1"/>
  <c r="J115" i="1"/>
  <c r="I115" i="1"/>
  <c r="G115" i="1"/>
  <c r="J114" i="1"/>
  <c r="I114" i="1"/>
  <c r="G114" i="1"/>
  <c r="J113" i="1"/>
  <c r="I113" i="1"/>
  <c r="G113" i="1"/>
  <c r="J112" i="1"/>
  <c r="I112" i="1"/>
  <c r="G112" i="1"/>
  <c r="J111" i="1"/>
  <c r="I111" i="1"/>
  <c r="G111" i="1"/>
  <c r="J110" i="1"/>
  <c r="I110" i="1"/>
  <c r="G110" i="1"/>
  <c r="J109" i="1"/>
  <c r="I109" i="1"/>
  <c r="G109" i="1"/>
  <c r="J108" i="1"/>
  <c r="I108" i="1"/>
  <c r="G108" i="1"/>
  <c r="J107" i="1"/>
  <c r="I107" i="1"/>
  <c r="G107" i="1"/>
  <c r="J106" i="1"/>
  <c r="I106" i="1"/>
  <c r="G106" i="1"/>
  <c r="J105" i="1"/>
  <c r="I105" i="1"/>
  <c r="G105" i="1"/>
  <c r="J104" i="1"/>
  <c r="I104" i="1"/>
  <c r="G104" i="1"/>
  <c r="J103" i="1"/>
  <c r="I103" i="1"/>
  <c r="G103" i="1"/>
  <c r="J102" i="1"/>
  <c r="I102" i="1"/>
  <c r="G102" i="1"/>
  <c r="J101" i="1"/>
  <c r="I101" i="1"/>
  <c r="G101" i="1"/>
  <c r="J100" i="1"/>
  <c r="I100" i="1"/>
  <c r="G100" i="1"/>
  <c r="J99" i="1"/>
  <c r="I99" i="1"/>
  <c r="G99" i="1"/>
  <c r="J98" i="1"/>
  <c r="I98" i="1"/>
  <c r="G98" i="1"/>
  <c r="J97" i="1"/>
  <c r="I97" i="1"/>
  <c r="G97" i="1"/>
  <c r="J96" i="1"/>
  <c r="I96" i="1"/>
  <c r="G96" i="1"/>
  <c r="J95" i="1"/>
  <c r="I95" i="1"/>
  <c r="G95" i="1"/>
  <c r="J94" i="1"/>
  <c r="I94" i="1"/>
  <c r="G94" i="1"/>
  <c r="J93" i="1"/>
  <c r="I93" i="1"/>
  <c r="G93" i="1"/>
  <c r="J92" i="1"/>
  <c r="I92" i="1"/>
  <c r="G92" i="1"/>
  <c r="J91" i="1"/>
  <c r="I91" i="1"/>
  <c r="G91" i="1"/>
  <c r="J90" i="1"/>
  <c r="I90" i="1"/>
  <c r="G90" i="1"/>
  <c r="J89" i="1"/>
  <c r="I89" i="1"/>
  <c r="G89" i="1"/>
  <c r="J88" i="1"/>
  <c r="I88" i="1"/>
  <c r="G88" i="1"/>
  <c r="J87" i="1"/>
  <c r="I87" i="1"/>
  <c r="G87" i="1"/>
  <c r="J86" i="1"/>
  <c r="I86" i="1"/>
  <c r="G86" i="1"/>
  <c r="J85" i="1"/>
  <c r="I85" i="1"/>
  <c r="G85" i="1"/>
  <c r="J84" i="1"/>
  <c r="I84" i="1"/>
  <c r="G84" i="1"/>
  <c r="J83" i="1"/>
  <c r="I83" i="1"/>
  <c r="G83" i="1"/>
  <c r="J82" i="1"/>
  <c r="I82" i="1"/>
  <c r="G82" i="1"/>
  <c r="J81" i="1"/>
  <c r="I81" i="1"/>
  <c r="G81" i="1"/>
  <c r="J80" i="1"/>
  <c r="I80" i="1"/>
  <c r="G80" i="1"/>
  <c r="J79" i="1"/>
  <c r="I79" i="1"/>
  <c r="G79" i="1"/>
  <c r="J78" i="1"/>
  <c r="I78" i="1"/>
  <c r="G78" i="1"/>
  <c r="J77" i="1"/>
  <c r="I77" i="1"/>
  <c r="G77" i="1"/>
  <c r="J76" i="1"/>
  <c r="I76" i="1"/>
  <c r="G76" i="1"/>
  <c r="J75" i="1"/>
  <c r="I75" i="1"/>
  <c r="G75" i="1"/>
  <c r="J74" i="1"/>
  <c r="I74" i="1"/>
  <c r="G74" i="1"/>
  <c r="J73" i="1"/>
  <c r="I73" i="1"/>
  <c r="G73" i="1"/>
  <c r="J72" i="1"/>
  <c r="I72" i="1"/>
  <c r="G72" i="1"/>
  <c r="J71" i="1"/>
  <c r="I71" i="1"/>
  <c r="G71" i="1"/>
  <c r="J70" i="1"/>
  <c r="I70" i="1"/>
  <c r="G70" i="1"/>
  <c r="J69" i="1"/>
  <c r="I69" i="1"/>
  <c r="G69" i="1"/>
  <c r="J68" i="1"/>
  <c r="I68" i="1"/>
  <c r="G68" i="1"/>
  <c r="J67" i="1"/>
  <c r="I67" i="1"/>
  <c r="G67" i="1"/>
  <c r="J66" i="1"/>
  <c r="I66" i="1"/>
  <c r="G66" i="1"/>
  <c r="J65" i="1"/>
  <c r="I65" i="1"/>
  <c r="G65" i="1"/>
  <c r="J64" i="1"/>
  <c r="I64" i="1"/>
  <c r="G64" i="1"/>
  <c r="J63" i="1"/>
  <c r="I63" i="1"/>
  <c r="G63" i="1"/>
  <c r="J62" i="1"/>
  <c r="I62" i="1"/>
  <c r="G62" i="1"/>
  <c r="J61" i="1"/>
  <c r="I61" i="1"/>
  <c r="G61" i="1"/>
  <c r="J60" i="1"/>
  <c r="I60" i="1"/>
  <c r="G60" i="1"/>
  <c r="J59" i="1"/>
  <c r="I59" i="1"/>
  <c r="G59" i="1"/>
  <c r="J58" i="1"/>
  <c r="I58" i="1"/>
  <c r="G58" i="1"/>
  <c r="J57" i="1"/>
  <c r="I57" i="1"/>
  <c r="G57" i="1"/>
  <c r="J56" i="1"/>
  <c r="I56" i="1"/>
  <c r="G56" i="1"/>
  <c r="J55" i="1"/>
  <c r="I55" i="1"/>
  <c r="G55" i="1"/>
  <c r="J54" i="1"/>
  <c r="I54" i="1"/>
  <c r="G54" i="1"/>
  <c r="J53" i="1"/>
  <c r="I53" i="1"/>
  <c r="G53" i="1"/>
  <c r="J52" i="1"/>
  <c r="I52" i="1"/>
  <c r="G52" i="1"/>
  <c r="J51" i="1"/>
  <c r="I51" i="1"/>
  <c r="G51" i="1"/>
  <c r="J50" i="1"/>
  <c r="I50" i="1"/>
  <c r="G50" i="1"/>
  <c r="J49" i="1"/>
  <c r="I49" i="1"/>
  <c r="G49" i="1"/>
  <c r="J48" i="1"/>
  <c r="I48" i="1"/>
  <c r="G48" i="1"/>
  <c r="J47" i="1"/>
  <c r="I47" i="1"/>
  <c r="G47" i="1"/>
  <c r="J46" i="1"/>
  <c r="I46" i="1"/>
  <c r="G46" i="1"/>
  <c r="J45" i="1"/>
  <c r="I45" i="1"/>
  <c r="G45" i="1"/>
  <c r="J44" i="1"/>
  <c r="I44" i="1"/>
  <c r="G44" i="1"/>
  <c r="J43" i="1"/>
  <c r="I43" i="1"/>
  <c r="G43" i="1"/>
  <c r="J42" i="1"/>
  <c r="I42" i="1"/>
  <c r="G42" i="1"/>
  <c r="J41" i="1"/>
  <c r="I41" i="1"/>
  <c r="G41" i="1"/>
  <c r="J40" i="1"/>
  <c r="I40" i="1"/>
  <c r="G40" i="1"/>
  <c r="J39" i="1"/>
  <c r="I39" i="1"/>
  <c r="G39" i="1"/>
  <c r="J38" i="1"/>
  <c r="I38" i="1"/>
  <c r="G38" i="1"/>
  <c r="J37" i="1"/>
  <c r="I37" i="1"/>
  <c r="G37" i="1"/>
  <c r="J36" i="1"/>
  <c r="I36" i="1"/>
  <c r="G36" i="1"/>
  <c r="J35" i="1"/>
  <c r="I35" i="1"/>
  <c r="G35" i="1"/>
  <c r="J34" i="1"/>
  <c r="I34" i="1"/>
  <c r="G34" i="1"/>
  <c r="J33" i="1"/>
  <c r="I33" i="1"/>
  <c r="G33" i="1"/>
  <c r="J32" i="1"/>
  <c r="I32" i="1"/>
  <c r="G32" i="1"/>
  <c r="J31" i="1"/>
  <c r="I31" i="1"/>
  <c r="G31" i="1"/>
  <c r="J30" i="1"/>
  <c r="I30" i="1"/>
  <c r="G30" i="1"/>
  <c r="J29" i="1"/>
  <c r="I29" i="1"/>
  <c r="G29" i="1"/>
  <c r="G28" i="1"/>
  <c r="J27" i="1"/>
  <c r="I27" i="1"/>
  <c r="G27" i="1"/>
  <c r="J26" i="1"/>
  <c r="I26" i="1"/>
  <c r="G26" i="1"/>
  <c r="J25" i="1"/>
  <c r="I25" i="1"/>
  <c r="G25" i="1"/>
  <c r="J24" i="1"/>
  <c r="I24" i="1"/>
  <c r="G24" i="1"/>
  <c r="J23" i="1"/>
  <c r="I23" i="1"/>
  <c r="G23" i="1"/>
  <c r="J22" i="1"/>
  <c r="I22" i="1"/>
  <c r="G22" i="1"/>
  <c r="J21" i="1"/>
  <c r="I21" i="1"/>
  <c r="G21" i="1"/>
  <c r="J20" i="1"/>
  <c r="I20" i="1"/>
  <c r="G20" i="1"/>
  <c r="J19" i="1"/>
  <c r="I19" i="1"/>
  <c r="G19" i="1"/>
  <c r="J18" i="1"/>
  <c r="I18" i="1"/>
  <c r="G18" i="1"/>
  <c r="J17" i="1"/>
  <c r="I17" i="1"/>
  <c r="G17" i="1"/>
  <c r="J16" i="1"/>
  <c r="I16" i="1"/>
  <c r="G16" i="1"/>
  <c r="J15" i="1"/>
  <c r="I15" i="1"/>
  <c r="G15" i="1"/>
  <c r="J14" i="1"/>
  <c r="I14" i="1"/>
  <c r="G14" i="1"/>
  <c r="J13" i="1"/>
  <c r="I13" i="1"/>
  <c r="G13" i="1"/>
  <c r="J12" i="1"/>
  <c r="I12" i="1"/>
  <c r="G12" i="1"/>
  <c r="G11" i="1"/>
  <c r="G10" i="1"/>
  <c r="G9" i="1"/>
  <c r="J8" i="1"/>
  <c r="I8" i="1"/>
  <c r="G8" i="1"/>
  <c r="J7" i="1"/>
  <c r="I7" i="1"/>
  <c r="G7" i="1"/>
  <c r="J6" i="1"/>
  <c r="I6" i="1"/>
  <c r="G6" i="1"/>
  <c r="J5" i="1"/>
  <c r="I5" i="1"/>
  <c r="G5" i="1"/>
  <c r="J4" i="1"/>
  <c r="I4" i="1"/>
  <c r="G4" i="1"/>
  <c r="J3" i="1"/>
  <c r="I3" i="1"/>
  <c r="G3" i="1"/>
  <c r="J2" i="1"/>
  <c r="I2" i="1"/>
  <c r="G2" i="1"/>
</calcChain>
</file>

<file path=xl/sharedStrings.xml><?xml version="1.0" encoding="utf-8"?>
<sst xmlns="http://schemas.openxmlformats.org/spreadsheetml/2006/main" count="38931" uniqueCount="3570">
  <si>
    <t>Asset ID</t>
  </si>
  <si>
    <t>Location Address</t>
  </si>
  <si>
    <t>JEA GIS Object ID</t>
  </si>
  <si>
    <t>Sewer Maintenance District</t>
  </si>
  <si>
    <t>County</t>
  </si>
  <si>
    <t>Best Estimate of Install Date of Station</t>
  </si>
  <si>
    <t>Year of Install</t>
  </si>
  <si>
    <t>Electrical Supplier</t>
  </si>
  <si>
    <t>PS Class</t>
  </si>
  <si>
    <t>BPS-000639</t>
  </si>
  <si>
    <t>2740 CR 210</t>
  </si>
  <si>
    <t>St Johns Grid</t>
  </si>
  <si>
    <t>St Johns</t>
  </si>
  <si>
    <t>JEA</t>
  </si>
  <si>
    <t>BPS-001645</t>
  </si>
  <si>
    <t>4193 OLDFIELD CROSSING</t>
  </si>
  <si>
    <t>South Grid</t>
  </si>
  <si>
    <t>Duval</t>
  </si>
  <si>
    <t>BPS-001950</t>
  </si>
  <si>
    <t>4241 SAN CLERC</t>
  </si>
  <si>
    <t>BPS-002867</t>
  </si>
  <si>
    <t>8617 WESTERN WAY</t>
  </si>
  <si>
    <t>BPS-003387</t>
  </si>
  <si>
    <t>106 TWIN CREEKS Dr</t>
  </si>
  <si>
    <t>BPS-004153</t>
  </si>
  <si>
    <t>6850 Energy Center Drive</t>
  </si>
  <si>
    <t>BPS-004187</t>
  </si>
  <si>
    <t>7806 RAMPART RD</t>
  </si>
  <si>
    <t>West Grid</t>
  </si>
  <si>
    <t>BPS-004228</t>
  </si>
  <si>
    <t>10477 BRADLEY RD BOOSTER</t>
  </si>
  <si>
    <t>East Grid</t>
  </si>
  <si>
    <t>BPS-004296</t>
  </si>
  <si>
    <t>3742 ROBENA ROAD</t>
  </si>
  <si>
    <t>North Grid</t>
  </si>
  <si>
    <t>BPS-004333</t>
  </si>
  <si>
    <t>85008 ART WILSON LN</t>
  </si>
  <si>
    <t>Nassau Grid</t>
  </si>
  <si>
    <t>Nassau</t>
  </si>
  <si>
    <t>FPL</t>
  </si>
  <si>
    <t>LS-000001</t>
  </si>
  <si>
    <t>12770 1ST ST</t>
  </si>
  <si>
    <t>LS-000002</t>
  </si>
  <si>
    <t>2580 1ST ST W</t>
  </si>
  <si>
    <t>LS-000004</t>
  </si>
  <si>
    <t>1999 30TH ST W</t>
  </si>
  <si>
    <t>LS-000005</t>
  </si>
  <si>
    <t>94 32ND ST E</t>
  </si>
  <si>
    <t>LS-000006</t>
  </si>
  <si>
    <t>1870 41ST ST W</t>
  </si>
  <si>
    <t>LS-000007</t>
  </si>
  <si>
    <t>1646 45TH ST W</t>
  </si>
  <si>
    <t>LS-000013</t>
  </si>
  <si>
    <t>2809 5TH ST W</t>
  </si>
  <si>
    <t>LS-000014</t>
  </si>
  <si>
    <t>5233 5TH ST W</t>
  </si>
  <si>
    <t>LS-000017</t>
  </si>
  <si>
    <t>239 68TH ST W</t>
  </si>
  <si>
    <t>LS-000018</t>
  </si>
  <si>
    <t>7200 AC SKINNER PY</t>
  </si>
  <si>
    <t>LS-000019</t>
  </si>
  <si>
    <t>5640 101ST ST</t>
  </si>
  <si>
    <t>LS-000023</t>
  </si>
  <si>
    <t>MAGNOLIA VALLEY DR. 5097</t>
  </si>
  <si>
    <t>LS-000026</t>
  </si>
  <si>
    <t>6650 103RD ST</t>
  </si>
  <si>
    <t>LS-000033</t>
  </si>
  <si>
    <t>7960 103RD ST</t>
  </si>
  <si>
    <t>LS-000034</t>
  </si>
  <si>
    <t>9380 103RD ST</t>
  </si>
  <si>
    <t>LS-000039</t>
  </si>
  <si>
    <t>9902 103RD ST</t>
  </si>
  <si>
    <t>LS-000045</t>
  </si>
  <si>
    <t>5104 118TH ST</t>
  </si>
  <si>
    <t>LS-000047</t>
  </si>
  <si>
    <t>5823 118TH ST</t>
  </si>
  <si>
    <t>LS-000048</t>
  </si>
  <si>
    <t>8350 118TH ST</t>
  </si>
  <si>
    <t>LS-000057</t>
  </si>
  <si>
    <t>3215 ABBEYFIELD LN</t>
  </si>
  <si>
    <t>LS-000058</t>
  </si>
  <si>
    <t>5180 ABEL LN</t>
  </si>
  <si>
    <t>LS-000060</t>
  </si>
  <si>
    <t>12733 ABESS BV</t>
  </si>
  <si>
    <t>LS-000063</t>
  </si>
  <si>
    <t>8752 ACANTHUS DR</t>
  </si>
  <si>
    <t>LS-000067</t>
  </si>
  <si>
    <t>11933 ACOSTA RD</t>
  </si>
  <si>
    <t>LS-000069</t>
  </si>
  <si>
    <t>505 ADDOR LN</t>
  </si>
  <si>
    <t>LS-000070</t>
  </si>
  <si>
    <t>9374 ADELAID DR</t>
  </si>
  <si>
    <t>LS-000071</t>
  </si>
  <si>
    <t>2844 ADELE RD</t>
  </si>
  <si>
    <t>LS-000073</t>
  </si>
  <si>
    <t>13650 AEROSPACE WAY</t>
  </si>
  <si>
    <t>LS-000074</t>
  </si>
  <si>
    <t>125 AFTON LN</t>
  </si>
  <si>
    <t>LS-000075</t>
  </si>
  <si>
    <t>10150 AGAVE RD</t>
  </si>
  <si>
    <t>LS-000076</t>
  </si>
  <si>
    <t>10398 AGAVE RD</t>
  </si>
  <si>
    <t>LS-000080</t>
  </si>
  <si>
    <t>AIRPORT STATION A RAMP</t>
  </si>
  <si>
    <t>LS-000081</t>
  </si>
  <si>
    <t>7039 ALACHUA AV</t>
  </si>
  <si>
    <t>LS-000082</t>
  </si>
  <si>
    <t>11823 ALDEN RD</t>
  </si>
  <si>
    <t>LS-000083</t>
  </si>
  <si>
    <t>12106 ALDEN RD</t>
  </si>
  <si>
    <t>LS-000085</t>
  </si>
  <si>
    <t>12193 ALEXANDRA DR</t>
  </si>
  <si>
    <t>LS-000086</t>
  </si>
  <si>
    <t>11551 ALEXIS FOREST DR</t>
  </si>
  <si>
    <t>LS-000088</t>
  </si>
  <si>
    <t>907 ALIZON ST</t>
  </si>
  <si>
    <t>LS-000091</t>
  </si>
  <si>
    <t>11524 ALTA DR</t>
  </si>
  <si>
    <t>LS-000097</t>
  </si>
  <si>
    <t>11009 ALUMNI WY</t>
  </si>
  <si>
    <t>LS-000098</t>
  </si>
  <si>
    <t>11220 ALUMNI WY</t>
  </si>
  <si>
    <t>LS-000099</t>
  </si>
  <si>
    <t xml:space="preserve">4172 Eco Rd </t>
  </si>
  <si>
    <t>LS-000100</t>
  </si>
  <si>
    <t>85111 Amaryllis Ct</t>
  </si>
  <si>
    <t>LS-000103</t>
  </si>
  <si>
    <t>95352 AMELIA CONCOURSE</t>
  </si>
  <si>
    <t>LS-000104</t>
  </si>
  <si>
    <t>4172 ANDERSON WOODS DR</t>
  </si>
  <si>
    <t>LS-000109</t>
  </si>
  <si>
    <t>10922 APPLE BLOSSOM TL E</t>
  </si>
  <si>
    <t>LS-000110</t>
  </si>
  <si>
    <t>8825 ARBOR BREEZE LN</t>
  </si>
  <si>
    <t>LS-000111</t>
  </si>
  <si>
    <t>11867 ARBOR LAKE DR</t>
  </si>
  <si>
    <t>LS-000112</t>
  </si>
  <si>
    <t>12026 ARBOR LAKE DR</t>
  </si>
  <si>
    <t>LS-000113</t>
  </si>
  <si>
    <t>1092 ARBOR LN</t>
  </si>
  <si>
    <t>LS-000114</t>
  </si>
  <si>
    <t>9420 ARBOR OAK LN</t>
  </si>
  <si>
    <t>LS-000116</t>
  </si>
  <si>
    <t>6491 ARGYLE FOREST BV</t>
  </si>
  <si>
    <t>LS-000118</t>
  </si>
  <si>
    <t>7663 ARGYLE FOREST BV</t>
  </si>
  <si>
    <t>LS-000119</t>
  </si>
  <si>
    <t>8104 ARGYLE FOREST BV</t>
  </si>
  <si>
    <t>LS-000120</t>
  </si>
  <si>
    <t>9526 ARGYLE FOREST BV</t>
  </si>
  <si>
    <t>LS-000122</t>
  </si>
  <si>
    <t>6912 ARLEX DR S</t>
  </si>
  <si>
    <t>LS-000123</t>
  </si>
  <si>
    <t>1090 ARLINGTON RD</t>
  </si>
  <si>
    <t>LS-000130</t>
  </si>
  <si>
    <t>6233 ARLINGTON XWAY</t>
  </si>
  <si>
    <t>LS-000132</t>
  </si>
  <si>
    <t>7528 ARLINGTON XY</t>
  </si>
  <si>
    <t>LS-000133</t>
  </si>
  <si>
    <t>7837 ARLINGTON XY</t>
  </si>
  <si>
    <t>LS-000134</t>
  </si>
  <si>
    <t>8052 ARLINGTON XY</t>
  </si>
  <si>
    <t>LS-000138</t>
  </si>
  <si>
    <t>3194 ARMSDALE RD</t>
  </si>
  <si>
    <t>LS-000140</t>
  </si>
  <si>
    <t>6661 ARROWROOT DR</t>
  </si>
  <si>
    <t>LS-000147</t>
  </si>
  <si>
    <t>9099 ARUNDELL WY</t>
  </si>
  <si>
    <t>LS-000148</t>
  </si>
  <si>
    <t>10031 ASHFORD CROSSING</t>
  </si>
  <si>
    <t>LS-000149</t>
  </si>
  <si>
    <t>4894 ASHLEY MANOR WY</t>
  </si>
  <si>
    <t>LS-000153</t>
  </si>
  <si>
    <t>10065 ATLANTIC BV</t>
  </si>
  <si>
    <t>LS-000160</t>
  </si>
  <si>
    <t>12570 ATLANTIC BV</t>
  </si>
  <si>
    <t>LS-000173</t>
  </si>
  <si>
    <t>4110 ATLANTIC BV</t>
  </si>
  <si>
    <t>LS-000205</t>
  </si>
  <si>
    <t>9380 ATLANTIC BV</t>
  </si>
  <si>
    <t>LS-000214</t>
  </si>
  <si>
    <t>5791 ATLEE AV</t>
  </si>
  <si>
    <t>LS-000217</t>
  </si>
  <si>
    <t>2152 AUSTIN CREEK RD</t>
  </si>
  <si>
    <t>LS-000219</t>
  </si>
  <si>
    <t>4739 AVENT DR</t>
  </si>
  <si>
    <t>LS-000221</t>
  </si>
  <si>
    <t>855 AVIATION DR</t>
  </si>
  <si>
    <t>LS-000222</t>
  </si>
  <si>
    <t>12621 AYRSHIRE ST E</t>
  </si>
  <si>
    <t>LS-000224</t>
  </si>
  <si>
    <t>15807 BAINEBRIDGE DR</t>
  </si>
  <si>
    <t>LS-000225</t>
  </si>
  <si>
    <t>15854 BAINEBRIDGE DR</t>
  </si>
  <si>
    <t>LS-000226</t>
  </si>
  <si>
    <t>74 BAISDEN RD</t>
  </si>
  <si>
    <t>LS-000228</t>
  </si>
  <si>
    <t>528 BALMORAL CR N</t>
  </si>
  <si>
    <t>LS-000229</t>
  </si>
  <si>
    <t>4501 BARKOSKIE RD</t>
  </si>
  <si>
    <t>LS-000230</t>
  </si>
  <si>
    <t>4437 BARNES RD</t>
  </si>
  <si>
    <t>LS-000231</t>
  </si>
  <si>
    <t>2158 BARNSTORMER RD AIRPORT STA. B</t>
  </si>
  <si>
    <t>LS-000233</t>
  </si>
  <si>
    <t>6039 BARTOLF AV</t>
  </si>
  <si>
    <t>LS-000235</t>
  </si>
  <si>
    <t>12882 BARTRAM PARK BV</t>
  </si>
  <si>
    <t>LS-000236</t>
  </si>
  <si>
    <t>13551 BARTRAM PARK BV</t>
  </si>
  <si>
    <t>LS-000237</t>
  </si>
  <si>
    <t>14041 BARTRAM PARK BV</t>
  </si>
  <si>
    <t>LS-000241</t>
  </si>
  <si>
    <t>6046 BARTRAM VILLAGE DR</t>
  </si>
  <si>
    <t>LS-000243</t>
  </si>
  <si>
    <t>6263 BATTLE GATE RD</t>
  </si>
  <si>
    <t>LS-000244</t>
  </si>
  <si>
    <t>4568 BAY HARBOUR DR</t>
  </si>
  <si>
    <t>LS-000245</t>
  </si>
  <si>
    <t>4 BAY ST E</t>
  </si>
  <si>
    <t>LS-000246</t>
  </si>
  <si>
    <t>834 BAY ST E</t>
  </si>
  <si>
    <t>LS-000247</t>
  </si>
  <si>
    <t>7999 BAYBERRY RD</t>
  </si>
  <si>
    <t>LS-000248</t>
  </si>
  <si>
    <t>5239 BAYCREST RD</t>
  </si>
  <si>
    <t>LS-000249</t>
  </si>
  <si>
    <t>8751 BAYLEAF DR</t>
  </si>
  <si>
    <t>LS-000250</t>
  </si>
  <si>
    <t>7640 BAYMEADOWS CR W</t>
  </si>
  <si>
    <t>LS-000251</t>
  </si>
  <si>
    <t>7836 BAYMEADOWS CR W</t>
  </si>
  <si>
    <t>LS-000254</t>
  </si>
  <si>
    <t>10702 BAYMEADOWS RD</t>
  </si>
  <si>
    <t>LS-000255</t>
  </si>
  <si>
    <t>3847 BAYMEADOWS RD</t>
  </si>
  <si>
    <t>LS-000256</t>
  </si>
  <si>
    <t>8115 BAYMEADOWS CR W</t>
  </si>
  <si>
    <t>LS-000258</t>
  </si>
  <si>
    <t>7823 BAYMEADOWS RD E</t>
  </si>
  <si>
    <t>LS-000259</t>
  </si>
  <si>
    <t>8036 BAYMEADOWS RD E</t>
  </si>
  <si>
    <t>LS-000260</t>
  </si>
  <si>
    <t>7160 BAYMEADOWS WY</t>
  </si>
  <si>
    <t>LS-000261</t>
  </si>
  <si>
    <t>8800 BAYMEADOWS WY</t>
  </si>
  <si>
    <t>LS-000262</t>
  </si>
  <si>
    <t>7611 BAYMEADOWS WY W</t>
  </si>
  <si>
    <t>LS-000263</t>
  </si>
  <si>
    <t>9733 BAYOU BLUFF DR</t>
  </si>
  <si>
    <t>LS-000282</t>
  </si>
  <si>
    <t>11260 BEACH BV</t>
  </si>
  <si>
    <t>LS-000284</t>
  </si>
  <si>
    <t>11325 BEACH BV</t>
  </si>
  <si>
    <t>LS-000298</t>
  </si>
  <si>
    <t>13955 BEACH BV</t>
  </si>
  <si>
    <t>LS-000299</t>
  </si>
  <si>
    <t>14008 BEACH BV</t>
  </si>
  <si>
    <t>LS-000300</t>
  </si>
  <si>
    <t>13951 SUNI PINES</t>
  </si>
  <si>
    <t>LS-000303</t>
  </si>
  <si>
    <t>14380 BEACH BV</t>
  </si>
  <si>
    <t>LS-000305</t>
  </si>
  <si>
    <t>14750 BEACH BV</t>
  </si>
  <si>
    <t>LS-000306</t>
  </si>
  <si>
    <t>3651 BEACH BV</t>
  </si>
  <si>
    <t>LS-000340</t>
  </si>
  <si>
    <t>9815 BEACH BV</t>
  </si>
  <si>
    <t>LS-000346</t>
  </si>
  <si>
    <t>11247 BEACON DR</t>
  </si>
  <si>
    <t>LS-000347</t>
  </si>
  <si>
    <t>9465 BEAUCLERC COVE RD</t>
  </si>
  <si>
    <t>LS-000348</t>
  </si>
  <si>
    <t>9456 BEAUCLERC OAKS DR</t>
  </si>
  <si>
    <t>LS-000349</t>
  </si>
  <si>
    <t>2860 BEAUCLERC RD</t>
  </si>
  <si>
    <t>LS-000350</t>
  </si>
  <si>
    <t>3468 BEAUCLERC RD</t>
  </si>
  <si>
    <t>LS-000357</t>
  </si>
  <si>
    <t>15701 BEAVER ST W</t>
  </si>
  <si>
    <t>LS-000358</t>
  </si>
  <si>
    <t>2028 BEAVER ST W</t>
  </si>
  <si>
    <t>LS-000365</t>
  </si>
  <si>
    <t>9801 BEAVER ST W</t>
  </si>
  <si>
    <t>LS-000366</t>
  </si>
  <si>
    <t>11082 BECKLEY PL</t>
  </si>
  <si>
    <t>LS-000367</t>
  </si>
  <si>
    <t>178 BEDSTONE DR</t>
  </si>
  <si>
    <t>LS-000368</t>
  </si>
  <si>
    <t>8622 BEECHFERN LN</t>
  </si>
  <si>
    <t>LS-000369</t>
  </si>
  <si>
    <t>3002 BELAIR RD</t>
  </si>
  <si>
    <t>LS-000370</t>
  </si>
  <si>
    <t>6868 BELFORT OAKS PL</t>
  </si>
  <si>
    <t>LS-000371</t>
  </si>
  <si>
    <t>7803 BELFORT PY</t>
  </si>
  <si>
    <t>LS-000372</t>
  </si>
  <si>
    <t>3329 BELFORT RD</t>
  </si>
  <si>
    <t>LS-000374</t>
  </si>
  <si>
    <t>10222 BELLE RIVE BV</t>
  </si>
  <si>
    <t>LS-000377</t>
  </si>
  <si>
    <t>12869 BENTWATER DR</t>
  </si>
  <si>
    <t>LS-000378</t>
  </si>
  <si>
    <t>4368 BERGHLEY CT S</t>
  </si>
  <si>
    <t>LS-000379</t>
  </si>
  <si>
    <t>1044 BERT RD</t>
  </si>
  <si>
    <t>LS-000380</t>
  </si>
  <si>
    <t>833 BERT RD</t>
  </si>
  <si>
    <t>LS-000381</t>
  </si>
  <si>
    <t>13123 BERWICKSHIRE DR</t>
  </si>
  <si>
    <t>LS-000384</t>
  </si>
  <si>
    <t>13215 BIGGIN CHURCH RD S</t>
  </si>
  <si>
    <t>LS-000385</t>
  </si>
  <si>
    <t>3891 BIGGIN CHURCH RD W</t>
  </si>
  <si>
    <t>LS-000386</t>
  </si>
  <si>
    <t>1850 BILODEAU CT</t>
  </si>
  <si>
    <t>LS-000388</t>
  </si>
  <si>
    <t>11717 BISCAYNE BV</t>
  </si>
  <si>
    <t>LS-000390</t>
  </si>
  <si>
    <t>12300 BISCAYNE BV</t>
  </si>
  <si>
    <t>LS-000391</t>
  </si>
  <si>
    <t>3366 BISHOP ESTATES RD</t>
  </si>
  <si>
    <t>LS-000392</t>
  </si>
  <si>
    <t>1920 BISHOP ESTATES RD</t>
  </si>
  <si>
    <t>LS-000393</t>
  </si>
  <si>
    <t>3460 BISHOP ESTATES RD</t>
  </si>
  <si>
    <t>LS-000396</t>
  </si>
  <si>
    <t>5738 BISHOP HATCHER DR S</t>
  </si>
  <si>
    <t>LS-000397</t>
  </si>
  <si>
    <t>908 BLACK CHERRY DR</t>
  </si>
  <si>
    <t>LS-000398</t>
  </si>
  <si>
    <t>12255 BLACK WALNUT CT</t>
  </si>
  <si>
    <t>LS-000399</t>
  </si>
  <si>
    <t>921 BLACKBERRY LN</t>
  </si>
  <si>
    <t>LS-000400</t>
  </si>
  <si>
    <t>4983 BLACKHAWK DR</t>
  </si>
  <si>
    <t>LS-000401</t>
  </si>
  <si>
    <t>460 BLAGDON CT</t>
  </si>
  <si>
    <t>LS-000419</t>
  </si>
  <si>
    <t>7200 BLANDING BV</t>
  </si>
  <si>
    <t>LS-000420</t>
  </si>
  <si>
    <t>7703 BLANDING BV</t>
  </si>
  <si>
    <t>LS-000422</t>
  </si>
  <si>
    <t>8151 BLANDING BV</t>
  </si>
  <si>
    <t>LS-000423</t>
  </si>
  <si>
    <t>8621 BLARNEY STONE CT</t>
  </si>
  <si>
    <t>LS-000425</t>
  </si>
  <si>
    <t>11301 BLOSSOM RIDGE DR</t>
  </si>
  <si>
    <t>LS-000427</t>
  </si>
  <si>
    <t>9240 BLOUNT ISLAND BV</t>
  </si>
  <si>
    <t>LS-000428</t>
  </si>
  <si>
    <t>9362 BLOUNT ISLAND BV</t>
  </si>
  <si>
    <t>LS-000429</t>
  </si>
  <si>
    <t>9950 BLOUNT ISLAND BV</t>
  </si>
  <si>
    <t>LS-000430</t>
  </si>
  <si>
    <t>9969 BLOUNT ISLAND BV</t>
  </si>
  <si>
    <t>LS-000431</t>
  </si>
  <si>
    <t>9233 BLOUNT ISLAND DR</t>
  </si>
  <si>
    <t>LS-000432</t>
  </si>
  <si>
    <t>12668 BLUE EAGLE WY</t>
  </si>
  <si>
    <t>LS-000434</t>
  </si>
  <si>
    <t>10837 BLUE PACIFIC CT</t>
  </si>
  <si>
    <t>LS-000435</t>
  </si>
  <si>
    <t>125 BLUE WATER DR</t>
  </si>
  <si>
    <t>LS-000436</t>
  </si>
  <si>
    <t>1323 BLUE WATER DR</t>
  </si>
  <si>
    <t>LS-000437</t>
  </si>
  <si>
    <t>733 BLUE WATER DR</t>
  </si>
  <si>
    <t>LS-000438</t>
  </si>
  <si>
    <t>554 BLUE WHALE WY</t>
  </si>
  <si>
    <t>LS-000439</t>
  </si>
  <si>
    <t>3500 BOATWRIGHT WY</t>
  </si>
  <si>
    <t>LS-000441</t>
  </si>
  <si>
    <t>6961 BONNEVAL RD</t>
  </si>
  <si>
    <t>LS-000443</t>
  </si>
  <si>
    <t>85231 BOSTICK WOOD DR</t>
  </si>
  <si>
    <t>LS-000444</t>
  </si>
  <si>
    <t>1706 BOULEVARD AV</t>
  </si>
  <si>
    <t>LS-000445</t>
  </si>
  <si>
    <t>4133 BOULEVARD CENTER DR</t>
  </si>
  <si>
    <t>LS-000448</t>
  </si>
  <si>
    <t>6817 BOWDEN RD</t>
  </si>
  <si>
    <t>LS-000451</t>
  </si>
  <si>
    <t>544 BOWLAN ST</t>
  </si>
  <si>
    <t>LS-000452</t>
  </si>
  <si>
    <t>10182 BRADLEY RD</t>
  </si>
  <si>
    <t>LS-000456</t>
  </si>
  <si>
    <t>12714 BRADY PLACE BV S</t>
  </si>
  <si>
    <t>LS-000457</t>
  </si>
  <si>
    <t>95135 BRADY POINT RD</t>
  </si>
  <si>
    <t>LS-000459</t>
  </si>
  <si>
    <t>2391 BREST RD</t>
  </si>
  <si>
    <t>LS-000460</t>
  </si>
  <si>
    <t>2941 BREVE DR</t>
  </si>
  <si>
    <t>LS-000461</t>
  </si>
  <si>
    <t>268 BRIDGECREEK DR</t>
  </si>
  <si>
    <t>LS-000462</t>
  </si>
  <si>
    <t>9022 BRIDGECREEK DR</t>
  </si>
  <si>
    <t>LS-000465</t>
  </si>
  <si>
    <t>8460 BRIERWOOD RD</t>
  </si>
  <si>
    <t>LS-000468</t>
  </si>
  <si>
    <t>5210 BRIGHTON PARK LN</t>
  </si>
  <si>
    <t>LS-000469</t>
  </si>
  <si>
    <t>5565 BRISTOL BAY LN</t>
  </si>
  <si>
    <t>LS-000470</t>
  </si>
  <si>
    <t>1261 BROAD ST</t>
  </si>
  <si>
    <t>LS-000476</t>
  </si>
  <si>
    <t>6630 BROADWAY AV</t>
  </si>
  <si>
    <t>LS-000481</t>
  </si>
  <si>
    <t>38 BROOKVIEW DR N</t>
  </si>
  <si>
    <t>LS-000482</t>
  </si>
  <si>
    <t>75025 BROOKWOOD DR</t>
  </si>
  <si>
    <t>LS-000484</t>
  </si>
  <si>
    <t>1001 Broward Rd.</t>
  </si>
  <si>
    <t>LS-000485</t>
  </si>
  <si>
    <t>1530 BROWARD RD</t>
  </si>
  <si>
    <t>LS-000486</t>
  </si>
  <si>
    <t>2518 BROWARD RD</t>
  </si>
  <si>
    <t>LS-000489</t>
  </si>
  <si>
    <t>250 BRYAN ST</t>
  </si>
  <si>
    <t>LS-000490</t>
  </si>
  <si>
    <t>1140 BUCKBEAN BRANCH LN E</t>
  </si>
  <si>
    <t>LS-000491</t>
  </si>
  <si>
    <t>5301 EVERGREEN AV</t>
  </si>
  <si>
    <t>LS-000495</t>
  </si>
  <si>
    <t>10828 BURNT MILL RD</t>
  </si>
  <si>
    <t>LS-000496</t>
  </si>
  <si>
    <t>11201 BURNT MILL RD</t>
  </si>
  <si>
    <t>LS-000504</t>
  </si>
  <si>
    <t>11775 CAMDEN RD</t>
  </si>
  <si>
    <t>LS-000505</t>
  </si>
  <si>
    <t>11855 CAMDEN RD</t>
  </si>
  <si>
    <t>LS-000507</t>
  </si>
  <si>
    <t>11022 CAMPUS HEIGHTS LN</t>
  </si>
  <si>
    <t>LS-000509</t>
  </si>
  <si>
    <t>801 CANDLE BARK DR</t>
  </si>
  <si>
    <t>LS-000510</t>
  </si>
  <si>
    <t>2418 CANEY WOOD CT</t>
  </si>
  <si>
    <t>LS-000511</t>
  </si>
  <si>
    <t>13996 CANOPY OVERLOOK CT</t>
  </si>
  <si>
    <t>LS-000512</t>
  </si>
  <si>
    <t>14051 CANYON FALLS DR S</t>
  </si>
  <si>
    <t>LS-000514</t>
  </si>
  <si>
    <t>3230 CAPPER RD</t>
  </si>
  <si>
    <t>LS-000515</t>
  </si>
  <si>
    <t>3327 CAPPER RD</t>
  </si>
  <si>
    <t>LS-000516</t>
  </si>
  <si>
    <t>9344 CARACARA DR</t>
  </si>
  <si>
    <t>LS-000517</t>
  </si>
  <si>
    <t>5219 CARDER ST</t>
  </si>
  <si>
    <t>LS-000518</t>
  </si>
  <si>
    <t>2004 CAREY AV</t>
  </si>
  <si>
    <t>LS-000519</t>
  </si>
  <si>
    <t>8043 CARLOTTA RD N</t>
  </si>
  <si>
    <t>LS-000520</t>
  </si>
  <si>
    <t>900 CARLOTTA RD W</t>
  </si>
  <si>
    <t>LS-000529</t>
  </si>
  <si>
    <t>2499 CASTAWAY DR</t>
  </si>
  <si>
    <t>LS-000530</t>
  </si>
  <si>
    <t>451 CATHERINE ST</t>
  </si>
  <si>
    <t>LS-000531</t>
  </si>
  <si>
    <t>3750 CATANIA PL</t>
  </si>
  <si>
    <t>LS-000532</t>
  </si>
  <si>
    <t>142 CATTAIL CR</t>
  </si>
  <si>
    <t>LS-000533</t>
  </si>
  <si>
    <t>5503 CATTLE CROSSING WY</t>
  </si>
  <si>
    <t>LS-000534</t>
  </si>
  <si>
    <t>7041 CAVALIER RD</t>
  </si>
  <si>
    <t>LS-000535</t>
  </si>
  <si>
    <t>10889 CEDAR BRANCH RD</t>
  </si>
  <si>
    <t>LS-000536</t>
  </si>
  <si>
    <t>14600 CEDAR ISLAND DR</t>
  </si>
  <si>
    <t>LS-000537</t>
  </si>
  <si>
    <t>3881 CEDAR POINT RD</t>
  </si>
  <si>
    <t>LS-000538</t>
  </si>
  <si>
    <t>10446 CENTERWOOD CT</t>
  </si>
  <si>
    <t>LS-000540</t>
  </si>
  <si>
    <t>11550 CENTRAL PY</t>
  </si>
  <si>
    <t>LS-000542</t>
  </si>
  <si>
    <t>7621 CENTURION PY</t>
  </si>
  <si>
    <t>LS-000545</t>
  </si>
  <si>
    <t>955 CESERY BV</t>
  </si>
  <si>
    <t>LS-000546</t>
  </si>
  <si>
    <t>8156 CESPERDES AV</t>
  </si>
  <si>
    <t>LS-000547</t>
  </si>
  <si>
    <t>549 CHAFFEE POINT BV</t>
  </si>
  <si>
    <t>LS-000549</t>
  </si>
  <si>
    <t>281 CHAFFEE RD S</t>
  </si>
  <si>
    <t>LS-000550</t>
  </si>
  <si>
    <t>3795 CHAFFEE RD S</t>
  </si>
  <si>
    <t>LS-000556</t>
  </si>
  <si>
    <t>1894 CHALLEN AV</t>
  </si>
  <si>
    <t>LS-000557</t>
  </si>
  <si>
    <t>1694 CHANDELIER CR E</t>
  </si>
  <si>
    <t>LS-000558</t>
  </si>
  <si>
    <t>1114 CHANDLER OAKS DR</t>
  </si>
  <si>
    <t>LS-000559</t>
  </si>
  <si>
    <t>13645 CHARTER CT</t>
  </si>
  <si>
    <t>LS-000560</t>
  </si>
  <si>
    <t>4245 CHELSEA HARBOR DR W</t>
  </si>
  <si>
    <t>LS-000561</t>
  </si>
  <si>
    <t>6705 CHERBORG AV N</t>
  </si>
  <si>
    <t>LS-000562</t>
  </si>
  <si>
    <t>14467 CHERRY LAKE DR E</t>
  </si>
  <si>
    <t>LS-000564</t>
  </si>
  <si>
    <t>8233 CHESTER LAKES RD N</t>
  </si>
  <si>
    <t>LS-000568</t>
  </si>
  <si>
    <t>336 CHESWICK OAK AV</t>
  </si>
  <si>
    <t>Clay</t>
  </si>
  <si>
    <t>CLAY E</t>
  </si>
  <si>
    <t>LS-000570</t>
  </si>
  <si>
    <t>8550 CHESWICK OAKS AV</t>
  </si>
  <si>
    <t>LS-000571</t>
  </si>
  <si>
    <t>13225 CHETS CREEK BV</t>
  </si>
  <si>
    <t>LS-000574</t>
  </si>
  <si>
    <t>6511 CHRISTOPHER POINT RD</t>
  </si>
  <si>
    <t>LS-000575</t>
  </si>
  <si>
    <t xml:space="preserve">15361 Chuckwagon Tr  </t>
  </si>
  <si>
    <t>LS-000576</t>
  </si>
  <si>
    <t>2537 CIMMARRONE BV</t>
  </si>
  <si>
    <t>LS-000578</t>
  </si>
  <si>
    <t>7445 CINNAMON LAKE DR</t>
  </si>
  <si>
    <t>LS-000579</t>
  </si>
  <si>
    <t>13115 CITY SQUARE DR</t>
  </si>
  <si>
    <t>LS-000580</t>
  </si>
  <si>
    <t>7150 CIVIC CLUB DR</t>
  </si>
  <si>
    <t>LS-000582</t>
  </si>
  <si>
    <t>5204 CLAPBOARD CREEK DR</t>
  </si>
  <si>
    <t>LS-000588</t>
  </si>
  <si>
    <t>5520 CLEVELAND RD</t>
  </si>
  <si>
    <t>LS-000589</t>
  </si>
  <si>
    <t>6050 CLEVELAND RD</t>
  </si>
  <si>
    <t>LS-000591</t>
  </si>
  <si>
    <t>4425 CLINTON AV</t>
  </si>
  <si>
    <t>LS-000592</t>
  </si>
  <si>
    <t>2399 CLOVELLY LN W</t>
  </si>
  <si>
    <t>LS-000593</t>
  </si>
  <si>
    <t>4618 CLYDE DR</t>
  </si>
  <si>
    <t>LS-000594</t>
  </si>
  <si>
    <t>2664 COACHMAN LAKES DR</t>
  </si>
  <si>
    <t>LS-000595</t>
  </si>
  <si>
    <t>3660 COASTAL VIEW DR</t>
  </si>
  <si>
    <t>LS-000597</t>
  </si>
  <si>
    <t>2656 COLD CREEK BV</t>
  </si>
  <si>
    <t>LS-000598</t>
  </si>
  <si>
    <t>2111 COLE FLYER RD</t>
  </si>
  <si>
    <t>LS-000599</t>
  </si>
  <si>
    <t>11800 COLLINS CREEK DR</t>
  </si>
  <si>
    <t>LS-000600</t>
  </si>
  <si>
    <t>7837 COLLINS GROVE DR</t>
  </si>
  <si>
    <t>LS-000601</t>
  </si>
  <si>
    <t>4580 COLLINS RD</t>
  </si>
  <si>
    <t>LS-000602</t>
  </si>
  <si>
    <t>5096 COLLINS RD</t>
  </si>
  <si>
    <t>LS-000603</t>
  </si>
  <si>
    <t>5540 COLLINS RD</t>
  </si>
  <si>
    <t>LS-000604</t>
  </si>
  <si>
    <t>5604 COLLINS RD</t>
  </si>
  <si>
    <t>LS-000605</t>
  </si>
  <si>
    <t>5620 COLLINS RD</t>
  </si>
  <si>
    <t>LS-000607</t>
  </si>
  <si>
    <t>5291-1 COLLINS ROAD</t>
  </si>
  <si>
    <t>LS-000608</t>
  </si>
  <si>
    <t>5291-2 COLLINS RD #2</t>
  </si>
  <si>
    <t>LS-000609</t>
  </si>
  <si>
    <t>8529 COLLINS RIDGE BV N</t>
  </si>
  <si>
    <t>LS-000611</t>
  </si>
  <si>
    <t>6469 COLUMBIA PARK DR</t>
  </si>
  <si>
    <t>LS-000617</t>
  </si>
  <si>
    <t>96511 COMMODORE POINT DR</t>
  </si>
  <si>
    <t>LS-000622</t>
  </si>
  <si>
    <t>5503 COMMUNITY OAKS CT</t>
  </si>
  <si>
    <t>LS-000624</t>
  </si>
  <si>
    <t>3878 CONGA ST</t>
  </si>
  <si>
    <t>LS-000627</t>
  </si>
  <si>
    <t>10873 COPPER HILL DR</t>
  </si>
  <si>
    <t>LS-000629</t>
  </si>
  <si>
    <t>8343 CORALBERRY LN</t>
  </si>
  <si>
    <t>LS-000630</t>
  </si>
  <si>
    <t>7250 CORKLAN DR</t>
  </si>
  <si>
    <t>LS-000633</t>
  </si>
  <si>
    <t>3000 CORONET LN</t>
  </si>
  <si>
    <t>LS-000634</t>
  </si>
  <si>
    <t>1706 CORPORATE SQUARE</t>
  </si>
  <si>
    <t>LS-000637</t>
  </si>
  <si>
    <t>13651 COVINGTON CREEK DR</t>
  </si>
  <si>
    <t>LS-000638</t>
  </si>
  <si>
    <t>2283 CR 210</t>
  </si>
  <si>
    <t>LS-000639</t>
  </si>
  <si>
    <t>2740 COUNTY ROAD 210 W</t>
  </si>
  <si>
    <t>LS-000640</t>
  </si>
  <si>
    <t>3428 CR 210 (3150)</t>
  </si>
  <si>
    <t>LS-000645</t>
  </si>
  <si>
    <t>4425 CRAVEN RD W</t>
  </si>
  <si>
    <t>LS-000646</t>
  </si>
  <si>
    <t>1217 CREEK BEND RD</t>
  </si>
  <si>
    <t>LS-000647</t>
  </si>
  <si>
    <t>1397 CREEK POINT BV</t>
  </si>
  <si>
    <t>LS-000650</t>
  </si>
  <si>
    <t>11035 CREEKWOOD DR</t>
  </si>
  <si>
    <t>LS-000653</t>
  </si>
  <si>
    <t>6501 CRESTLINE DR</t>
  </si>
  <si>
    <t>LS-000654</t>
  </si>
  <si>
    <t>13993 CRESTWICK DR E</t>
  </si>
  <si>
    <t>LS-000656</t>
  </si>
  <si>
    <t>13451 CROSSOVER ST</t>
  </si>
  <si>
    <t>LS-000657</t>
  </si>
  <si>
    <t>3810 CROSSWATER BV</t>
  </si>
  <si>
    <t>LS-000658</t>
  </si>
  <si>
    <t>9598 CRYSTAL SPRINGS RD</t>
  </si>
  <si>
    <t>LS-000661</t>
  </si>
  <si>
    <t>5441 CUMBERLAND FOREST LN</t>
  </si>
  <si>
    <t>LS-000662</t>
  </si>
  <si>
    <t>8007 CUMBERLAND GAP TL</t>
  </si>
  <si>
    <t>LS-000665</t>
  </si>
  <si>
    <t>1238 CUNNINGHAM CREEK DR</t>
  </si>
  <si>
    <t>LS-000666</t>
  </si>
  <si>
    <t>1502 CUNNINGHAM ESTATES RD</t>
  </si>
  <si>
    <t>LS-000667</t>
  </si>
  <si>
    <t>13410 CURRITUCK DR N</t>
  </si>
  <si>
    <t>LS-000668</t>
  </si>
  <si>
    <t>9147 CYPRESS GREEN DR</t>
  </si>
  <si>
    <t>LS-000669</t>
  </si>
  <si>
    <t>10255 CYPRESS LAKES DR</t>
  </si>
  <si>
    <t>LS-000672</t>
  </si>
  <si>
    <t>2415 D ST</t>
  </si>
  <si>
    <t>LS-000673</t>
  </si>
  <si>
    <t>2562 D ST</t>
  </si>
  <si>
    <t>LS-000675</t>
  </si>
  <si>
    <t>3211 BREVE DR</t>
  </si>
  <si>
    <t>LS-000676</t>
  </si>
  <si>
    <t>5101 DAMASCUS RD N</t>
  </si>
  <si>
    <t>LS-000677</t>
  </si>
  <si>
    <t>3780 DANFORTH DR</t>
  </si>
  <si>
    <t>LS-000691</t>
  </si>
  <si>
    <t>7839 DAWSONS CREEK</t>
  </si>
  <si>
    <t>LS-000692</t>
  </si>
  <si>
    <t>12520 DAYLIGHT TR</t>
  </si>
  <si>
    <t>LS-000694</t>
  </si>
  <si>
    <t>14052 DECATUR ST</t>
  </si>
  <si>
    <t>LS-000695</t>
  </si>
  <si>
    <t>12133 DEEDER LN</t>
  </si>
  <si>
    <t>LS-000696</t>
  </si>
  <si>
    <t>4831 DEER LAKE DR E</t>
  </si>
  <si>
    <t>LS-000699</t>
  </si>
  <si>
    <t>10000 DEERCREEK CLUB RD E</t>
  </si>
  <si>
    <t>LS-000702</t>
  </si>
  <si>
    <t>3231 DEERFIELD POINT DR</t>
  </si>
  <si>
    <t>LS-000703</t>
  </si>
  <si>
    <t>10353 DEERFOOT LN N</t>
  </si>
  <si>
    <t>LS-000705</t>
  </si>
  <si>
    <t>10315 DEERWOOD CLUB RD</t>
  </si>
  <si>
    <t>LS-000706</t>
  </si>
  <si>
    <t>908 DEERWOOD CR N</t>
  </si>
  <si>
    <t>LS-000707</t>
  </si>
  <si>
    <t>10440 DEERWOOD PARK BV</t>
  </si>
  <si>
    <t>LS-000710</t>
  </si>
  <si>
    <t>7709 DEERWOOD POINT PL</t>
  </si>
  <si>
    <t>LS-000712</t>
  </si>
  <si>
    <t>9092 DEL WEBB PY</t>
  </si>
  <si>
    <t>LS-000714</t>
  </si>
  <si>
    <t>1248 DELFINO DR</t>
  </si>
  <si>
    <t>LS-000716</t>
  </si>
  <si>
    <t>310 DENISE ST</t>
  </si>
  <si>
    <t>LS-000717</t>
  </si>
  <si>
    <t>8998 DERRICKSON DR</t>
  </si>
  <si>
    <t>LS-000719</t>
  </si>
  <si>
    <t>4526 DETAILLIE DR</t>
  </si>
  <si>
    <t>LS-000720</t>
  </si>
  <si>
    <t>702 DEWBERRY DR</t>
  </si>
  <si>
    <t>LS-000721</t>
  </si>
  <si>
    <t>801 DEWBERRY DR</t>
  </si>
  <si>
    <t>LS-000722</t>
  </si>
  <si>
    <t>814 DEWBERRY DR</t>
  </si>
  <si>
    <t>LS-000723</t>
  </si>
  <si>
    <t>2843 DICKINSON RD</t>
  </si>
  <si>
    <t>LS-000724</t>
  </si>
  <si>
    <t>6669 DIGBY LN</t>
  </si>
  <si>
    <t>LS-000727</t>
  </si>
  <si>
    <t>4500 DIRECTORS RD</t>
  </si>
  <si>
    <t>LS-000730</t>
  </si>
  <si>
    <t>8200 DIX ELLIS TR</t>
  </si>
  <si>
    <t>LS-000731</t>
  </si>
  <si>
    <t>2101 DIXIE CLIPPER RD</t>
  </si>
  <si>
    <t>LS-000733</t>
  </si>
  <si>
    <t>1711 DOLOMA ST</t>
  </si>
  <si>
    <t>LS-000738</t>
  </si>
  <si>
    <t>4807 DUCHENEAU DR</t>
  </si>
  <si>
    <t>LS-000753</t>
  </si>
  <si>
    <t>3000 DUNN AV</t>
  </si>
  <si>
    <t>LS-000758</t>
  </si>
  <si>
    <t>6678 DUNN AV</t>
  </si>
  <si>
    <t>LS-000759</t>
  </si>
  <si>
    <t>2859 DUPONT AV</t>
  </si>
  <si>
    <t>LS-000760</t>
  </si>
  <si>
    <t>3701 DUPONT AV</t>
  </si>
  <si>
    <t>LS-000761</t>
  </si>
  <si>
    <t>500 DURBIN CREEK BV</t>
  </si>
  <si>
    <t>LS-000762</t>
  </si>
  <si>
    <t>800 DURBIN CREEK BV</t>
  </si>
  <si>
    <t>LS-000763</t>
  </si>
  <si>
    <t>901 DUSKIN DR</t>
  </si>
  <si>
    <t>LS-000766</t>
  </si>
  <si>
    <t>13898 DUVAL RD</t>
  </si>
  <si>
    <t>LS-000768</t>
  </si>
  <si>
    <t>14491 W DUVAL RD</t>
  </si>
  <si>
    <t>LS-000769</t>
  </si>
  <si>
    <t>14695 DUVAL RD</t>
  </si>
  <si>
    <t>LS-000774</t>
  </si>
  <si>
    <t>500 DUVAL STATION RD</t>
  </si>
  <si>
    <t>LS-000775</t>
  </si>
  <si>
    <t>590 DUVAL STATION RD</t>
  </si>
  <si>
    <t>LS-000777</t>
  </si>
  <si>
    <t>5020 EAGLES NATURE</t>
  </si>
  <si>
    <t>LS-000778</t>
  </si>
  <si>
    <t>954 EAGLE POINT DR</t>
  </si>
  <si>
    <t>LS-000779</t>
  </si>
  <si>
    <t>7159 EAGLES PERCH</t>
  </si>
  <si>
    <t>LS-000780</t>
  </si>
  <si>
    <t>86257 EASTPORT DR</t>
  </si>
  <si>
    <t>LS-000783</t>
  </si>
  <si>
    <t>1192 PULASKI RD</t>
  </si>
  <si>
    <t>LS-000788</t>
  </si>
  <si>
    <t>13107 EBBTIDE CT</t>
  </si>
  <si>
    <t>LS-000789</t>
  </si>
  <si>
    <t>5681 EDENFIELD RD</t>
  </si>
  <si>
    <t>LS-000790</t>
  </si>
  <si>
    <t>5710 EDENFIELD RD</t>
  </si>
  <si>
    <t>LS-000791</t>
  </si>
  <si>
    <t>6210 EDENFIELD RD</t>
  </si>
  <si>
    <t>LS-000792</t>
  </si>
  <si>
    <t>4401 EDGEWATER CROSSING DR</t>
  </si>
  <si>
    <t>LS-000795</t>
  </si>
  <si>
    <t>3335 MCLENDON AV</t>
  </si>
  <si>
    <t>LS-000813</t>
  </si>
  <si>
    <t>904 EDGEWOOD AV W</t>
  </si>
  <si>
    <t>LS-000817</t>
  </si>
  <si>
    <t>13788 EGRETS NEST DR</t>
  </si>
  <si>
    <t>LS-000818</t>
  </si>
  <si>
    <t>1509 EL PRADO RD</t>
  </si>
  <si>
    <t>LS-000824</t>
  </si>
  <si>
    <t>1060 ELLIS RD N</t>
  </si>
  <si>
    <t>LS-000836</t>
  </si>
  <si>
    <t>1401 ELLIS TRACE DR</t>
  </si>
  <si>
    <t>LS-000837</t>
  </si>
  <si>
    <t>220 ELMWOOD DR</t>
  </si>
  <si>
    <t>LS-000838</t>
  </si>
  <si>
    <t>4211 EMERALD BAY DR</t>
  </si>
  <si>
    <t>LS-000839</t>
  </si>
  <si>
    <t>3454 EMERALD ISLE CR W</t>
  </si>
  <si>
    <t>LS-000849</t>
  </si>
  <si>
    <t>6623 EPPING FOREST WY N</t>
  </si>
  <si>
    <t>LS-000851</t>
  </si>
  <si>
    <t>16536 ETHEL RD</t>
  </si>
  <si>
    <t>LS-000852</t>
  </si>
  <si>
    <t>4808 EXECUTIVE PARK CT</t>
  </si>
  <si>
    <t>LS-000853</t>
  </si>
  <si>
    <t>7260 EXLINE RD</t>
  </si>
  <si>
    <t>LS-000855</t>
  </si>
  <si>
    <t>711 FAITH MEMORIAL DR</t>
  </si>
  <si>
    <t>LS-000856</t>
  </si>
  <si>
    <t>7961 FALCON ST</t>
  </si>
  <si>
    <t>LS-000857</t>
  </si>
  <si>
    <t>1531 FALKLAND RD</t>
  </si>
  <si>
    <t>LS-000858</t>
  </si>
  <si>
    <t>9748 FAWN BROOK DR</t>
  </si>
  <si>
    <t>LS-000869</t>
  </si>
  <si>
    <t>4451 FENDER DR</t>
  </si>
  <si>
    <t>LS-000870</t>
  </si>
  <si>
    <t>4147 FERBER RD</t>
  </si>
  <si>
    <t>LS-000871</t>
  </si>
  <si>
    <t>6551 FERBER RD</t>
  </si>
  <si>
    <t>LS-000873</t>
  </si>
  <si>
    <t>12901 FERNBANK LN</t>
  </si>
  <si>
    <t>LS-000874</t>
  </si>
  <si>
    <t>3231 FIDDLERS HAMMOCK LN</t>
  </si>
  <si>
    <t>BEACHES E</t>
  </si>
  <si>
    <t>LS-000878</t>
  </si>
  <si>
    <t>8570 FIRETOWER RD</t>
  </si>
  <si>
    <t>LS-000881</t>
  </si>
  <si>
    <t>14130 FISH EAGLE DR E</t>
  </si>
  <si>
    <t>LS-000882</t>
  </si>
  <si>
    <t>10301 FISH RD</t>
  </si>
  <si>
    <t>LS-000884</t>
  </si>
  <si>
    <t>5826 FLICKER AV</t>
  </si>
  <si>
    <t>LS-000885</t>
  </si>
  <si>
    <t>1661 FLINTLOCK CT</t>
  </si>
  <si>
    <t>LS-000886</t>
  </si>
  <si>
    <t>1325 FLORA BRANCH BV</t>
  </si>
  <si>
    <t>LS-000887</t>
  </si>
  <si>
    <t>2301 FLORA BRANCH BV</t>
  </si>
  <si>
    <t>LS-000888</t>
  </si>
  <si>
    <t>677 FLORA BRANCH BV</t>
  </si>
  <si>
    <t>LS-000890</t>
  </si>
  <si>
    <t>23874 FLORA PARK BV</t>
  </si>
  <si>
    <t>LS-000891</t>
  </si>
  <si>
    <t>2751 FLORADALE DR</t>
  </si>
  <si>
    <t>LS-000892</t>
  </si>
  <si>
    <t>9820 FLORIDA MINING BV E</t>
  </si>
  <si>
    <t>LS-000893</t>
  </si>
  <si>
    <t>5521 FLORIDA MINING BV S</t>
  </si>
  <si>
    <t>LS-000895</t>
  </si>
  <si>
    <t>3757 FOGGY VEIL CT</t>
  </si>
  <si>
    <t>LS-000898</t>
  </si>
  <si>
    <t>11221 FORESTDALE RD</t>
  </si>
  <si>
    <t>LS-000899</t>
  </si>
  <si>
    <t>7973 FORSHEE DR</t>
  </si>
  <si>
    <t>LS-000900</t>
  </si>
  <si>
    <t>65 FORT MILTON DR</t>
  </si>
  <si>
    <t>LS-000901</t>
  </si>
  <si>
    <t>10320 FORTUNE PY</t>
  </si>
  <si>
    <t>LS-000904</t>
  </si>
  <si>
    <t>3710 FOURACRE RD</t>
  </si>
  <si>
    <t>LS-000907</t>
  </si>
  <si>
    <t>5102 FOXBORO RD</t>
  </si>
  <si>
    <t>LS-000908</t>
  </si>
  <si>
    <t>8352 FREEDOM CROSSING TR W</t>
  </si>
  <si>
    <t>LS-000909</t>
  </si>
  <si>
    <t>8585 FREEDOM CROSSING TR W</t>
  </si>
  <si>
    <t>LS-000912</t>
  </si>
  <si>
    <t>3752 FT CAROLINE HARBOR DR</t>
  </si>
  <si>
    <t>LS-000913</t>
  </si>
  <si>
    <t>7031 FT CAROLINE HILLS DR</t>
  </si>
  <si>
    <t>LS-000914</t>
  </si>
  <si>
    <t>11610 FT CAROLINE LAKES DR</t>
  </si>
  <si>
    <t>LS-000915</t>
  </si>
  <si>
    <t>10797 FT CAROLINE RD</t>
  </si>
  <si>
    <t>LS-000916</t>
  </si>
  <si>
    <t>11434 FT CAROLINE RD</t>
  </si>
  <si>
    <t>LS-000917</t>
  </si>
  <si>
    <t>12720 FT CAROLINE RD</t>
  </si>
  <si>
    <t>LS-000920</t>
  </si>
  <si>
    <t>6554 FT CAROLINE RD</t>
  </si>
  <si>
    <t>LS-000921</t>
  </si>
  <si>
    <t>8301 FT CAROLINE RD</t>
  </si>
  <si>
    <t>LS-000923</t>
  </si>
  <si>
    <t>5047 FULTON RD</t>
  </si>
  <si>
    <t>LS-000924</t>
  </si>
  <si>
    <t>8560 FURY DR</t>
  </si>
  <si>
    <t>LS-000927</t>
  </si>
  <si>
    <t>3312 GALILEE RD</t>
  </si>
  <si>
    <t>LS-000929</t>
  </si>
  <si>
    <t>1101 GARRISON DR</t>
  </si>
  <si>
    <t>LS-000931</t>
  </si>
  <si>
    <t>9731 GATE PY N</t>
  </si>
  <si>
    <t>LS-000932</t>
  </si>
  <si>
    <t>9898 GATE PY N</t>
  </si>
  <si>
    <t>LS-000936</t>
  </si>
  <si>
    <t>8153 GATE PY W</t>
  </si>
  <si>
    <t>LS-000937</t>
  </si>
  <si>
    <t>8290 GATE PY W</t>
  </si>
  <si>
    <t>LS-000939</t>
  </si>
  <si>
    <t>12409 GATELY RD S</t>
  </si>
  <si>
    <t>LS-000940</t>
  </si>
  <si>
    <t>12333 GATELY RIDGE CT</t>
  </si>
  <si>
    <t>LS-000941</t>
  </si>
  <si>
    <t>826 GATES ST</t>
  </si>
  <si>
    <t>LS-000942</t>
  </si>
  <si>
    <t>8860 GATWICK CR</t>
  </si>
  <si>
    <t>LS-000943</t>
  </si>
  <si>
    <t>6111 GAZEBO PARK PL N</t>
  </si>
  <si>
    <t>LS-000944</t>
  </si>
  <si>
    <t>86440 GENE LASSERRE BV</t>
  </si>
  <si>
    <t>LS-000945</t>
  </si>
  <si>
    <t>10288 GENERAL AVE</t>
  </si>
  <si>
    <t>LS-000946</t>
  </si>
  <si>
    <t>234 GENERAL DOOLITTLE DR</t>
  </si>
  <si>
    <t>LS-000947</t>
  </si>
  <si>
    <t>5772 GILCHRIST RD</t>
  </si>
  <si>
    <t>LS-000951</t>
  </si>
  <si>
    <t>6350 GINNIE SPRINGS RD</t>
  </si>
  <si>
    <t>LS-000952</t>
  </si>
  <si>
    <t>1012 GLEN ECHO RD</t>
  </si>
  <si>
    <t>LS-000953</t>
  </si>
  <si>
    <t>2366 GLEN GARDNER</t>
  </si>
  <si>
    <t>LS-000954</t>
  </si>
  <si>
    <t>12293 GLEN HOLLOW DR</t>
  </si>
  <si>
    <t>LS-000956</t>
  </si>
  <si>
    <t>12858 GLEN KERNAN PY</t>
  </si>
  <si>
    <t>LS-000958</t>
  </si>
  <si>
    <t>4604 GLENWOOD AV</t>
  </si>
  <si>
    <t>LS-000959</t>
  </si>
  <si>
    <t>1295 GLYNLEA ST</t>
  </si>
  <si>
    <t>LS-000960</t>
  </si>
  <si>
    <t>657 GLYNLEA ST</t>
  </si>
  <si>
    <t>LS-000961</t>
  </si>
  <si>
    <t>8235 GOLDEN BAMBOO</t>
  </si>
  <si>
    <t>LS-000962</t>
  </si>
  <si>
    <t>12005 GOLDENROD CR N</t>
  </si>
  <si>
    <t>LS-000964</t>
  </si>
  <si>
    <t>5219 GOLF COURSE DR</t>
  </si>
  <si>
    <t>LS-000966</t>
  </si>
  <si>
    <t>12429 GOOD NEIGHBOR TR</t>
  </si>
  <si>
    <t>LS-000970</t>
  </si>
  <si>
    <t>8100 GRAMPELL DR</t>
  </si>
  <si>
    <t>LS-000971</t>
  </si>
  <si>
    <t>12870 GRAN BAY PY</t>
  </si>
  <si>
    <t>LS-000974</t>
  </si>
  <si>
    <t>96037 GRAND OAKS LA</t>
  </si>
  <si>
    <t>LS-000977</t>
  </si>
  <si>
    <t>3929 GRANT RD</t>
  </si>
  <si>
    <t>LS-000978</t>
  </si>
  <si>
    <t>1058 GRANVILLE RD</t>
  </si>
  <si>
    <t>LS-000979</t>
  </si>
  <si>
    <t>6500 GRAYFIELD DR</t>
  </si>
  <si>
    <t>LS-000980</t>
  </si>
  <si>
    <t>10712 GRAYSON CT</t>
  </si>
  <si>
    <t>LS-000981</t>
  </si>
  <si>
    <t>6123 GREEN POND DR</t>
  </si>
  <si>
    <t>LS-000982</t>
  </si>
  <si>
    <t>554 GREENBRIAR RD</t>
  </si>
  <si>
    <t>LS-000983</t>
  </si>
  <si>
    <t>137 GREENFIELD DR</t>
  </si>
  <si>
    <t>LS-000984</t>
  </si>
  <si>
    <t>6593 GREENLAND CHASE BV</t>
  </si>
  <si>
    <t>LS-000985</t>
  </si>
  <si>
    <t>4788 GREENLAND RD</t>
  </si>
  <si>
    <t>LS-000987</t>
  </si>
  <si>
    <t>5050 GREENLAND RD</t>
  </si>
  <si>
    <t>LS-000988</t>
  </si>
  <si>
    <t>5663 GREENLAND RD</t>
  </si>
  <si>
    <t>LS-000990</t>
  </si>
  <si>
    <t>4831 GREENLAND RD</t>
  </si>
  <si>
    <t>LS-000992</t>
  </si>
  <si>
    <t>1990 GREENWOOD ST</t>
  </si>
  <si>
    <t>LS-000993</t>
  </si>
  <si>
    <t>7677 GREGORY DR</t>
  </si>
  <si>
    <t>LS-000994</t>
  </si>
  <si>
    <t>7844 GREGORY DR</t>
  </si>
  <si>
    <t>LS-000996</t>
  </si>
  <si>
    <t>1332 GROSVNER SQUARE DR</t>
  </si>
  <si>
    <t>LS-000997</t>
  </si>
  <si>
    <t>487 GROVE PARK BV</t>
  </si>
  <si>
    <t>LS-000998</t>
  </si>
  <si>
    <t>1578 GUARDIAN DR</t>
  </si>
  <si>
    <t>LS-001000</t>
  </si>
  <si>
    <t>2975 HALCYON LN</t>
  </si>
  <si>
    <t>LS-001001</t>
  </si>
  <si>
    <t>10210 HALEY RD</t>
  </si>
  <si>
    <t>LS-001003</t>
  </si>
  <si>
    <t>1396 HAMILTON ST</t>
  </si>
  <si>
    <t>LS-001004</t>
  </si>
  <si>
    <t>10374 HAMLET GLEN DR</t>
  </si>
  <si>
    <t>LS-001005</t>
  </si>
  <si>
    <t>1520 HAMMOND BV</t>
  </si>
  <si>
    <t>LS-001007</t>
  </si>
  <si>
    <t>8681 HAMPSHIRE GLEN DR S</t>
  </si>
  <si>
    <t>LS-001008</t>
  </si>
  <si>
    <t>861323 NORTH HAMPTON CLUB WY</t>
  </si>
  <si>
    <t>LS-001009</t>
  </si>
  <si>
    <t>868570 NORTH HAMPTON CLUB WY</t>
  </si>
  <si>
    <t>LS-001010</t>
  </si>
  <si>
    <t>862870 North Hampton Club Wy</t>
  </si>
  <si>
    <t>LS-001011</t>
  </si>
  <si>
    <t>9151 HAMPTON LANDING DR E</t>
  </si>
  <si>
    <t>LS-001012</t>
  </si>
  <si>
    <t>10526 HAMPTON LANDING DR S</t>
  </si>
  <si>
    <t>LS-001015</t>
  </si>
  <si>
    <t>6927 HANSON DR S</t>
  </si>
  <si>
    <t>LS-001016</t>
  </si>
  <si>
    <t>11036 HARBOUR CAY CT</t>
  </si>
  <si>
    <t>LS-001017</t>
  </si>
  <si>
    <t>4100 HARBOR VIEW DR</t>
  </si>
  <si>
    <t>LS-001018</t>
  </si>
  <si>
    <t>4234 HARBOUR ISLAND DR</t>
  </si>
  <si>
    <t>LS-001019</t>
  </si>
  <si>
    <t>6640 HARLOW BV</t>
  </si>
  <si>
    <t>LS-001020</t>
  </si>
  <si>
    <t>1511 HARRINGTON PARK DR</t>
  </si>
  <si>
    <t>LS-001022</t>
  </si>
  <si>
    <t>3010 HARTLEY RD</t>
  </si>
  <si>
    <t>LS-001023</t>
  </si>
  <si>
    <t>3200 HARTLEY RD</t>
  </si>
  <si>
    <t>LS-001026</t>
  </si>
  <si>
    <t>10991 HARTS RD</t>
  </si>
  <si>
    <t>LS-001027</t>
  </si>
  <si>
    <t>11305 HARTS RD</t>
  </si>
  <si>
    <t>LS-001028</t>
  </si>
  <si>
    <t>12266 HARTS RD</t>
  </si>
  <si>
    <t>LS-001030</t>
  </si>
  <si>
    <t>6462 HARVIN RD</t>
  </si>
  <si>
    <t>LS-001031</t>
  </si>
  <si>
    <t>12402 HATTON CHASE LN W</t>
  </si>
  <si>
    <t>LS-001034</t>
  </si>
  <si>
    <t>8895 HAWKEYE CR</t>
  </si>
  <si>
    <t>LS-001035</t>
  </si>
  <si>
    <t>1731 HAWKINS COVE DR W</t>
  </si>
  <si>
    <t>LS-001036</t>
  </si>
  <si>
    <t>7402 HAWKS CLIFF DR</t>
  </si>
  <si>
    <t>LS-001037</t>
  </si>
  <si>
    <t>3689 HAWKS VIEW DR</t>
  </si>
  <si>
    <t>LS-001039</t>
  </si>
  <si>
    <t>944 HEARTSIDE CT</t>
  </si>
  <si>
    <t>LS-001040</t>
  </si>
  <si>
    <t>11745 HEATHER GROVE LN</t>
  </si>
  <si>
    <t>LS-001048</t>
  </si>
  <si>
    <t>3730 HENDRICKS AV</t>
  </si>
  <si>
    <t>LS-001055</t>
  </si>
  <si>
    <t>3231 HERMITAGE RD E</t>
  </si>
  <si>
    <t>LS-001056</t>
  </si>
  <si>
    <t>3815 HERMITAGE RD E</t>
  </si>
  <si>
    <t>LS-001057</t>
  </si>
  <si>
    <t>7309 HERNANDO</t>
  </si>
  <si>
    <t>LS-001058</t>
  </si>
  <si>
    <t>96288 HERON ISLES PY</t>
  </si>
  <si>
    <t>LS-001059</t>
  </si>
  <si>
    <t>3806 HERSCHEL ST</t>
  </si>
  <si>
    <t>LS-001063</t>
  </si>
  <si>
    <t>12620 HICKORY CREEK BV</t>
  </si>
  <si>
    <t>LS-001064</t>
  </si>
  <si>
    <t>368 HICKORY CREEK BV</t>
  </si>
  <si>
    <t>LS-001065</t>
  </si>
  <si>
    <t>847 HICKORY HILL DR</t>
  </si>
  <si>
    <t>LS-001066</t>
  </si>
  <si>
    <t>86072 HICKOX RD</t>
  </si>
  <si>
    <t>LS-001067</t>
  </si>
  <si>
    <t>5940 HICKSON RD</t>
  </si>
  <si>
    <t>LS-001068</t>
  </si>
  <si>
    <t>12051 HIDDEN HILLS DR</t>
  </si>
  <si>
    <t>LS-001085</t>
  </si>
  <si>
    <t>3907 HILLSTEAD LN</t>
  </si>
  <si>
    <t>LS-001087</t>
  </si>
  <si>
    <t>8051 HILSDALE RD</t>
  </si>
  <si>
    <t>LS-001089</t>
  </si>
  <si>
    <t>1705 HODGES BV</t>
  </si>
  <si>
    <t>LS-001090</t>
  </si>
  <si>
    <t>2003 HODGES BV</t>
  </si>
  <si>
    <t>LS-001092</t>
  </si>
  <si>
    <t>7551 HOGAN RD</t>
  </si>
  <si>
    <t>LS-001093</t>
  </si>
  <si>
    <t>7834 HOLIDAY RD S</t>
  </si>
  <si>
    <t>LS-001094</t>
  </si>
  <si>
    <t>3655 HOLLY GROVE AV</t>
  </si>
  <si>
    <t>LS-001095</t>
  </si>
  <si>
    <t>9846 FT CAROLINE RD</t>
  </si>
  <si>
    <t>LS-001096</t>
  </si>
  <si>
    <t>1945 HOLLY OAKS RAVINE DR</t>
  </si>
  <si>
    <t>LS-001097</t>
  </si>
  <si>
    <t>147 HOLLYBERRY LN</t>
  </si>
  <si>
    <t>LS-001098</t>
  </si>
  <si>
    <t>210 HOLLYBROOK AV</t>
  </si>
  <si>
    <t>LS-001099</t>
  </si>
  <si>
    <t>7871 HOLLYRIDGE RD</t>
  </si>
  <si>
    <t>LS-001100</t>
  </si>
  <si>
    <t>10220 HOMARD BV N</t>
  </si>
  <si>
    <t>LS-001101</t>
  </si>
  <si>
    <t>2230 HOME PARK CR E</t>
  </si>
  <si>
    <t>LS-001103</t>
  </si>
  <si>
    <t>11861 HOOD LANDING RD</t>
  </si>
  <si>
    <t>LS-001104</t>
  </si>
  <si>
    <t>12403 HOOD LANDING RD</t>
  </si>
  <si>
    <t>LS-001105</t>
  </si>
  <si>
    <t>10142 HOOD RD</t>
  </si>
  <si>
    <t>LS-001109</t>
  </si>
  <si>
    <t>2123 HOVINGTON CR W</t>
  </si>
  <si>
    <t>LS-001110</t>
  </si>
  <si>
    <t>1560 HOWARD RD</t>
  </si>
  <si>
    <t>LS-001111</t>
  </si>
  <si>
    <t>2336 HUCKINGS CT</t>
  </si>
  <si>
    <t>LS-001114</t>
  </si>
  <si>
    <t>2798 HUFFMAN BV</t>
  </si>
  <si>
    <t>LS-001115</t>
  </si>
  <si>
    <t>3092 HUFFMAN BV</t>
  </si>
  <si>
    <t>LS-001116</t>
  </si>
  <si>
    <t>2601 HUGH EDWARDS DR</t>
  </si>
  <si>
    <t>LS-001117</t>
  </si>
  <si>
    <t>4212 HUNTINGTON FOREST DR</t>
  </si>
  <si>
    <t>LS-001120</t>
  </si>
  <si>
    <t>I95 REST AREA NORTHBOUND</t>
  </si>
  <si>
    <t>LS-001121</t>
  </si>
  <si>
    <t>I95 REST AREA SOUTHBOUND</t>
  </si>
  <si>
    <t>LS-001122</t>
  </si>
  <si>
    <t>13961 IBIS POINT BV</t>
  </si>
  <si>
    <t>LS-001123</t>
  </si>
  <si>
    <t>1492 IMESON RD</t>
  </si>
  <si>
    <t>LS-001129</t>
  </si>
  <si>
    <t>3421 INDIAN CREEK BV</t>
  </si>
  <si>
    <t>LS-001130</t>
  </si>
  <si>
    <t>2142 INDIAN SPRINGS DR</t>
  </si>
  <si>
    <t>LS-001131</t>
  </si>
  <si>
    <t>10468 INDIAN WALK RD</t>
  </si>
  <si>
    <t>LS-001133</t>
  </si>
  <si>
    <t>7535 INTERNATIONAL VILLAGE DR</t>
  </si>
  <si>
    <t>LS-001134</t>
  </si>
  <si>
    <t>8083 INTERNATIONAL VILLAGE DR</t>
  </si>
  <si>
    <t>LS-001136</t>
  </si>
  <si>
    <t>7702 INVERMERE BV</t>
  </si>
  <si>
    <t>LS-001137</t>
  </si>
  <si>
    <t>7305 IRVING SCOTT DR</t>
  </si>
  <si>
    <t>LS-001138</t>
  </si>
  <si>
    <t>933 ISLAND POINT DR</t>
  </si>
  <si>
    <t>LS-001139</t>
  </si>
  <si>
    <t>112 ISLESBROOK PY</t>
  </si>
  <si>
    <t>LS-001141</t>
  </si>
  <si>
    <t>1318 IVYHEDGE AV</t>
  </si>
  <si>
    <t>LS-001142</t>
  </si>
  <si>
    <t>5642 J RAY CR S</t>
  </si>
  <si>
    <t>LS-001144</t>
  </si>
  <si>
    <t>1956 JAMMES RD</t>
  </si>
  <si>
    <t>LS-001145</t>
  </si>
  <si>
    <t>5001 JAMMES RD</t>
  </si>
  <si>
    <t>LS-001146</t>
  </si>
  <si>
    <t>5541 JAMMES RD</t>
  </si>
  <si>
    <t>LS-001147</t>
  </si>
  <si>
    <t>6034 JAMMES RD</t>
  </si>
  <si>
    <t>LS-001156</t>
  </si>
  <si>
    <t>11477 JERRY ADAMS DR</t>
  </si>
  <si>
    <t>LS-001157</t>
  </si>
  <si>
    <t>8694 JESSIE B SMITH CT</t>
  </si>
  <si>
    <t>LS-001159</t>
  </si>
  <si>
    <t>12791 JOEANDY RD N</t>
  </si>
  <si>
    <t>LS-001160</t>
  </si>
  <si>
    <t>2465 JOHN PROM BV</t>
  </si>
  <si>
    <t>LS-001161</t>
  </si>
  <si>
    <t>231 JOHNS CREEK PY</t>
  </si>
  <si>
    <t>LS-001162</t>
  </si>
  <si>
    <t>391 JOHNS CREEK PY</t>
  </si>
  <si>
    <t>LS-001163</t>
  </si>
  <si>
    <t>9343 JOLORU DR</t>
  </si>
  <si>
    <t>LS-001164</t>
  </si>
  <si>
    <t>1143 JONES CREEK DR</t>
  </si>
  <si>
    <t>LS-001165</t>
  </si>
  <si>
    <t>8241 JOSE CIRCLE W</t>
  </si>
  <si>
    <t>LS-001166</t>
  </si>
  <si>
    <t>14450 JOSE VEDRA BV</t>
  </si>
  <si>
    <t>LS-001169</t>
  </si>
  <si>
    <t>3805 JULIA MARIE DR</t>
  </si>
  <si>
    <t>LS-001172</t>
  </si>
  <si>
    <t>9764 JUPITER CT S</t>
  </si>
  <si>
    <t>LS-001173</t>
  </si>
  <si>
    <t>5624 KEATON LAKE DR</t>
  </si>
  <si>
    <t>LS-001174</t>
  </si>
  <si>
    <t>7260 KEN KNIGHT DR W</t>
  </si>
  <si>
    <t>LS-001176</t>
  </si>
  <si>
    <t>9687 KENDALL POINT DR</t>
  </si>
  <si>
    <t>LS-001177</t>
  </si>
  <si>
    <t>3214 KENISTON LN</t>
  </si>
  <si>
    <t>LS-001178</t>
  </si>
  <si>
    <t>10656 KENNEDY LN</t>
  </si>
  <si>
    <t>LS-001181</t>
  </si>
  <si>
    <t>12312 KENSINGTON LAKES DR</t>
  </si>
  <si>
    <t>LS-001184</t>
  </si>
  <si>
    <t>102 KERNAN BV N</t>
  </si>
  <si>
    <t>LS-001185</t>
  </si>
  <si>
    <t>3431 KERNAN BV S</t>
  </si>
  <si>
    <t>LS-001186</t>
  </si>
  <si>
    <t>4800 KERNAN BV S</t>
  </si>
  <si>
    <t>LS-001187</t>
  </si>
  <si>
    <t>5103 KERNAN BV S</t>
  </si>
  <si>
    <t>LS-001189</t>
  </si>
  <si>
    <t>12591 KERNAN FOREST BV</t>
  </si>
  <si>
    <t>LS-001192</t>
  </si>
  <si>
    <t>10800 KEY HAVEN BV</t>
  </si>
  <si>
    <t>LS-001193</t>
  </si>
  <si>
    <t>8138 KILKELLY LN S</t>
  </si>
  <si>
    <t>LS-001195</t>
  </si>
  <si>
    <t>4140 KINGSBURY ST</t>
  </si>
  <si>
    <t>LS-001196</t>
  </si>
  <si>
    <t>168 Seaside Vista Ct</t>
  </si>
  <si>
    <t>LS-001197</t>
  </si>
  <si>
    <t>5730 KINLOCK DR S</t>
  </si>
  <si>
    <t>LS-001199</t>
  </si>
  <si>
    <t>3601 KIRKPATRICK DR</t>
  </si>
  <si>
    <t>LS-001200</t>
  </si>
  <si>
    <t>3221 KLINE RD</t>
  </si>
  <si>
    <t>LS-001201</t>
  </si>
  <si>
    <t>1140 KNOLL DR W</t>
  </si>
  <si>
    <t>LS-001203</t>
  </si>
  <si>
    <t>3747 KORI RD</t>
  </si>
  <si>
    <t>LS-001204</t>
  </si>
  <si>
    <t>2044 KUSAIE DR</t>
  </si>
  <si>
    <t>LS-001205</t>
  </si>
  <si>
    <t>5549 LA MOYA AV</t>
  </si>
  <si>
    <t>LS-001206</t>
  </si>
  <si>
    <t>2004 LA VACA RD</t>
  </si>
  <si>
    <t>LS-001207</t>
  </si>
  <si>
    <t>4181 LA VISTA CR</t>
  </si>
  <si>
    <t>LS-001209</t>
  </si>
  <si>
    <t>688 LADY LAKE RD</t>
  </si>
  <si>
    <t>LS-001210</t>
  </si>
  <si>
    <t>65134 LAGOON FOREST DR</t>
  </si>
  <si>
    <t>LS-001211</t>
  </si>
  <si>
    <t>11845 LAKE BEND CR</t>
  </si>
  <si>
    <t>LS-001212</t>
  </si>
  <si>
    <t>13433 LAKE FRETWELL ST</t>
  </si>
  <si>
    <t>LS-001215</t>
  </si>
  <si>
    <t>12551 LAKE GARDENS DR</t>
  </si>
  <si>
    <t>LS-001216</t>
  </si>
  <si>
    <t>6130 LAKE GRAY BV</t>
  </si>
  <si>
    <t>LS-001218</t>
  </si>
  <si>
    <t>6195 LAKE LUGANO DR</t>
  </si>
  <si>
    <t>LS-001219</t>
  </si>
  <si>
    <t>11160 LAKE MANDARIN CR W</t>
  </si>
  <si>
    <t>LS-001220</t>
  </si>
  <si>
    <t>1900 PALMDALE ST</t>
  </si>
  <si>
    <t>LS-001221</t>
  </si>
  <si>
    <t>155 LAKE RUN BV</t>
  </si>
  <si>
    <t>LS-001222</t>
  </si>
  <si>
    <t>1755 LAKE SHORE BV</t>
  </si>
  <si>
    <t>LS-001224</t>
  </si>
  <si>
    <t>4294 LAKESIDE DR</t>
  </si>
  <si>
    <t>LS-001226</t>
  </si>
  <si>
    <t>5391 LAMAR DR</t>
  </si>
  <si>
    <t>LS-001228</t>
  </si>
  <si>
    <t>8869 LANCASHIRE DR</t>
  </si>
  <si>
    <t>LS-001251</t>
  </si>
  <si>
    <t>1171 LANE AV S</t>
  </si>
  <si>
    <t>LS-001261</t>
  </si>
  <si>
    <t>1973 LANE AV S</t>
  </si>
  <si>
    <t>LS-001263</t>
  </si>
  <si>
    <t>11787 LANIER CREEK DR</t>
  </si>
  <si>
    <t>LS-001265</t>
  </si>
  <si>
    <t>13333 LANIER RD</t>
  </si>
  <si>
    <t>LS-001266</t>
  </si>
  <si>
    <t>1700 LANSDOWNE DR</t>
  </si>
  <si>
    <t>LS-001267</t>
  </si>
  <si>
    <t>2421 LANSDOWNE DR</t>
  </si>
  <si>
    <t>LS-001268</t>
  </si>
  <si>
    <t>2538 LANTANA AV</t>
  </si>
  <si>
    <t>LS-001269</t>
  </si>
  <si>
    <t>2841 LANTANNA LAKES DR E</t>
  </si>
  <si>
    <t>LS-001270</t>
  </si>
  <si>
    <t>7600 LAS PALMAS WY</t>
  </si>
  <si>
    <t>LS-001271</t>
  </si>
  <si>
    <t>939 LAS ROBIDA DR</t>
  </si>
  <si>
    <t>LS-001272</t>
  </si>
  <si>
    <t>3640 LAS VEGAS</t>
  </si>
  <si>
    <t>LS-001273</t>
  </si>
  <si>
    <t>2320 LATRIUM CR N</t>
  </si>
  <si>
    <t>LS-001274</t>
  </si>
  <si>
    <t>1023 LAURA ST N</t>
  </si>
  <si>
    <t>LS-001275</t>
  </si>
  <si>
    <t>331 LAURINA ST</t>
  </si>
  <si>
    <t>LS-001276</t>
  </si>
  <si>
    <t>10410 LAWSON RD</t>
  </si>
  <si>
    <t>LS-001277</t>
  </si>
  <si>
    <t>536 LE MASTER DR</t>
  </si>
  <si>
    <t>LS-001278</t>
  </si>
  <si>
    <t>4676 LEAH CREEK DR</t>
  </si>
  <si>
    <t>LS-001279</t>
  </si>
  <si>
    <t>196 LEATHERLEAF DR</t>
  </si>
  <si>
    <t>LS-001281</t>
  </si>
  <si>
    <t>3596 LEESBURG DR</t>
  </si>
  <si>
    <t>LS-001284</t>
  </si>
  <si>
    <t>10600 LEM TURNER RD</t>
  </si>
  <si>
    <t>LS-001311</t>
  </si>
  <si>
    <t>9495 LEM TURNER RD</t>
  </si>
  <si>
    <t>LS-001324</t>
  </si>
  <si>
    <t>7702 LENOX AV</t>
  </si>
  <si>
    <t>LS-001328</t>
  </si>
  <si>
    <t>87073 LENTZ RD</t>
  </si>
  <si>
    <t>LS-001329</t>
  </si>
  <si>
    <t>9400 LEO MAGUIRE PY</t>
  </si>
  <si>
    <t>LS-001330</t>
  </si>
  <si>
    <t>470 SAMPSON WAY</t>
  </si>
  <si>
    <t>LS-001340</t>
  </si>
  <si>
    <t>3975 LEONNIE RD</t>
  </si>
  <si>
    <t>LS-001341</t>
  </si>
  <si>
    <t>2010 LEWIS INDUSTRIAL DR</t>
  </si>
  <si>
    <t>LS-001344</t>
  </si>
  <si>
    <t>LIGHTHOUSE POINT 1</t>
  </si>
  <si>
    <t>LS-001345</t>
  </si>
  <si>
    <t>2 LIGHTHOUSE PT</t>
  </si>
  <si>
    <t>LS-001348</t>
  </si>
  <si>
    <t>7863 LITTLE FOX LN</t>
  </si>
  <si>
    <t>LS-001349</t>
  </si>
  <si>
    <t>2588 LOFBERG DR</t>
  </si>
  <si>
    <t>LS-001351</t>
  </si>
  <si>
    <t>12080 LONDON LAKE DR W</t>
  </si>
  <si>
    <t>LS-001355</t>
  </si>
  <si>
    <t>10400 LONE STAR RD</t>
  </si>
  <si>
    <t>LS-001356</t>
  </si>
  <si>
    <t>4797 LONG BOW RD</t>
  </si>
  <si>
    <t>LS-001357</t>
  </si>
  <si>
    <t>5175 LONGLEAF ST</t>
  </si>
  <si>
    <t>LS-001358</t>
  </si>
  <si>
    <t>11610 LONGWOOD KEY DR E</t>
  </si>
  <si>
    <t>LS-001359</t>
  </si>
  <si>
    <t>4064 LONICERA LOOP</t>
  </si>
  <si>
    <t>LS-001361</t>
  </si>
  <si>
    <t>7000 LORAIN ST</t>
  </si>
  <si>
    <t>LS-001362</t>
  </si>
  <si>
    <t>792 LORD NELSON BV</t>
  </si>
  <si>
    <t>LS-001363</t>
  </si>
  <si>
    <t>4008 LORETTO RD</t>
  </si>
  <si>
    <t>LS-001364</t>
  </si>
  <si>
    <t>11065 LOSCO JUNCTION DR</t>
  </si>
  <si>
    <t>LS-001365</t>
  </si>
  <si>
    <t>4440 LOSCO RD</t>
  </si>
  <si>
    <t>LS-001367</t>
  </si>
  <si>
    <t>4930 LOSCO RD</t>
  </si>
  <si>
    <t>LS-001368</t>
  </si>
  <si>
    <t>5141 LOSCO RD</t>
  </si>
  <si>
    <t>LS-001369</t>
  </si>
  <si>
    <t>10747 LOST PINES DR</t>
  </si>
  <si>
    <t>LS-001370</t>
  </si>
  <si>
    <t>11038 LOTHMORE RD</t>
  </si>
  <si>
    <t>LS-001371</t>
  </si>
  <si>
    <t>900 LOTUS LN S</t>
  </si>
  <si>
    <t>LS-001372</t>
  </si>
  <si>
    <t>6331 LOUIS CLARK CT</t>
  </si>
  <si>
    <t>LS-001373</t>
  </si>
  <si>
    <t>2045 LUANA DR E</t>
  </si>
  <si>
    <t>LS-001374</t>
  </si>
  <si>
    <t>2323 LUANA DR E</t>
  </si>
  <si>
    <t>LS-001375</t>
  </si>
  <si>
    <t>7709 LUEDERS AV</t>
  </si>
  <si>
    <t>LS-001377</t>
  </si>
  <si>
    <t>16433 MAGNOLIA GROVE WY</t>
  </si>
  <si>
    <t>LS-001378</t>
  </si>
  <si>
    <t>189 MAHOGANY BAY DR</t>
  </si>
  <si>
    <t>LS-001382</t>
  </si>
  <si>
    <t>39 MAJESTIC EAGLE DR</t>
  </si>
  <si>
    <t>LS-001383</t>
  </si>
  <si>
    <t>3482 MAJESTIC OAKS DR</t>
  </si>
  <si>
    <t>LS-001384</t>
  </si>
  <si>
    <t>1353 MALLARD LANDING BV</t>
  </si>
  <si>
    <t>LS-001385</t>
  </si>
  <si>
    <t>1896 MALLORY ST</t>
  </si>
  <si>
    <t>LS-001388</t>
  </si>
  <si>
    <t>11741 MANDARIN RD</t>
  </si>
  <si>
    <t>LS-001390</t>
  </si>
  <si>
    <t>12931 MANDARIN RD</t>
  </si>
  <si>
    <t>LS-001392</t>
  </si>
  <si>
    <t>14842 MANDARIN RD</t>
  </si>
  <si>
    <t>LS-001394</t>
  </si>
  <si>
    <t>11328 MANDARIN RIDGE LN</t>
  </si>
  <si>
    <t>LS-001396</t>
  </si>
  <si>
    <t>2235 MANEY DR</t>
  </si>
  <si>
    <t>LS-001397</t>
  </si>
  <si>
    <t>2962 MANGROVE AV</t>
  </si>
  <si>
    <t>LS-001399</t>
  </si>
  <si>
    <t>1466 MANOTAK OAKS</t>
  </si>
  <si>
    <t>LS-001400</t>
  </si>
  <si>
    <t>5689 MARATHON PY</t>
  </si>
  <si>
    <t>LS-001401</t>
  </si>
  <si>
    <t>10366 MARBLE EGRET DR</t>
  </si>
  <si>
    <t>LS-001402</t>
  </si>
  <si>
    <t>1030 MARCY ST</t>
  </si>
  <si>
    <t>LS-001403</t>
  </si>
  <si>
    <t>1616 MARDIS PL E</t>
  </si>
  <si>
    <t>LS-001407</t>
  </si>
  <si>
    <t>225 MARISCO WY</t>
  </si>
  <si>
    <t>LS-001410</t>
  </si>
  <si>
    <t>4790 MARSH HAMMOCK DR</t>
  </si>
  <si>
    <t>LS-001411</t>
  </si>
  <si>
    <t>13708 MARSH HARBOR DR N</t>
  </si>
  <si>
    <t>LS-001412</t>
  </si>
  <si>
    <t>14657 MARSH ISLAND LN</t>
  </si>
  <si>
    <t>LS-001413</t>
  </si>
  <si>
    <t>96135 MARSH LAKES</t>
  </si>
  <si>
    <t>LS-001414</t>
  </si>
  <si>
    <t>188 MARSHVIEW HAVEN DR</t>
  </si>
  <si>
    <t>LS-001415</t>
  </si>
  <si>
    <t>11399 MARTIN LAKE CT</t>
  </si>
  <si>
    <t>LS-001416</t>
  </si>
  <si>
    <t>11405 MARTIN LAKE DR</t>
  </si>
  <si>
    <t>LS-001417</t>
  </si>
  <si>
    <t>5936 MARTIN LUTHER KING DR</t>
  </si>
  <si>
    <t>LS-001420</t>
  </si>
  <si>
    <t>2530 MAYAPPLE RD E</t>
  </si>
  <si>
    <t>LS-001423</t>
  </si>
  <si>
    <t>2304 MCMILLAN ST</t>
  </si>
  <si>
    <t>LS-001424</t>
  </si>
  <si>
    <t>11803 MCCORMICK RD</t>
  </si>
  <si>
    <t>LS-001425</t>
  </si>
  <si>
    <t>12943 MCCORMICK RD</t>
  </si>
  <si>
    <t>LS-001428</t>
  </si>
  <si>
    <t>2251 MCCOY CREEK BV</t>
  </si>
  <si>
    <t>LS-001430</t>
  </si>
  <si>
    <t>4170 MCGIRTS BV</t>
  </si>
  <si>
    <t>LS-001431</t>
  </si>
  <si>
    <t>10516 MCGIRTS CREEK DR</t>
  </si>
  <si>
    <t>LS-001432</t>
  </si>
  <si>
    <t>1895 MCGIRTS POINT BV</t>
  </si>
  <si>
    <t>LS-001434</t>
  </si>
  <si>
    <t>10577 MCLAURIN RD E</t>
  </si>
  <si>
    <t>LS-001435</t>
  </si>
  <si>
    <t>10342 MEADOW POINT DR</t>
  </si>
  <si>
    <t>LS-001436</t>
  </si>
  <si>
    <t>7901 MEADOW VISTA DR</t>
  </si>
  <si>
    <t>LS-001437</t>
  </si>
  <si>
    <t>12785 MEADOWSWEET LN</t>
  </si>
  <si>
    <t>LS-001439</t>
  </si>
  <si>
    <t>3801 MEEK DR</t>
  </si>
  <si>
    <t>LS-001440</t>
  </si>
  <si>
    <t>7619 MELVIN RD</t>
  </si>
  <si>
    <t>LS-001441</t>
  </si>
  <si>
    <t>1410 MENLO AV</t>
  </si>
  <si>
    <t>LS-001443</t>
  </si>
  <si>
    <t>41 MENTORIA RD</t>
  </si>
  <si>
    <t>LS-001444</t>
  </si>
  <si>
    <t>2200 MERCER CR S</t>
  </si>
  <si>
    <t>LS-001445</t>
  </si>
  <si>
    <t>8446 MERCHANT WALK</t>
  </si>
  <si>
    <t>LS-001446</t>
  </si>
  <si>
    <t>8120 MERCHANTS GATE DR</t>
  </si>
  <si>
    <t>LS-001450</t>
  </si>
  <si>
    <t>11815 MERGANSER WY</t>
  </si>
  <si>
    <t>LS-001452</t>
  </si>
  <si>
    <t>7732 MERRILL RD</t>
  </si>
  <si>
    <t>LS-001454</t>
  </si>
  <si>
    <t>4401 MERRIMAC AV</t>
  </si>
  <si>
    <t>LS-001455</t>
  </si>
  <si>
    <t>12237 MESA VERDE TR</t>
  </si>
  <si>
    <t>LS-001456</t>
  </si>
  <si>
    <t>METRO PARK</t>
  </si>
  <si>
    <t>h</t>
  </si>
  <si>
    <t>LS-001458</t>
  </si>
  <si>
    <t>937 MIKAEL AV</t>
  </si>
  <si>
    <t>LS-001459</t>
  </si>
  <si>
    <t>1030 MILL CREEK RD</t>
  </si>
  <si>
    <t>LS-001461</t>
  </si>
  <si>
    <t>9411 MILL SPRINGS RD</t>
  </si>
  <si>
    <t>LS-001462</t>
  </si>
  <si>
    <t>1400 MILLCOE RD</t>
  </si>
  <si>
    <t>LS-001463</t>
  </si>
  <si>
    <t>7202 MIMOSA GROVE TL</t>
  </si>
  <si>
    <t>LS-001464</t>
  </si>
  <si>
    <t>11004 MINDANAO DR S</t>
  </si>
  <si>
    <t>LS-001466</t>
  </si>
  <si>
    <t>85537 MINER RD</t>
  </si>
  <si>
    <t>LS-001467</t>
  </si>
  <si>
    <t>5872 MINING TR</t>
  </si>
  <si>
    <t>LS-001468</t>
  </si>
  <si>
    <t>5423 MINOSA CT</t>
  </si>
  <si>
    <t>LS-001469</t>
  </si>
  <si>
    <t>12501 MISSION HILLS DR</t>
  </si>
  <si>
    <t>LS-001470</t>
  </si>
  <si>
    <t>3900 MISSION HILLS DR E</t>
  </si>
  <si>
    <t>LS-001471</t>
  </si>
  <si>
    <t>4840 MISSISSIPPI CT</t>
  </si>
  <si>
    <t>LS-001472</t>
  </si>
  <si>
    <t>8017 MISTY MEADOW CT N</t>
  </si>
  <si>
    <t>LS-001473</t>
  </si>
  <si>
    <t>12090 MISTY WATER DR N</t>
  </si>
  <si>
    <t>LS-001474</t>
  </si>
  <si>
    <t>6781 MISTYVIEW DR</t>
  </si>
  <si>
    <t>LS-001475</t>
  </si>
  <si>
    <t>3942 MONCRIEF RD</t>
  </si>
  <si>
    <t>LS-001476</t>
  </si>
  <si>
    <t>4861 MONCRIEF RD</t>
  </si>
  <si>
    <t>LS-001477</t>
  </si>
  <si>
    <t>5447 MONCRIEF RD W</t>
  </si>
  <si>
    <t>LS-001479</t>
  </si>
  <si>
    <t>5001 MONROE FOREST DR</t>
  </si>
  <si>
    <t>LS-001480</t>
  </si>
  <si>
    <t>3780 MONTEBELLO WY</t>
  </si>
  <si>
    <t>LS-001481</t>
  </si>
  <si>
    <t>7819 MONTEREY BAY DR</t>
  </si>
  <si>
    <t>LS-001482</t>
  </si>
  <si>
    <t>11238 MONUMENT LANDING BV</t>
  </si>
  <si>
    <t>LS-001484</t>
  </si>
  <si>
    <t>1154 MONUMENT RD</t>
  </si>
  <si>
    <t>LS-001485</t>
  </si>
  <si>
    <t>1453 MONUMENT RD</t>
  </si>
  <si>
    <t>LS-001486</t>
  </si>
  <si>
    <t>1500 MONUMENT RD</t>
  </si>
  <si>
    <t>LS-001487</t>
  </si>
  <si>
    <t>1701 MONUMENT RD</t>
  </si>
  <si>
    <t>LS-001488</t>
  </si>
  <si>
    <t>3333 MONUMENT RD</t>
  </si>
  <si>
    <t>LS-001489</t>
  </si>
  <si>
    <t>4245 MONUMENT RD</t>
  </si>
  <si>
    <t>LS-001490</t>
  </si>
  <si>
    <t>4621 MONUMENT POINT CR</t>
  </si>
  <si>
    <t>LS-001491</t>
  </si>
  <si>
    <t>12629 MOOSE RD</t>
  </si>
  <si>
    <t>LS-001492</t>
  </si>
  <si>
    <t>5631 MORET DR</t>
  </si>
  <si>
    <t>LS-001493</t>
  </si>
  <si>
    <t>6600 MORET DR S</t>
  </si>
  <si>
    <t>LS-001496</t>
  </si>
  <si>
    <t>4516 MORRISON ST</t>
  </si>
  <si>
    <t>LS-001498</t>
  </si>
  <si>
    <t>6084 MORSE AVE</t>
  </si>
  <si>
    <t>LS-001499</t>
  </si>
  <si>
    <t>6101 MORSE AV</t>
  </si>
  <si>
    <t>LS-001500</t>
  </si>
  <si>
    <t>6857 MORSE AV</t>
  </si>
  <si>
    <t>LS-001503</t>
  </si>
  <si>
    <t>4990 MORVEN RD</t>
  </si>
  <si>
    <t>LS-001504</t>
  </si>
  <si>
    <t>15598 MOSS HOLLOW DR</t>
  </si>
  <si>
    <t>LS-001505</t>
  </si>
  <si>
    <t>11629 MOSSY WY</t>
  </si>
  <si>
    <t>LS-001506</t>
  </si>
  <si>
    <t>11433 KINGSLEY MANOR WAY</t>
  </si>
  <si>
    <t>LS-001508</t>
  </si>
  <si>
    <t>4513 MOUNTAIN BROOK LN E</t>
  </si>
  <si>
    <t>LS-001509</t>
  </si>
  <si>
    <t>12934 MT PLEASANT RD</t>
  </si>
  <si>
    <t>LS-001512</t>
  </si>
  <si>
    <t>55 MYRTLE AV</t>
  </si>
  <si>
    <t>LS-001516</t>
  </si>
  <si>
    <t>96091 NASSAU PL</t>
  </si>
  <si>
    <t>LS-001517</t>
  </si>
  <si>
    <t>10965 NATALIE DR</t>
  </si>
  <si>
    <t>LS-001518</t>
  </si>
  <si>
    <t>8205 NATIONS WY</t>
  </si>
  <si>
    <t>LS-001520</t>
  </si>
  <si>
    <t>1082 NELSON ST</t>
  </si>
  <si>
    <t>LS-001522</t>
  </si>
  <si>
    <t>981 NESTING SWALLOW DR</t>
  </si>
  <si>
    <t>LS-001533</t>
  </si>
  <si>
    <t>1490 NEW BERLIN RD</t>
  </si>
  <si>
    <t>LS-001536</t>
  </si>
  <si>
    <t>3401 NEW BERLIN RD</t>
  </si>
  <si>
    <t>LS-001558</t>
  </si>
  <si>
    <t>5589 NEW WORLD BV</t>
  </si>
  <si>
    <t>LS-001559</t>
  </si>
  <si>
    <t>5987 NEW WORLD AVE</t>
  </si>
  <si>
    <t>LS-001561</t>
  </si>
  <si>
    <t>NGS 1_LS01</t>
  </si>
  <si>
    <t>LS-001562</t>
  </si>
  <si>
    <t>NGS 2_LS01</t>
  </si>
  <si>
    <t>LS-001563</t>
  </si>
  <si>
    <t>NGS 3</t>
  </si>
  <si>
    <t>LS-001564</t>
  </si>
  <si>
    <t>NGS 4</t>
  </si>
  <si>
    <t>LS-001565</t>
  </si>
  <si>
    <t>2078 NIBLICK DR</t>
  </si>
  <si>
    <t>LS-001566</t>
  </si>
  <si>
    <t>76210 NICHOLAS CUTINHA RD</t>
  </si>
  <si>
    <t>LS-001574</t>
  </si>
  <si>
    <t>5121 NORMANDY BV</t>
  </si>
  <si>
    <t>LS-001585</t>
  </si>
  <si>
    <t>7764 NORMANDY BV</t>
  </si>
  <si>
    <t>LS-001593</t>
  </si>
  <si>
    <t>9330 NORMANDY BV</t>
  </si>
  <si>
    <t>LS-001594</t>
  </si>
  <si>
    <t>9800 NORMANDY BV</t>
  </si>
  <si>
    <t>LS-001596</t>
  </si>
  <si>
    <t>8121 NOROAD</t>
  </si>
  <si>
    <t>LS-001597</t>
  </si>
  <si>
    <t>8591 NOROAD DRIVE</t>
  </si>
  <si>
    <t>LS-001598</t>
  </si>
  <si>
    <t>6247 NORSE DR</t>
  </si>
  <si>
    <t>LS-001600</t>
  </si>
  <si>
    <t>115 NORTH DURBIN PY</t>
  </si>
  <si>
    <t>LS-001601</t>
  </si>
  <si>
    <t>585 NORTH DURBIN PY</t>
  </si>
  <si>
    <t>LS-001605</t>
  </si>
  <si>
    <t>11551 NORTH RIDE CR W</t>
  </si>
  <si>
    <t>LS-001606</t>
  </si>
  <si>
    <t>7668 NORTH SHORE DR</t>
  </si>
  <si>
    <t>LS-001607</t>
  </si>
  <si>
    <t>6947 NORWOOD AV</t>
  </si>
  <si>
    <t>LS-001608</t>
  </si>
  <si>
    <t>801-1 NOTTAGE HILL ST</t>
  </si>
  <si>
    <t>LS-001609</t>
  </si>
  <si>
    <t>1648 NOTTINGHAM KNOLL DR</t>
  </si>
  <si>
    <t>LS-001610</t>
  </si>
  <si>
    <t>4423 JIGGERMAST AV</t>
  </si>
  <si>
    <t>LS-001611</t>
  </si>
  <si>
    <t>11487 OAK LAWN RD</t>
  </si>
  <si>
    <t>LS-001613</t>
  </si>
  <si>
    <t>2034 OAK WATER DR</t>
  </si>
  <si>
    <t>LS-001615</t>
  </si>
  <si>
    <t>573 OAKLEAF PLANTATION PY</t>
  </si>
  <si>
    <t>LS-001616</t>
  </si>
  <si>
    <t>785-2 OAKLEAF PLANTATION</t>
  </si>
  <si>
    <t>LS-001617</t>
  </si>
  <si>
    <t>786 OAKLEAF PLANTATION PY</t>
  </si>
  <si>
    <t>LS-001619</t>
  </si>
  <si>
    <t>103 OCEAN GRAND BV</t>
  </si>
  <si>
    <t>LS-001623</t>
  </si>
  <si>
    <t>150 OLD BLUFF DR</t>
  </si>
  <si>
    <t>LS-001624</t>
  </si>
  <si>
    <t>5447 OLD COLONY DR</t>
  </si>
  <si>
    <t>LS-001626</t>
  </si>
  <si>
    <t>6305 OLD KINGS RD N</t>
  </si>
  <si>
    <t>LS-001627</t>
  </si>
  <si>
    <t>8198 OXFORD FOREST DR</t>
  </si>
  <si>
    <t>LS-001628</t>
  </si>
  <si>
    <t>8153 OLD KINGS RD S</t>
  </si>
  <si>
    <t>LS-001629</t>
  </si>
  <si>
    <t>8833 OLD KINGS RD S</t>
  </si>
  <si>
    <t>LS-001630</t>
  </si>
  <si>
    <t>8884 OLD KINGS RD S</t>
  </si>
  <si>
    <t>LS-001631</t>
  </si>
  <si>
    <t>9391 OLD KINGS RD S</t>
  </si>
  <si>
    <t>LS-001637</t>
  </si>
  <si>
    <t>6712 OLD MIDDLEBURG RD</t>
  </si>
  <si>
    <t>LS-001639</t>
  </si>
  <si>
    <t>7184 OLD PIONEER ROAD</t>
  </si>
  <si>
    <t>LS-001643</t>
  </si>
  <si>
    <t>12905 ST AUGUSTINE RD</t>
  </si>
  <si>
    <t>LS-001644</t>
  </si>
  <si>
    <t>3902 OLD SUNBEAM RD</t>
  </si>
  <si>
    <t>LS-001645</t>
  </si>
  <si>
    <t>4193 OLDFIELD CROSSING DR</t>
  </si>
  <si>
    <t>LS-001646</t>
  </si>
  <si>
    <t>11969 OLDFIELD POINT DR</t>
  </si>
  <si>
    <t>LS-001647</t>
  </si>
  <si>
    <t>2520 ORANGE PICKER RD</t>
  </si>
  <si>
    <t>LS-001648</t>
  </si>
  <si>
    <t>5349 ORTEGA BLUFF LN</t>
  </si>
  <si>
    <t>LS-001649</t>
  </si>
  <si>
    <t>7799 ORTEGA BLUFF PY</t>
  </si>
  <si>
    <t>LS-001650</t>
  </si>
  <si>
    <t>3801 ORTEGA BV</t>
  </si>
  <si>
    <t>LS-001652</t>
  </si>
  <si>
    <t>5004 ORTEGA FARMS BV</t>
  </si>
  <si>
    <t>LS-001654</t>
  </si>
  <si>
    <t>4959 ORTEGA HILLS DR</t>
  </si>
  <si>
    <t>LS-001655</t>
  </si>
  <si>
    <t>4659 ORTEGA ISLAND DR</t>
  </si>
  <si>
    <t>LS-001657</t>
  </si>
  <si>
    <t>8671 OSPREY LN</t>
  </si>
  <si>
    <t>LS-001658</t>
  </si>
  <si>
    <t>96515 OTTER RUN</t>
  </si>
  <si>
    <t>LS-001659</t>
  </si>
  <si>
    <t>7422 OVERLAND PARK BV</t>
  </si>
  <si>
    <t>LS-001664</t>
  </si>
  <si>
    <t>5303 Commissioners Dr</t>
  </si>
  <si>
    <t>LS-001666</t>
  </si>
  <si>
    <t>70A PABLO RD</t>
  </si>
  <si>
    <t>LS-001667</t>
  </si>
  <si>
    <t>13288 PACEMAKER DR</t>
  </si>
  <si>
    <t>LS-001668</t>
  </si>
  <si>
    <t>3161 PADDLE BOAT LN</t>
  </si>
  <si>
    <t>LS-001670</t>
  </si>
  <si>
    <t>3580 PALL MALL DR</t>
  </si>
  <si>
    <t>LS-001671</t>
  </si>
  <si>
    <t>12928 PALMETTO GLADE DR</t>
  </si>
  <si>
    <t>LS-001672</t>
  </si>
  <si>
    <t>5512 PALMETTO INLET E</t>
  </si>
  <si>
    <t>LS-001673</t>
  </si>
  <si>
    <t>11182 PANTHER CREEK PY</t>
  </si>
  <si>
    <t>LS-001674</t>
  </si>
  <si>
    <t>37090 PARADISE COMMONS</t>
  </si>
  <si>
    <t>LS-001683</t>
  </si>
  <si>
    <t>4815 PARK ST</t>
  </si>
  <si>
    <t>LS-001685</t>
  </si>
  <si>
    <t>13437 PARKLAND RD</t>
  </si>
  <si>
    <t>LS-001686</t>
  </si>
  <si>
    <t>8132 PARKRIDGE CR S</t>
  </si>
  <si>
    <t>LS-001687</t>
  </si>
  <si>
    <t>638 PARKVIEW DR</t>
  </si>
  <si>
    <t>LS-001688</t>
  </si>
  <si>
    <t>2450 PATSY ANNE DR</t>
  </si>
  <si>
    <t>LS-001690</t>
  </si>
  <si>
    <t>1124 PAWNEE PL</t>
  </si>
  <si>
    <t>LS-001692</t>
  </si>
  <si>
    <t>3826 PEBBLE BROOKE CR S</t>
  </si>
  <si>
    <t>LS-001694</t>
  </si>
  <si>
    <t>14063 PECAN PARK RD</t>
  </si>
  <si>
    <t>LS-001695</t>
  </si>
  <si>
    <t>14201 PECAN PARK RD</t>
  </si>
  <si>
    <t>LS-001696</t>
  </si>
  <si>
    <t>14300 PECAN PARK RD</t>
  </si>
  <si>
    <t>LS-001697</t>
  </si>
  <si>
    <t>606 PECAN PARK RD</t>
  </si>
  <si>
    <t>LS-001698</t>
  </si>
  <si>
    <t>3475 PEELER RD</t>
  </si>
  <si>
    <t>LS-001699</t>
  </si>
  <si>
    <t>852 PEPPERVINE AV</t>
  </si>
  <si>
    <t>LS-001701</t>
  </si>
  <si>
    <t>132 PEREGRINE CT</t>
  </si>
  <si>
    <t>LS-001703</t>
  </si>
  <si>
    <t>8784 PERIMETER PARK BV</t>
  </si>
  <si>
    <t>LS-001704</t>
  </si>
  <si>
    <t>4815 WESCONETT</t>
  </si>
  <si>
    <t>LS-001706</t>
  </si>
  <si>
    <t>6295 PETTIFORD DR E</t>
  </si>
  <si>
    <t>LS-001709</t>
  </si>
  <si>
    <t>10200 PHILIPS HY</t>
  </si>
  <si>
    <t>LS-001713</t>
  </si>
  <si>
    <t>3699 PHILIPS HY</t>
  </si>
  <si>
    <t>LS-001714</t>
  </si>
  <si>
    <t>3910 PHILIPS HY</t>
  </si>
  <si>
    <t>LS-001750</t>
  </si>
  <si>
    <t>6752 PHILIPS INDUSTRIAL BV E</t>
  </si>
  <si>
    <t>LS-001753</t>
  </si>
  <si>
    <t>2894 PHYLLIS ST</t>
  </si>
  <si>
    <t>LS-001754</t>
  </si>
  <si>
    <t>7605 PICKETT ST</t>
  </si>
  <si>
    <t>LS-001755</t>
  </si>
  <si>
    <t>1219 PICKETVILLE RD</t>
  </si>
  <si>
    <t>LS-001764</t>
  </si>
  <si>
    <t>9456 PICKWICK DR</t>
  </si>
  <si>
    <t>LS-001765</t>
  </si>
  <si>
    <t>96158 PIEDMONT DR</t>
  </si>
  <si>
    <t>LS-001766</t>
  </si>
  <si>
    <t>11003 PINE ACRES RD</t>
  </si>
  <si>
    <t>LS-001768</t>
  </si>
  <si>
    <t>14094 PINE ISLAND DR</t>
  </si>
  <si>
    <t>LS-001770</t>
  </si>
  <si>
    <t>861 PINE MOSS DR</t>
  </si>
  <si>
    <t>LS-001773</t>
  </si>
  <si>
    <t>7616 PLANTATION BAY DR</t>
  </si>
  <si>
    <t>LS-001775</t>
  </si>
  <si>
    <t>4191 PLANTATION OAKS BV</t>
  </si>
  <si>
    <t>LS-001776</t>
  </si>
  <si>
    <t>1826 PLANTATION OAKS DR</t>
  </si>
  <si>
    <t>LS-001777</t>
  </si>
  <si>
    <t>8201 PLAZA GATE LN</t>
  </si>
  <si>
    <t>LS-001778</t>
  </si>
  <si>
    <t>10613 PLUM HOLLOW DR</t>
  </si>
  <si>
    <t>LS-001779</t>
  </si>
  <si>
    <t>6972 PLUM LAKE DR</t>
  </si>
  <si>
    <t>LS-001780</t>
  </si>
  <si>
    <t>3113 PLUM ST</t>
  </si>
  <si>
    <t>LS-001783</t>
  </si>
  <si>
    <t>79734 PLUMMERS CREEK DR</t>
  </si>
  <si>
    <t>LS-001784</t>
  </si>
  <si>
    <t>4616 PLYMOUTH ST</t>
  </si>
  <si>
    <t>LS-001786</t>
  </si>
  <si>
    <t>7825 POINT MEADOWS DR</t>
  </si>
  <si>
    <t>LS-001787</t>
  </si>
  <si>
    <t>8032 POINT MEADOWS DR</t>
  </si>
  <si>
    <t>LS-001788</t>
  </si>
  <si>
    <t>12621 POINT PARK DR</t>
  </si>
  <si>
    <t>LS-001789</t>
  </si>
  <si>
    <t>5838 POMPANO DR</t>
  </si>
  <si>
    <t>LS-001790</t>
  </si>
  <si>
    <t>201 PONTE VEDRA BV</t>
  </si>
  <si>
    <t>LS-001791</t>
  </si>
  <si>
    <t>240-1 PONTE VEDRA BV</t>
  </si>
  <si>
    <t>LS-001792</t>
  </si>
  <si>
    <t>280A PONTE VEDRA BV</t>
  </si>
  <si>
    <t>LS-001793</t>
  </si>
  <si>
    <t>612 PONTE VEDRA BV</t>
  </si>
  <si>
    <t>LS-001794</t>
  </si>
  <si>
    <t>651 PONTE VEDRA BV</t>
  </si>
  <si>
    <t>LS-001795</t>
  </si>
  <si>
    <t>3034 PORT JACKSONVILLE PY</t>
  </si>
  <si>
    <t>LS-001796</t>
  </si>
  <si>
    <t>3774 PORT JACKSONVILLE PY</t>
  </si>
  <si>
    <t>LS-001797</t>
  </si>
  <si>
    <t>1527 PORTER LAKES DR</t>
  </si>
  <si>
    <t>LS-001798</t>
  </si>
  <si>
    <t>11221 PORTSIDE DR</t>
  </si>
  <si>
    <t>LS-001799</t>
  </si>
  <si>
    <t>4508 PORTSMOUTH AV</t>
  </si>
  <si>
    <t>LS-001800</t>
  </si>
  <si>
    <t>1888 POWELL PL</t>
  </si>
  <si>
    <t>LS-001804</t>
  </si>
  <si>
    <t>6513 POWERS AV</t>
  </si>
  <si>
    <t>LS-001805</t>
  </si>
  <si>
    <t>12250 PRAIRIE VIEW DR</t>
  </si>
  <si>
    <t>LS-001806</t>
  </si>
  <si>
    <t>7742 PRAVER DR E</t>
  </si>
  <si>
    <t>LS-001807</t>
  </si>
  <si>
    <t>1201 PRESIDENTS CT</t>
  </si>
  <si>
    <t>LS-001810</t>
  </si>
  <si>
    <t>183 PRINCE ALBERT AV</t>
  </si>
  <si>
    <t>LS-001811</t>
  </si>
  <si>
    <t>13383 PRINCESS KELLY DR</t>
  </si>
  <si>
    <t>LS-001812</t>
  </si>
  <si>
    <t>13560 PRINCESS KELLY DR</t>
  </si>
  <si>
    <t>LS-001813</t>
  </si>
  <si>
    <t>8331 PRINCETON SQUARE BV W</t>
  </si>
  <si>
    <t>LS-001814</t>
  </si>
  <si>
    <t>4301 PERIMETER INDUSTRIAL PARK ROAD</t>
  </si>
  <si>
    <t>LS-001816</t>
  </si>
  <si>
    <t>5051 PROPELLER DR</t>
  </si>
  <si>
    <t>LS-001817</t>
  </si>
  <si>
    <t>12321 PULASKI RD</t>
  </si>
  <si>
    <t>LS-001818</t>
  </si>
  <si>
    <t>579 PURCELL DR</t>
  </si>
  <si>
    <t>LS-001819</t>
  </si>
  <si>
    <t>42 PURITAN RD</t>
  </si>
  <si>
    <t>LS-001820</t>
  </si>
  <si>
    <t>7998 QUAIL COVE LN</t>
  </si>
  <si>
    <t>LS-001821</t>
  </si>
  <si>
    <t>5148 QUAN DR</t>
  </si>
  <si>
    <t>LS-001822</t>
  </si>
  <si>
    <t>218 QUEEN VICTORIA AV</t>
  </si>
  <si>
    <t>LS-001823</t>
  </si>
  <si>
    <t>225 QUEENS HARBOR BV N</t>
  </si>
  <si>
    <t>LS-001824</t>
  </si>
  <si>
    <t>581 QUEENS HARBOR BV N</t>
  </si>
  <si>
    <t>LS-001825</t>
  </si>
  <si>
    <t>1145 QUEENS HARBOUR BV</t>
  </si>
  <si>
    <t>LS-001826</t>
  </si>
  <si>
    <t>1207 QUEENS ISLAND CT</t>
  </si>
  <si>
    <t>LS-001827</t>
  </si>
  <si>
    <t>9174 RG SKINNER PY</t>
  </si>
  <si>
    <t>LS-001828</t>
  </si>
  <si>
    <t>10277 RABBIT RIDGE RD</t>
  </si>
  <si>
    <t>LS-001831</t>
  </si>
  <si>
    <t>3880 RACE TRACK RD</t>
  </si>
  <si>
    <t>LS-001838</t>
  </si>
  <si>
    <t>6800 RAMONA BV</t>
  </si>
  <si>
    <t>LS-001840</t>
  </si>
  <si>
    <t>7265 RAMPART RD</t>
  </si>
  <si>
    <t>LS-001841</t>
  </si>
  <si>
    <t>7752 RAMPART RD</t>
  </si>
  <si>
    <t>LS-001845</t>
  </si>
  <si>
    <t>4901 RATHBONE DR</t>
  </si>
  <si>
    <t>LS-001846</t>
  </si>
  <si>
    <t>1820 RAY GREEN DR</t>
  </si>
  <si>
    <t>LS-001847</t>
  </si>
  <si>
    <t>13399 LONG CYPRESS TR</t>
  </si>
  <si>
    <t>LS-001849</t>
  </si>
  <si>
    <t>1576 REDBIRD CREEK DR</t>
  </si>
  <si>
    <t>LS-001850</t>
  </si>
  <si>
    <t>4941 REDSTONE DR</t>
  </si>
  <si>
    <t>LS-001851</t>
  </si>
  <si>
    <t>8614 REEDY BRANCH DR</t>
  </si>
  <si>
    <t>LS-001853</t>
  </si>
  <si>
    <t>9484 REGENCY SQUARE BV</t>
  </si>
  <si>
    <t>LS-001854</t>
  </si>
  <si>
    <t>9525 REGENCY SQUARE BV N</t>
  </si>
  <si>
    <t>LS-001856</t>
  </si>
  <si>
    <t>3852 REGENT BV</t>
  </si>
  <si>
    <t>LS-001857</t>
  </si>
  <si>
    <t>11452 RENNEE DR W</t>
  </si>
  <si>
    <t>LS-001858</t>
  </si>
  <si>
    <t>6451 RESTLAWN DR</t>
  </si>
  <si>
    <t>LS-001860</t>
  </si>
  <si>
    <t>6831 RHODE ISLAND DR E</t>
  </si>
  <si>
    <t>LS-001861</t>
  </si>
  <si>
    <t>7211 RHODE ISLAND DR E</t>
  </si>
  <si>
    <t>LS-001862</t>
  </si>
  <si>
    <t>6910 RHODE ISLAND DR W</t>
  </si>
  <si>
    <t>LS-001863</t>
  </si>
  <si>
    <t>6801 RHONE DR</t>
  </si>
  <si>
    <t>LS-001867</t>
  </si>
  <si>
    <t>4903 RICHARD ST</t>
  </si>
  <si>
    <t>LS-001870</t>
  </si>
  <si>
    <t>7443 RICHARDSON RD</t>
  </si>
  <si>
    <t>LS-001871</t>
  </si>
  <si>
    <t>12507 RICHFIELD BV</t>
  </si>
  <si>
    <t>LS-001872</t>
  </si>
  <si>
    <t>3989 RICHMOND PARK E</t>
  </si>
  <si>
    <t>LS-001874</t>
  </si>
  <si>
    <t>5115 RICKER RD</t>
  </si>
  <si>
    <t>LS-001877</t>
  </si>
  <si>
    <t>6226 RICKER RD</t>
  </si>
  <si>
    <t>LS-001878</t>
  </si>
  <si>
    <t>7500 RICKER RD</t>
  </si>
  <si>
    <t>LS-001880</t>
  </si>
  <si>
    <t>3282 RIDGE GLEN DR</t>
  </si>
  <si>
    <t>LS-001881</t>
  </si>
  <si>
    <t>6950 RIDGEVIEW AV</t>
  </si>
  <si>
    <t>LS-001883</t>
  </si>
  <si>
    <t>3763 RINGNECK DR</t>
  </si>
  <si>
    <t>LS-001885</t>
  </si>
  <si>
    <t>65096 RIVER GLEN PY</t>
  </si>
  <si>
    <t>LS-001887</t>
  </si>
  <si>
    <t>1018 RIVER RUN BV</t>
  </si>
  <si>
    <t>LS-001888</t>
  </si>
  <si>
    <t>425 RIVER RUN BV</t>
  </si>
  <si>
    <t>LS-001889</t>
  </si>
  <si>
    <t>4544 RIVER TRAIL RD</t>
  </si>
  <si>
    <t>LS-001891</t>
  </si>
  <si>
    <t>1737 RIVERGATE TL</t>
  </si>
  <si>
    <t>LS-001893</t>
  </si>
  <si>
    <t>11291 RIVERSTONE WY</t>
  </si>
  <si>
    <t>LS-001894</t>
  </si>
  <si>
    <t>13862 RIVERVIEW DR</t>
  </si>
  <si>
    <t>LS-001896</t>
  </si>
  <si>
    <t>86322 RIVERWOOD DR</t>
  </si>
  <si>
    <t>LS-001897</t>
  </si>
  <si>
    <t>4728 ROANOKE BV</t>
  </si>
  <si>
    <t>LS-001899</t>
  </si>
  <si>
    <t>11355 ROBERT MASTERS BV</t>
  </si>
  <si>
    <t>LS-001901</t>
  </si>
  <si>
    <t>5104 ROBERT SCOTT DR S</t>
  </si>
  <si>
    <t>LS-001903</t>
  </si>
  <si>
    <t>687 ROBERTS RD</t>
  </si>
  <si>
    <t>LS-001904</t>
  </si>
  <si>
    <t>2523 ROCROC LN</t>
  </si>
  <si>
    <t>LS-001905</t>
  </si>
  <si>
    <t>1807 ROGERO RD</t>
  </si>
  <si>
    <t>LS-001906</t>
  </si>
  <si>
    <t>2037, 2037 ROGERO RD ROG</t>
  </si>
  <si>
    <t>LS-001907</t>
  </si>
  <si>
    <t>2459 ROLAC RD</t>
  </si>
  <si>
    <t>LS-001909</t>
  </si>
  <si>
    <t>11300 ROLLING RIVER BV</t>
  </si>
  <si>
    <t>LS-001914</t>
  </si>
  <si>
    <t>6331 ROOSEVELT BV</t>
  </si>
  <si>
    <t>LS-001919</t>
  </si>
  <si>
    <t>87613 ROSES BLUFF RD</t>
  </si>
  <si>
    <t>LS-001921</t>
  </si>
  <si>
    <t>4811 ROSSIE LN</t>
  </si>
  <si>
    <t>LS-001922</t>
  </si>
  <si>
    <t>2138 ROTHBURY DR</t>
  </si>
  <si>
    <t>LS-001923</t>
  </si>
  <si>
    <t>5867 ROUND TABLE RD</t>
  </si>
  <si>
    <t>LS-001926</t>
  </si>
  <si>
    <t>1309 ROXIE ST</t>
  </si>
  <si>
    <t>LS-001927</t>
  </si>
  <si>
    <t>2269 ROYAL FERN LN S</t>
  </si>
  <si>
    <t>LS-001929</t>
  </si>
  <si>
    <t>1350 RUNNING RIVER RD</t>
  </si>
  <si>
    <t>LS-001930</t>
  </si>
  <si>
    <t>12291 RUNNING RIVER RD S</t>
  </si>
  <si>
    <t>LS-001931</t>
  </si>
  <si>
    <t>1757 RUSH CREEK DR W</t>
  </si>
  <si>
    <t>LS-001933</t>
  </si>
  <si>
    <t>1531 RYAR RD</t>
  </si>
  <si>
    <t>LS-001934</t>
  </si>
  <si>
    <t>8245 SABAL OAKS LN</t>
  </si>
  <si>
    <t>LS-001935</t>
  </si>
  <si>
    <t>2748 SAFESHELTER DR W</t>
  </si>
  <si>
    <t>LS-001936</t>
  </si>
  <si>
    <t>6132 SAGE WILLOW WY</t>
  </si>
  <si>
    <t>LS-001938</t>
  </si>
  <si>
    <t>3650 SALISBURY RD</t>
  </si>
  <si>
    <t>LS-001941</t>
  </si>
  <si>
    <t>6903 SALISBURY RD</t>
  </si>
  <si>
    <t>LS-001947</t>
  </si>
  <si>
    <t>11400 SAM CARUSO WY</t>
  </si>
  <si>
    <t>LS-001948</t>
  </si>
  <si>
    <t>2710 SAM HARDWICK BV</t>
  </si>
  <si>
    <t>LS-001950</t>
  </si>
  <si>
    <t>LS-001951</t>
  </si>
  <si>
    <t>2731 SAN FERNANDO RD</t>
  </si>
  <si>
    <t>LS-001952</t>
  </si>
  <si>
    <t>7017 7019 SAN FERNANDO PL</t>
  </si>
  <si>
    <t>LS-001957</t>
  </si>
  <si>
    <t>10391 SAN JOSE BV</t>
  </si>
  <si>
    <t>LS-001959</t>
  </si>
  <si>
    <t>10859 SAN JOSE BV</t>
  </si>
  <si>
    <t>LS-001961</t>
  </si>
  <si>
    <t>11247 SAN JOSE BV</t>
  </si>
  <si>
    <t>LS-001963</t>
  </si>
  <si>
    <t>11700 SAN JOSE BV</t>
  </si>
  <si>
    <t>LS-001965</t>
  </si>
  <si>
    <t>12200 SAN JOSE BV</t>
  </si>
  <si>
    <t>LS-001973</t>
  </si>
  <si>
    <t>5000 SAN JOSE BV</t>
  </si>
  <si>
    <t>LS-001980</t>
  </si>
  <si>
    <t>8520 SAN JOSE BV</t>
  </si>
  <si>
    <t>LS-001985</t>
  </si>
  <si>
    <t>9252 SAN JOSE BV</t>
  </si>
  <si>
    <t>LS-001986</t>
  </si>
  <si>
    <t>9614 SAN JOSE BV</t>
  </si>
  <si>
    <t>LS-001997</t>
  </si>
  <si>
    <t>89 SAN JUAN BV</t>
  </si>
  <si>
    <t>LS-002001</t>
  </si>
  <si>
    <t>1700 SAN PABLO RD S</t>
  </si>
  <si>
    <t>LS-002002</t>
  </si>
  <si>
    <t>2197 SAN PABLO RD S</t>
  </si>
  <si>
    <t>LS-002003</t>
  </si>
  <si>
    <t>2702 SAN PABLO RD S</t>
  </si>
  <si>
    <t>LS-002004</t>
  </si>
  <si>
    <t>3098 SAN PABLO RD S</t>
  </si>
  <si>
    <t>LS-002005</t>
  </si>
  <si>
    <t>3300 SAN PABLO RD S</t>
  </si>
  <si>
    <t>LS-002006</t>
  </si>
  <si>
    <t>4467 SAN PABLO RD S</t>
  </si>
  <si>
    <t>LS-002007</t>
  </si>
  <si>
    <t>4950 SAN PABLO RD S</t>
  </si>
  <si>
    <t>LS-002008</t>
  </si>
  <si>
    <t>7 SAND CASTLE DR</t>
  </si>
  <si>
    <t>LS-002009</t>
  </si>
  <si>
    <t>1767 SANDALWOOD BV</t>
  </si>
  <si>
    <t>LS-002010</t>
  </si>
  <si>
    <t>3446 SANDBURG RD</t>
  </si>
  <si>
    <t>LS-002011</t>
  </si>
  <si>
    <t>6500 SANDLERS PRESERVE DR</t>
  </si>
  <si>
    <t>LS-002012</t>
  </si>
  <si>
    <t>8808 SANDUSKY AV S</t>
  </si>
  <si>
    <t>LS-002013</t>
  </si>
  <si>
    <t>130 SANDY CREEK PY</t>
  </si>
  <si>
    <t>LS-002014</t>
  </si>
  <si>
    <t>3824 SANDY SHORES DR</t>
  </si>
  <si>
    <t>LS-002015</t>
  </si>
  <si>
    <t>5060 SANIBEL DR</t>
  </si>
  <si>
    <t>LS-002016</t>
  </si>
  <si>
    <t>2987 SANS PAREIL ST</t>
  </si>
  <si>
    <t>LS-002018</t>
  </si>
  <si>
    <t>4355 SAVANNAH AV</t>
  </si>
  <si>
    <t>LS-002019</t>
  </si>
  <si>
    <t>10901 SAWTOOTH OAK CT</t>
  </si>
  <si>
    <t>LS-002020</t>
  </si>
  <si>
    <t>13745 SAXON LAKE DR</t>
  </si>
  <si>
    <t>LS-002022</t>
  </si>
  <si>
    <t>2620 SCOTT MILL DR S</t>
  </si>
  <si>
    <t>LS-002024</t>
  </si>
  <si>
    <t>9967 SCOTT MILL RD</t>
  </si>
  <si>
    <t>LS-002025</t>
  </si>
  <si>
    <t>8850 SCOTT WOODS DR W</t>
  </si>
  <si>
    <t>LS-002026</t>
  </si>
  <si>
    <t>20 SEA WIND DR</t>
  </si>
  <si>
    <t>LS-002028</t>
  </si>
  <si>
    <t>1009 SEBA ST</t>
  </si>
  <si>
    <t>LS-002030</t>
  </si>
  <si>
    <t>7263 SECRET WOOD TL</t>
  </si>
  <si>
    <t>LS-002031</t>
  </si>
  <si>
    <t>11381 SECRETARIAT LN W</t>
  </si>
  <si>
    <t>LS-002032</t>
  </si>
  <si>
    <t>2337 SEGOVIA AV</t>
  </si>
  <si>
    <t>LS-002033</t>
  </si>
  <si>
    <t>1103 SEMINOLE AV</t>
  </si>
  <si>
    <t>LS-002034</t>
  </si>
  <si>
    <t>2691 SENECA DR</t>
  </si>
  <si>
    <t>LS-002035</t>
  </si>
  <si>
    <t>13842 SEVEN PINES DR</t>
  </si>
  <si>
    <t>LS-002040</t>
  </si>
  <si>
    <t>330 SHAMROCK AV S</t>
  </si>
  <si>
    <t>LS-002041</t>
  </si>
  <si>
    <t>7310 SHARBETH DR S</t>
  </si>
  <si>
    <t>LS-002043</t>
  </si>
  <si>
    <t>3667 SHAWNEE SHORES DR</t>
  </si>
  <si>
    <t>LS-002044</t>
  </si>
  <si>
    <t>2410 SHELBY CREEK RD</t>
  </si>
  <si>
    <t>LS-002047</t>
  </si>
  <si>
    <t>2280 SHEPARD ST</t>
  </si>
  <si>
    <t>LS-002048</t>
  </si>
  <si>
    <t>4672 SHERMAN HILLS PY</t>
  </si>
  <si>
    <t>LS-002049</t>
  </si>
  <si>
    <t>172 SHETLAND DR</t>
  </si>
  <si>
    <t>LS-002051</t>
  </si>
  <si>
    <t>4695 SHILOH MILL BV</t>
  </si>
  <si>
    <t>LS-002052</t>
  </si>
  <si>
    <t>5490 SHINDLER DR</t>
  </si>
  <si>
    <t>LS-002053</t>
  </si>
  <si>
    <t>6915 SHINDLER DR</t>
  </si>
  <si>
    <t>LS-002054</t>
  </si>
  <si>
    <t>7520 SHINDLER DR</t>
  </si>
  <si>
    <t>LS-002056</t>
  </si>
  <si>
    <t>1161 SHIPWATCH DR E</t>
  </si>
  <si>
    <t>LS-002057</t>
  </si>
  <si>
    <t>673 SHIPWATCH DR E</t>
  </si>
  <si>
    <t>LS-002058</t>
  </si>
  <si>
    <t>791 SHIPWATCH DR E</t>
  </si>
  <si>
    <t>LS-002061</t>
  </si>
  <si>
    <t>9344 SIBBALD RD</t>
  </si>
  <si>
    <t>LS-002062</t>
  </si>
  <si>
    <t>8555 SIBBALD RD</t>
  </si>
  <si>
    <t>LS-002063</t>
  </si>
  <si>
    <t>8059 SIERRA GARDENS DR</t>
  </si>
  <si>
    <t>LS-002064</t>
  </si>
  <si>
    <t>14038 Outback Dr</t>
  </si>
  <si>
    <t>LS-002071</t>
  </si>
  <si>
    <t>10900 SKYLARK DR</t>
  </si>
  <si>
    <t>LS-002072</t>
  </si>
  <si>
    <t>11078 SKYLARK DR</t>
  </si>
  <si>
    <t>LS-002075</t>
  </si>
  <si>
    <t>4302 SLEIMAN PY</t>
  </si>
  <si>
    <t>LS-002076</t>
  </si>
  <si>
    <t>2057 SMITH POINT DR</t>
  </si>
  <si>
    <t>LS-002077</t>
  </si>
  <si>
    <t>2301 SMULLIAN TL S</t>
  </si>
  <si>
    <t>LS-002084</t>
  </si>
  <si>
    <t>255 SOUTH HAMPTON CLUB WY</t>
  </si>
  <si>
    <t>LS-002085</t>
  </si>
  <si>
    <t>375 SOUTH HAMPTON CLUB WY</t>
  </si>
  <si>
    <t>LS-002087</t>
  </si>
  <si>
    <t>501 SOUTH SEA LAKE LN</t>
  </si>
  <si>
    <t>LS-002088</t>
  </si>
  <si>
    <t>9586 SOUTHBROOK DR</t>
  </si>
  <si>
    <t>LS-002089</t>
  </si>
  <si>
    <t>9601 SOUTHBROOK DR</t>
  </si>
  <si>
    <t>LS-002091</t>
  </si>
  <si>
    <t>921 SOUTHERN CREEK DR</t>
  </si>
  <si>
    <t>LS-002092</t>
  </si>
  <si>
    <t>110 SOUTHERN GROVE DR</t>
  </si>
  <si>
    <t>LS-002096</t>
  </si>
  <si>
    <t>5900 SOUTHPOINT PY</t>
  </si>
  <si>
    <t>LS-002098</t>
  </si>
  <si>
    <t>10300 SOUTHSIDE BV</t>
  </si>
  <si>
    <t>LS-002103</t>
  </si>
  <si>
    <t>8500 AC SKINNER PY</t>
  </si>
  <si>
    <t>LS-002104</t>
  </si>
  <si>
    <t>7133 SOUTHSIDE BV</t>
  </si>
  <si>
    <t>LS-002105</t>
  </si>
  <si>
    <t>7587 SOUTHSIDE BV</t>
  </si>
  <si>
    <t>LS-002107</t>
  </si>
  <si>
    <t>7932-2 SOUTHSIDE BV</t>
  </si>
  <si>
    <t>LS-002108</t>
  </si>
  <si>
    <t>7992 SOUTHSIDE BV</t>
  </si>
  <si>
    <t>LS-002111</t>
  </si>
  <si>
    <t>9000 SOUTHSIDE BV</t>
  </si>
  <si>
    <t>LS-002112</t>
  </si>
  <si>
    <t>9041 SOUTHSIDE BV</t>
  </si>
  <si>
    <t>LS-002115</t>
  </si>
  <si>
    <t>504 SPARROW BRANCH CR</t>
  </si>
  <si>
    <t>LS-002119</t>
  </si>
  <si>
    <t>11651 SPRING BOARD DR</t>
  </si>
  <si>
    <t>LS-002129</t>
  </si>
  <si>
    <t>3924 SPRING PARK RD</t>
  </si>
  <si>
    <t>LS-002131</t>
  </si>
  <si>
    <t>4511 SPRING PARK RD</t>
  </si>
  <si>
    <t>LS-002133</t>
  </si>
  <si>
    <t>8431 SPRINGTREE RD</t>
  </si>
  <si>
    <t>LS-002134</t>
  </si>
  <si>
    <t>3142 SR 13</t>
  </si>
  <si>
    <t>LS-002137</t>
  </si>
  <si>
    <t>450 SR 13 N</t>
  </si>
  <si>
    <t>LS-002139</t>
  </si>
  <si>
    <t>464004 State Rd 200</t>
  </si>
  <si>
    <t>LS-002142</t>
  </si>
  <si>
    <t>2597 SR 9</t>
  </si>
  <si>
    <t>LS-002143</t>
  </si>
  <si>
    <t>5367 SR 9</t>
  </si>
  <si>
    <t>LS-002144</t>
  </si>
  <si>
    <t>5400 SR 9</t>
  </si>
  <si>
    <t>LS-002149</t>
  </si>
  <si>
    <t>463785 SR 200</t>
  </si>
  <si>
    <t>LS-002152</t>
  </si>
  <si>
    <t>4572 SR 200</t>
  </si>
  <si>
    <t>LS-002153</t>
  </si>
  <si>
    <t>10680 ST AUGUSTINE RD</t>
  </si>
  <si>
    <t>LS-002154</t>
  </si>
  <si>
    <t>11220 ST AUGUSTINE RD</t>
  </si>
  <si>
    <t>LS-002157</t>
  </si>
  <si>
    <t>12001 ST AUGUSTINE RD</t>
  </si>
  <si>
    <t>LS-002158</t>
  </si>
  <si>
    <t>5805 ST AUGUSTINE RD</t>
  </si>
  <si>
    <t>LS-002177</t>
  </si>
  <si>
    <t>190 ST JOHNS FOREST BV</t>
  </si>
  <si>
    <t>LS-002178</t>
  </si>
  <si>
    <t>392 ST JOHNS FOREST BV</t>
  </si>
  <si>
    <t>LS-002180</t>
  </si>
  <si>
    <t>311 ST JOHNS GOLF DR</t>
  </si>
  <si>
    <t>LS-002183</t>
  </si>
  <si>
    <t>11604 ST JOSEPH RD</t>
  </si>
  <si>
    <t>LS-002185</t>
  </si>
  <si>
    <t>85001 ST THOMAS BV</t>
  </si>
  <si>
    <t>LS-002186</t>
  </si>
  <si>
    <t>2084 ST JOHNS PY</t>
  </si>
  <si>
    <t>LS-002187</t>
  </si>
  <si>
    <t>14463 STACEY RD</t>
  </si>
  <si>
    <t>LS-002188</t>
  </si>
  <si>
    <t>14618 STACEY RD</t>
  </si>
  <si>
    <t>LS-002189</t>
  </si>
  <si>
    <t>718 STANDISH PL</t>
  </si>
  <si>
    <t>LS-002190</t>
  </si>
  <si>
    <t>5621 STANFORD RD</t>
  </si>
  <si>
    <t>LS-002191</t>
  </si>
  <si>
    <t>10653 STANTON HILLS DR</t>
  </si>
  <si>
    <t>LS-002192</t>
  </si>
  <si>
    <t>2722 STARDUST CT</t>
  </si>
  <si>
    <t>LS-002195</t>
  </si>
  <si>
    <t>2951 STARRATT RD</t>
  </si>
  <si>
    <t>LS-002197</t>
  </si>
  <si>
    <t>900 STARRATT RD</t>
  </si>
  <si>
    <t>LS-002199</t>
  </si>
  <si>
    <t>4403 STEAMBOAT SPRINGS DR E</t>
  </si>
  <si>
    <t>LS-002200</t>
  </si>
  <si>
    <t>5115 STEPP AV</t>
  </si>
  <si>
    <t>LS-002203</t>
  </si>
  <si>
    <t>3156 STONEBRIAR RIDGE RD</t>
  </si>
  <si>
    <t>LS-002204</t>
  </si>
  <si>
    <t>11866 STONEBRIDGE DR W</t>
  </si>
  <si>
    <t>LS-002205</t>
  </si>
  <si>
    <t>96263 Stoney Dr</t>
  </si>
  <si>
    <t>LS-002206</t>
  </si>
  <si>
    <t>6101 STRAWFLOWER PL</t>
  </si>
  <si>
    <t>LS-002215</t>
  </si>
  <si>
    <t>4602 SUB CHASER CT</t>
  </si>
  <si>
    <t>LS-002216</t>
  </si>
  <si>
    <t>3737 SUDBURY DR</t>
  </si>
  <si>
    <t>LS-002220</t>
  </si>
  <si>
    <t>1029 SUEMAC RD</t>
  </si>
  <si>
    <t>LS-002223</t>
  </si>
  <si>
    <t>9237 SUGAR MEADOW TL</t>
  </si>
  <si>
    <t>LS-002224</t>
  </si>
  <si>
    <t>581 SUMMER BREEZE DR N</t>
  </si>
  <si>
    <t>LS-002225</t>
  </si>
  <si>
    <t>3751 SUMMERLIN LN</t>
  </si>
  <si>
    <t>LS-002226</t>
  </si>
  <si>
    <t>2471 SUMMER TREE RD</t>
  </si>
  <si>
    <t>LS-002231</t>
  </si>
  <si>
    <t>4083 SUNBEAM RD</t>
  </si>
  <si>
    <t>LS-002232</t>
  </si>
  <si>
    <t>4130 SUNBEAM RD</t>
  </si>
  <si>
    <t>LS-002239</t>
  </si>
  <si>
    <t>12510 SUNCHASE DR</t>
  </si>
  <si>
    <t>LS-002240</t>
  </si>
  <si>
    <t>11560 SUNKEN MEADOW CT</t>
  </si>
  <si>
    <t>LS-002241</t>
  </si>
  <si>
    <t>11874 SURF BIRD CR</t>
  </si>
  <si>
    <t>LS-002242</t>
  </si>
  <si>
    <t>1761 SUTTON LAKE BV</t>
  </si>
  <si>
    <t>LS-002243</t>
  </si>
  <si>
    <t>13825 SUTTON PARK DR</t>
  </si>
  <si>
    <t>LS-002244</t>
  </si>
  <si>
    <t>5490 SWAMPFOX RD</t>
  </si>
  <si>
    <t>LS-002245</t>
  </si>
  <si>
    <t>7405 SWEET ROSE LN</t>
  </si>
  <si>
    <t>LS-002247</t>
  </si>
  <si>
    <t>2776 TACITO CREEK DR W</t>
  </si>
  <si>
    <t>LS-002248</t>
  </si>
  <si>
    <t>1896 TALBOT AV</t>
  </si>
  <si>
    <t>LS-002252</t>
  </si>
  <si>
    <t>1636 TALLEYRAND AV</t>
  </si>
  <si>
    <t>LS-002254</t>
  </si>
  <si>
    <t>2446 TALLEYRAND AV</t>
  </si>
  <si>
    <t>LS-002255</t>
  </si>
  <si>
    <t>5957 TAMPICO RD</t>
  </si>
  <si>
    <t>LS-002256</t>
  </si>
  <si>
    <t>4071 TAR KILN RD</t>
  </si>
  <si>
    <t>LS-002257</t>
  </si>
  <si>
    <t>5582 TARA WOODS LN</t>
  </si>
  <si>
    <t>LS-002258</t>
  </si>
  <si>
    <t>5006 TAYLOR CREEK DR</t>
  </si>
  <si>
    <t>LS-002259</t>
  </si>
  <si>
    <t>28 WEST TEAGUE BAY DR</t>
  </si>
  <si>
    <t>LS-002260</t>
  </si>
  <si>
    <t>6084 TENNYSON DR</t>
  </si>
  <si>
    <t>LS-002261</t>
  </si>
  <si>
    <t>5316 TEQUESTA CT</t>
  </si>
  <si>
    <t>LS-002262</t>
  </si>
  <si>
    <t>6411 TERRY RD</t>
  </si>
  <si>
    <t>LS-002266</t>
  </si>
  <si>
    <t>1931 THE WOODS DR</t>
  </si>
  <si>
    <t>LS-002267</t>
  </si>
  <si>
    <t>2233 THE WOODS DR</t>
  </si>
  <si>
    <t>LS-002269</t>
  </si>
  <si>
    <t>5265 THOROUGHBRED BV</t>
  </si>
  <si>
    <t>LS-002270</t>
  </si>
  <si>
    <t>8430 THREE CREEKS BV</t>
  </si>
  <si>
    <t>LS-002271</t>
  </si>
  <si>
    <t>125A TIDES EDGE PZ</t>
  </si>
  <si>
    <t>LS-002272</t>
  </si>
  <si>
    <t>76441 TIMBER CREEK BV</t>
  </si>
  <si>
    <t>LS-002275</t>
  </si>
  <si>
    <t>9025 TIMBERLIN LAKE DR</t>
  </si>
  <si>
    <t>LS-002277</t>
  </si>
  <si>
    <t>4881 TIMUQUANA RD</t>
  </si>
  <si>
    <t>LS-002281</t>
  </si>
  <si>
    <t>5565 TIMUQUANA RD</t>
  </si>
  <si>
    <t>LS-002286</t>
  </si>
  <si>
    <t>136 TOLLERTON AV</t>
  </si>
  <si>
    <t>LS-002287</t>
  </si>
  <si>
    <t>6936 TONGA RD</t>
  </si>
  <si>
    <t>LS-002288</t>
  </si>
  <si>
    <t>1000 TORTOISE WY</t>
  </si>
  <si>
    <t>LS-002289</t>
  </si>
  <si>
    <t>8362 TOUCHTON RD</t>
  </si>
  <si>
    <t>LS-002290</t>
  </si>
  <si>
    <t>9803 TOUCHTON RD</t>
  </si>
  <si>
    <t>LS-002291</t>
  </si>
  <si>
    <t>4740 TOUCHTON RD E</t>
  </si>
  <si>
    <t>LS-002294</t>
  </si>
  <si>
    <t>4522 TOWN CENTER PY</t>
  </si>
  <si>
    <t>LS-002295</t>
  </si>
  <si>
    <t>3254 TOWNSEND BV</t>
  </si>
  <si>
    <t>LS-002296</t>
  </si>
  <si>
    <t>5900 TOWNSEND RD</t>
  </si>
  <si>
    <t>LS-002299</t>
  </si>
  <si>
    <t>6210 TOWNSEND RD</t>
  </si>
  <si>
    <t>LS-002301</t>
  </si>
  <si>
    <t>6756 TOWNSEND RD</t>
  </si>
  <si>
    <t>LS-002302</t>
  </si>
  <si>
    <t>2456 TOWNSQUARE DR</t>
  </si>
  <si>
    <t>LS-002305</t>
  </si>
  <si>
    <t>7457 TRAILS END RD</t>
  </si>
  <si>
    <t>LS-002306</t>
  </si>
  <si>
    <t>14695 TRANQUILITY CREEK DR</t>
  </si>
  <si>
    <t>LS-002307</t>
  </si>
  <si>
    <t>420 TRESCA RD</t>
  </si>
  <si>
    <t>LS-002308</t>
  </si>
  <si>
    <t>13383 TROPIC EGRET DR</t>
  </si>
  <si>
    <t>LS-002311</t>
  </si>
  <si>
    <t>199 TURTLE BAY LN</t>
  </si>
  <si>
    <t>LS-002312</t>
  </si>
  <si>
    <t>1219 TURTLE CREEK DR N</t>
  </si>
  <si>
    <t>LS-002315</t>
  </si>
  <si>
    <t>6121 TUSCONY CR E</t>
  </si>
  <si>
    <t>LS-002318</t>
  </si>
  <si>
    <t>2235 TYSON LAKE DR</t>
  </si>
  <si>
    <t>LS-002325</t>
  </si>
  <si>
    <t>1829 UNIVERSITY BV N</t>
  </si>
  <si>
    <t>LS-002331</t>
  </si>
  <si>
    <t>3500 UNIVERSITY BLVD N</t>
  </si>
  <si>
    <t>LS-002333</t>
  </si>
  <si>
    <t>4449 UNIVERSITY BV N</t>
  </si>
  <si>
    <t>LS-002336</t>
  </si>
  <si>
    <t>905 UNIVERSITY BV N</t>
  </si>
  <si>
    <t>LS-002341</t>
  </si>
  <si>
    <t>3518 UNIVERSITY BV N</t>
  </si>
  <si>
    <t>LS-002342</t>
  </si>
  <si>
    <t>4085 UNIVERSITY BV N</t>
  </si>
  <si>
    <t>LS-002343</t>
  </si>
  <si>
    <t>4598 UNIVERSITY BV N</t>
  </si>
  <si>
    <t>LS-002347</t>
  </si>
  <si>
    <t>2800 UNIVERSITY BV S</t>
  </si>
  <si>
    <t>LS-002350</t>
  </si>
  <si>
    <t>3830 UNIVERSITY BV S</t>
  </si>
  <si>
    <t>LS-002352</t>
  </si>
  <si>
    <t>3534 UNIVERSITY BV W</t>
  </si>
  <si>
    <t>LS-002353</t>
  </si>
  <si>
    <t>3737 UNIVERSITY BV W</t>
  </si>
  <si>
    <t>LS-002354</t>
  </si>
  <si>
    <t>5317 UNIVERSITY BV W</t>
  </si>
  <si>
    <t>LS-002359</t>
  </si>
  <si>
    <t>2045 UTAH AV</t>
  </si>
  <si>
    <t>LS-002360</t>
  </si>
  <si>
    <t>1958 VALLEY CROSSING DR</t>
  </si>
  <si>
    <t>LS-002365</t>
  </si>
  <si>
    <t>86014 VENETIAN AV</t>
  </si>
  <si>
    <t>LS-002368</t>
  </si>
  <si>
    <t>14001 VEVERAS DR</t>
  </si>
  <si>
    <t>LS-002369</t>
  </si>
  <si>
    <t>3431 VIA DE LA REINA</t>
  </si>
  <si>
    <t>LS-002371</t>
  </si>
  <si>
    <t>3534 VICTORIA LAKES DR</t>
  </si>
  <si>
    <t>LS-002372</t>
  </si>
  <si>
    <t>3176 VICTORIA PARK RD</t>
  </si>
  <si>
    <t>LS-002373</t>
  </si>
  <si>
    <t>7094 VIDA LN</t>
  </si>
  <si>
    <t>LS-002374</t>
  </si>
  <si>
    <t>138 VILLA SAVANO</t>
  </si>
  <si>
    <t>LS-002375</t>
  </si>
  <si>
    <t>155 VILLAGE GREEN AV</t>
  </si>
  <si>
    <t>LS-002376</t>
  </si>
  <si>
    <t>6794 SANDLE DR</t>
  </si>
  <si>
    <t>LS-002378</t>
  </si>
  <si>
    <t>12512 WAGES WY E</t>
  </si>
  <si>
    <t>LS-002379</t>
  </si>
  <si>
    <t>667 WAKEVIEW DR</t>
  </si>
  <si>
    <t>LS-002380</t>
  </si>
  <si>
    <t>5004 WALCOTT AV</t>
  </si>
  <si>
    <t>LS-002381</t>
  </si>
  <si>
    <t>14951 WALDEN SPRINGS WY</t>
  </si>
  <si>
    <t>LS-002386</t>
  </si>
  <si>
    <t>11955 WALLE DR</t>
  </si>
  <si>
    <t>LS-002387</t>
  </si>
  <si>
    <t>4269 WALNUT BEND N</t>
  </si>
  <si>
    <t>LS-002391</t>
  </si>
  <si>
    <t>600 WASHINGTON ST</t>
  </si>
  <si>
    <t>LS-002392</t>
  </si>
  <si>
    <t>12014 WATCH TOWER DR</t>
  </si>
  <si>
    <t>LS-002393</t>
  </si>
  <si>
    <t>10014 WATER MARK LN W</t>
  </si>
  <si>
    <t>LS-002394</t>
  </si>
  <si>
    <t>604 WATER ST</t>
  </si>
  <si>
    <t>LS-002397</t>
  </si>
  <si>
    <t>5214 WATERSIDE DR</t>
  </si>
  <si>
    <t>LS-002399</t>
  </si>
  <si>
    <t>3758 WAYLAND ST</t>
  </si>
  <si>
    <t>LS-002400</t>
  </si>
  <si>
    <t>4174 WEATHERWOOD ESTATES DR</t>
  </si>
  <si>
    <t>LS-002402</t>
  </si>
  <si>
    <t>747 WELLHOUSE DR</t>
  </si>
  <si>
    <t>LS-002403</t>
  </si>
  <si>
    <t>10452 WELLINGTON SPRINGS WY</t>
  </si>
  <si>
    <t>LS-002407</t>
  </si>
  <si>
    <t>6911 WEST VIRGINA AV</t>
  </si>
  <si>
    <t>LS-002408</t>
  </si>
  <si>
    <t>12561 WESTBERRY HIDEAWAY LN</t>
  </si>
  <si>
    <t>LS-002410</t>
  </si>
  <si>
    <t>8652 WESTERN LAKE DR</t>
  </si>
  <si>
    <t>LS-002413</t>
  </si>
  <si>
    <t>8533 WESTERN WY</t>
  </si>
  <si>
    <t>LS-002414</t>
  </si>
  <si>
    <t>857 WESTGATE</t>
  </si>
  <si>
    <t>LS-002416</t>
  </si>
  <si>
    <t>7615 PRITCHARD</t>
  </si>
  <si>
    <t>LS-002419</t>
  </si>
  <si>
    <t>4801 WHEELER AV</t>
  </si>
  <si>
    <t>LS-002421</t>
  </si>
  <si>
    <t>1014 WHIRLAWAY CR ST</t>
  </si>
  <si>
    <t>LS-002422</t>
  </si>
  <si>
    <t>10300 WHISPERING FOREST DR</t>
  </si>
  <si>
    <t>LS-002423</t>
  </si>
  <si>
    <t>6267 WHISPERING OAKS DR N</t>
  </si>
  <si>
    <t>LS-002424</t>
  </si>
  <si>
    <t>2454 WHISPERING WOOD BV</t>
  </si>
  <si>
    <t>LS-002425</t>
  </si>
  <si>
    <t>12474 WHITE FEATHER DR</t>
  </si>
  <si>
    <t>LS-002426</t>
  </si>
  <si>
    <t>95318 WILD CHERRY DR</t>
  </si>
  <si>
    <t>LS-002427</t>
  </si>
  <si>
    <t>1054 WILDERLAND DR</t>
  </si>
  <si>
    <t>LS-002431</t>
  </si>
  <si>
    <t>11275 WILLESDON DR S</t>
  </si>
  <si>
    <t>LS-002432</t>
  </si>
  <si>
    <t>76352 WILLIAM BURGESS BV</t>
  </si>
  <si>
    <t>LS-002433</t>
  </si>
  <si>
    <t>76688 WILLIAM BURGESS BV</t>
  </si>
  <si>
    <t>LS-002434</t>
  </si>
  <si>
    <t>14151 WILLIAM DAVIS PY</t>
  </si>
  <si>
    <t>LS-002435</t>
  </si>
  <si>
    <t>13651 WILLIAM DAVIS PY W</t>
  </si>
  <si>
    <t>LS-002436</t>
  </si>
  <si>
    <t>13812 WILLIAM DAVIS PY W</t>
  </si>
  <si>
    <t>LS-002437</t>
  </si>
  <si>
    <t>5160 WILLIAM MILL ST</t>
  </si>
  <si>
    <t>LS-002438</t>
  </si>
  <si>
    <t>8765 WILLIAM MILL ST #31</t>
  </si>
  <si>
    <t>LS-002439</t>
  </si>
  <si>
    <t>5800 WILLIAM MILL ST #41/47</t>
  </si>
  <si>
    <t>LS-002442</t>
  </si>
  <si>
    <t>1818 WILLOWBRANCH TERRACE</t>
  </si>
  <si>
    <t>LS-002444</t>
  </si>
  <si>
    <t>5937 WILSON BV</t>
  </si>
  <si>
    <t>LS-002445</t>
  </si>
  <si>
    <t>6217 WILSON BV</t>
  </si>
  <si>
    <t>LS-002449</t>
  </si>
  <si>
    <t>7800 WILSON BV</t>
  </si>
  <si>
    <t>LS-002451</t>
  </si>
  <si>
    <t>3110 WILSON ST</t>
  </si>
  <si>
    <t>LS-002453</t>
  </si>
  <si>
    <t>2484 WINCHESTER LN</t>
  </si>
  <si>
    <t>LS-002456</t>
  </si>
  <si>
    <t>12665 WINDY WILLOWS DR N</t>
  </si>
  <si>
    <t>LS-002457</t>
  </si>
  <si>
    <t>1904 WINDY WY E</t>
  </si>
  <si>
    <t>LS-002458</t>
  </si>
  <si>
    <t>11127 WINGATE RD</t>
  </si>
  <si>
    <t>LS-002460</t>
  </si>
  <si>
    <t>1089 WINSTONIAN WY ST</t>
  </si>
  <si>
    <t>LS-002462</t>
  </si>
  <si>
    <t>1195 WOOD DUCK HOLLOW</t>
  </si>
  <si>
    <t>LS-002463</t>
  </si>
  <si>
    <t>95346 WOODBRIDGE PY</t>
  </si>
  <si>
    <t>LS-002464</t>
  </si>
  <si>
    <t>1820 WOODLEIGH DR W</t>
  </si>
  <si>
    <t>LS-002465</t>
  </si>
  <si>
    <t>2014 WOODLEIGH DR W</t>
  </si>
  <si>
    <t>LS-002466</t>
  </si>
  <si>
    <t>10340 WOODLEY CREEK BV</t>
  </si>
  <si>
    <t>LS-002467</t>
  </si>
  <si>
    <t>4211 WOODMERE ST</t>
  </si>
  <si>
    <t>LS-002468</t>
  </si>
  <si>
    <t>2512 WOOLERY DR</t>
  </si>
  <si>
    <t>LS-002469</t>
  </si>
  <si>
    <t>180 WORTHINGTON PY</t>
  </si>
  <si>
    <t>LS-002470</t>
  </si>
  <si>
    <t>2658 WRIGHTSON DR</t>
  </si>
  <si>
    <t>LS-002471</t>
  </si>
  <si>
    <t>11644 YALDING DR</t>
  </si>
  <si>
    <t>LS-002472</t>
  </si>
  <si>
    <t>122 YELLOW BILL LN</t>
  </si>
  <si>
    <t>LS-002473</t>
  </si>
  <si>
    <t>12150 YELLOW BLUFF RD</t>
  </si>
  <si>
    <t>LS-002474</t>
  </si>
  <si>
    <t>12611 YELLOW BLUFF RD</t>
  </si>
  <si>
    <t>LS-002475</t>
  </si>
  <si>
    <t>97093 YORKSHIRE DR</t>
  </si>
  <si>
    <t>LS-002476</t>
  </si>
  <si>
    <t>6397 YOUNGERMAN CR</t>
  </si>
  <si>
    <t>LS-002478</t>
  </si>
  <si>
    <t>8602 ZOO RD</t>
  </si>
  <si>
    <t>LS-002665</t>
  </si>
  <si>
    <t>2325 EMERSON ST</t>
  </si>
  <si>
    <t>LS-002812</t>
  </si>
  <si>
    <t>2369 HAWKCREST DRIVE</t>
  </si>
  <si>
    <t>LS-002867</t>
  </si>
  <si>
    <t>LS-002894</t>
  </si>
  <si>
    <t>85057 MAJESTIC WALK BV</t>
  </si>
  <si>
    <t>LS-002895</t>
  </si>
  <si>
    <t>96124 WINDSOR DR</t>
  </si>
  <si>
    <t>LS-002896</t>
  </si>
  <si>
    <t>4451 A1A</t>
  </si>
  <si>
    <t>LS-002903</t>
  </si>
  <si>
    <t>8998 BLOUNT ISLAND BV</t>
  </si>
  <si>
    <t>LS-002905</t>
  </si>
  <si>
    <t>15648 LEXINGTON PARK</t>
  </si>
  <si>
    <t>LS-002907</t>
  </si>
  <si>
    <t>10480 YEAGER RD</t>
  </si>
  <si>
    <t>LS-002909</t>
  </si>
  <si>
    <t>6051 SHADEHILL RD</t>
  </si>
  <si>
    <t>LS-002910</t>
  </si>
  <si>
    <t>92 TIDECREST PY</t>
  </si>
  <si>
    <t>LS-002983</t>
  </si>
  <si>
    <t>8224 AC SKINNER PY</t>
  </si>
  <si>
    <t>LS-003081</t>
  </si>
  <si>
    <t>13714 LAKE FRETWELL</t>
  </si>
  <si>
    <t>LS-003110</t>
  </si>
  <si>
    <t>21397 ST THOMAS ISLAND PY</t>
  </si>
  <si>
    <t>LS-003143</t>
  </si>
  <si>
    <t>11704 PALM LAKE DR</t>
  </si>
  <si>
    <t>LS-003176</t>
  </si>
  <si>
    <t>32664 Sunny Parke Dr</t>
  </si>
  <si>
    <t>LS-003177</t>
  </si>
  <si>
    <t>32026 Praire Park Pl</t>
  </si>
  <si>
    <t>LS-003188</t>
  </si>
  <si>
    <t>6674-1 COMMONWEALTH AVE</t>
  </si>
  <si>
    <t>LS-003189</t>
  </si>
  <si>
    <t>6674-2 COMMONWEALTH AVE</t>
  </si>
  <si>
    <t>LS-003192</t>
  </si>
  <si>
    <t>7479 WESTLAND OAKS DRIVE</t>
  </si>
  <si>
    <t>LS-003194</t>
  </si>
  <si>
    <t>87009 VILLA LANE</t>
  </si>
  <si>
    <t>LS-003196</t>
  </si>
  <si>
    <t>10466 ILAH RD</t>
  </si>
  <si>
    <t>LS-003209</t>
  </si>
  <si>
    <t>76076 TIMBER CREEK BV</t>
  </si>
  <si>
    <t>LS-003220</t>
  </si>
  <si>
    <t>74 DAVIS PARK DR</t>
  </si>
  <si>
    <t>LS-003247</t>
  </si>
  <si>
    <t>4950 NEW WORLD AVE</t>
  </si>
  <si>
    <t>LS-003274</t>
  </si>
  <si>
    <t>3687 Lightview Ln</t>
  </si>
  <si>
    <t>LS-003281</t>
  </si>
  <si>
    <t>2627 Port Industrial Drive</t>
  </si>
  <si>
    <t>LS-003322</t>
  </si>
  <si>
    <t>1406 BISCAYNE GROVE LN</t>
  </si>
  <si>
    <t>LS-003354</t>
  </si>
  <si>
    <t>2200 CORPORATE SQUARE</t>
  </si>
  <si>
    <t>LS-003355</t>
  </si>
  <si>
    <t>14531 BARTRAM PARK BV</t>
  </si>
  <si>
    <t>LS-003356</t>
  </si>
  <si>
    <t>14802 BARTRAM PARK BV</t>
  </si>
  <si>
    <t>LS-003367</t>
  </si>
  <si>
    <t>382 STERNWHEEL DR</t>
  </si>
  <si>
    <t>LS-003388</t>
  </si>
  <si>
    <t>63 FORT WADE RD</t>
  </si>
  <si>
    <t>LS-003478</t>
  </si>
  <si>
    <t>8572 CHERYL ANN LANE</t>
  </si>
  <si>
    <t>LS-003480</t>
  </si>
  <si>
    <t>8469 KONA AV</t>
  </si>
  <si>
    <t>LS-003483</t>
  </si>
  <si>
    <t>8704 FREE AV</t>
  </si>
  <si>
    <t>LS-003484</t>
  </si>
  <si>
    <t>8516 INDIA AV</t>
  </si>
  <si>
    <t>LS-003485</t>
  </si>
  <si>
    <t>8494 JASPER AV</t>
  </si>
  <si>
    <t>LS-003494</t>
  </si>
  <si>
    <t>40 SHINNECOCK DR</t>
  </si>
  <si>
    <t>LS-003513</t>
  </si>
  <si>
    <t>15051 BARTRAM SPRINGS PY</t>
  </si>
  <si>
    <t>LS-003514</t>
  </si>
  <si>
    <t>9766 RG SKINNER PY</t>
  </si>
  <si>
    <t>LS-003515</t>
  </si>
  <si>
    <t>343 LITTLE RIVER RD</t>
  </si>
  <si>
    <t>LS-003612</t>
  </si>
  <si>
    <t>79 NOCATEE VILLAGE DR</t>
  </si>
  <si>
    <t>LS-003613</t>
  </si>
  <si>
    <t>96 FIELDCREST DR S</t>
  </si>
  <si>
    <t>LS-003698</t>
  </si>
  <si>
    <t>884 CROSS TOWN DR</t>
  </si>
  <si>
    <t>LS-003704</t>
  </si>
  <si>
    <t>8744 KONA AV</t>
  </si>
  <si>
    <t>LS-003705</t>
  </si>
  <si>
    <t>8605 HARE AV</t>
  </si>
  <si>
    <t>LS-003706</t>
  </si>
  <si>
    <t>8603 GALVESTON AV</t>
  </si>
  <si>
    <t>LS-003707</t>
  </si>
  <si>
    <t>7700 HARE AV</t>
  </si>
  <si>
    <t>LS-003708</t>
  </si>
  <si>
    <t>512 ARLINGTON PLACE</t>
  </si>
  <si>
    <t>LS-003709</t>
  </si>
  <si>
    <t>7711 JASPER AV</t>
  </si>
  <si>
    <t>LS-003714</t>
  </si>
  <si>
    <t>12121 GEC PHILIPS HWY</t>
  </si>
  <si>
    <t>LS-003717</t>
  </si>
  <si>
    <t>228 CAPTIVA DR</t>
  </si>
  <si>
    <t>LS-003747</t>
  </si>
  <si>
    <t>509 DRYSDALE DRIVE</t>
  </si>
  <si>
    <t>LS-003826</t>
  </si>
  <si>
    <t>87052 BRISTOL AV</t>
  </si>
  <si>
    <t>LS-003876</t>
  </si>
  <si>
    <t>17 DONGALLA CT</t>
  </si>
  <si>
    <t>LS-003883</t>
  </si>
  <si>
    <t>164 CHERRY LAUREL PL</t>
  </si>
  <si>
    <t>LS-003886</t>
  </si>
  <si>
    <t>5709 REDPOLL AV</t>
  </si>
  <si>
    <t>LS-003888</t>
  </si>
  <si>
    <t>10733 NORTH MAIN ST</t>
  </si>
  <si>
    <t>LS-003890</t>
  </si>
  <si>
    <t>246 MANGROVE THICKET BV</t>
  </si>
  <si>
    <t>LS-003891</t>
  </si>
  <si>
    <t>156 HOWLAND DR</t>
  </si>
  <si>
    <t>LS-003892</t>
  </si>
  <si>
    <t>219 FOOTBRIDGE RD</t>
  </si>
  <si>
    <t>LS-003900</t>
  </si>
  <si>
    <t>887 NORTH DURBIN PY</t>
  </si>
  <si>
    <t>LS-003901</t>
  </si>
  <si>
    <t>80 AIRPORT CENTER DR</t>
  </si>
  <si>
    <t>LS-003902</t>
  </si>
  <si>
    <t>9498 WEXFORD CHASE RD</t>
  </si>
  <si>
    <t>LS-003906</t>
  </si>
  <si>
    <t>7544 103RD ST</t>
  </si>
  <si>
    <t>LS-003910</t>
  </si>
  <si>
    <t>12222 OLD ST AUGUSTINE RD</t>
  </si>
  <si>
    <t>LS-003920</t>
  </si>
  <si>
    <t>7891 PEARL ST</t>
  </si>
  <si>
    <t>LS-003921</t>
  </si>
  <si>
    <t>87447 COMMERCE BV</t>
  </si>
  <si>
    <t>LS-003964</t>
  </si>
  <si>
    <t>172 WANDERING WOODS WY</t>
  </si>
  <si>
    <t>LS-003965</t>
  </si>
  <si>
    <t>168 FEVER HAMMOCK DR</t>
  </si>
  <si>
    <t>LS-003966</t>
  </si>
  <si>
    <t>12604 HOOD LANDING RD</t>
  </si>
  <si>
    <t>LS-003967</t>
  </si>
  <si>
    <t>15171 DUVAL RD.</t>
  </si>
  <si>
    <t>LS-003973</t>
  </si>
  <si>
    <t>1055 LOGAN STREET</t>
  </si>
  <si>
    <t>LS-003974</t>
  </si>
  <si>
    <t>7106 BALBOA RD</t>
  </si>
  <si>
    <t>LS-003976</t>
  </si>
  <si>
    <t>2829 WESTBERRY RD</t>
  </si>
  <si>
    <t>LS-003978</t>
  </si>
  <si>
    <t>3925 TAR KILN RD.</t>
  </si>
  <si>
    <t>LS-003979</t>
  </si>
  <si>
    <t>503 WORCESTER COURT</t>
  </si>
  <si>
    <t>LS-003980</t>
  </si>
  <si>
    <t>100 Gospel Drive</t>
  </si>
  <si>
    <t>LS-003982</t>
  </si>
  <si>
    <t>15701 WEST BEAVER ST</t>
  </si>
  <si>
    <t>LS-003983</t>
  </si>
  <si>
    <t>200 GULF STREAM WY</t>
  </si>
  <si>
    <t>LS-003984</t>
  </si>
  <si>
    <t xml:space="preserve">rth </t>
  </si>
  <si>
    <t>LS-003985</t>
  </si>
  <si>
    <t>12386 WHITMORE OAKS DR</t>
  </si>
  <si>
    <t>LS-003986</t>
  </si>
  <si>
    <t>11162 PARKSIDE PRESERVE WY</t>
  </si>
  <si>
    <t>LS-003987</t>
  </si>
  <si>
    <t>386 PERDIDO ST</t>
  </si>
  <si>
    <t>LS-003989</t>
  </si>
  <si>
    <t>10078 BRADLEY RD</t>
  </si>
  <si>
    <t>LS-003993</t>
  </si>
  <si>
    <t>4 MIRANDA RD</t>
  </si>
  <si>
    <t>LS-003995</t>
  </si>
  <si>
    <t>8930 DEVON PINES DR</t>
  </si>
  <si>
    <t>LS-003997</t>
  </si>
  <si>
    <t>251 ANN SCOTT DR</t>
  </si>
  <si>
    <t>LS-003999</t>
  </si>
  <si>
    <t>4760 SUNBEAM RD</t>
  </si>
  <si>
    <t>LS-004000</t>
  </si>
  <si>
    <t>7326 LONG LEAF BRANCH DR</t>
  </si>
  <si>
    <t>LS-004001</t>
  </si>
  <si>
    <t>3701 JULINGTON CREEK RD</t>
  </si>
  <si>
    <t>LS-004003</t>
  </si>
  <si>
    <t>16073 HUTTON LANE</t>
  </si>
  <si>
    <t>LS-004004</t>
  </si>
  <si>
    <t>6125 LONGLEAF PINE PY</t>
  </si>
  <si>
    <t>LS-004006</t>
  </si>
  <si>
    <t>13026 CHRISTINE MARIE CT</t>
  </si>
  <si>
    <t>LS-004007</t>
  </si>
  <si>
    <t>458 ASPEN LEAF DR</t>
  </si>
  <si>
    <t>LS-004008</t>
  </si>
  <si>
    <t>2878 Preveza Ct (New Address)</t>
  </si>
  <si>
    <t>LS-004009</t>
  </si>
  <si>
    <t>14992 BARTRAM CREEK BV</t>
  </si>
  <si>
    <t>LS-004010</t>
  </si>
  <si>
    <t>64 SIGNATURE DR</t>
  </si>
  <si>
    <t>LS-004011</t>
  </si>
  <si>
    <t>247 NEWBERRY DR</t>
  </si>
  <si>
    <t>LS-004012</t>
  </si>
  <si>
    <t>4424 OAK VALLEY COURT</t>
  </si>
  <si>
    <t>LS-004013</t>
  </si>
  <si>
    <t>77155 LUMBER CREEK BV</t>
  </si>
  <si>
    <t>LS-004014</t>
  </si>
  <si>
    <t>46 CARNATION ST</t>
  </si>
  <si>
    <t>LS-004015</t>
  </si>
  <si>
    <t>814 WILD CYPRESS CIRCLE</t>
  </si>
  <si>
    <t>LS-004016</t>
  </si>
  <si>
    <t>13376 NOGAL LANE</t>
  </si>
  <si>
    <t>LS-004018</t>
  </si>
  <si>
    <t>88 TATE LANE</t>
  </si>
  <si>
    <t>LS-004019</t>
  </si>
  <si>
    <t>290 SPRING CREEK WY</t>
  </si>
  <si>
    <t>LS-004020</t>
  </si>
  <si>
    <t>258 BALVENIE DR</t>
  </si>
  <si>
    <t>LS-004021</t>
  </si>
  <si>
    <t>53 SENEGAL DR</t>
  </si>
  <si>
    <t>LS-004022</t>
  </si>
  <si>
    <t>63 LAGOON COURSE DR</t>
  </si>
  <si>
    <t>LS-004023</t>
  </si>
  <si>
    <t>4194 CEDAR POINT RD</t>
  </si>
  <si>
    <t>LS-004024</t>
  </si>
  <si>
    <t>12771 YELLOW BLUFF RD</t>
  </si>
  <si>
    <t>LS-004025</t>
  </si>
  <si>
    <t>14422 YELLOW BLUFF RD</t>
  </si>
  <si>
    <t>LS-004026</t>
  </si>
  <si>
    <t>211 LONE EAGLE WAY</t>
  </si>
  <si>
    <t>LS-004027</t>
  </si>
  <si>
    <t>57 SOLIS AV</t>
  </si>
  <si>
    <t>LS-004028</t>
  </si>
  <si>
    <t>95151 TIMBERLAKE DR</t>
  </si>
  <si>
    <t>LS-004030</t>
  </si>
  <si>
    <t>585 COCONUT PALM PY</t>
  </si>
  <si>
    <t>LS-004031</t>
  </si>
  <si>
    <t>4970 BALLASTONE DR</t>
  </si>
  <si>
    <t>LS-004032</t>
  </si>
  <si>
    <t>12276 ROUEN COVE DR</t>
  </si>
  <si>
    <t>LS-004033</t>
  </si>
  <si>
    <t>23 ANILA St</t>
  </si>
  <si>
    <t>LS-004034</t>
  </si>
  <si>
    <t>2079 PATRIOT RIDGE CT</t>
  </si>
  <si>
    <t>LS-004035</t>
  </si>
  <si>
    <t>14278 RIVER STORY DR</t>
  </si>
  <si>
    <t>LS-004036</t>
  </si>
  <si>
    <t>14749 RUSSELL BRIDGE DR</t>
  </si>
  <si>
    <t>LS-004037</t>
  </si>
  <si>
    <t>221 AMALURRA TRAIL</t>
  </si>
  <si>
    <t>LS-004038</t>
  </si>
  <si>
    <t>2301 YORK ST</t>
  </si>
  <si>
    <t>LS-004039</t>
  </si>
  <si>
    <t>10910 AVENUES WALK BV</t>
  </si>
  <si>
    <t>LS-004040</t>
  </si>
  <si>
    <t>825 LIBERTY STREET</t>
  </si>
  <si>
    <t>LS-004041</t>
  </si>
  <si>
    <t>296 STONE MASON WAY</t>
  </si>
  <si>
    <t>LS-004042</t>
  </si>
  <si>
    <t>38 TIERRA COVE</t>
  </si>
  <si>
    <t>LS-004043</t>
  </si>
  <si>
    <t>674 JULINGTON LAKES</t>
  </si>
  <si>
    <t>LS-004044</t>
  </si>
  <si>
    <t>7257 STEVENTON WAY</t>
  </si>
  <si>
    <t>LS-004045</t>
  </si>
  <si>
    <t>2749 CHAPMAN OAK DR</t>
  </si>
  <si>
    <t>LS-004046</t>
  </si>
  <si>
    <t>635 SHEARWATER PY</t>
  </si>
  <si>
    <t>LS-004047</t>
  </si>
  <si>
    <t>873 SHEARWATER PY</t>
  </si>
  <si>
    <t>LS-004048</t>
  </si>
  <si>
    <t>473 CASPIA LN</t>
  </si>
  <si>
    <t>LS-004049</t>
  </si>
  <si>
    <t>12021 ARIANA ELYSE DR</t>
  </si>
  <si>
    <t>LS-004050</t>
  </si>
  <si>
    <t>12490 SHADY BRIDGE TRAIL</t>
  </si>
  <si>
    <t>LS-004051</t>
  </si>
  <si>
    <t>550 STONE RIDGE DR</t>
  </si>
  <si>
    <t>LS-004052</t>
  </si>
  <si>
    <t>159 STONE CREEK CIRCLE</t>
  </si>
  <si>
    <t>LS-004053</t>
  </si>
  <si>
    <t>6121 AUTHORITY AV</t>
  </si>
  <si>
    <t>LS-004054</t>
  </si>
  <si>
    <t>97026 HARBOR CONCOURSE</t>
  </si>
  <si>
    <t>LS-004055</t>
  </si>
  <si>
    <t>2037 BLUEWATER DR</t>
  </si>
  <si>
    <t>LS-004056</t>
  </si>
  <si>
    <t>10561 RUSSELL SAMPSON RD</t>
  </si>
  <si>
    <t>LS-004057</t>
  </si>
  <si>
    <t>174 PINE LAKE DR</t>
  </si>
  <si>
    <t>LS-004058</t>
  </si>
  <si>
    <t>12143 CALUMET FARM DR</t>
  </si>
  <si>
    <t>LS-004059</t>
  </si>
  <si>
    <t>2689 FLYNN ROAD WEST</t>
  </si>
  <si>
    <t>LS-004060</t>
  </si>
  <si>
    <t>13725 PHILLIPS HY</t>
  </si>
  <si>
    <t>LS-004061</t>
  </si>
  <si>
    <t>85990 BLACK TERN DRIVE</t>
  </si>
  <si>
    <t>LS-004062</t>
  </si>
  <si>
    <t>4802 ARBOR MILL CIRCLE</t>
  </si>
  <si>
    <t>LS-004063</t>
  </si>
  <si>
    <t>149 WILDERNESS RIDGE DR</t>
  </si>
  <si>
    <t>LS-004064</t>
  </si>
  <si>
    <t>11205 BAPTIST HEALTH DRIVE</t>
  </si>
  <si>
    <t>LS-004065</t>
  </si>
  <si>
    <t>993 PINELAND BAY DRIVE</t>
  </si>
  <si>
    <t>LS-004066</t>
  </si>
  <si>
    <t>273 BOWLAN ST S</t>
  </si>
  <si>
    <t>LS-004067</t>
  </si>
  <si>
    <t>175 SPANISH CREEK DR</t>
  </si>
  <si>
    <t>LS-004068</t>
  </si>
  <si>
    <t>425 Kayak Club Drive</t>
  </si>
  <si>
    <t>LS-004069</t>
  </si>
  <si>
    <t>304 Gillespie Gardens Drive</t>
  </si>
  <si>
    <t>LS-004070</t>
  </si>
  <si>
    <t>155 Ashlar Drive</t>
  </si>
  <si>
    <t>LS-004071</t>
  </si>
  <si>
    <t>7627 Sunnydale Lane</t>
  </si>
  <si>
    <t>LS-004072</t>
  </si>
  <si>
    <t>8143 Brothers Walk Lane</t>
  </si>
  <si>
    <t>LS-004073</t>
  </si>
  <si>
    <t>76255 Wildlight Ave</t>
  </si>
  <si>
    <t>LS-004074</t>
  </si>
  <si>
    <t>10728 Clydesdale Dr. W</t>
  </si>
  <si>
    <t>LS-004075</t>
  </si>
  <si>
    <t>9996 Pavens Creek Dr.</t>
  </si>
  <si>
    <t>LS-004076</t>
  </si>
  <si>
    <t>13443 Avery Park Ln.</t>
  </si>
  <si>
    <t>LS-004077</t>
  </si>
  <si>
    <t>2517 Alexia Cr.</t>
  </si>
  <si>
    <t>LS-004078</t>
  </si>
  <si>
    <t>205 Heron Bay Road</t>
  </si>
  <si>
    <t>LS-004079</t>
  </si>
  <si>
    <t>10139 Kit Fox PY</t>
  </si>
  <si>
    <t>LS-004080</t>
  </si>
  <si>
    <t>13306 Cedar Hammock Way</t>
  </si>
  <si>
    <t>LS-004081</t>
  </si>
  <si>
    <t>105 Coppinger Pl</t>
  </si>
  <si>
    <t>LS-004082</t>
  </si>
  <si>
    <t>391 Northside Dr.</t>
  </si>
  <si>
    <t>LS-004083</t>
  </si>
  <si>
    <t>1938 April Oaks Dr</t>
  </si>
  <si>
    <t>LS-004084</t>
  </si>
  <si>
    <t>426 Timberland Forest Bv</t>
  </si>
  <si>
    <t>LS-004085</t>
  </si>
  <si>
    <t>340 Bent Creek Dr.</t>
  </si>
  <si>
    <t>LS-004086</t>
  </si>
  <si>
    <t>84 Albany Bay Bv</t>
  </si>
  <si>
    <t>LS-004087</t>
  </si>
  <si>
    <t>LS-004088</t>
  </si>
  <si>
    <t>245 Crosswater Lake Dr.</t>
  </si>
  <si>
    <t>LS-004089</t>
  </si>
  <si>
    <t>7171 Preston Pines Trail</t>
  </si>
  <si>
    <t>LS-004090</t>
  </si>
  <si>
    <t>2591 Tartus Dr.</t>
  </si>
  <si>
    <t>LS-004091</t>
  </si>
  <si>
    <t>47 Indian Grass Dr.</t>
  </si>
  <si>
    <t>LS-004092</t>
  </si>
  <si>
    <t>383 Albany Bay Bv</t>
  </si>
  <si>
    <t>LS-004093</t>
  </si>
  <si>
    <t>248 Waterline Dr.</t>
  </si>
  <si>
    <t>LS-004094</t>
  </si>
  <si>
    <t>211 BEACHWALK BLVD</t>
  </si>
  <si>
    <t>LS-004095</t>
  </si>
  <si>
    <t>7202 Palm Reserve Lane</t>
  </si>
  <si>
    <t>LS-004096</t>
  </si>
  <si>
    <t>95530 College Parkway</t>
  </si>
  <si>
    <t>LS-004097</t>
  </si>
  <si>
    <t>958 Shetland Drive (1093?)</t>
  </si>
  <si>
    <t>LS-004098</t>
  </si>
  <si>
    <t>1282 Sarah's Landing Dr</t>
  </si>
  <si>
    <t>LS-004099</t>
  </si>
  <si>
    <t>1279 Adelena Ln</t>
  </si>
  <si>
    <t>LS-004100</t>
  </si>
  <si>
    <t>94995 Palm Point Dr.</t>
  </si>
  <si>
    <t>LS-004101</t>
  </si>
  <si>
    <t>11382 River Hollow Ln</t>
  </si>
  <si>
    <t>LS-004102</t>
  </si>
  <si>
    <t>8142 Fouraker Forest Rd</t>
  </si>
  <si>
    <t>LS-004103</t>
  </si>
  <si>
    <t>7210 Townsend Village Ln</t>
  </si>
  <si>
    <t>LS-004104</t>
  </si>
  <si>
    <t>14525 Bartram Creek Blvd.</t>
  </si>
  <si>
    <t>LS-004105</t>
  </si>
  <si>
    <t>43 Marques Ct.</t>
  </si>
  <si>
    <t>LS-004106</t>
  </si>
  <si>
    <t>12429 Sea Island Dr.</t>
  </si>
  <si>
    <t>LS-004107</t>
  </si>
  <si>
    <t>9677 Price Park Dr</t>
  </si>
  <si>
    <t>LS-004108</t>
  </si>
  <si>
    <t>52 Honey Blossom Rd.</t>
  </si>
  <si>
    <t>LS-004109</t>
  </si>
  <si>
    <t>119 Whitefish Trail</t>
  </si>
  <si>
    <t>LS-004110</t>
  </si>
  <si>
    <t>10888 Ventnor Ave</t>
  </si>
  <si>
    <t>LS-004111</t>
  </si>
  <si>
    <t>3161 Hawks Hill Ln</t>
  </si>
  <si>
    <t>LS-004112</t>
  </si>
  <si>
    <t>132 Whistling Straits Dr.</t>
  </si>
  <si>
    <t>LS-004113</t>
  </si>
  <si>
    <t>182 KAPALUA PL</t>
  </si>
  <si>
    <t>LS-004114</t>
  </si>
  <si>
    <t>1674 Liberty Tree Pl</t>
  </si>
  <si>
    <t>LS-004115</t>
  </si>
  <si>
    <t>332 Durbin Pavalion Dr</t>
  </si>
  <si>
    <t>LS-004116</t>
  </si>
  <si>
    <t>86590 Lazy Lake Cr</t>
  </si>
  <si>
    <t>LS-004117</t>
  </si>
  <si>
    <t>10931 Chitwood Dr</t>
  </si>
  <si>
    <t>LS-004118</t>
  </si>
  <si>
    <t>5609 Hampton Creek Rd</t>
  </si>
  <si>
    <t>LS-004119</t>
  </si>
  <si>
    <t>9831 Kevin Rd</t>
  </si>
  <si>
    <t>LS-004120</t>
  </si>
  <si>
    <t>154 Chandler Dr</t>
  </si>
  <si>
    <t>LS-004121</t>
  </si>
  <si>
    <t>1820 Owens Rd.</t>
  </si>
  <si>
    <t>LS-004122</t>
  </si>
  <si>
    <t>9210 GILMORE GROVE WAY</t>
  </si>
  <si>
    <t>LS-004123</t>
  </si>
  <si>
    <t>3270 Tamaya Blvd</t>
  </si>
  <si>
    <t>LS-004124</t>
  </si>
  <si>
    <t>12459 Orchard Grove</t>
  </si>
  <si>
    <t>LS-004125</t>
  </si>
  <si>
    <t>5171 Lake Shannon Dr</t>
  </si>
  <si>
    <t>LS-004126</t>
  </si>
  <si>
    <t>95422 Creekville Dr</t>
  </si>
  <si>
    <t>LS-004127</t>
  </si>
  <si>
    <t>490 Cameo Dr</t>
  </si>
  <si>
    <t>LS-004128</t>
  </si>
  <si>
    <t>77021 Crosscut Way</t>
  </si>
  <si>
    <t>LS-004129</t>
  </si>
  <si>
    <t>93066 Sandown Rd</t>
  </si>
  <si>
    <t>LS-004130</t>
  </si>
  <si>
    <t>12074 Williamstown Dr</t>
  </si>
  <si>
    <t>LS-004131</t>
  </si>
  <si>
    <t>9220 Big Horn Trail</t>
  </si>
  <si>
    <t>LS-004132</t>
  </si>
  <si>
    <t>10644 ABBOT COVE DRIVE</t>
  </si>
  <si>
    <t>LS-004133</t>
  </si>
  <si>
    <t>2371 SEA PALM AVENUE</t>
  </si>
  <si>
    <t>LS-004134</t>
  </si>
  <si>
    <t>14605 Spring Light Circle</t>
  </si>
  <si>
    <t>LS-004135</t>
  </si>
  <si>
    <t>13824 Hidden Oaks Ln</t>
  </si>
  <si>
    <t>LS-004136</t>
  </si>
  <si>
    <t>1536 Sandy Creek Pkwy</t>
  </si>
  <si>
    <t>LS-004137</t>
  </si>
  <si>
    <t>3312 Alta Lakes</t>
  </si>
  <si>
    <t>LS-004138</t>
  </si>
  <si>
    <t>3685 Shiner Dr.</t>
  </si>
  <si>
    <t>LS-004139</t>
  </si>
  <si>
    <t>13252 Air Coupe Rd.</t>
  </si>
  <si>
    <t>LS-004140</t>
  </si>
  <si>
    <t>10871 Aventura Dr.</t>
  </si>
  <si>
    <t>LS-004141</t>
  </si>
  <si>
    <t>14193 Phillips Hwy</t>
  </si>
  <si>
    <t>LS-004142</t>
  </si>
  <si>
    <t>40 Shadow Cove</t>
  </si>
  <si>
    <t>LS-004143</t>
  </si>
  <si>
    <t>8140 Merchant Way</t>
  </si>
  <si>
    <t>LS-004144</t>
  </si>
  <si>
    <t>44 Old Cottage Dr.</t>
  </si>
  <si>
    <t>LS-004145</t>
  </si>
  <si>
    <t>11046 Mandarin Perserve Dr.</t>
  </si>
  <si>
    <t>LS-004146</t>
  </si>
  <si>
    <t>1702 Potsburg Point Dr.</t>
  </si>
  <si>
    <t>LS-004147</t>
  </si>
  <si>
    <t>110 Antilla Way</t>
  </si>
  <si>
    <t>LS-004148</t>
  </si>
  <si>
    <t>6460 Longleaf Branch Drive</t>
  </si>
  <si>
    <t>LS-004149</t>
  </si>
  <si>
    <t>11178 Town View Dr.</t>
  </si>
  <si>
    <t>LS-004150</t>
  </si>
  <si>
    <t>8908 Ruby Rd.</t>
  </si>
  <si>
    <t>LS-004151</t>
  </si>
  <si>
    <t>5301 Dolphin Point Bv</t>
  </si>
  <si>
    <t>LS-004152</t>
  </si>
  <si>
    <t>83780 Nether St</t>
  </si>
  <si>
    <t>LS-004154</t>
  </si>
  <si>
    <t>12135 Wells C reek Pkwy</t>
  </si>
  <si>
    <t>LS-004155</t>
  </si>
  <si>
    <t>13811 Brookwater Dr.</t>
  </si>
  <si>
    <t>LS-004156</t>
  </si>
  <si>
    <t>96931 Slate Ct.</t>
  </si>
  <si>
    <t>LS-004157</t>
  </si>
  <si>
    <t>1622 Shearwater Pkwy</t>
  </si>
  <si>
    <t>LS-004158</t>
  </si>
  <si>
    <t>9646 Garden Street</t>
  </si>
  <si>
    <t>LS-004159</t>
  </si>
  <si>
    <t>15686 Saddle Charger</t>
  </si>
  <si>
    <t>LS-004160</t>
  </si>
  <si>
    <t xml:space="preserve">2519 Wisdom Ct </t>
  </si>
  <si>
    <t>LS-004161</t>
  </si>
  <si>
    <t>76040 William Burgess Bv</t>
  </si>
  <si>
    <t>LS-004163</t>
  </si>
  <si>
    <t>11861 Bardin Rd</t>
  </si>
  <si>
    <t>LS-004164</t>
  </si>
  <si>
    <t xml:space="preserve">10192 Nala Ln        </t>
  </si>
  <si>
    <t>LS-004165</t>
  </si>
  <si>
    <t>8371 Meadow Walk Lane</t>
  </si>
  <si>
    <t>LS-004166</t>
  </si>
  <si>
    <t>1000 Island Point Dr.</t>
  </si>
  <si>
    <t>LS-004167</t>
  </si>
  <si>
    <t>77040 ROBERT WILLIAMS DR</t>
  </si>
  <si>
    <t>LS-004168</t>
  </si>
  <si>
    <t>11422 MADELYNN DR</t>
  </si>
  <si>
    <t>LS-004169</t>
  </si>
  <si>
    <t>13206 Spartina Grass Dr.</t>
  </si>
  <si>
    <t>LS-004170</t>
  </si>
  <si>
    <t>85633 FALL RIVER PY</t>
  </si>
  <si>
    <t>LS-004171</t>
  </si>
  <si>
    <t>11399 SQUARE ST</t>
  </si>
  <si>
    <t>LS-004172</t>
  </si>
  <si>
    <t>409 Bartram Market Dr.</t>
  </si>
  <si>
    <t>LS-004173</t>
  </si>
  <si>
    <t>10335 RIVERWALK CT</t>
  </si>
  <si>
    <t>LS-004174</t>
  </si>
  <si>
    <t>97 WHITE CYPRESS DR</t>
  </si>
  <si>
    <t>LS-004175</t>
  </si>
  <si>
    <t>7736 POINT MEADOWS DR</t>
  </si>
  <si>
    <t>LS-004176</t>
  </si>
  <si>
    <t>80 ANDESITE TL</t>
  </si>
  <si>
    <t>LS-004177</t>
  </si>
  <si>
    <t>6656 Sandler Lakes Dr</t>
  </si>
  <si>
    <t>LS-004178</t>
  </si>
  <si>
    <t>1966 CARTER LANDING BV</t>
  </si>
  <si>
    <t>LS-004179</t>
  </si>
  <si>
    <t>9782 Fiddleback Ln</t>
  </si>
  <si>
    <t>LS-004180</t>
  </si>
  <si>
    <t>10367 Silverbrook Tr</t>
  </si>
  <si>
    <t>LS-004181</t>
  </si>
  <si>
    <t>326 WILDLIGHT AVE</t>
  </si>
  <si>
    <t>LS-004182</t>
  </si>
  <si>
    <t>15593 WOODBURY DR</t>
  </si>
  <si>
    <t>LS-004183</t>
  </si>
  <si>
    <t>2687 Ignition Drive</t>
  </si>
  <si>
    <t>LS-004184</t>
  </si>
  <si>
    <t>250 Aralia Ln</t>
  </si>
  <si>
    <t>LS-004185</t>
  </si>
  <si>
    <t>10236 Innovation Way</t>
  </si>
  <si>
    <t>LS-004186</t>
  </si>
  <si>
    <t>9156 Westwick Ln</t>
  </si>
  <si>
    <t>LS-004188</t>
  </si>
  <si>
    <t>59 Voysey Pl</t>
  </si>
  <si>
    <t>LS-004189</t>
  </si>
  <si>
    <t>136 Frontier Square</t>
  </si>
  <si>
    <t>LS-004190</t>
  </si>
  <si>
    <t>312 Bartram Ranch Blvd</t>
  </si>
  <si>
    <t>LS-004191</t>
  </si>
  <si>
    <t>11205 KETTERING CROSSING DR</t>
  </si>
  <si>
    <t>LS-004192</t>
  </si>
  <si>
    <t>11212 MARGARETS LANDING PL</t>
  </si>
  <si>
    <t>LS-004193</t>
  </si>
  <si>
    <t>9925 REDFISH MARSH CR</t>
  </si>
  <si>
    <t>LS-004194</t>
  </si>
  <si>
    <t>3661 SAN PABLO PY</t>
  </si>
  <si>
    <t>LS-004195</t>
  </si>
  <si>
    <t>117 SCOTCH PEBBLE DR</t>
  </si>
  <si>
    <t>LS-004196</t>
  </si>
  <si>
    <t>86274 MAINLINE RD</t>
  </si>
  <si>
    <t>LS-004197</t>
  </si>
  <si>
    <t>135 WATERVALE DR.</t>
  </si>
  <si>
    <t>LS-004198</t>
  </si>
  <si>
    <t>1888 MAXINE BRANCH WY</t>
  </si>
  <si>
    <t>LS-004199</t>
  </si>
  <si>
    <t>227 ANTHEM RIDGE DR</t>
  </si>
  <si>
    <t>LS-004200</t>
  </si>
  <si>
    <t>5937 CREEKSIDE CROSSING DR</t>
  </si>
  <si>
    <t>LS-004201</t>
  </si>
  <si>
    <t>7095 CAMFIELD LANDING DR</t>
  </si>
  <si>
    <t>LS-004202</t>
  </si>
  <si>
    <t>2989 FARMALL DR</t>
  </si>
  <si>
    <t>LS-004203</t>
  </si>
  <si>
    <t>985 Windley Dr</t>
  </si>
  <si>
    <t>LS-004204</t>
  </si>
  <si>
    <t>70 Hasu Rd.</t>
  </si>
  <si>
    <t>LS-004205</t>
  </si>
  <si>
    <t>75468 Estuary Way</t>
  </si>
  <si>
    <t>LS-004206</t>
  </si>
  <si>
    <t>324 SILKGRASS PLACE</t>
  </si>
  <si>
    <t>LS-004207</t>
  </si>
  <si>
    <t>408 Annies Lane</t>
  </si>
  <si>
    <t>LS-004208</t>
  </si>
  <si>
    <t>84695 Fall River Pkwy</t>
  </si>
  <si>
    <t>LS-004209</t>
  </si>
  <si>
    <t>179 Rivertown Shoppes Dr.</t>
  </si>
  <si>
    <t>LS-004210</t>
  </si>
  <si>
    <t>290 Purus Way</t>
  </si>
  <si>
    <t>LS-004211</t>
  </si>
  <si>
    <t>5208 SAWMILL POINT WAY</t>
  </si>
  <si>
    <t>LS-004212</t>
  </si>
  <si>
    <t>12783 LAUREL BAY DR</t>
  </si>
  <si>
    <t>LS-004213</t>
  </si>
  <si>
    <t>11394 OYSTER CREEK RD</t>
  </si>
  <si>
    <t>LS-004214</t>
  </si>
  <si>
    <t>9189 OPEN FIELD RD</t>
  </si>
  <si>
    <t>LS-004215</t>
  </si>
  <si>
    <t>1550 PANTHER LAKE PY</t>
  </si>
  <si>
    <t>LS-004216</t>
  </si>
  <si>
    <t>4687 Clapboard Crossing Way</t>
  </si>
  <si>
    <t>LS-004217</t>
  </si>
  <si>
    <t>290 Sand Harbor Drive</t>
  </si>
  <si>
    <t>LS-004218</t>
  </si>
  <si>
    <t>932 Rotary Rd</t>
  </si>
  <si>
    <t>LS-004219</t>
  </si>
  <si>
    <t>438 Meadow Creek Dr.</t>
  </si>
  <si>
    <t>LS-004220</t>
  </si>
  <si>
    <t>1708 Enclave Rd</t>
  </si>
  <si>
    <t>LS-004221</t>
  </si>
  <si>
    <t>8233 Victory Crossing Bv</t>
  </si>
  <si>
    <t>LS-004222</t>
  </si>
  <si>
    <t>2159 SHEARWATER PARKWAY</t>
  </si>
  <si>
    <t>LS-004223</t>
  </si>
  <si>
    <t>75426 Harvester Street</t>
  </si>
  <si>
    <t>NaSSAU</t>
  </si>
  <si>
    <t>LS-004224</t>
  </si>
  <si>
    <t>5343 Wabash Blve</t>
  </si>
  <si>
    <t>LS-004225</t>
  </si>
  <si>
    <t>13510 Holsinger Blvd</t>
  </si>
  <si>
    <t>LS-004226</t>
  </si>
  <si>
    <t>1910 ALLEGIANCE PL</t>
  </si>
  <si>
    <t>LS-004227</t>
  </si>
  <si>
    <t>13053 PALMETTO BLUFF DR</t>
  </si>
  <si>
    <t>LS-004229</t>
  </si>
  <si>
    <t>314 Harper Lane</t>
  </si>
  <si>
    <t>LS-004230</t>
  </si>
  <si>
    <t>12260 Gillespie Ave</t>
  </si>
  <si>
    <t>LS-004231</t>
  </si>
  <si>
    <t>409 Stillwater Blvd</t>
  </si>
  <si>
    <t>LS-004232</t>
  </si>
  <si>
    <t>14604 Lattice Ct</t>
  </si>
  <si>
    <t>LS-004233</t>
  </si>
  <si>
    <t>59 Potters Mill Tr</t>
  </si>
  <si>
    <t>LS-004234</t>
  </si>
  <si>
    <t>161 Spinner Dr.</t>
  </si>
  <si>
    <t>LS-004235</t>
  </si>
  <si>
    <t>7808 Driggers St</t>
  </si>
  <si>
    <t>LS-004236</t>
  </si>
  <si>
    <t>11328 Newtonian Bv</t>
  </si>
  <si>
    <t>LS-004237</t>
  </si>
  <si>
    <t>16683 Cody Creek Ct</t>
  </si>
  <si>
    <t>LS-004238</t>
  </si>
  <si>
    <t>424 Burbank Ave.</t>
  </si>
  <si>
    <t>LS-004239</t>
  </si>
  <si>
    <t>1400 Tan Tara Tr</t>
  </si>
  <si>
    <t>LS-004240</t>
  </si>
  <si>
    <t>330 Floco Av</t>
  </si>
  <si>
    <t>LS-004241</t>
  </si>
  <si>
    <t>452 Cherry Ridge Dr</t>
  </si>
  <si>
    <t>LS-004242</t>
  </si>
  <si>
    <t>4965 Waning Way</t>
  </si>
  <si>
    <t>LS-004243</t>
  </si>
  <si>
    <t>13591 Brookwater Dr.</t>
  </si>
  <si>
    <t>LS-004244</t>
  </si>
  <si>
    <t>2189 Hudson Grove Dr</t>
  </si>
  <si>
    <t>LS-004245</t>
  </si>
  <si>
    <t>10481 Anthem Wy</t>
  </si>
  <si>
    <t>LS-004246</t>
  </si>
  <si>
    <t>225 Valley Falls</t>
  </si>
  <si>
    <t>LS-004247</t>
  </si>
  <si>
    <t>13095 HOLSINGER BV</t>
  </si>
  <si>
    <t>LS-004248</t>
  </si>
  <si>
    <t>372 SAINT ELIZABETH WY</t>
  </si>
  <si>
    <t>LS-004249</t>
  </si>
  <si>
    <t>9878 Filament Bv</t>
  </si>
  <si>
    <t>1?</t>
  </si>
  <si>
    <t>LS-004250</t>
  </si>
  <si>
    <t>11245 Assembly St</t>
  </si>
  <si>
    <t>LS-004251</t>
  </si>
  <si>
    <t>2293 Kistlers Ridge Wy</t>
  </si>
  <si>
    <t>LS-004252</t>
  </si>
  <si>
    <t>1071 Brown Bear Run</t>
  </si>
  <si>
    <t>LS-004253</t>
  </si>
  <si>
    <t>6349 MORNING BLUFF DR</t>
  </si>
  <si>
    <t>WEST</t>
  </si>
  <si>
    <t>LS-004254</t>
  </si>
  <si>
    <t>3771 SPRING GARDEN CT</t>
  </si>
  <si>
    <t>LS-004255</t>
  </si>
  <si>
    <t>151 JULBILEE CIRCLE</t>
  </si>
  <si>
    <t>LS-004256</t>
  </si>
  <si>
    <t>87 Pasadena Dr</t>
  </si>
  <si>
    <t>LS-004257</t>
  </si>
  <si>
    <t>237 TERRAPIN CT</t>
  </si>
  <si>
    <t>NORTH</t>
  </si>
  <si>
    <t>LS-004258</t>
  </si>
  <si>
    <t>10503 FLORENCE JEAN DR</t>
  </si>
  <si>
    <t>SOUTH</t>
  </si>
  <si>
    <t>LS-004259</t>
  </si>
  <si>
    <t>9833 CRAVEN RD</t>
  </si>
  <si>
    <t>LS-004260</t>
  </si>
  <si>
    <t xml:space="preserve">26 ROSEMONT DR </t>
  </si>
  <si>
    <t>ST JOHNS</t>
  </si>
  <si>
    <t>LS-004261</t>
  </si>
  <si>
    <t>2026 RIBAULT SCENIC DR</t>
  </si>
  <si>
    <t>LS-004262</t>
  </si>
  <si>
    <t>65980 EDGEWATER DR</t>
  </si>
  <si>
    <t>NASSAU</t>
  </si>
  <si>
    <t>LS-004263</t>
  </si>
  <si>
    <t>29 Cypress Edge Drive</t>
  </si>
  <si>
    <t>LS-004264</t>
  </si>
  <si>
    <t>1177 Stillwater Boulevard</t>
  </si>
  <si>
    <t>LS-004265</t>
  </si>
  <si>
    <t>436 MATILDA LN</t>
  </si>
  <si>
    <t>LS-004266</t>
  </si>
  <si>
    <t>166 Shell Ridge Lane</t>
  </si>
  <si>
    <t>LS-004267</t>
  </si>
  <si>
    <t>9731 TROUT TIDDES BV</t>
  </si>
  <si>
    <t>LS-004268</t>
  </si>
  <si>
    <t>8299 HELMSLEY BV</t>
  </si>
  <si>
    <t>LS-004269</t>
  </si>
  <si>
    <t>5211 LACEBARK PINE LA</t>
  </si>
  <si>
    <t>LS-004270</t>
  </si>
  <si>
    <t>208 Peace River Road</t>
  </si>
  <si>
    <t>LS-004271</t>
  </si>
  <si>
    <t>11790 Abess Blvd</t>
  </si>
  <si>
    <t>LS-004272</t>
  </si>
  <si>
    <t>131 Tracker Street</t>
  </si>
  <si>
    <t>LS-004273</t>
  </si>
  <si>
    <t>2410 Sapp Road</t>
  </si>
  <si>
    <t>LS-004274</t>
  </si>
  <si>
    <t xml:space="preserve">95421 Katherine Street </t>
  </si>
  <si>
    <t>LS-004275</t>
  </si>
  <si>
    <t>3766 JONES ROAD</t>
  </si>
  <si>
    <t>LS-004276</t>
  </si>
  <si>
    <t>292 A1A N</t>
  </si>
  <si>
    <t>LS-004277</t>
  </si>
  <si>
    <t>11229 DOMAIN DRIVE</t>
  </si>
  <si>
    <t>LS-004278</t>
  </si>
  <si>
    <t>104 BEE BALM LANE</t>
  </si>
  <si>
    <t>LS-004279</t>
  </si>
  <si>
    <t>213 WAMBAW DRIVE</t>
  </si>
  <si>
    <t>LS-004280</t>
  </si>
  <si>
    <t>257 STORYBOOK POINT</t>
  </si>
  <si>
    <t>LS-004281</t>
  </si>
  <si>
    <t>12921 DUVAL ROAD</t>
  </si>
  <si>
    <t>LS-004282</t>
  </si>
  <si>
    <t>1511 Zoo Parkway</t>
  </si>
  <si>
    <t>LS-004283</t>
  </si>
  <si>
    <t>7766 Copper Ridge Rd.</t>
  </si>
  <si>
    <t>LS-004284</t>
  </si>
  <si>
    <t>519 Palm Crest Dr</t>
  </si>
  <si>
    <t>LS-004285</t>
  </si>
  <si>
    <t>155 East Peyton Prkwy</t>
  </si>
  <si>
    <t>LS-004286</t>
  </si>
  <si>
    <t>9909 Pritchard Rd.</t>
  </si>
  <si>
    <t>LS-004287</t>
  </si>
  <si>
    <t>160 Beachwalk Shores Drive</t>
  </si>
  <si>
    <t>LS-004288</t>
  </si>
  <si>
    <t>12488 Russian Olive Rd</t>
  </si>
  <si>
    <t>LS-004289</t>
  </si>
  <si>
    <t>450 CURVED BAY TRAIL</t>
  </si>
  <si>
    <t>LS-004290</t>
  </si>
  <si>
    <t>5681 Hollow Birch Drive</t>
  </si>
  <si>
    <t>LS-004291</t>
  </si>
  <si>
    <t>2553 SADLER TRACE WAY</t>
  </si>
  <si>
    <t>LS-004292</t>
  </si>
  <si>
    <t>677 WILDLIGHT AVENUE</t>
  </si>
  <si>
    <t>LS-004293</t>
  </si>
  <si>
    <t>75572 Bridgewater Drive</t>
  </si>
  <si>
    <t>LS-004294</t>
  </si>
  <si>
    <t>110063 Isotope Ct.</t>
  </si>
  <si>
    <t>LS-004295</t>
  </si>
  <si>
    <t>5721 JACKS ROAD</t>
  </si>
  <si>
    <t>LS-004297</t>
  </si>
  <si>
    <t>927 CEDAR SLOUGH DRIVE</t>
  </si>
  <si>
    <t>LS-004298</t>
  </si>
  <si>
    <t>3512 INDIGO DRIVE</t>
  </si>
  <si>
    <t>LS-004299</t>
  </si>
  <si>
    <t>181 SIENNA PALM DR</t>
  </si>
  <si>
    <t>LS-004300</t>
  </si>
  <si>
    <t>1860 Stillwater Boulevard</t>
  </si>
  <si>
    <t>LS-004301</t>
  </si>
  <si>
    <t>5812 Greta Court</t>
  </si>
  <si>
    <t>LS-004302</t>
  </si>
  <si>
    <t>10757 Waterfield Road</t>
  </si>
  <si>
    <t>LS-004303</t>
  </si>
  <si>
    <t>85025 Sandy Ridge Loop</t>
  </si>
  <si>
    <t>LS-004304</t>
  </si>
  <si>
    <t>160 Seaforth Drive</t>
  </si>
  <si>
    <t>LS-004305</t>
  </si>
  <si>
    <t>135 Crosstown Boulevard</t>
  </si>
  <si>
    <t>LS-004306</t>
  </si>
  <si>
    <t>3202 Fiera Vista Drive</t>
  </si>
  <si>
    <t>LS-004307</t>
  </si>
  <si>
    <t>30 Baywinds Court</t>
  </si>
  <si>
    <t>LS-004308</t>
  </si>
  <si>
    <t>475 Clark Road</t>
  </si>
  <si>
    <t>LS-004309</t>
  </si>
  <si>
    <t>9036 Alpine Aster Road</t>
  </si>
  <si>
    <t>LS-004310</t>
  </si>
  <si>
    <t>24 HARD PINE TRAIL</t>
  </si>
  <si>
    <t>LS-004311</t>
  </si>
  <si>
    <t>85 Brazil Nut Circle</t>
  </si>
  <si>
    <t>LS-004312</t>
  </si>
  <si>
    <t>12402 Grand Pine Dr.</t>
  </si>
  <si>
    <t>LS-004313</t>
  </si>
  <si>
    <t>5450 Morse Ave</t>
  </si>
  <si>
    <t>LS-004314</t>
  </si>
  <si>
    <t>117 BOULDER LANE</t>
  </si>
  <si>
    <t>LS-004315</t>
  </si>
  <si>
    <t>6850 Mirage Street</t>
  </si>
  <si>
    <t>LS-004316</t>
  </si>
  <si>
    <t>175 PALOMAR DRIVE</t>
  </si>
  <si>
    <t>LS-004317</t>
  </si>
  <si>
    <t>1391 HIGH FALLS DRIVE</t>
  </si>
  <si>
    <t>LS-004318</t>
  </si>
  <si>
    <t>11761 STILLWOOD PINES BOULEVARD</t>
  </si>
  <si>
    <t>LS-004319</t>
  </si>
  <si>
    <t>14082 HYATT ROAD</t>
  </si>
  <si>
    <t>LS-004320</t>
  </si>
  <si>
    <t>1661 RIBAULT SCENIC DRI</t>
  </si>
  <si>
    <t>LS-004321</t>
  </si>
  <si>
    <t>280 Accolade Av</t>
  </si>
  <si>
    <t>LS-004322</t>
  </si>
  <si>
    <t>8518 BELFORT LANDING</t>
  </si>
  <si>
    <t>LS-004323</t>
  </si>
  <si>
    <t>442 Palm Valley Rd</t>
  </si>
  <si>
    <t>340033 </t>
  </si>
  <si>
    <t>LS-004324</t>
  </si>
  <si>
    <t>6811 Myrtle Oaks Road</t>
  </si>
  <si>
    <t>LS-004325</t>
  </si>
  <si>
    <t>12706 WHELAN AVENUE</t>
  </si>
  <si>
    <t>LS-004326</t>
  </si>
  <si>
    <t>10450 BENSON LAKE DR</t>
  </si>
  <si>
    <t>LS-004327</t>
  </si>
  <si>
    <t>4640 Lusso Lane</t>
  </si>
  <si>
    <t>LS-004328</t>
  </si>
  <si>
    <t>98 Bay Lake Drive</t>
  </si>
  <si>
    <t>LS-004329</t>
  </si>
  <si>
    <t>12607 Percy Creek Drive</t>
  </si>
  <si>
    <t>LS-004330</t>
  </si>
  <si>
    <t>1015 EAST PEYTON PARKWAY</t>
  </si>
  <si>
    <t>LS-004331</t>
  </si>
  <si>
    <t>5420 Tellaro Lane</t>
  </si>
  <si>
    <t>LS-004332</t>
  </si>
  <si>
    <t>6804 Golden Monarch Avenue</t>
  </si>
  <si>
    <t>LS-004334</t>
  </si>
  <si>
    <t>12273 PARKLAND VIEW LANE</t>
  </si>
  <si>
    <t>LS-004335</t>
  </si>
  <si>
    <t>118 PINE CHASE WAY</t>
  </si>
  <si>
    <t>LS-004336</t>
  </si>
  <si>
    <t>5425 BARTRAM COMMONS DRIVE</t>
  </si>
  <si>
    <t>LS-004337</t>
  </si>
  <si>
    <t>127 SEAPORT BREEZE ROAD</t>
  </si>
  <si>
    <t>LS-004338</t>
  </si>
  <si>
    <t>5825 ROBITZSCH LANE</t>
  </si>
  <si>
    <t>LS-004339</t>
  </si>
  <si>
    <t>34 OAK PARK DRIVE</t>
  </si>
  <si>
    <t>LS-004340</t>
  </si>
  <si>
    <t>9375 LATIGIO LANE</t>
  </si>
  <si>
    <t>LS-004341</t>
  </si>
  <si>
    <t>444 WILDWORKS AVENUE</t>
  </si>
  <si>
    <t>LS-004342</t>
  </si>
  <si>
    <t>336 GAP CREEK DRIVE</t>
  </si>
  <si>
    <t>LS-004343</t>
  </si>
  <si>
    <t>1757 GOLD STAR FAMILY PARKWAY</t>
  </si>
  <si>
    <t>LS-004344</t>
  </si>
  <si>
    <t>81 EDDINGTON WAY</t>
  </si>
  <si>
    <t>LS-004345</t>
  </si>
  <si>
    <t xml:space="preserve">5305 BRIAR PATCH PL </t>
  </si>
  <si>
    <t>LS-004346</t>
  </si>
  <si>
    <t xml:space="preserve">6450 CAMPHOR LAUREL LN </t>
  </si>
  <si>
    <t>LS-004347</t>
  </si>
  <si>
    <t xml:space="preserve">14101 WIND ROW DR </t>
  </si>
  <si>
    <t>LS-004348</t>
  </si>
  <si>
    <t xml:space="preserve">5540 TARSUS CT </t>
  </si>
  <si>
    <t>LS-004349</t>
  </si>
  <si>
    <t xml:space="preserve">75425 DRIFTWOOD CT </t>
  </si>
  <si>
    <t>LS-004350</t>
  </si>
  <si>
    <t xml:space="preserve">6877 SKINNER CENTURY LN </t>
  </si>
  <si>
    <t>LS-004351</t>
  </si>
  <si>
    <t xml:space="preserve">8132 HORSEBIT CR </t>
  </si>
  <si>
    <t>LS-004352</t>
  </si>
  <si>
    <t xml:space="preserve">12512 DURBANS POINT PL </t>
  </si>
  <si>
    <t>LS-004353</t>
  </si>
  <si>
    <t xml:space="preserve">840 HEALTHWALK WY </t>
  </si>
  <si>
    <t>LS-004354</t>
  </si>
  <si>
    <t xml:space="preserve">14293 EPPLY DR </t>
  </si>
  <si>
    <t>LS-004355</t>
  </si>
  <si>
    <t xml:space="preserve">96736 BLACKROCK COVE WY </t>
  </si>
  <si>
    <t>LS-004356</t>
  </si>
  <si>
    <t xml:space="preserve">8206 HAWKES MEADOW DR </t>
  </si>
  <si>
    <t>LS-004357</t>
  </si>
  <si>
    <t xml:space="preserve">7303 QUEENSGATE CR </t>
  </si>
  <si>
    <t>LS-004358</t>
  </si>
  <si>
    <t xml:space="preserve">86 REFLECTIONS AV </t>
  </si>
  <si>
    <t>LS-004359</t>
  </si>
  <si>
    <t xml:space="preserve">96382 STILLPOINT WY </t>
  </si>
  <si>
    <t>LS-004360</t>
  </si>
  <si>
    <t xml:space="preserve">7811 GREATFORD WY </t>
  </si>
  <si>
    <t>LS-004361</t>
  </si>
  <si>
    <t>11847 ROBERT MASTERS BV</t>
  </si>
  <si>
    <t>LS-004362</t>
  </si>
  <si>
    <t>4351 HEMLOCK ST</t>
  </si>
  <si>
    <t>LS-004363</t>
  </si>
  <si>
    <t>322 LUMINOUS AVENUE</t>
  </si>
  <si>
    <t>LS-004364</t>
  </si>
  <si>
    <t>9110 HARMONIOUS LN</t>
  </si>
  <si>
    <t>LS-004365</t>
  </si>
  <si>
    <t>592 CLAIBORNE LANE</t>
  </si>
  <si>
    <t>LS-004366</t>
  </si>
  <si>
    <t>8574 LILIAS CR</t>
  </si>
  <si>
    <t>LS-004367</t>
  </si>
  <si>
    <t>405 KINGBIRD DR</t>
  </si>
  <si>
    <t>LS-004368</t>
  </si>
  <si>
    <t>750 CAIDEN DR</t>
  </si>
  <si>
    <t>LS-004369</t>
  </si>
  <si>
    <t>436 OAKMOSS DR</t>
  </si>
  <si>
    <t>LS-004370</t>
  </si>
  <si>
    <t>658 JUNIPER HILLS DR</t>
  </si>
  <si>
    <t>LS-004371</t>
  </si>
  <si>
    <t>6317 MARE AV</t>
  </si>
  <si>
    <t>LS-004372</t>
  </si>
  <si>
    <t>5199 CONFERENCE DR</t>
  </si>
  <si>
    <t>LS-004373</t>
  </si>
  <si>
    <t>1013 DEL WEBB PY</t>
  </si>
  <si>
    <t>LS-004374</t>
  </si>
  <si>
    <t>744 SAILOR GROVE LA</t>
  </si>
  <si>
    <t>LS-004375</t>
  </si>
  <si>
    <t>141 HEADSTREAM DR</t>
  </si>
  <si>
    <t>LS-004376</t>
  </si>
  <si>
    <t>5802 VICTORIA CREEL LN</t>
  </si>
  <si>
    <t>LS-004377</t>
  </si>
  <si>
    <t>13500 AIR COUPE RD</t>
  </si>
  <si>
    <t>LS-004378</t>
  </si>
  <si>
    <t>8699 ELMO LN</t>
  </si>
  <si>
    <t>LS-004379</t>
  </si>
  <si>
    <t>504 LINGER LONGER AV</t>
  </si>
  <si>
    <t>LS-004380</t>
  </si>
  <si>
    <t>1331 JEWELSTONE</t>
  </si>
  <si>
    <t>LS-004381</t>
  </si>
  <si>
    <t>902 EGRET BRANCH WAY</t>
  </si>
  <si>
    <t>VAC-000001</t>
  </si>
  <si>
    <t>2732 SCOTT MILL LANE</t>
  </si>
  <si>
    <t>VAC-000002</t>
  </si>
  <si>
    <t>1202 BUNKER HILL BV</t>
  </si>
  <si>
    <t>VAC-000003</t>
  </si>
  <si>
    <t>253 A1A</t>
  </si>
  <si>
    <t>VAC-000004</t>
  </si>
  <si>
    <t>130 METZ STREET</t>
  </si>
  <si>
    <t>VAC-000005</t>
  </si>
  <si>
    <t>1108 BARNWELL RD</t>
  </si>
  <si>
    <t>JEA Actual ADF
(GPD)</t>
  </si>
  <si>
    <t>JEA Design PHF
(GPM)</t>
  </si>
  <si>
    <t>cmms</t>
  </si>
  <si>
    <t>adf_kGPD</t>
  </si>
  <si>
    <t>phf_gpm</t>
  </si>
  <si>
    <t/>
  </si>
  <si>
    <t>Asset</t>
  </si>
  <si>
    <t>Capacity Analysis</t>
  </si>
  <si>
    <t>10-Year Forecast</t>
  </si>
  <si>
    <t>Projects</t>
  </si>
  <si>
    <t>Resiliency</t>
  </si>
  <si>
    <t>Basin</t>
  </si>
  <si>
    <t>CMMS</t>
  </si>
  <si>
    <t>Liftstation</t>
  </si>
  <si>
    <t>Class</t>
  </si>
  <si>
    <t>ADF</t>
  </si>
  <si>
    <t>PHF</t>
  </si>
  <si>
    <t>Capacity</t>
  </si>
  <si>
    <t>Utilization</t>
  </si>
  <si>
    <t>Growth</t>
  </si>
  <si>
    <t>Related</t>
  </si>
  <si>
    <t>In-Service</t>
  </si>
  <si>
    <t>Num Pumps</t>
  </si>
  <si>
    <t>Station Bypass</t>
  </si>
  <si>
    <t>VFD Control</t>
  </si>
  <si>
    <t>Pressure Gauge</t>
  </si>
  <si>
    <t>Flow Meter</t>
  </si>
  <si>
    <t>(kGPD)</t>
  </si>
  <si>
    <t>(GPM)</t>
  </si>
  <si>
    <t>(%)</t>
  </si>
  <si>
    <t>ARLINGTON EAST</t>
  </si>
  <si>
    <t>HOLIDAY RD S - 7834</t>
  </si>
  <si>
    <t>180-70</t>
  </si>
  <si>
    <t>BAYMEADOWS RD - 9247</t>
  </si>
  <si>
    <t>180-53</t>
  </si>
  <si>
    <t>BAYLEAF RD - 8751</t>
  </si>
  <si>
    <t>180-54</t>
  </si>
  <si>
    <t>BURNT MILL RD - 10828</t>
  </si>
  <si>
    <t>175-66</t>
  </si>
  <si>
    <t>PRINCETON SQUARE BV W - 8331</t>
  </si>
  <si>
    <t>180-57</t>
  </si>
  <si>
    <t>A C SKINNER PY - 7200</t>
  </si>
  <si>
    <t>ABESS BV - 12733</t>
  </si>
  <si>
    <t>ALUMNI WY - 11220</t>
  </si>
  <si>
    <t>BALBOA RD - 7106</t>
  </si>
  <si>
    <t>BAY HARBOUR DR - 4568</t>
  </si>
  <si>
    <t>BAYMEADOWS RD - 10702</t>
  </si>
  <si>
    <t>BAYMEADOWS RD E - 8036</t>
  </si>
  <si>
    <t>BELFORT OAKS PL - 6868</t>
  </si>
  <si>
    <t>BOWLAN ST N - 544</t>
  </si>
  <si>
    <t>BRADLEY RD - 10477</t>
  </si>
  <si>
    <t>CEDAR ISLAND DR - 14600</t>
  </si>
  <si>
    <t>CENTRAL PY - 11550</t>
  </si>
  <si>
    <t>CHETS CREEK BV - 13225</t>
  </si>
  <si>
    <t>DEERCREEK CLUB RD E - 10000</t>
  </si>
  <si>
    <t>ECO RD - 4172</t>
  </si>
  <si>
    <t>EDENFIELD RD - 5710</t>
  </si>
  <si>
    <t>FERBER RD - 4147</t>
  </si>
  <si>
    <t>FIRST COAST TECH PY - 5192</t>
  </si>
  <si>
    <t>FT CAROLINE RD - 10797</t>
  </si>
  <si>
    <t>*</t>
  </si>
  <si>
    <t>GATE PY N - 9898</t>
  </si>
  <si>
    <t>GLEN KERN PY - 12858</t>
  </si>
  <si>
    <t>GROVE PARK BV - 487</t>
  </si>
  <si>
    <t>HODGES BV - 1705</t>
  </si>
  <si>
    <t>HUFFMAN BV - 2798</t>
  </si>
  <si>
    <t>KERN BV S - 3431</t>
  </si>
  <si>
    <t>LA VISTA CR - 4181</t>
  </si>
  <si>
    <t>MILL CREEK RD - 1030</t>
  </si>
  <si>
    <t>REEDY BRANCH DR - 8614</t>
  </si>
  <si>
    <t>RYAR RD - 1531</t>
  </si>
  <si>
    <t>SAN CLERC RD - 4241</t>
  </si>
  <si>
    <t>SAN PABLO RD S - 4950</t>
  </si>
  <si>
    <t>SOUTHSIDE BV - 7133</t>
  </si>
  <si>
    <t>SOUTHSIDE BV - 9041</t>
  </si>
  <si>
    <t>SUTTON PARK DR N - 13825</t>
  </si>
  <si>
    <t>TOUCHTON RD - 8362</t>
  </si>
  <si>
    <t>TOWN CENTER PY - 4522</t>
  </si>
  <si>
    <t>TRESCA RD - 420</t>
  </si>
  <si>
    <t>TROPIC EGRET DR - 13383</t>
  </si>
  <si>
    <t>WESTERN LAKE DR - 8652</t>
  </si>
  <si>
    <t>WESTERN WY - 8617</t>
  </si>
  <si>
    <t>BLACKS FORD</t>
  </si>
  <si>
    <t>COUNTY ROAD 210 W - 2740</t>
  </si>
  <si>
    <t>180-56</t>
  </si>
  <si>
    <t>TWIN CREEKS RD - 106</t>
  </si>
  <si>
    <t>CROSSWATER LAKE DR - 245</t>
  </si>
  <si>
    <t>HAWKCREST DR E - 2369</t>
  </si>
  <si>
    <t>ISLESBROOK PY - 112</t>
  </si>
  <si>
    <t>NOCATEE VILLAGE DR - 79</t>
  </si>
  <si>
    <t>PEYTON PY E - 155</t>
  </si>
  <si>
    <t>RIVER RUN BV - 1018</t>
  </si>
  <si>
    <t>SHERWATER PY - 635</t>
  </si>
  <si>
    <t>ST JOHNS PY - 2084</t>
  </si>
  <si>
    <t>BUCKMAN</t>
  </si>
  <si>
    <t>5TH ST W - 5233</t>
  </si>
  <si>
    <t>100-40</t>
  </si>
  <si>
    <t>PRITCHARD RD - 7615</t>
  </si>
  <si>
    <t>SPRING PARK RD - 4511</t>
  </si>
  <si>
    <t>180-23</t>
  </si>
  <si>
    <t>TALLEYRAND AV - 1636</t>
  </si>
  <si>
    <t>180-36</t>
  </si>
  <si>
    <t>32ND ST E - 94</t>
  </si>
  <si>
    <t>41ST ST W - 1870</t>
  </si>
  <si>
    <t>5TH ST W - 2809</t>
  </si>
  <si>
    <t>BARNES RD - 4437</t>
  </si>
  <si>
    <t>BAY ST E - 834</t>
  </si>
  <si>
    <t>BEAVER ST W - 9801</t>
  </si>
  <si>
    <t>BOULEVARD - 1706</t>
  </si>
  <si>
    <t>BRYAN ST - 250</t>
  </si>
  <si>
    <t>ELLIS RD N - 1060</t>
  </si>
  <si>
    <t>EVERGREEN AV - 5301</t>
  </si>
  <si>
    <t>FISH RD - 10301</t>
  </si>
  <si>
    <t>HERSCHEL ST - 3806</t>
  </si>
  <si>
    <t>HOLLYBROOK AV - 210</t>
  </si>
  <si>
    <t>J RAY CR S - 5642</t>
  </si>
  <si>
    <t>KINGSBURY ST - 4140</t>
  </si>
  <si>
    <t>KINLOCK DR S - 5730</t>
  </si>
  <si>
    <t>LAURA ST N - 1023</t>
  </si>
  <si>
    <t>LOFBERG DR - 2588</t>
  </si>
  <si>
    <t>MCCOY CREEK BV - 2251</t>
  </si>
  <si>
    <t>MCMILLAN ST - 2304</t>
  </si>
  <si>
    <t>MYRTLE AV N - 55</t>
  </si>
  <si>
    <t>NORWOOD AV - 6947</t>
  </si>
  <si>
    <t>RHONE DR - 6801</t>
  </si>
  <si>
    <t>ROANOKE BV - 4728</t>
  </si>
  <si>
    <t>STANDISH PL - 718</t>
  </si>
  <si>
    <t>STANFORD RD - 5621</t>
  </si>
  <si>
    <t>TALLEYRAND AV - 2446</t>
  </si>
  <si>
    <t>UTAH AV - 2045</t>
  </si>
  <si>
    <t>WATER ST - 604</t>
  </si>
  <si>
    <t>WILLOW BRANCH AV - 1818</t>
  </si>
  <si>
    <t>WOODMERE ST - 4211</t>
  </si>
  <si>
    <t>CEDAR BAY</t>
  </si>
  <si>
    <t>HARTS RD - 11305</t>
  </si>
  <si>
    <t>180-26</t>
  </si>
  <si>
    <t>KEY HAVEN BV - 10800</t>
  </si>
  <si>
    <t>180-46</t>
  </si>
  <si>
    <t>PULASKI RD - 12321</t>
  </si>
  <si>
    <t>180-40</t>
  </si>
  <si>
    <t>DUVAL RD - 14491</t>
  </si>
  <si>
    <t>139-02</t>
  </si>
  <si>
    <t>COLE FLYER RD - 2111</t>
  </si>
  <si>
    <t>ETHEL RD - 16536</t>
  </si>
  <si>
    <t>MAX LEGGETT PY - 15171</t>
  </si>
  <si>
    <t>MENLO AV - 1410</t>
  </si>
  <si>
    <t>RENNE DR W - 11452</t>
  </si>
  <si>
    <t>MANDARIN</t>
  </si>
  <si>
    <t>BARTRAM PARK BV - 12882</t>
  </si>
  <si>
    <t>BARTRAM PARK BV - 14041</t>
  </si>
  <si>
    <t>BARTRAM PARK BV - 14802</t>
  </si>
  <si>
    <t>BAYOU BLUFF DR - 9733</t>
  </si>
  <si>
    <t>BRIERWOOD RD - 8460</t>
  </si>
  <si>
    <t>CORKLAN DR - 7250</t>
  </si>
  <si>
    <t>ENERGY CENTER DR - 6850</t>
  </si>
  <si>
    <t>GINNIE SPRINGS RD - 6350</t>
  </si>
  <si>
    <t>KENNEDY LA - 10656</t>
  </si>
  <si>
    <t>OLDFIELD CROSSING DR - 4193</t>
  </si>
  <si>
    <t>ORANGE PICKER RD - 2520</t>
  </si>
  <si>
    <t>ST AUGUSTINE RD - 11220</t>
  </si>
  <si>
    <t>MONTEREY</t>
  </si>
  <si>
    <t>TOWNSEND BV - 3254</t>
  </si>
  <si>
    <t>180-59</t>
  </si>
  <si>
    <t>MERRILL RD - 7732</t>
  </si>
  <si>
    <t>180-61</t>
  </si>
  <si>
    <t>POMPANO DR - 5838</t>
  </si>
  <si>
    <t>180-60</t>
  </si>
  <si>
    <t>CARLOTTA RD N - 8043</t>
  </si>
  <si>
    <t>180-62</t>
  </si>
  <si>
    <t>SOUTHWEST</t>
  </si>
  <si>
    <t>118TH ST - 5104</t>
  </si>
  <si>
    <t>180-47</t>
  </si>
  <si>
    <t>TIMUQUA RD - 4881</t>
  </si>
  <si>
    <t>180-50</t>
  </si>
  <si>
    <t>WILSON BV - 6217</t>
  </si>
  <si>
    <t>180-45</t>
  </si>
  <si>
    <t>BLANDING BV - 7703</t>
  </si>
  <si>
    <t>180-29</t>
  </si>
  <si>
    <t>forecast ADF reduced by 400 kGPD due to Robitzsch</t>
  </si>
  <si>
    <t>PARKLAND RD - 13437</t>
  </si>
  <si>
    <t>180-73</t>
  </si>
  <si>
    <t>103RD ST - 7544</t>
  </si>
  <si>
    <t>ACANTHUS DR - 8752</t>
  </si>
  <si>
    <t>ALACHUA AV - 7039</t>
  </si>
  <si>
    <t>ARGYLE FOREST BV - 8104</t>
  </si>
  <si>
    <t>FURY DR - 8560</t>
  </si>
  <si>
    <t>LENOX AV - 7702</t>
  </si>
  <si>
    <t>RAMPART RD - 7806</t>
  </si>
  <si>
    <t>SPRINGTREE RD - 8431</t>
  </si>
  <si>
    <t>TAMPICO RD - 5957</t>
  </si>
  <si>
    <t>Data Sources are listed as numerical superscripts next to the value:</t>
  </si>
  <si>
    <r>
      <rPr>
        <b/>
        <sz val="9"/>
        <color theme="1"/>
        <rFont val="Aptos Narrow"/>
        <family val="2"/>
        <scheme val="minor"/>
      </rPr>
      <t>Average Daily Flow:</t>
    </r>
    <r>
      <rPr>
        <sz val="9"/>
        <color theme="1"/>
        <rFont val="Aptos Narrow"/>
        <family val="2"/>
        <scheme val="minor"/>
      </rPr>
      <t xml:space="preserve"> 1) Billed Consumption 2) Operational Estimate from SCADA 3) Estimated from Land-Use Demographics 4) Flow Meter</t>
    </r>
  </si>
  <si>
    <r>
      <rPr>
        <b/>
        <sz val="9"/>
        <color theme="1"/>
        <rFont val="Aptos Narrow"/>
        <family val="2"/>
        <scheme val="minor"/>
      </rPr>
      <t>Capacity:</t>
    </r>
    <r>
      <rPr>
        <sz val="9"/>
        <color theme="1"/>
        <rFont val="Aptos Narrow"/>
        <family val="2"/>
        <scheme val="minor"/>
      </rPr>
      <t xml:space="preserve"> 1) Operational Estimate from SCADA 2) Permitted/Design Flow 3) Model Estimate based on system hydraulics</t>
    </r>
  </si>
  <si>
    <r>
      <rPr>
        <b/>
        <sz val="9"/>
        <color theme="1"/>
        <rFont val="Aptos Narrow"/>
        <family val="2"/>
        <scheme val="minor"/>
      </rPr>
      <t>Growth:</t>
    </r>
    <r>
      <rPr>
        <sz val="9"/>
        <color theme="1"/>
        <rFont val="Aptos Narrow"/>
        <family val="2"/>
        <scheme val="minor"/>
      </rPr>
      <t xml:space="preserve"> 1) Billed Consumption 2) W/WW Systemp Planning Development Feature Class 3) Parcel-Level Population Estimate 4) Flow Meter</t>
    </r>
  </si>
  <si>
    <r>
      <rPr>
        <b/>
        <sz val="9"/>
        <color theme="1"/>
        <rFont val="Aptos Narrow"/>
        <family val="2"/>
        <scheme val="minor"/>
      </rPr>
      <t>Project:</t>
    </r>
    <r>
      <rPr>
        <sz val="9"/>
        <color theme="1"/>
        <rFont val="Aptos Narrow"/>
        <family val="2"/>
        <scheme val="minor"/>
      </rPr>
      <t xml:space="preserve"> *Indicates that W/WW System Planning will monitor the capacity of the station and coordinate with Operations as needed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</si>
</sst>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/d/yy;@"/>
    <numFmt numFmtId="165" formatCode="yyyy"/>
    <numFmt numFmtId="166" formatCode="#,##0.0_);\(#,##0.0\)"/>
    <numFmt numFmtId="167" formatCode="#,##0.0"/>
    <numFmt numFmtId="168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rgb="FF000066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rgb="FF76717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vertAlign val="superscript"/>
      <sz val="11"/>
      <color theme="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0"/>
      </bottom>
      <diagonal/>
    </border>
    <border>
      <left/>
      <right/>
      <top style="thick">
        <color theme="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9" fontId="1" fillId="0" borderId="0" applyFont="0" applyFill="0" applyBorder="0" applyAlignment="0" applyProtection="0"/>
  </cellStyleXfs>
  <cellXfs count="109">
    <xf numFmtId="0" fontId="0" fillId="0" borderId="0" xfId="0"/>
    <xf numFmtId="0" fontId="1" fillId="0" borderId="0" xfId="0" applyFont="1"/>
    <xf numFmtId="1" fontId="7" fillId="0" borderId="1" xfId="1" applyNumberFormat="1" applyFont="1" applyFill="1" applyBorder="1" applyAlignment="1">
      <alignment horizontal="center" vertical="center"/>
    </xf>
    <xf numFmtId="49" fontId="7" fillId="0" borderId="1" xfId="2" applyNumberFormat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/>
    </xf>
    <xf numFmtId="49" fontId="7" fillId="0" borderId="1" xfId="2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center" vertical="center"/>
    </xf>
    <xf numFmtId="166" fontId="7" fillId="0" borderId="1" xfId="0" applyNumberFormat="1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vertical="center"/>
    </xf>
    <xf numFmtId="49" fontId="1" fillId="0" borderId="1" xfId="2" applyNumberFormat="1" applyFont="1" applyFill="1" applyBorder="1" applyAlignment="1">
      <alignment horizontal="left" vertical="center" wrapText="1"/>
    </xf>
    <xf numFmtId="0" fontId="7" fillId="0" borderId="1" xfId="2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2" fillId="0" borderId="1" xfId="2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2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8" fillId="0" borderId="1" xfId="2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164" fontId="8" fillId="0" borderId="1" xfId="0" applyNumberFormat="1" applyFont="1" applyFill="1" applyBorder="1" applyAlignment="1">
      <alignment horizontal="center" vertical="center" wrapText="1"/>
    </xf>
    <xf numFmtId="165" fontId="8" fillId="0" borderId="1" xfId="0" applyNumberFormat="1" applyFont="1" applyFill="1" applyBorder="1" applyAlignment="1">
      <alignment horizontal="center" vertical="center" wrapText="1"/>
    </xf>
    <xf numFmtId="3" fontId="8" fillId="0" borderId="1" xfId="0" applyNumberFormat="1" applyFont="1" applyFill="1" applyBorder="1" applyAlignment="1">
      <alignment horizontal="center" vertical="center"/>
    </xf>
    <xf numFmtId="166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vertical="center"/>
    </xf>
    <xf numFmtId="37" fontId="2" fillId="0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Alignment="1">
      <alignment vertical="center"/>
    </xf>
    <xf numFmtId="0" fontId="9" fillId="0" borderId="1" xfId="0" applyFont="1" applyFill="1" applyBorder="1"/>
    <xf numFmtId="0" fontId="7" fillId="0" borderId="0" xfId="0" applyFont="1" applyFill="1" applyAlignment="1">
      <alignment vertical="center"/>
    </xf>
    <xf numFmtId="1" fontId="7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49" fontId="10" fillId="0" borderId="1" xfId="2" applyNumberFormat="1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164" fontId="10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1" fillId="0" borderId="1" xfId="0" applyFont="1" applyFill="1" applyBorder="1"/>
    <xf numFmtId="0" fontId="7" fillId="0" borderId="1" xfId="3" applyFont="1" applyFill="1" applyBorder="1" applyAlignment="1">
      <alignment horizontal="left" vertical="center" wrapText="1"/>
    </xf>
    <xf numFmtId="49" fontId="7" fillId="0" borderId="1" xfId="3" applyNumberFormat="1" applyFont="1" applyFill="1" applyBorder="1" applyAlignment="1">
      <alignment horizontal="left" vertical="center" wrapText="1"/>
    </xf>
    <xf numFmtId="49" fontId="7" fillId="0" borderId="0" xfId="2" applyNumberFormat="1" applyFont="1" applyFill="1" applyAlignment="1">
      <alignment horizontal="center" vertical="center" wrapText="1"/>
    </xf>
    <xf numFmtId="164" fontId="7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  <xf numFmtId="1" fontId="7" fillId="0" borderId="1" xfId="2" applyNumberFormat="1" applyFont="1" applyFill="1" applyBorder="1" applyAlignment="1">
      <alignment horizontal="center" vertical="center" wrapText="1"/>
    </xf>
    <xf numFmtId="0" fontId="1" fillId="0" borderId="0" xfId="0" applyFont="1" applyFill="1"/>
    <xf numFmtId="49" fontId="4" fillId="2" borderId="1" xfId="2" applyNumberFormat="1" applyFont="1" applyFill="1" applyBorder="1" applyAlignment="1">
      <alignment horizontal="center" vertical="center" wrapText="1"/>
    </xf>
    <xf numFmtId="49" fontId="5" fillId="2" borderId="1" xfId="2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164" fontId="4" fillId="2" borderId="1" xfId="2" applyNumberFormat="1" applyFont="1" applyFill="1" applyBorder="1" applyAlignment="1">
      <alignment horizontal="center" vertical="center" wrapText="1"/>
    </xf>
    <xf numFmtId="165" fontId="4" fillId="2" borderId="1" xfId="2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37" fontId="7" fillId="0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0" fillId="0" borderId="2" xfId="0" applyBorder="1"/>
    <xf numFmtId="3" fontId="0" fillId="0" borderId="2" xfId="0" applyNumberFormat="1" applyBorder="1"/>
    <xf numFmtId="0" fontId="12" fillId="4" borderId="0" xfId="0" applyFont="1" applyFill="1"/>
    <xf numFmtId="0" fontId="12" fillId="4" borderId="3" xfId="0" applyFont="1" applyFill="1" applyBorder="1" applyAlignment="1">
      <alignment horizontal="center"/>
    </xf>
    <xf numFmtId="0" fontId="12" fillId="4" borderId="3" xfId="0" applyFont="1" applyFill="1" applyBorder="1"/>
    <xf numFmtId="167" fontId="12" fillId="4" borderId="3" xfId="0" applyNumberFormat="1" applyFont="1" applyFill="1" applyBorder="1" applyAlignment="1">
      <alignment horizontal="center"/>
    </xf>
    <xf numFmtId="2" fontId="12" fillId="4" borderId="3" xfId="0" applyNumberFormat="1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3" fontId="12" fillId="4" borderId="0" xfId="0" applyNumberFormat="1" applyFont="1" applyFill="1" applyAlignment="1">
      <alignment horizontal="right"/>
    </xf>
    <xf numFmtId="49" fontId="13" fillId="4" borderId="0" xfId="0" applyNumberFormat="1" applyFont="1" applyFill="1" applyAlignment="1">
      <alignment horizontal="right"/>
    </xf>
    <xf numFmtId="3" fontId="13" fillId="4" borderId="0" xfId="0" applyNumberFormat="1" applyFont="1" applyFill="1" applyAlignment="1">
      <alignment horizontal="right"/>
    </xf>
    <xf numFmtId="167" fontId="12" fillId="4" borderId="0" xfId="0" applyNumberFormat="1" applyFont="1" applyFill="1" applyAlignment="1">
      <alignment horizontal="right"/>
    </xf>
    <xf numFmtId="167" fontId="12" fillId="4" borderId="0" xfId="0" applyNumberFormat="1" applyFont="1" applyFill="1"/>
    <xf numFmtId="9" fontId="12" fillId="4" borderId="0" xfId="4" applyFont="1" applyFill="1" applyAlignment="1">
      <alignment horizontal="right"/>
    </xf>
    <xf numFmtId="2" fontId="12" fillId="4" borderId="0" xfId="0" applyNumberFormat="1" applyFont="1" applyFill="1" applyAlignment="1">
      <alignment horizontal="center"/>
    </xf>
    <xf numFmtId="0" fontId="12" fillId="4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49" fontId="14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7" fontId="0" fillId="0" borderId="0" xfId="0" applyNumberFormat="1"/>
    <xf numFmtId="9" fontId="0" fillId="0" borderId="0" xfId="4" applyFont="1" applyBorder="1" applyAlignment="1">
      <alignment horizontal="right"/>
    </xf>
    <xf numFmtId="2" fontId="0" fillId="0" borderId="0" xfId="0" applyNumberFormat="1" applyAlignment="1">
      <alignment horizontal="center"/>
    </xf>
    <xf numFmtId="2" fontId="0" fillId="0" borderId="0" xfId="0" applyNumberFormat="1"/>
    <xf numFmtId="49" fontId="14" fillId="0" borderId="0" xfId="0" applyNumberFormat="1" applyFont="1" applyAlignment="1">
      <alignment horizontal="left"/>
    </xf>
    <xf numFmtId="3" fontId="14" fillId="0" borderId="0" xfId="0" applyNumberFormat="1" applyFont="1" applyAlignment="1">
      <alignment horizontal="left"/>
    </xf>
    <xf numFmtId="9" fontId="0" fillId="0" borderId="0" xfId="4" applyFont="1" applyBorder="1"/>
    <xf numFmtId="168" fontId="0" fillId="0" borderId="0" xfId="4" applyNumberFormat="1" applyFont="1" applyBorder="1"/>
    <xf numFmtId="0" fontId="14" fillId="0" borderId="0" xfId="0" applyFont="1"/>
    <xf numFmtId="2" fontId="0" fillId="0" borderId="0" xfId="4" applyNumberFormat="1" applyFont="1" applyBorder="1" applyAlignment="1">
      <alignment horizontal="center"/>
    </xf>
    <xf numFmtId="2" fontId="0" fillId="0" borderId="0" xfId="4" quotePrefix="1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49" fontId="14" fillId="0" borderId="2" xfId="0" applyNumberFormat="1" applyFont="1" applyBorder="1" applyAlignment="1">
      <alignment horizontal="left"/>
    </xf>
    <xf numFmtId="3" fontId="14" fillId="0" borderId="2" xfId="0" applyNumberFormat="1" applyFont="1" applyBorder="1" applyAlignment="1">
      <alignment horizontal="left"/>
    </xf>
    <xf numFmtId="9" fontId="0" fillId="0" borderId="2" xfId="4" applyFont="1" applyBorder="1"/>
    <xf numFmtId="168" fontId="0" fillId="0" borderId="2" xfId="4" applyNumberFormat="1" applyFont="1" applyBorder="1"/>
    <xf numFmtId="0" fontId="14" fillId="0" borderId="2" xfId="0" applyFont="1" applyBorder="1"/>
    <xf numFmtId="2" fontId="0" fillId="0" borderId="2" xfId="4" applyNumberFormat="1" applyFont="1" applyBorder="1" applyAlignment="1">
      <alignment horizontal="center"/>
    </xf>
    <xf numFmtId="2" fontId="0" fillId="0" borderId="2" xfId="0" applyNumberFormat="1" applyBorder="1"/>
    <xf numFmtId="0" fontId="0" fillId="0" borderId="4" xfId="0" applyBorder="1" applyAlignment="1">
      <alignment horizontal="center"/>
    </xf>
    <xf numFmtId="0" fontId="15" fillId="0" borderId="4" xfId="0" applyFont="1" applyBorder="1" applyAlignment="1">
      <alignment horizontal="left"/>
    </xf>
    <xf numFmtId="0" fontId="16" fillId="0" borderId="0" xfId="0" applyFont="1" applyAlignment="1">
      <alignment horizontal="left" indent="2"/>
    </xf>
    <xf numFmtId="9" fontId="0" fillId="0" borderId="0" xfId="4" applyFont="1"/>
    <xf numFmtId="2" fontId="0" fillId="0" borderId="0" xfId="4" applyNumberFormat="1" applyFont="1" applyAlignment="1">
      <alignment horizontal="center"/>
    </xf>
  </cellXfs>
  <cellStyles count="5">
    <cellStyle name="Comma" xfId="1" builtinId="3"/>
    <cellStyle name="Normal" xfId="0" builtinId="0"/>
    <cellStyle name="Normal_Criticality List" xfId="3" xr:uid="{CD60B5F1-9E82-4060-A18D-622685B9E89F}"/>
    <cellStyle name="Normal_List" xfId="2" xr:uid="{50C84B0F-BB66-4EC6-8FED-884B79444978}"/>
    <cellStyle name="Percent" xfId="4" builtinId="5"/>
  </cellStyles>
  <dxfs count="2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production\Shared\WATER%20Wastewater%20Reuse%20Treatment\30137%20WWW%20Assets%20&amp;%20Reliability\Lift%20Station%20Generators%20and%20Ponies%202017%20-%202025.xlsx" TargetMode="External"/><Relationship Id="rId1" Type="http://schemas.openxmlformats.org/officeDocument/2006/relationships/externalLinkPath" Target="/production/Shared/WATER%20Wastewater%20Reuse%20Treatment/30137%20WWW%20Assets%20&amp;%20Reliability/Lift%20Station%20Generators%20and%20Ponies%202017%20-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Gen Pony Odor"/>
      <sheetName val="Odor"/>
      <sheetName val="By Class"/>
      <sheetName val="Flow Coverage"/>
      <sheetName val="Craig Eval"/>
      <sheetName val="Jacob Eval"/>
      <sheetName val="Jacobs Low Point"/>
      <sheetName val="Pivots"/>
      <sheetName val="Sheet2"/>
      <sheetName val="Sheet1"/>
      <sheetName val="Lundeen"/>
      <sheetName val="VFDs"/>
      <sheetName val="Lift Station Type"/>
      <sheetName val="Jacobs Critical Facility"/>
      <sheetName val="Service Improvements"/>
      <sheetName val="8 18 Coor Changes"/>
      <sheetName val="The Plan 8 15 18"/>
      <sheetName val="Odor Control"/>
      <sheetName val="Zip Codes"/>
      <sheetName val="Condition Assessment 1 17"/>
      <sheetName val="eAM 4 18"/>
      <sheetName val="2018 Pony Bid List original"/>
      <sheetName val="2018 Pony Bid List final"/>
      <sheetName val="New Restoration Ranking"/>
      <sheetName val="Facility List 2"/>
      <sheetName val="GIS PS 4 18"/>
      <sheetName val="Column Definitions"/>
      <sheetName val="FY19 Facility Replace List"/>
      <sheetName val="2018 Gens Bid List"/>
      <sheetName val="Historic Costs"/>
      <sheetName val="Irma SSOs"/>
      <sheetName val="Power Out Irma"/>
      <sheetName val="2017 Generator Install List"/>
      <sheetName val="Flooded Irma"/>
      <sheetName val="Electric Supplier + Circuits"/>
      <sheetName val="100 Rental Loc Coord 2017"/>
      <sheetName val="Lat Long"/>
      <sheetName val="County"/>
      <sheetName val="Date Install GIS"/>
      <sheetName val="Installed per FY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LS Number</v>
          </cell>
          <cell r="B1" t="str">
            <v>PumpstationName</v>
          </cell>
          <cell r="C1" t="str">
            <v>ADF
(kGPD)</v>
          </cell>
          <cell r="D1" t="str">
            <v>Storage
kGAL</v>
          </cell>
          <cell r="E1" t="str">
            <v>Lowest Manhole
(FT EL)</v>
          </cell>
          <cell r="F1" t="str">
            <v>Low Point in Basin
(Manhole GIS ID or Wetwell)</v>
          </cell>
          <cell r="G1" t="str">
            <v>Plant</v>
          </cell>
          <cell r="H1" t="str">
            <v>SFR</v>
          </cell>
          <cell r="I1" t="str">
            <v>MFR</v>
          </cell>
          <cell r="J1" t="str">
            <v>CII</v>
          </cell>
          <cell r="K1" t="str">
            <v>ADF Hold Time
(hours)</v>
          </cell>
          <cell r="M1" t="str">
            <v>PHF
(GPM)</v>
          </cell>
        </row>
        <row r="2">
          <cell r="A2" t="str">
            <v>LS-001814</v>
          </cell>
          <cell r="B2" t="str">
            <v>Perimeter Ind Pk Rd - 4301</v>
          </cell>
          <cell r="C2">
            <v>0.271437086488239</v>
          </cell>
          <cell r="D2">
            <v>25.376999999999999</v>
          </cell>
          <cell r="G2" t="str">
            <v>Buckman</v>
          </cell>
          <cell r="K2">
            <v>2243.7906620633798</v>
          </cell>
          <cell r="M2">
            <v>0.83975829083431996</v>
          </cell>
        </row>
        <row r="3">
          <cell r="A3" t="str">
            <v>BPS-001950</v>
          </cell>
          <cell r="B3" t="str">
            <v>San Clerc Rd - 4241B</v>
          </cell>
          <cell r="C3">
            <v>24.143567258974301</v>
          </cell>
          <cell r="D3">
            <v>8.1010000000000009</v>
          </cell>
          <cell r="G3" t="str">
            <v>Arlington-East</v>
          </cell>
          <cell r="K3">
            <v>8.0528282301668295</v>
          </cell>
          <cell r="M3">
            <v>69.028725821523395</v>
          </cell>
        </row>
        <row r="4">
          <cell r="A4" t="str">
            <v>LS-000045</v>
          </cell>
          <cell r="B4" t="str">
            <v>118th St - 5104</v>
          </cell>
          <cell r="C4">
            <v>125.295045957364</v>
          </cell>
          <cell r="D4">
            <v>1139.3030000000001</v>
          </cell>
          <cell r="G4" t="str">
            <v>Southwest</v>
          </cell>
          <cell r="K4">
            <v>218.23107043916599</v>
          </cell>
          <cell r="M4">
            <v>324.95972699908299</v>
          </cell>
        </row>
        <row r="5">
          <cell r="A5" t="str">
            <v>LS-004034</v>
          </cell>
          <cell r="B5" t="str">
            <v>Patriot Ridge Rd - 2079</v>
          </cell>
          <cell r="C5">
            <v>0.80928167157112996</v>
          </cell>
          <cell r="D5">
            <v>5.4909999999999997</v>
          </cell>
          <cell r="G5" t="str">
            <v>Southwest</v>
          </cell>
          <cell r="K5">
            <v>162.84070754272199</v>
          </cell>
          <cell r="M5">
            <v>2.4857402902341099</v>
          </cell>
        </row>
        <row r="6">
          <cell r="A6" t="str">
            <v>LS-004075</v>
          </cell>
          <cell r="B6" t="str">
            <v>PAVENS CREEK DR - 9996</v>
          </cell>
          <cell r="C6">
            <v>1.16914239474715</v>
          </cell>
          <cell r="D6">
            <v>15.585000000000001</v>
          </cell>
          <cell r="G6" t="str">
            <v>Southwest</v>
          </cell>
          <cell r="K6">
            <v>319.92681274798201</v>
          </cell>
          <cell r="M6">
            <v>3.5787766627471198</v>
          </cell>
        </row>
        <row r="7">
          <cell r="A7" t="str">
            <v>LS-000738</v>
          </cell>
          <cell r="B7" t="str">
            <v>4807 Ducheneau Dr</v>
          </cell>
          <cell r="C7">
            <v>11.911592597350401</v>
          </cell>
          <cell r="D7">
            <v>69.421000000000006</v>
          </cell>
          <cell r="G7" t="str">
            <v>Buckman</v>
          </cell>
          <cell r="K7">
            <v>139.87248022322501</v>
          </cell>
          <cell r="M7">
            <v>34.924100129206899</v>
          </cell>
        </row>
        <row r="8">
          <cell r="A8" t="str">
            <v>LS-000495</v>
          </cell>
          <cell r="B8" t="str">
            <v>Burnt Mill Rd - 10828</v>
          </cell>
          <cell r="C8">
            <v>154.10905785999401</v>
          </cell>
          <cell r="D8">
            <v>751.38099999999997</v>
          </cell>
          <cell r="G8" t="str">
            <v>Arlington-East</v>
          </cell>
          <cell r="K8">
            <v>117.015471059351</v>
          </cell>
          <cell r="M8">
            <v>392.87521658024701</v>
          </cell>
        </row>
        <row r="9">
          <cell r="A9" t="str">
            <v>LS-000060</v>
          </cell>
          <cell r="B9" t="str">
            <v>Abess Bv - 12733</v>
          </cell>
          <cell r="C9">
            <v>355.41003752261599</v>
          </cell>
          <cell r="D9">
            <v>234.75700000000001</v>
          </cell>
          <cell r="G9" t="str">
            <v>Arlington-East</v>
          </cell>
          <cell r="K9">
            <v>15.852585479219799</v>
          </cell>
          <cell r="M9">
            <v>833.93895687558302</v>
          </cell>
        </row>
        <row r="10">
          <cell r="A10" t="str">
            <v>LS-002215</v>
          </cell>
          <cell r="B10" t="str">
            <v>Sub Chaser Ct - 4602</v>
          </cell>
          <cell r="C10">
            <v>0.55214734345580796</v>
          </cell>
          <cell r="D10">
            <v>17.140999999999998</v>
          </cell>
          <cell r="G10" t="str">
            <v>Southwest</v>
          </cell>
          <cell r="K10">
            <v>745.06199273768004</v>
          </cell>
          <cell r="M10">
            <v>1.70098479327186</v>
          </cell>
        </row>
        <row r="11">
          <cell r="A11" t="str">
            <v>LS-000899</v>
          </cell>
          <cell r="B11" t="str">
            <v>Forshee Dr - 7973</v>
          </cell>
          <cell r="C11">
            <v>14.1344842166364</v>
          </cell>
          <cell r="D11">
            <v>24.850999999999999</v>
          </cell>
          <cell r="G11" t="str">
            <v>Buckman</v>
          </cell>
          <cell r="K11">
            <v>42.196375252094803</v>
          </cell>
          <cell r="M11">
            <v>41.2186985355413</v>
          </cell>
        </row>
        <row r="12">
          <cell r="A12" t="str">
            <v>LS-000365</v>
          </cell>
          <cell r="B12" t="str">
            <v>Beach Bv - 9801</v>
          </cell>
          <cell r="C12">
            <v>47.849863921677603</v>
          </cell>
          <cell r="D12">
            <v>52.781999999999996</v>
          </cell>
          <cell r="G12" t="str">
            <v>Arlington-East</v>
          </cell>
          <cell r="K12">
            <v>26.4738056951111</v>
          </cell>
          <cell r="M12">
            <v>132.38363121680899</v>
          </cell>
        </row>
        <row r="13">
          <cell r="A13" t="str">
            <v>LS-000244</v>
          </cell>
          <cell r="B13" t="str">
            <v>Bay Harbour Dr - 4568</v>
          </cell>
          <cell r="C13">
            <v>107.757244320702</v>
          </cell>
          <cell r="D13">
            <v>184.285</v>
          </cell>
          <cell r="G13" t="str">
            <v>Arlington-East</v>
          </cell>
          <cell r="K13">
            <v>41.044479448982003</v>
          </cell>
          <cell r="M13">
            <v>282.77643952747798</v>
          </cell>
        </row>
        <row r="14">
          <cell r="A14" t="str">
            <v>LS-002190</v>
          </cell>
          <cell r="B14" t="str">
            <v>Stanford Rd - 5621</v>
          </cell>
          <cell r="C14">
            <v>73.666100215617206</v>
          </cell>
          <cell r="D14">
            <v>20.111999999999998</v>
          </cell>
          <cell r="G14" t="str">
            <v>Buckman</v>
          </cell>
          <cell r="K14">
            <v>6.5523761755705197</v>
          </cell>
          <cell r="M14">
            <v>198.574780071606</v>
          </cell>
        </row>
        <row r="15">
          <cell r="A15" t="str">
            <v>LS-001807</v>
          </cell>
          <cell r="B15" t="str">
            <v>Presidents Ct - 1201</v>
          </cell>
          <cell r="C15">
            <v>1.5885286168456301</v>
          </cell>
          <cell r="D15">
            <v>31.353000000000002</v>
          </cell>
          <cell r="G15" t="str">
            <v>Buckman</v>
          </cell>
          <cell r="K15">
            <v>473.69118316180999</v>
          </cell>
          <cell r="M15">
            <v>4.8462108708663703</v>
          </cell>
        </row>
        <row r="16">
          <cell r="A16" t="str">
            <v>LS-002012</v>
          </cell>
          <cell r="B16" t="str">
            <v>Sandusky Av S - 8808</v>
          </cell>
          <cell r="C16">
            <v>18.268396054613302</v>
          </cell>
          <cell r="D16">
            <v>23.771000000000001</v>
          </cell>
          <cell r="G16" t="str">
            <v>Arlington-East</v>
          </cell>
          <cell r="K16">
            <v>31.229014210907199</v>
          </cell>
          <cell r="M16">
            <v>52.802207307097497</v>
          </cell>
        </row>
        <row r="17">
          <cell r="A17" t="str">
            <v>LS-001349</v>
          </cell>
          <cell r="B17" t="str">
            <v>Lofberg Dr - 2588</v>
          </cell>
          <cell r="C17">
            <v>58.537795287401501</v>
          </cell>
          <cell r="D17">
            <v>53.655999999999999</v>
          </cell>
          <cell r="G17" t="str">
            <v>Buckman</v>
          </cell>
          <cell r="K17">
            <v>21.998505302046301</v>
          </cell>
          <cell r="M17">
            <v>160.08577247537201</v>
          </cell>
        </row>
        <row r="18">
          <cell r="A18" t="str">
            <v>LS-000119</v>
          </cell>
          <cell r="B18" t="str">
            <v>Argyle Forest Bv - 8104</v>
          </cell>
          <cell r="C18">
            <v>369.83447335766402</v>
          </cell>
          <cell r="D18">
            <v>104.76300000000001</v>
          </cell>
          <cell r="G18" t="str">
            <v>Southwest</v>
          </cell>
          <cell r="K18">
            <v>6.7984792687739102</v>
          </cell>
          <cell r="M18">
            <v>863.87783547556205</v>
          </cell>
        </row>
        <row r="19">
          <cell r="A19" t="str">
            <v>LS-001089</v>
          </cell>
          <cell r="B19" t="str">
            <v>Hodges Bv - 1705</v>
          </cell>
          <cell r="C19">
            <v>232.51310470902999</v>
          </cell>
          <cell r="D19">
            <v>143.089</v>
          </cell>
          <cell r="G19" t="str">
            <v>Arlington-East</v>
          </cell>
          <cell r="K19">
            <v>14.769644938067101</v>
          </cell>
          <cell r="M19">
            <v>570.62767659602798</v>
          </cell>
        </row>
        <row r="20">
          <cell r="A20" t="str">
            <v>LS-000005</v>
          </cell>
          <cell r="B20" t="str">
            <v>32nd St E - 94</v>
          </cell>
          <cell r="C20">
            <v>131.570511916817</v>
          </cell>
          <cell r="D20">
            <v>1437.4939999999999</v>
          </cell>
          <cell r="G20" t="str">
            <v>Buckman</v>
          </cell>
          <cell r="K20">
            <v>262.21571610067201</v>
          </cell>
          <cell r="M20">
            <v>339.89130628671501</v>
          </cell>
        </row>
        <row r="21">
          <cell r="A21" t="str">
            <v>LS-001445</v>
          </cell>
          <cell r="B21" t="str">
            <v>Merchant Wy - 8446</v>
          </cell>
          <cell r="C21">
            <v>12.963419435863999</v>
          </cell>
          <cell r="D21">
            <v>37.143999999999998</v>
          </cell>
          <cell r="G21" t="str">
            <v>Southwest</v>
          </cell>
          <cell r="K21">
            <v>68.767041320420304</v>
          </cell>
          <cell r="M21">
            <v>37.9087672180383</v>
          </cell>
        </row>
        <row r="22">
          <cell r="A22" t="str">
            <v>LS-000904</v>
          </cell>
          <cell r="B22" t="str">
            <v>Fouraker Rd - 3710</v>
          </cell>
          <cell r="C22">
            <v>1.4851327080563601</v>
          </cell>
          <cell r="D22">
            <v>16.539000000000001</v>
          </cell>
          <cell r="G22" t="str">
            <v>Southwest</v>
          </cell>
          <cell r="K22">
            <v>267.273084652134</v>
          </cell>
          <cell r="M22">
            <v>4.5343163316141997</v>
          </cell>
        </row>
        <row r="23">
          <cell r="A23" t="str">
            <v>LS-002294</v>
          </cell>
          <cell r="B23" t="str">
            <v>Towncenter Py - 4522</v>
          </cell>
          <cell r="C23">
            <v>92.405375322280307</v>
          </cell>
          <cell r="D23">
            <v>727.52700000000004</v>
          </cell>
          <cell r="G23" t="str">
            <v>Arlington-East</v>
          </cell>
          <cell r="K23">
            <v>188.95705946870399</v>
          </cell>
          <cell r="M23">
            <v>245.24990119875599</v>
          </cell>
        </row>
        <row r="24">
          <cell r="A24" t="str">
            <v>LS-000575</v>
          </cell>
          <cell r="B24" t="str">
            <v>Chuck Wagon Tl - 15361</v>
          </cell>
          <cell r="C24">
            <v>25.8514007795469</v>
          </cell>
          <cell r="D24">
            <v>121.60299999999999</v>
          </cell>
          <cell r="G24" t="str">
            <v>Southwest</v>
          </cell>
          <cell r="K24">
            <v>112.894153198423</v>
          </cell>
          <cell r="M24">
            <v>73.699562690622102</v>
          </cell>
        </row>
        <row r="25">
          <cell r="A25" t="str">
            <v>LS-000018</v>
          </cell>
          <cell r="B25" t="str">
            <v>AC Skinner Py - 7200</v>
          </cell>
          <cell r="C25">
            <v>243.66513088386199</v>
          </cell>
          <cell r="D25">
            <v>215.43799999999999</v>
          </cell>
          <cell r="G25" t="str">
            <v>Arlington-East</v>
          </cell>
          <cell r="K25">
            <v>21.219745234965199</v>
          </cell>
          <cell r="M25">
            <v>595.210108947761</v>
          </cell>
        </row>
        <row r="26">
          <cell r="A26" t="str">
            <v>LS-000081</v>
          </cell>
          <cell r="B26" t="str">
            <v>Alachua Av - 7039</v>
          </cell>
          <cell r="C26">
            <v>394.77684759268499</v>
          </cell>
          <cell r="D26">
            <v>48.378</v>
          </cell>
          <cell r="G26" t="str">
            <v>Southwest</v>
          </cell>
          <cell r="K26">
            <v>2.9410843292359199</v>
          </cell>
          <cell r="M26">
            <v>915.23508076352903</v>
          </cell>
        </row>
        <row r="27">
          <cell r="A27" t="str">
            <v>LS-001101</v>
          </cell>
          <cell r="B27" t="str">
            <v>Home Park Cr E - 2230</v>
          </cell>
          <cell r="C27">
            <v>1.82899830792679</v>
          </cell>
          <cell r="D27">
            <v>7.5019999999999998</v>
          </cell>
          <cell r="G27" t="str">
            <v>Buckman</v>
          </cell>
          <cell r="K27">
            <v>98.440769037172203</v>
          </cell>
          <cell r="M27">
            <v>5.5702329921930502</v>
          </cell>
        </row>
        <row r="28">
          <cell r="A28" t="str">
            <v>LS-000422</v>
          </cell>
          <cell r="B28" t="str">
            <v>Blanding Bv - 8151</v>
          </cell>
          <cell r="C28">
            <v>2.1241225771294201</v>
          </cell>
          <cell r="D28">
            <v>18.428999999999998</v>
          </cell>
          <cell r="G28" t="str">
            <v>Southwest</v>
          </cell>
          <cell r="K28">
            <v>208.22527134838299</v>
          </cell>
          <cell r="M28">
            <v>6.4563847936863104</v>
          </cell>
        </row>
        <row r="29">
          <cell r="A29" t="str">
            <v>LS-001444</v>
          </cell>
          <cell r="B29" t="str">
            <v>Mercer Cr S - 2200</v>
          </cell>
          <cell r="C29">
            <v>17.2711171192446</v>
          </cell>
          <cell r="D29">
            <v>15.359</v>
          </cell>
          <cell r="G29" t="str">
            <v>Buckman</v>
          </cell>
          <cell r="K29">
            <v>21.3429158898624</v>
          </cell>
          <cell r="M29">
            <v>50.0213239291636</v>
          </cell>
        </row>
        <row r="30">
          <cell r="A30" t="str">
            <v>LS-000420</v>
          </cell>
          <cell r="B30" t="str">
            <v>Blanding Bv - 7703</v>
          </cell>
          <cell r="C30">
            <v>272.75367632279102</v>
          </cell>
          <cell r="D30">
            <v>67.064999999999998</v>
          </cell>
          <cell r="G30" t="str">
            <v>Southwest</v>
          </cell>
          <cell r="K30">
            <v>5.9011486910085198</v>
          </cell>
          <cell r="M30">
            <v>658.62573139623498</v>
          </cell>
        </row>
        <row r="31">
          <cell r="A31" t="str">
            <v>LS-002104</v>
          </cell>
          <cell r="B31" t="str">
            <v>Southside Bv - 7133</v>
          </cell>
          <cell r="C31">
            <v>303.49373878731001</v>
          </cell>
          <cell r="D31">
            <v>247.99600000000001</v>
          </cell>
          <cell r="G31" t="str">
            <v>Arlington-East</v>
          </cell>
          <cell r="K31">
            <v>19.611290907622699</v>
          </cell>
          <cell r="M31">
            <v>724.61856239296401</v>
          </cell>
        </row>
        <row r="32">
          <cell r="A32" t="str">
            <v>LS-000947</v>
          </cell>
          <cell r="B32" t="str">
            <v>Gilchrist Rd - 5772</v>
          </cell>
          <cell r="C32">
            <v>1.8021236746053899</v>
          </cell>
          <cell r="D32">
            <v>8.34</v>
          </cell>
          <cell r="G32" t="str">
            <v>Buckman</v>
          </cell>
          <cell r="K32">
            <v>111.068958707193</v>
          </cell>
          <cell r="M32">
            <v>5.4894080519877297</v>
          </cell>
        </row>
        <row r="33">
          <cell r="A33" t="str">
            <v>LS-001090</v>
          </cell>
          <cell r="B33" t="str">
            <v>Hodges Bv - 2003</v>
          </cell>
          <cell r="C33">
            <v>9.8196997737192095</v>
          </cell>
          <cell r="D33">
            <v>94.06</v>
          </cell>
          <cell r="G33" t="str">
            <v>Arlington-East</v>
          </cell>
          <cell r="K33">
            <v>229.88890210693199</v>
          </cell>
          <cell r="M33">
            <v>28.952611043987201</v>
          </cell>
        </row>
        <row r="34">
          <cell r="A34" t="str">
            <v>LS-000047</v>
          </cell>
          <cell r="B34" t="str">
            <v>118th St - 5823</v>
          </cell>
          <cell r="C34">
            <v>39.761230000237198</v>
          </cell>
          <cell r="D34">
            <v>210.131</v>
          </cell>
          <cell r="G34" t="str">
            <v>Southwest</v>
          </cell>
          <cell r="K34">
            <v>126.83571408555299</v>
          </cell>
          <cell r="M34">
            <v>111.09368047772</v>
          </cell>
        </row>
        <row r="35">
          <cell r="A35" t="str">
            <v>LS-000419</v>
          </cell>
          <cell r="B35" t="str">
            <v>Blanding Bv - 7200</v>
          </cell>
          <cell r="C35">
            <v>2.0090293441926699</v>
          </cell>
          <cell r="D35">
            <v>10.789</v>
          </cell>
          <cell r="G35" t="str">
            <v>Southwest</v>
          </cell>
          <cell r="K35">
            <v>128.88612142400299</v>
          </cell>
          <cell r="M35">
            <v>6.1111068250409701</v>
          </cell>
        </row>
        <row r="36">
          <cell r="A36" t="str">
            <v>LS-004000</v>
          </cell>
          <cell r="B36" t="str">
            <v>LONGLEAF BRANCH DR - 7326</v>
          </cell>
          <cell r="C36">
            <v>14.7074402244225</v>
          </cell>
          <cell r="D36">
            <v>57.908000000000001</v>
          </cell>
          <cell r="G36" t="str">
            <v>Southwest</v>
          </cell>
          <cell r="K36">
            <v>94.495845557962895</v>
          </cell>
          <cell r="M36">
            <v>42.833304113703299</v>
          </cell>
        </row>
        <row r="37">
          <cell r="A37" t="str">
            <v>LS-004016</v>
          </cell>
          <cell r="B37" t="str">
            <v>Nogal Ln - 13376</v>
          </cell>
          <cell r="C37">
            <v>6.3085824430775697</v>
          </cell>
          <cell r="D37">
            <v>93.921999999999997</v>
          </cell>
          <cell r="G37" t="str">
            <v>Arlington-East</v>
          </cell>
          <cell r="K37">
            <v>357.31133267085397</v>
          </cell>
          <cell r="M37">
            <v>18.808389668401102</v>
          </cell>
        </row>
        <row r="38">
          <cell r="A38" t="str">
            <v>LS-000002</v>
          </cell>
          <cell r="B38" t="str">
            <v>2580 1st St W</v>
          </cell>
          <cell r="C38">
            <v>0.77233629352703403</v>
          </cell>
          <cell r="D38">
            <v>2.6379999999999999</v>
          </cell>
          <cell r="G38" t="str">
            <v>Buckman</v>
          </cell>
          <cell r="K38">
            <v>81.974653438688705</v>
          </cell>
          <cell r="M38">
            <v>2.3731941104533298</v>
          </cell>
        </row>
        <row r="39">
          <cell r="A39" t="str">
            <v>LS-000370</v>
          </cell>
          <cell r="B39" t="str">
            <v>Belfort Oaks Pl - 6868</v>
          </cell>
          <cell r="C39">
            <v>134.0148646003</v>
          </cell>
          <cell r="D39">
            <v>109.944</v>
          </cell>
          <cell r="G39" t="str">
            <v>Arlington-East</v>
          </cell>
          <cell r="K39">
            <v>19.6892785577914</v>
          </cell>
          <cell r="M39">
            <v>345.68535155831199</v>
          </cell>
        </row>
        <row r="40">
          <cell r="A40" t="str">
            <v>LS-000691</v>
          </cell>
          <cell r="B40" t="str">
            <v>Dawsons Creek - 7839</v>
          </cell>
          <cell r="C40">
            <v>4.1712600592456202</v>
          </cell>
          <cell r="D40">
            <v>10.808999999999999</v>
          </cell>
          <cell r="G40" t="str">
            <v>Southwest</v>
          </cell>
          <cell r="K40">
            <v>62.191279449240596</v>
          </cell>
          <cell r="M40">
            <v>12.5426728674611</v>
          </cell>
        </row>
        <row r="41">
          <cell r="A41" t="str">
            <v>LS-000542</v>
          </cell>
          <cell r="B41" t="str">
            <v>Centurion Py - 7621</v>
          </cell>
          <cell r="C41">
            <v>48.228228742880702</v>
          </cell>
          <cell r="D41">
            <v>46.441000000000003</v>
          </cell>
          <cell r="G41" t="str">
            <v>Arlington-East</v>
          </cell>
          <cell r="K41">
            <v>23.1106144482765</v>
          </cell>
          <cell r="M41">
            <v>133.37232529450301</v>
          </cell>
        </row>
        <row r="42">
          <cell r="A42" t="str">
            <v>LS-000978</v>
          </cell>
          <cell r="B42" t="str">
            <v>Granville Rd - 1058</v>
          </cell>
          <cell r="C42">
            <v>18.594835591649801</v>
          </cell>
          <cell r="D42">
            <v>8.1829999999999998</v>
          </cell>
          <cell r="G42" t="str">
            <v>Southwest</v>
          </cell>
          <cell r="K42">
            <v>10.561642184574699</v>
          </cell>
          <cell r="M42">
            <v>53.710701276105603</v>
          </cell>
        </row>
        <row r="43">
          <cell r="A43" t="str">
            <v>LS-004038</v>
          </cell>
          <cell r="B43" t="str">
            <v>YORK ST - 2301</v>
          </cell>
          <cell r="C43">
            <v>0.286016028053306</v>
          </cell>
          <cell r="D43">
            <v>3.871</v>
          </cell>
          <cell r="G43" t="str">
            <v>Buckman</v>
          </cell>
          <cell r="K43">
            <v>324.82095717616602</v>
          </cell>
          <cell r="M43">
            <v>0.88462810923870006</v>
          </cell>
        </row>
        <row r="44">
          <cell r="A44" t="str">
            <v>LS-001654</v>
          </cell>
          <cell r="B44" t="str">
            <v>Ortega Hills Dr - 4959</v>
          </cell>
          <cell r="C44">
            <v>32.979861426937298</v>
          </cell>
          <cell r="D44">
            <v>10.378</v>
          </cell>
          <cell r="G44" t="str">
            <v>Southwest</v>
          </cell>
          <cell r="K44">
            <v>7.5522451952015404</v>
          </cell>
          <cell r="M44">
            <v>92.998406943875295</v>
          </cell>
        </row>
        <row r="45">
          <cell r="A45" t="str">
            <v>LS-002394</v>
          </cell>
          <cell r="B45" t="str">
            <v>Water St - 604</v>
          </cell>
          <cell r="C45">
            <v>227.51733441325399</v>
          </cell>
          <cell r="D45">
            <v>415.863</v>
          </cell>
          <cell r="G45" t="str">
            <v>Buckman</v>
          </cell>
          <cell r="K45">
            <v>43.867919012585801</v>
          </cell>
          <cell r="M45">
            <v>559.56430696808604</v>
          </cell>
        </row>
        <row r="46">
          <cell r="A46" t="str">
            <v>LS-002403</v>
          </cell>
          <cell r="B46" t="str">
            <v>Wellington Springs Wy - 10452</v>
          </cell>
          <cell r="C46">
            <v>2.9160568684091199</v>
          </cell>
          <cell r="D46">
            <v>18.777999999999999</v>
          </cell>
          <cell r="G46" t="str">
            <v>Southwest</v>
          </cell>
          <cell r="K46">
            <v>154.54842629522099</v>
          </cell>
          <cell r="M46">
            <v>8.8224867724421596</v>
          </cell>
        </row>
        <row r="47">
          <cell r="A47" t="str">
            <v>LS-001356</v>
          </cell>
          <cell r="B47" t="str">
            <v>Long Bow Rd - 4797</v>
          </cell>
          <cell r="C47">
            <v>42.637353423353701</v>
          </cell>
          <cell r="D47">
            <v>52.302999999999997</v>
          </cell>
          <cell r="G47" t="str">
            <v>Southwest</v>
          </cell>
          <cell r="K47">
            <v>29.440664094138</v>
          </cell>
          <cell r="M47">
            <v>118.698515486424</v>
          </cell>
        </row>
        <row r="48">
          <cell r="A48" t="str">
            <v>LS-001400</v>
          </cell>
          <cell r="B48" t="str">
            <v>Marathon Py - 5689</v>
          </cell>
          <cell r="C48">
            <v>38.102979282438902</v>
          </cell>
          <cell r="D48">
            <v>24.613</v>
          </cell>
          <cell r="G48" t="str">
            <v>Southwest</v>
          </cell>
          <cell r="K48">
            <v>15.503039686774599</v>
          </cell>
          <cell r="M48">
            <v>106.690742266105</v>
          </cell>
        </row>
        <row r="49">
          <cell r="A49" t="str">
            <v>LS-000878</v>
          </cell>
          <cell r="B49" t="str">
            <v>Firetower Rd - 8570</v>
          </cell>
          <cell r="C49">
            <v>3.70076666761158</v>
          </cell>
          <cell r="D49">
            <v>15.563000000000001</v>
          </cell>
          <cell r="G49" t="str">
            <v>Southwest</v>
          </cell>
          <cell r="K49">
            <v>100.928276097196</v>
          </cell>
          <cell r="M49">
            <v>11.152149608279</v>
          </cell>
        </row>
        <row r="50">
          <cell r="A50" t="str">
            <v>LS-001462</v>
          </cell>
          <cell r="B50" t="str">
            <v>Millcoe Rd - 1400</v>
          </cell>
          <cell r="C50">
            <v>0.31790943631023699</v>
          </cell>
          <cell r="D50">
            <v>13.747999999999999</v>
          </cell>
          <cell r="G50" t="str">
            <v>Arlington-East</v>
          </cell>
          <cell r="K50">
            <v>1037.8804851769501</v>
          </cell>
          <cell r="M50">
            <v>0.98272655825247102</v>
          </cell>
        </row>
        <row r="51">
          <cell r="A51" t="str">
            <v>LS-000645</v>
          </cell>
          <cell r="B51" t="str">
            <v>Craven Rd W - 4425</v>
          </cell>
          <cell r="C51">
            <v>5.5175070611244701</v>
          </cell>
          <cell r="D51">
            <v>58.359000000000002</v>
          </cell>
          <cell r="G51" t="str">
            <v>Arlington-East</v>
          </cell>
          <cell r="K51">
            <v>253.84942592435101</v>
          </cell>
          <cell r="M51">
            <v>16.498373245272401</v>
          </cell>
        </row>
        <row r="52">
          <cell r="A52" t="str">
            <v>LS-001558</v>
          </cell>
          <cell r="B52" t="str">
            <v>New World Av - 5589</v>
          </cell>
          <cell r="C52">
            <v>4.1510361649796597</v>
          </cell>
          <cell r="D52">
            <v>92.337000000000003</v>
          </cell>
          <cell r="G52" t="str">
            <v>Southwest</v>
          </cell>
          <cell r="K52">
            <v>533.863814219711</v>
          </cell>
          <cell r="M52">
            <v>12.482993052287901</v>
          </cell>
        </row>
        <row r="53">
          <cell r="A53" t="str">
            <v>LS-001458</v>
          </cell>
          <cell r="B53" t="str">
            <v>937 Mikael Av</v>
          </cell>
          <cell r="C53">
            <v>8.7387082746334794</v>
          </cell>
          <cell r="D53">
            <v>35.384999999999998</v>
          </cell>
          <cell r="G53" t="str">
            <v>Buckman</v>
          </cell>
          <cell r="K53">
            <v>97.181410948933305</v>
          </cell>
          <cell r="M53">
            <v>25.846786873561499</v>
          </cell>
        </row>
        <row r="54">
          <cell r="A54" t="str">
            <v>LS-003906</v>
          </cell>
          <cell r="B54" t="str">
            <v>103rd St - 7544</v>
          </cell>
          <cell r="C54">
            <v>150.975326823687</v>
          </cell>
          <cell r="D54">
            <v>778.50199999999995</v>
          </cell>
          <cell r="G54" t="str">
            <v>Southwest</v>
          </cell>
          <cell r="K54">
            <v>123.75563870657901</v>
          </cell>
          <cell r="M54">
            <v>385.565765152035</v>
          </cell>
        </row>
        <row r="55">
          <cell r="A55" t="str">
            <v>LS-001950</v>
          </cell>
          <cell r="B55" t="str">
            <v>San Clerc Rd - 4241C</v>
          </cell>
          <cell r="C55">
            <v>37.318470778472999</v>
          </cell>
          <cell r="D55">
            <v>169.56399999999999</v>
          </cell>
          <cell r="G55" t="str">
            <v>Arlington-East</v>
          </cell>
          <cell r="K55">
            <v>109.048841367516</v>
          </cell>
          <cell r="M55">
            <v>104.60292695072501</v>
          </cell>
        </row>
        <row r="56">
          <cell r="A56" t="str">
            <v>LS-001261</v>
          </cell>
          <cell r="B56" t="str">
            <v>Lane Av S - 1973</v>
          </cell>
          <cell r="C56">
            <v>2.5234855845822302</v>
          </cell>
          <cell r="D56">
            <v>22.428999999999998</v>
          </cell>
          <cell r="G56" t="str">
            <v>Southwest</v>
          </cell>
          <cell r="K56">
            <v>213.31447395175701</v>
          </cell>
          <cell r="M56">
            <v>7.6516136286283798</v>
          </cell>
        </row>
        <row r="57">
          <cell r="A57" t="str">
            <v>LS-001673</v>
          </cell>
          <cell r="B57" t="str">
            <v>Panther Creek Py - 11182</v>
          </cell>
          <cell r="C57">
            <v>11.923379272381499</v>
          </cell>
          <cell r="D57">
            <v>87.763999999999996</v>
          </cell>
          <cell r="G57" t="str">
            <v>Southwest</v>
          </cell>
          <cell r="K57">
            <v>176.65595900979</v>
          </cell>
          <cell r="M57">
            <v>34.957609858415701</v>
          </cell>
        </row>
        <row r="58">
          <cell r="A58" t="str">
            <v>LS-000249</v>
          </cell>
          <cell r="B58" t="str">
            <v>Bayleaf Dr - 8751</v>
          </cell>
          <cell r="C58">
            <v>119.108552755909</v>
          </cell>
          <cell r="D58">
            <v>122.889</v>
          </cell>
          <cell r="G58" t="str">
            <v>Arlington-East</v>
          </cell>
          <cell r="K58">
            <v>24.761748268775701</v>
          </cell>
          <cell r="M58">
            <v>310.15799138963098</v>
          </cell>
        </row>
        <row r="59">
          <cell r="A59" t="str">
            <v>LS-000777</v>
          </cell>
          <cell r="B59" t="str">
            <v>Eagle Nature Tr - 5020</v>
          </cell>
          <cell r="C59">
            <v>0.48544015864819201</v>
          </cell>
          <cell r="D59">
            <v>10.663</v>
          </cell>
          <cell r="G59" t="str">
            <v>Southwest</v>
          </cell>
          <cell r="K59">
            <v>527.17517378998798</v>
          </cell>
          <cell r="M59">
            <v>1.49680058125011</v>
          </cell>
        </row>
        <row r="60">
          <cell r="A60" t="str">
            <v>LS-002030</v>
          </cell>
          <cell r="B60" t="str">
            <v>Secret Woods Tl - 7263</v>
          </cell>
          <cell r="C60">
            <v>23.3276526206627</v>
          </cell>
          <cell r="D60">
            <v>28.686</v>
          </cell>
          <cell r="G60" t="str">
            <v>Buckman</v>
          </cell>
          <cell r="K60">
            <v>29.512785156539302</v>
          </cell>
          <cell r="M60">
            <v>66.790273146751602</v>
          </cell>
        </row>
        <row r="61">
          <cell r="A61" t="str">
            <v>LS-001087</v>
          </cell>
          <cell r="B61" t="str">
            <v>Hilsdale Rd - 8051</v>
          </cell>
          <cell r="C61">
            <v>8.7005617321080795</v>
          </cell>
          <cell r="D61">
            <v>27.39</v>
          </cell>
          <cell r="G61" t="str">
            <v>Buckman</v>
          </cell>
          <cell r="K61">
            <v>75.5537424180458</v>
          </cell>
          <cell r="M61">
            <v>25.736920942201198</v>
          </cell>
        </row>
        <row r="62">
          <cell r="A62" t="str">
            <v>LS-001617</v>
          </cell>
          <cell r="B62" t="str">
            <v>Oakleaf Plantation Py - 800</v>
          </cell>
          <cell r="C62">
            <v>8.9771863175400508</v>
          </cell>
          <cell r="D62">
            <v>39.942999999999998</v>
          </cell>
          <cell r="G62" t="str">
            <v>Southwest</v>
          </cell>
          <cell r="K62">
            <v>106.785351901072</v>
          </cell>
          <cell r="M62">
            <v>26.533209136019199</v>
          </cell>
        </row>
        <row r="63">
          <cell r="A63" t="str">
            <v>LS-001615</v>
          </cell>
          <cell r="B63" t="str">
            <v>Oakleaf Plantation Py - 573</v>
          </cell>
          <cell r="C63">
            <v>21.622460046619299</v>
          </cell>
          <cell r="D63">
            <v>61.128</v>
          </cell>
          <cell r="G63" t="str">
            <v>Southwest</v>
          </cell>
          <cell r="K63">
            <v>67.849448991322305</v>
          </cell>
          <cell r="M63">
            <v>62.0969817542206</v>
          </cell>
        </row>
        <row r="64">
          <cell r="A64" t="str">
            <v>LS-001784</v>
          </cell>
          <cell r="B64" t="str">
            <v>4616 Plymouth St</v>
          </cell>
          <cell r="C64">
            <v>77.190344042436394</v>
          </cell>
          <cell r="D64">
            <v>128.273</v>
          </cell>
          <cell r="G64" t="str">
            <v>Buckman</v>
          </cell>
          <cell r="K64">
            <v>39.882604983694897</v>
          </cell>
          <cell r="M64">
            <v>207.43228655881401</v>
          </cell>
        </row>
        <row r="65">
          <cell r="A65" t="str">
            <v>LS-002308</v>
          </cell>
          <cell r="B65" t="str">
            <v>Tropic Egret Dr - 13383</v>
          </cell>
          <cell r="C65">
            <v>367.86285038818897</v>
          </cell>
          <cell r="D65">
            <v>29.353999999999999</v>
          </cell>
          <cell r="G65" t="str">
            <v>Arlington-East</v>
          </cell>
          <cell r="K65">
            <v>1.91510504324255</v>
          </cell>
          <cell r="M65">
            <v>859.79613967706405</v>
          </cell>
        </row>
        <row r="66">
          <cell r="A66" t="str">
            <v>LS-001432</v>
          </cell>
          <cell r="B66" t="str">
            <v>McGirts Point Bv - 1895</v>
          </cell>
          <cell r="C66">
            <v>14.142869925565501</v>
          </cell>
          <cell r="D66">
            <v>65.554000000000002</v>
          </cell>
          <cell r="G66" t="str">
            <v>Southwest</v>
          </cell>
          <cell r="K66">
            <v>111.243050970582</v>
          </cell>
          <cell r="M66">
            <v>41.242352105891399</v>
          </cell>
        </row>
        <row r="67">
          <cell r="A67" t="str">
            <v>LS-001938</v>
          </cell>
          <cell r="B67" t="str">
            <v>Salisbury Rd - 3650</v>
          </cell>
          <cell r="C67">
            <v>7.7742060476863504</v>
          </cell>
          <cell r="D67">
            <v>22.431000000000001</v>
          </cell>
          <cell r="G67" t="str">
            <v>Buckman</v>
          </cell>
          <cell r="K67">
            <v>69.247457129106394</v>
          </cell>
          <cell r="M67">
            <v>23.063089762617199</v>
          </cell>
        </row>
        <row r="68">
          <cell r="A68" t="str">
            <v>LS-002028</v>
          </cell>
          <cell r="B68" t="str">
            <v>1009 Seba St</v>
          </cell>
          <cell r="C68">
            <v>4.3592839962314898</v>
          </cell>
          <cell r="D68">
            <v>6.8109999999999999</v>
          </cell>
          <cell r="G68" t="str">
            <v>Buckman</v>
          </cell>
          <cell r="K68">
            <v>37.497901063870003</v>
          </cell>
          <cell r="M68">
            <v>13.097143380298499</v>
          </cell>
        </row>
        <row r="69">
          <cell r="A69" t="str">
            <v>LS-001370</v>
          </cell>
          <cell r="B69" t="str">
            <v>Lothmore Rd - 11038</v>
          </cell>
          <cell r="C69">
            <v>8.9433795095787101</v>
          </cell>
          <cell r="D69">
            <v>40.761000000000003</v>
          </cell>
          <cell r="G69" t="str">
            <v>Southwest</v>
          </cell>
          <cell r="K69">
            <v>109.38415382599401</v>
          </cell>
          <cell r="M69">
            <v>26.435945144440399</v>
          </cell>
        </row>
        <row r="70">
          <cell r="A70" t="str">
            <v>LS-000549</v>
          </cell>
          <cell r="B70" t="str">
            <v>Chaffee Rd S - 281</v>
          </cell>
          <cell r="C70">
            <v>2.6287621471868401</v>
          </cell>
          <cell r="D70">
            <v>5.1289999999999996</v>
          </cell>
          <cell r="G70" t="str">
            <v>Southwest</v>
          </cell>
          <cell r="K70">
            <v>46.826602449267199</v>
          </cell>
          <cell r="M70">
            <v>7.9659865952065303</v>
          </cell>
        </row>
        <row r="71">
          <cell r="A71" t="str">
            <v>LS-000961</v>
          </cell>
          <cell r="B71" t="str">
            <v>Golden Bamboo Dr - 8235</v>
          </cell>
          <cell r="C71">
            <v>10.278561233756999</v>
          </cell>
          <cell r="D71">
            <v>29.765999999999998</v>
          </cell>
          <cell r="G71" t="str">
            <v>Buckman</v>
          </cell>
          <cell r="K71">
            <v>69.502334398107195</v>
          </cell>
          <cell r="M71">
            <v>30.2667170534862</v>
          </cell>
        </row>
        <row r="72">
          <cell r="A72" t="str">
            <v>LS-000738</v>
          </cell>
          <cell r="B72" t="str">
            <v>Ducheneau Dr - 4807</v>
          </cell>
          <cell r="C72">
            <v>79.4106173156691</v>
          </cell>
          <cell r="D72">
            <v>69.421000000000006</v>
          </cell>
          <cell r="G72" t="str">
            <v>Southwest</v>
          </cell>
          <cell r="K72">
            <v>20.980872033483699</v>
          </cell>
          <cell r="M72">
            <v>212.992862780568</v>
          </cell>
        </row>
        <row r="73">
          <cell r="A73" t="str">
            <v>LS-000568</v>
          </cell>
          <cell r="B73" t="str">
            <v>Cheswick Oak Av - 336</v>
          </cell>
          <cell r="C73">
            <v>17.543618014333699</v>
          </cell>
          <cell r="D73">
            <v>46.247</v>
          </cell>
          <cell r="G73" t="str">
            <v>Southwest</v>
          </cell>
          <cell r="K73">
            <v>63.266767384763597</v>
          </cell>
          <cell r="M73">
            <v>50.782005209632999</v>
          </cell>
        </row>
        <row r="74">
          <cell r="A74" t="str">
            <v>LS-001799</v>
          </cell>
          <cell r="B74" t="str">
            <v>Portsmouth Av - 4508</v>
          </cell>
          <cell r="C74">
            <v>3.0250667527518198</v>
          </cell>
          <cell r="D74">
            <v>56.673999999999999</v>
          </cell>
          <cell r="G74" t="str">
            <v>Buckman</v>
          </cell>
          <cell r="K74">
            <v>449.635036569916</v>
          </cell>
          <cell r="M74">
            <v>9.1469516869074194</v>
          </cell>
        </row>
        <row r="75">
          <cell r="A75" t="str">
            <v>LS-000602</v>
          </cell>
          <cell r="B75" t="str">
            <v>Collins Rd - 5096</v>
          </cell>
          <cell r="C75">
            <v>32.344897809483399</v>
          </cell>
          <cell r="D75">
            <v>43.3</v>
          </cell>
          <cell r="G75" t="str">
            <v>Southwest</v>
          </cell>
          <cell r="K75">
            <v>32.1287148941095</v>
          </cell>
          <cell r="M75">
            <v>91.291491835968799</v>
          </cell>
        </row>
        <row r="76">
          <cell r="A76" t="str">
            <v>LS-000603</v>
          </cell>
          <cell r="B76" t="str">
            <v>Collins Rd - 5540</v>
          </cell>
          <cell r="C76">
            <v>128.398224633963</v>
          </cell>
          <cell r="D76">
            <v>81.135999999999996</v>
          </cell>
          <cell r="G76" t="str">
            <v>Southwest</v>
          </cell>
          <cell r="K76">
            <v>15.165817171937199</v>
          </cell>
          <cell r="M76">
            <v>332.35355052814498</v>
          </cell>
        </row>
        <row r="77">
          <cell r="A77" t="str">
            <v>LS-000979</v>
          </cell>
          <cell r="B77" t="str">
            <v>Grayfield Dr - 6500</v>
          </cell>
          <cell r="C77">
            <v>64.423688060106699</v>
          </cell>
          <cell r="D77">
            <v>37.762</v>
          </cell>
          <cell r="G77" t="str">
            <v>Southwest</v>
          </cell>
          <cell r="K77">
            <v>14.0676205800953</v>
          </cell>
          <cell r="M77">
            <v>175.154637540507</v>
          </cell>
        </row>
        <row r="78">
          <cell r="A78" t="str">
            <v>LS-000707</v>
          </cell>
          <cell r="B78" t="str">
            <v>Deerwood Park Bv - 10440</v>
          </cell>
          <cell r="C78">
            <v>5.6154151098227398</v>
          </cell>
          <cell r="D78">
            <v>101.91200000000001</v>
          </cell>
          <cell r="G78" t="str">
            <v>Arlington-East</v>
          </cell>
          <cell r="K78">
            <v>435.566730538147</v>
          </cell>
          <cell r="M78">
            <v>16.784823292248699</v>
          </cell>
        </row>
        <row r="79">
          <cell r="A79" t="str">
            <v>LS-004044</v>
          </cell>
          <cell r="B79" t="str">
            <v>Steventon Wy - 7257</v>
          </cell>
          <cell r="C79">
            <v>5.3339415992635697</v>
          </cell>
          <cell r="D79">
            <v>10.99</v>
          </cell>
          <cell r="G79" t="str">
            <v>Southwest</v>
          </cell>
          <cell r="K79">
            <v>49.449360307284898</v>
          </cell>
          <cell r="M79">
            <v>15.9608829589118</v>
          </cell>
        </row>
        <row r="80">
          <cell r="A80" t="str">
            <v>LS-001559</v>
          </cell>
          <cell r="B80" t="str">
            <v>New World Av - 5987</v>
          </cell>
          <cell r="C80">
            <v>1.0429803505142099</v>
          </cell>
          <cell r="D80">
            <v>66.757999999999996</v>
          </cell>
          <cell r="G80" t="str">
            <v>Southwest</v>
          </cell>
          <cell r="K80">
            <v>1536.1670037312699</v>
          </cell>
          <cell r="M80">
            <v>3.1962017756005401</v>
          </cell>
        </row>
        <row r="81">
          <cell r="A81" t="str">
            <v>LS-002061</v>
          </cell>
          <cell r="B81" t="str">
            <v>Sibbald Rd - 9344</v>
          </cell>
          <cell r="C81">
            <v>12.083209811214999</v>
          </cell>
          <cell r="D81">
            <v>44.259</v>
          </cell>
          <cell r="G81" t="str">
            <v>Buckman</v>
          </cell>
          <cell r="K81">
            <v>87.908429680175402</v>
          </cell>
          <cell r="M81">
            <v>35.411866061003302</v>
          </cell>
        </row>
        <row r="82">
          <cell r="A82" t="str">
            <v>LS-000034</v>
          </cell>
          <cell r="B82" t="str">
            <v>103rd St - 9380</v>
          </cell>
          <cell r="C82">
            <v>17.857269987343301</v>
          </cell>
          <cell r="D82">
            <v>38.540999999999997</v>
          </cell>
          <cell r="G82" t="str">
            <v>Southwest</v>
          </cell>
          <cell r="K82">
            <v>51.798735229718702</v>
          </cell>
          <cell r="M82">
            <v>51.656791567022303</v>
          </cell>
        </row>
        <row r="83">
          <cell r="A83" t="str">
            <v>LS-001100</v>
          </cell>
          <cell r="B83" t="str">
            <v>Homard Bv N - 10220</v>
          </cell>
          <cell r="C83">
            <v>7.1636271897648696</v>
          </cell>
          <cell r="D83">
            <v>19.103999999999999</v>
          </cell>
          <cell r="G83" t="str">
            <v>Arlington-East</v>
          </cell>
          <cell r="K83">
            <v>64.003330694690803</v>
          </cell>
          <cell r="M83">
            <v>21.294350982069801</v>
          </cell>
        </row>
        <row r="84">
          <cell r="A84" t="str">
            <v>LS-000256</v>
          </cell>
          <cell r="B84" t="str">
            <v>Baymeadows Rd - 9247</v>
          </cell>
          <cell r="C84">
            <v>185.315873324481</v>
          </cell>
          <cell r="D84">
            <v>79.643000000000001</v>
          </cell>
          <cell r="G84" t="str">
            <v>Arlington-East</v>
          </cell>
          <cell r="K84">
            <v>10.3144537254677</v>
          </cell>
          <cell r="M84">
            <v>464.744309264462</v>
          </cell>
        </row>
        <row r="85">
          <cell r="A85" t="str">
            <v>LS-001818</v>
          </cell>
          <cell r="B85" t="str">
            <v>Purcell Dr - 579</v>
          </cell>
          <cell r="C85">
            <v>15.909617177825</v>
          </cell>
          <cell r="D85">
            <v>53.415999999999997</v>
          </cell>
          <cell r="G85" t="str">
            <v>Southwest</v>
          </cell>
          <cell r="K85">
            <v>80.579185889327505</v>
          </cell>
          <cell r="M85">
            <v>46.211212631738299</v>
          </cell>
        </row>
        <row r="86">
          <cell r="A86" t="str">
            <v>LS-001683</v>
          </cell>
          <cell r="B86" t="str">
            <v>4815 Park St</v>
          </cell>
          <cell r="C86">
            <v>10.129762823046899</v>
          </cell>
          <cell r="D86">
            <v>16.943000000000001</v>
          </cell>
          <cell r="G86" t="str">
            <v>Buckman</v>
          </cell>
          <cell r="K86">
            <v>40.142302154878202</v>
          </cell>
          <cell r="M86">
            <v>29.8408525061663</v>
          </cell>
        </row>
        <row r="87">
          <cell r="A87" t="str">
            <v>LS-001341</v>
          </cell>
          <cell r="B87" t="str">
            <v>Lewis Industrial Dr - 2010</v>
          </cell>
          <cell r="C87">
            <v>12.7234385743308</v>
          </cell>
          <cell r="D87">
            <v>29.698</v>
          </cell>
          <cell r="G87" t="str">
            <v>Buckman</v>
          </cell>
          <cell r="K87">
            <v>56.018818799342199</v>
          </cell>
          <cell r="M87">
            <v>37.228797946132701</v>
          </cell>
        </row>
        <row r="88">
          <cell r="A88" t="str">
            <v>LS-000007</v>
          </cell>
          <cell r="B88" t="str">
            <v>45th St W - 1646</v>
          </cell>
          <cell r="C88">
            <v>25.946152315935699</v>
          </cell>
          <cell r="D88">
            <v>7.3040000000000003</v>
          </cell>
          <cell r="G88" t="str">
            <v>Buckman</v>
          </cell>
          <cell r="K88">
            <v>6.7561462626709403</v>
          </cell>
          <cell r="M88">
            <v>73.958138315203101</v>
          </cell>
        </row>
        <row r="89">
          <cell r="A89" t="str">
            <v>LS-001477</v>
          </cell>
          <cell r="B89" t="str">
            <v>Moncrief Rd W - 5447</v>
          </cell>
          <cell r="C89">
            <v>5.3124748615174404</v>
          </cell>
          <cell r="D89">
            <v>22.553000000000001</v>
          </cell>
          <cell r="G89" t="str">
            <v>Buckman</v>
          </cell>
          <cell r="K89">
            <v>101.886976241689</v>
          </cell>
          <cell r="M89">
            <v>15.897989922447501</v>
          </cell>
        </row>
        <row r="90">
          <cell r="A90" t="str">
            <v>LS-001973</v>
          </cell>
          <cell r="B90" t="str">
            <v>San Jose Bv - 5000</v>
          </cell>
          <cell r="C90">
            <v>5.1329773781543899</v>
          </cell>
          <cell r="D90">
            <v>13.866</v>
          </cell>
          <cell r="G90" t="str">
            <v>Buckman</v>
          </cell>
          <cell r="K90">
            <v>64.832547561247097</v>
          </cell>
          <cell r="M90">
            <v>15.3717909608421</v>
          </cell>
        </row>
        <row r="91">
          <cell r="A91" t="str">
            <v>LS-001775</v>
          </cell>
          <cell r="B91" t="str">
            <v>Plantation Oaks Bv - 4191</v>
          </cell>
          <cell r="C91">
            <v>47.740287128378803</v>
          </cell>
          <cell r="D91">
            <v>23.103999999999999</v>
          </cell>
          <cell r="G91" t="str">
            <v>Southwest</v>
          </cell>
          <cell r="K91">
            <v>11.614844261596099</v>
          </cell>
          <cell r="M91">
            <v>132.09718400777899</v>
          </cell>
        </row>
        <row r="92">
          <cell r="A92" t="str">
            <v>LS-001923</v>
          </cell>
          <cell r="B92" t="str">
            <v>Round Table Rd - 5867</v>
          </cell>
          <cell r="C92">
            <v>17.460256812847</v>
          </cell>
          <cell r="D92">
            <v>66.259</v>
          </cell>
          <cell r="G92" t="str">
            <v>Buckman</v>
          </cell>
          <cell r="K92">
            <v>91.076323621422404</v>
          </cell>
          <cell r="M92">
            <v>50.549370059652901</v>
          </cell>
        </row>
        <row r="93">
          <cell r="A93" t="str">
            <v>LS-000856</v>
          </cell>
          <cell r="B93" t="str">
            <v>Falcon St - 7961</v>
          </cell>
          <cell r="C93">
            <v>6.3715105339392002</v>
          </cell>
          <cell r="D93">
            <v>25.45</v>
          </cell>
          <cell r="G93" t="str">
            <v>Southwest</v>
          </cell>
          <cell r="K93">
            <v>95.864237647641701</v>
          </cell>
          <cell r="M93">
            <v>18.9917214307834</v>
          </cell>
        </row>
        <row r="94">
          <cell r="A94" t="str">
            <v>LS-001904</v>
          </cell>
          <cell r="B94" t="str">
            <v>RocRoc Ln - 2523</v>
          </cell>
          <cell r="C94">
            <v>9.7406640686185693</v>
          </cell>
          <cell r="D94">
            <v>61.209000000000003</v>
          </cell>
          <cell r="G94" t="str">
            <v>Southwest</v>
          </cell>
          <cell r="K94">
            <v>150.81271560659999</v>
          </cell>
          <cell r="M94">
            <v>28.7260143297271</v>
          </cell>
        </row>
        <row r="95">
          <cell r="A95" t="str">
            <v>LS-000593</v>
          </cell>
          <cell r="B95" t="str">
            <v>Clyde Dr - 4618</v>
          </cell>
          <cell r="C95">
            <v>41.110311010384898</v>
          </cell>
          <cell r="D95">
            <v>98.040999999999997</v>
          </cell>
          <cell r="G95" t="str">
            <v>Buckman</v>
          </cell>
          <cell r="K95">
            <v>57.235859865074097</v>
          </cell>
          <cell r="M95">
            <v>114.665754753465</v>
          </cell>
        </row>
        <row r="96">
          <cell r="A96" t="str">
            <v>LS-000702</v>
          </cell>
          <cell r="B96" t="str">
            <v>Deerfield Point Dr - 3231</v>
          </cell>
          <cell r="C96">
            <v>22.807538911603899</v>
          </cell>
          <cell r="D96">
            <v>56.164000000000001</v>
          </cell>
          <cell r="G96" t="str">
            <v>Southwest</v>
          </cell>
          <cell r="K96">
            <v>59.100458196048798</v>
          </cell>
          <cell r="M96">
            <v>65.360930864576702</v>
          </cell>
        </row>
        <row r="97">
          <cell r="A97" t="str">
            <v>LS-002133</v>
          </cell>
          <cell r="B97" t="str">
            <v>Springtree Rd - 8431</v>
          </cell>
          <cell r="C97">
            <v>140.19862935795399</v>
          </cell>
          <cell r="D97">
            <v>16.033999999999999</v>
          </cell>
          <cell r="G97" t="str">
            <v>Southwest</v>
          </cell>
          <cell r="K97">
            <v>2.7447914559670301</v>
          </cell>
          <cell r="M97">
            <v>360.28989753259799</v>
          </cell>
        </row>
        <row r="98">
          <cell r="A98" t="str">
            <v>LS-000900</v>
          </cell>
          <cell r="B98" t="str">
            <v>Fort Milton Dr - 65</v>
          </cell>
          <cell r="C98">
            <v>8.7529442161647601</v>
          </cell>
          <cell r="D98">
            <v>38.924999999999997</v>
          </cell>
          <cell r="G98" t="str">
            <v>Buckman</v>
          </cell>
          <cell r="K98">
            <v>106.72980164488401</v>
          </cell>
          <cell r="M98">
            <v>25.8877830783691</v>
          </cell>
        </row>
        <row r="99">
          <cell r="A99" t="str">
            <v>LS-001850</v>
          </cell>
          <cell r="B99" t="str">
            <v>Redstone Dr - 4941</v>
          </cell>
          <cell r="C99">
            <v>136.00189265615899</v>
          </cell>
          <cell r="D99">
            <v>37.722999999999999</v>
          </cell>
          <cell r="G99" t="str">
            <v>Southwest</v>
          </cell>
          <cell r="K99">
            <v>6.6569073585535996</v>
          </cell>
          <cell r="M99">
            <v>350.38649058134098</v>
          </cell>
        </row>
        <row r="100">
          <cell r="A100" t="str">
            <v>LS-002243</v>
          </cell>
          <cell r="B100" t="str">
            <v>Sutton Park Dr N - 13825</v>
          </cell>
          <cell r="C100">
            <v>176.78176862589601</v>
          </cell>
          <cell r="D100">
            <v>176.30600000000001</v>
          </cell>
          <cell r="G100" t="str">
            <v>Arlington-East</v>
          </cell>
          <cell r="K100">
            <v>23.9354093631359</v>
          </cell>
          <cell r="M100">
            <v>445.24970877021099</v>
          </cell>
        </row>
        <row r="101">
          <cell r="A101" t="str">
            <v>LS-001880</v>
          </cell>
          <cell r="B101" t="str">
            <v>Ridge Glen Dr - 3282</v>
          </cell>
          <cell r="C101">
            <v>13.5827595729164</v>
          </cell>
          <cell r="D101">
            <v>68.512</v>
          </cell>
          <cell r="G101" t="str">
            <v>Buckman</v>
          </cell>
          <cell r="K101">
            <v>121.056990751619</v>
          </cell>
          <cell r="M101">
            <v>39.660961642313801</v>
          </cell>
        </row>
        <row r="102">
          <cell r="A102" t="str">
            <v>LS-000496</v>
          </cell>
          <cell r="B102" t="str">
            <v>Burnt Mill Rd - 11201</v>
          </cell>
          <cell r="C102">
            <v>57.949590614581403</v>
          </cell>
          <cell r="D102">
            <v>152.57599999999999</v>
          </cell>
          <cell r="G102" t="str">
            <v>Arlington-East</v>
          </cell>
          <cell r="K102">
            <v>63.189816548567698</v>
          </cell>
          <cell r="M102">
            <v>158.572881474864</v>
          </cell>
        </row>
        <row r="103">
          <cell r="A103" t="str">
            <v>LS-000915</v>
          </cell>
          <cell r="B103" t="str">
            <v>Ft Caroline Rd - 10797</v>
          </cell>
          <cell r="C103">
            <v>367.48198267491398</v>
          </cell>
          <cell r="D103">
            <v>34.808999999999997</v>
          </cell>
          <cell r="G103" t="str">
            <v>Arlington-East</v>
          </cell>
          <cell r="K103">
            <v>2.2733522713657401</v>
          </cell>
          <cell r="M103">
            <v>859.00727850685701</v>
          </cell>
        </row>
        <row r="104">
          <cell r="A104" t="str">
            <v>LS-000306</v>
          </cell>
          <cell r="B104" t="str">
            <v>Beach Bv - 3651</v>
          </cell>
          <cell r="C104">
            <v>5.8654556447805097</v>
          </cell>
          <cell r="D104">
            <v>14.05</v>
          </cell>
          <cell r="G104" t="str">
            <v>Buckman</v>
          </cell>
          <cell r="K104">
            <v>57.489139876126103</v>
          </cell>
          <cell r="M104">
            <v>17.515653903811401</v>
          </cell>
        </row>
        <row r="105">
          <cell r="A105" t="str">
            <v>LS-002318</v>
          </cell>
          <cell r="B105" t="str">
            <v>Tyson Lake Dr - 2335</v>
          </cell>
          <cell r="C105">
            <v>84.834387601377003</v>
          </cell>
          <cell r="D105">
            <v>127.892</v>
          </cell>
          <cell r="G105" t="str">
            <v>Southwest</v>
          </cell>
          <cell r="K105">
            <v>36.181177076713801</v>
          </cell>
          <cell r="M105">
            <v>226.51476226468799</v>
          </cell>
        </row>
        <row r="106">
          <cell r="A106" t="str">
            <v>LS-000558</v>
          </cell>
          <cell r="B106" t="str">
            <v>Chandler Oaks Dr - 1114</v>
          </cell>
          <cell r="C106">
            <v>23.064013743452399</v>
          </cell>
          <cell r="D106">
            <v>82.251999999999995</v>
          </cell>
          <cell r="G106" t="str">
            <v>Southwest</v>
          </cell>
          <cell r="K106">
            <v>85.589959404200002</v>
          </cell>
          <cell r="M106">
            <v>66.065995566922098</v>
          </cell>
        </row>
        <row r="107">
          <cell r="A107" t="str">
            <v>LS-001004</v>
          </cell>
          <cell r="B107" t="str">
            <v>Hamlet Glen Dr - 10374</v>
          </cell>
          <cell r="C107">
            <v>10.016080329388201</v>
          </cell>
          <cell r="D107">
            <v>53.976999999999997</v>
          </cell>
          <cell r="G107" t="str">
            <v>Southwest</v>
          </cell>
          <cell r="K107">
            <v>129.33682212981199</v>
          </cell>
          <cell r="M107">
            <v>29.515316360749001</v>
          </cell>
        </row>
        <row r="108">
          <cell r="A108" t="str">
            <v>LS-001199</v>
          </cell>
          <cell r="B108" t="str">
            <v>Kirkpatrick Dr - 3601</v>
          </cell>
          <cell r="C108">
            <v>16.6530948859522</v>
          </cell>
          <cell r="D108">
            <v>40.634</v>
          </cell>
          <cell r="G108" t="str">
            <v>Southwest</v>
          </cell>
          <cell r="K108">
            <v>58.560646335033397</v>
          </cell>
          <cell r="M108">
            <v>48.293795329539797</v>
          </cell>
        </row>
        <row r="109">
          <cell r="A109" t="str">
            <v>LS-002203</v>
          </cell>
          <cell r="B109" t="str">
            <v>Stonebriar Ridge Rd - 3156</v>
          </cell>
          <cell r="C109">
            <v>37.1848918699799</v>
          </cell>
          <cell r="D109">
            <v>72.968000000000004</v>
          </cell>
          <cell r="G109" t="str">
            <v>Southwest</v>
          </cell>
          <cell r="K109">
            <v>47.095255947585599</v>
          </cell>
          <cell r="M109">
            <v>104.247120285732</v>
          </cell>
        </row>
        <row r="110">
          <cell r="A110" t="str">
            <v>LS-001936</v>
          </cell>
          <cell r="B110" t="str">
            <v>Sage Willow Wy - 6132</v>
          </cell>
          <cell r="C110">
            <v>2.65020379322781</v>
          </cell>
          <cell r="D110">
            <v>15.335000000000001</v>
          </cell>
          <cell r="G110" t="str">
            <v>Southwest</v>
          </cell>
          <cell r="K110">
            <v>138.87233915386801</v>
          </cell>
          <cell r="M110">
            <v>8.0299802860791498</v>
          </cell>
        </row>
        <row r="111">
          <cell r="A111" t="str">
            <v>LS-001454</v>
          </cell>
          <cell r="B111" t="str">
            <v>Merrimac Av - 4401</v>
          </cell>
          <cell r="C111">
            <v>3.39328317643586</v>
          </cell>
          <cell r="D111">
            <v>5.2830000000000004</v>
          </cell>
          <cell r="G111" t="str">
            <v>Buckman</v>
          </cell>
          <cell r="K111">
            <v>37.3655817706249</v>
          </cell>
          <cell r="M111">
            <v>10.2409131662354</v>
          </cell>
        </row>
        <row r="112">
          <cell r="A112" t="str">
            <v>LS-001870</v>
          </cell>
          <cell r="B112" t="str">
            <v>Richardson Rd - 7443</v>
          </cell>
          <cell r="C112">
            <v>0.14167768749356999</v>
          </cell>
          <cell r="D112">
            <v>1.32</v>
          </cell>
          <cell r="G112" t="str">
            <v>Buckman</v>
          </cell>
          <cell r="K112">
            <v>223.60613418000401</v>
          </cell>
          <cell r="M112">
            <v>0.43953258785661398</v>
          </cell>
        </row>
        <row r="113">
          <cell r="A113" t="str">
            <v>LS-002299</v>
          </cell>
          <cell r="B113" t="str">
            <v>Townsend Rd - 6210</v>
          </cell>
          <cell r="C113">
            <v>7.33035598589648</v>
          </cell>
          <cell r="D113">
            <v>49.145000000000003</v>
          </cell>
          <cell r="G113" t="str">
            <v>Southwest</v>
          </cell>
          <cell r="K113">
            <v>160.903508952267</v>
          </cell>
          <cell r="M113">
            <v>21.7778542832834</v>
          </cell>
        </row>
        <row r="114">
          <cell r="A114" t="str">
            <v>LS-000996</v>
          </cell>
          <cell r="B114" t="str">
            <v>Grosvner Square Dr - 1332</v>
          </cell>
          <cell r="C114">
            <v>0.56449802349665701</v>
          </cell>
          <cell r="D114">
            <v>6.0789999999999997</v>
          </cell>
          <cell r="G114" t="str">
            <v>Buckman</v>
          </cell>
          <cell r="K114">
            <v>258.45263212133102</v>
          </cell>
          <cell r="M114">
            <v>1.7387600006317501</v>
          </cell>
        </row>
        <row r="115">
          <cell r="A115" t="str">
            <v>LS-001424</v>
          </cell>
          <cell r="B115" t="str">
            <v>McCormick Rd - 11803</v>
          </cell>
          <cell r="C115">
            <v>7.8019611573335004</v>
          </cell>
          <cell r="D115">
            <v>3.7429999999999999</v>
          </cell>
          <cell r="G115" t="str">
            <v>Arlington-East</v>
          </cell>
          <cell r="K115">
            <v>11.5140280999171</v>
          </cell>
          <cell r="M115">
            <v>23.143368531157002</v>
          </cell>
        </row>
        <row r="116">
          <cell r="A116" t="str">
            <v>LS-000605</v>
          </cell>
          <cell r="B116" t="str">
            <v>Collins Rd - 5620</v>
          </cell>
          <cell r="C116">
            <v>47.8656112133541</v>
          </cell>
          <cell r="D116">
            <v>49.99</v>
          </cell>
          <cell r="G116" t="str">
            <v>Southwest</v>
          </cell>
          <cell r="K116">
            <v>25.065176639074799</v>
          </cell>
          <cell r="M116">
            <v>132.42479231043899</v>
          </cell>
        </row>
        <row r="117">
          <cell r="A117" t="str">
            <v>LS-000604</v>
          </cell>
          <cell r="B117" t="str">
            <v>Collins Rd - 5604</v>
          </cell>
          <cell r="C117">
            <v>2.8755701819603199</v>
          </cell>
          <cell r="D117">
            <v>9.0530000000000008</v>
          </cell>
          <cell r="G117" t="str">
            <v>Southwest</v>
          </cell>
          <cell r="K117">
            <v>75.557884611212103</v>
          </cell>
          <cell r="M117">
            <v>8.7019073162779002</v>
          </cell>
        </row>
        <row r="118">
          <cell r="A118" t="str">
            <v>LS-001778</v>
          </cell>
          <cell r="B118" t="str">
            <v>Plum Hollow Dr - 10613</v>
          </cell>
          <cell r="C118">
            <v>29.745878281354202</v>
          </cell>
          <cell r="D118">
            <v>171.05600000000001</v>
          </cell>
          <cell r="G118" t="str">
            <v>Southwest</v>
          </cell>
          <cell r="K118">
            <v>138.013877457886</v>
          </cell>
          <cell r="M118">
            <v>84.280782455280601</v>
          </cell>
        </row>
        <row r="119">
          <cell r="A119" t="str">
            <v>LS-002052</v>
          </cell>
          <cell r="B119" t="str">
            <v>Shindler Dr - 5490</v>
          </cell>
          <cell r="C119">
            <v>2.2486849428525599</v>
          </cell>
          <cell r="D119">
            <v>10.896000000000001</v>
          </cell>
          <cell r="G119" t="str">
            <v>Southwest</v>
          </cell>
          <cell r="K119">
            <v>116.291969148986</v>
          </cell>
          <cell r="M119">
            <v>6.8296459664867202</v>
          </cell>
        </row>
        <row r="120">
          <cell r="A120" t="str">
            <v>LS-002216</v>
          </cell>
          <cell r="B120" t="str">
            <v>Sudbury Av - 3737</v>
          </cell>
          <cell r="C120">
            <v>14.6990848733425</v>
          </cell>
          <cell r="D120">
            <v>64.974999999999994</v>
          </cell>
          <cell r="G120" t="str">
            <v>Southwest</v>
          </cell>
          <cell r="K120">
            <v>106.088237018622</v>
          </cell>
          <cell r="M120">
            <v>42.809780666862302</v>
          </cell>
        </row>
        <row r="121">
          <cell r="A121" t="str">
            <v>LS-000118</v>
          </cell>
          <cell r="B121" t="str">
            <v>Argyle Forest Bv - 7663</v>
          </cell>
          <cell r="C121">
            <v>137.57444724262501</v>
          </cell>
          <cell r="D121">
            <v>22.797999999999998</v>
          </cell>
          <cell r="G121" t="str">
            <v>Southwest</v>
          </cell>
          <cell r="K121">
            <v>3.97713391524697</v>
          </cell>
          <cell r="M121">
            <v>354.10144610058398</v>
          </cell>
        </row>
        <row r="122">
          <cell r="A122" t="str">
            <v>LS-002254</v>
          </cell>
          <cell r="B122" t="str">
            <v>Talleyrand Av - 2446</v>
          </cell>
          <cell r="C122">
            <v>13.0461823530394</v>
          </cell>
          <cell r="D122">
            <v>362.94400000000002</v>
          </cell>
          <cell r="G122" t="str">
            <v>Buckman</v>
          </cell>
          <cell r="K122">
            <v>667.67854106919299</v>
          </cell>
          <cell r="M122">
            <v>38.143135471261402</v>
          </cell>
        </row>
        <row r="123">
          <cell r="A123" t="str">
            <v>LS-001185</v>
          </cell>
          <cell r="B123" t="str">
            <v>Kernan Bv S - 3431</v>
          </cell>
          <cell r="C123">
            <v>128.153734435247</v>
          </cell>
          <cell r="D123">
            <v>291.92599999999999</v>
          </cell>
          <cell r="G123" t="str">
            <v>Arlington-East</v>
          </cell>
          <cell r="K123">
            <v>54.670463025329099</v>
          </cell>
          <cell r="M123">
            <v>331.771746101914</v>
          </cell>
        </row>
        <row r="124">
          <cell r="A124" t="str">
            <v>LS-000110</v>
          </cell>
          <cell r="B124" t="str">
            <v>Arbor Breeze Wy - 8825</v>
          </cell>
          <cell r="C124">
            <v>4.32502283477743</v>
          </cell>
          <cell r="D124">
            <v>23.277999999999999</v>
          </cell>
          <cell r="G124" t="str">
            <v>Southwest</v>
          </cell>
          <cell r="K124">
            <v>129.17203477117599</v>
          </cell>
          <cell r="M124">
            <v>12.9961601208097</v>
          </cell>
        </row>
        <row r="125">
          <cell r="A125" t="str">
            <v>LS-001616</v>
          </cell>
          <cell r="B125" t="str">
            <v>Oakleaf Plantation Py - 785</v>
          </cell>
          <cell r="C125">
            <v>24.782694137167599</v>
          </cell>
          <cell r="D125">
            <v>44.445999999999998</v>
          </cell>
          <cell r="G125" t="str">
            <v>Southwest</v>
          </cell>
          <cell r="K125">
            <v>43.042293710925499</v>
          </cell>
          <cell r="M125">
            <v>70.778986892868701</v>
          </cell>
        </row>
        <row r="126">
          <cell r="A126" t="str">
            <v>LS-002053</v>
          </cell>
          <cell r="B126" t="str">
            <v>Shindler Dr - 6915</v>
          </cell>
          <cell r="C126">
            <v>15.8827638770625</v>
          </cell>
          <cell r="D126">
            <v>22.771000000000001</v>
          </cell>
          <cell r="G126" t="str">
            <v>Southwest</v>
          </cell>
          <cell r="K126">
            <v>34.408620831368602</v>
          </cell>
          <cell r="M126">
            <v>46.135901897027097</v>
          </cell>
        </row>
        <row r="127">
          <cell r="A127" t="str">
            <v>LS-000019</v>
          </cell>
          <cell r="B127" t="str">
            <v>101st St - 5640</v>
          </cell>
          <cell r="C127">
            <v>16.416712558636799</v>
          </cell>
          <cell r="D127">
            <v>27.324000000000002</v>
          </cell>
          <cell r="G127" t="str">
            <v>Southwest</v>
          </cell>
          <cell r="K127">
            <v>39.945634526871103</v>
          </cell>
          <cell r="M127">
            <v>47.632179664385298</v>
          </cell>
        </row>
        <row r="128">
          <cell r="A128" t="str">
            <v>LS-000857</v>
          </cell>
          <cell r="B128" t="str">
            <v>Falkland Rd - 1531</v>
          </cell>
          <cell r="C128">
            <v>25.565898437128801</v>
          </cell>
          <cell r="D128">
            <v>75.197000000000003</v>
          </cell>
          <cell r="G128" t="str">
            <v>Southwest</v>
          </cell>
          <cell r="K128">
            <v>70.591221522613495</v>
          </cell>
          <cell r="M128">
            <v>72.920076008755302</v>
          </cell>
        </row>
        <row r="129">
          <cell r="A129" t="str">
            <v>LS-000116</v>
          </cell>
          <cell r="B129" t="str">
            <v>Argyle Forest Bv - 6491</v>
          </cell>
          <cell r="C129">
            <v>96.308485209603504</v>
          </cell>
          <cell r="D129">
            <v>67.679000000000002</v>
          </cell>
          <cell r="G129" t="str">
            <v>Southwest</v>
          </cell>
          <cell r="K129">
            <v>16.865554436505999</v>
          </cell>
          <cell r="M129">
            <v>254.84779883116099</v>
          </cell>
        </row>
        <row r="130">
          <cell r="A130" t="str">
            <v>LS-001415</v>
          </cell>
          <cell r="B130" t="str">
            <v>Martin Lakes Ct - 11399</v>
          </cell>
          <cell r="C130">
            <v>11.8797671816692</v>
          </cell>
          <cell r="D130">
            <v>57.847000000000001</v>
          </cell>
          <cell r="G130" t="str">
            <v>Buckman</v>
          </cell>
          <cell r="K130">
            <v>116.86491652313001</v>
          </cell>
          <cell r="M130">
            <v>34.833612542653199</v>
          </cell>
        </row>
        <row r="131">
          <cell r="A131" t="str">
            <v>LS-001015</v>
          </cell>
          <cell r="B131" t="str">
            <v>Hanson Dr S - 6927</v>
          </cell>
          <cell r="C131">
            <v>59.457844672634501</v>
          </cell>
          <cell r="D131">
            <v>61.591000000000001</v>
          </cell>
          <cell r="G131" t="str">
            <v>Southwest</v>
          </cell>
          <cell r="K131">
            <v>24.8610424434092</v>
          </cell>
          <cell r="M131">
            <v>162.449587182051</v>
          </cell>
        </row>
        <row r="132">
          <cell r="A132" t="str">
            <v>LS-000396</v>
          </cell>
          <cell r="B132" t="str">
            <v>Bishop Hatcher Dr S - 5738</v>
          </cell>
          <cell r="C132">
            <v>18.328353324534</v>
          </cell>
          <cell r="D132">
            <v>13.601000000000001</v>
          </cell>
          <cell r="G132" t="str">
            <v>Buckman</v>
          </cell>
          <cell r="K132">
            <v>17.809783247852099</v>
          </cell>
          <cell r="M132">
            <v>52.969135495665498</v>
          </cell>
        </row>
        <row r="133">
          <cell r="A133" t="str">
            <v>LS-002056</v>
          </cell>
          <cell r="B133" t="str">
            <v>Shipwatch Dr E - 1161</v>
          </cell>
          <cell r="C133">
            <v>8.0810917451535005</v>
          </cell>
          <cell r="D133">
            <v>24.263999999999999</v>
          </cell>
          <cell r="G133" t="str">
            <v>Arlington-East</v>
          </cell>
          <cell r="K133">
            <v>72.061550390050499</v>
          </cell>
          <cell r="M133">
            <v>23.950144366962501</v>
          </cell>
        </row>
        <row r="134">
          <cell r="A134" t="str">
            <v>LS-000714</v>
          </cell>
          <cell r="B134" t="str">
            <v>Delfino Dr - 1248</v>
          </cell>
          <cell r="C134">
            <v>0.79563842610150703</v>
          </cell>
          <cell r="D134">
            <v>9.3659999999999997</v>
          </cell>
          <cell r="G134" t="str">
            <v>Arlington-East</v>
          </cell>
          <cell r="K134">
            <v>282.52029141101599</v>
          </cell>
          <cell r="M134">
            <v>2.4441867402661299</v>
          </cell>
        </row>
        <row r="135">
          <cell r="A135" t="str">
            <v>LS-000836</v>
          </cell>
          <cell r="B135" t="str">
            <v>1401 Ellis Trace Dr W</v>
          </cell>
          <cell r="C135">
            <v>11.011485975060999</v>
          </cell>
          <cell r="D135">
            <v>16.321000000000002</v>
          </cell>
          <cell r="G135" t="str">
            <v>Buckman</v>
          </cell>
          <cell r="K135">
            <v>35.572310666075097</v>
          </cell>
          <cell r="M135">
            <v>32.360664153892998</v>
          </cell>
        </row>
        <row r="136">
          <cell r="A136" t="str">
            <v>LS-002350</v>
          </cell>
          <cell r="B136" t="str">
            <v>University Bv S - 3830</v>
          </cell>
          <cell r="C136">
            <v>40.552467262556803</v>
          </cell>
          <cell r="D136">
            <v>8.36</v>
          </cell>
          <cell r="G136" t="str">
            <v>Buckman</v>
          </cell>
          <cell r="K136">
            <v>4.9476644343476597</v>
          </cell>
          <cell r="M136">
            <v>113.189774514932</v>
          </cell>
        </row>
        <row r="137">
          <cell r="A137" t="str">
            <v>LS-000723</v>
          </cell>
          <cell r="B137" t="str">
            <v>Dickinson Rd - 2843</v>
          </cell>
          <cell r="C137">
            <v>24.652572888289299</v>
          </cell>
          <cell r="D137">
            <v>20.234000000000002</v>
          </cell>
          <cell r="G137" t="str">
            <v>Buckman</v>
          </cell>
          <cell r="K137">
            <v>19.698390192395799</v>
          </cell>
          <cell r="M137">
            <v>70.422870961256606</v>
          </cell>
        </row>
        <row r="138">
          <cell r="A138" t="str">
            <v>LS-000114</v>
          </cell>
          <cell r="B138" t="str">
            <v>Arbor Oak Ln - 9420</v>
          </cell>
          <cell r="C138">
            <v>32.750989744603203</v>
          </cell>
          <cell r="D138">
            <v>97.814999999999998</v>
          </cell>
          <cell r="G138" t="str">
            <v>Buckman</v>
          </cell>
          <cell r="K138">
            <v>71.679055146320906</v>
          </cell>
          <cell r="M138">
            <v>92.383411864328394</v>
          </cell>
        </row>
        <row r="139">
          <cell r="A139" t="str">
            <v>LS-002244</v>
          </cell>
          <cell r="B139" t="str">
            <v>Swamp Fox Rd - 5490</v>
          </cell>
          <cell r="C139">
            <v>179.81491046542499</v>
          </cell>
          <cell r="D139">
            <v>11.372999999999999</v>
          </cell>
          <cell r="G139" t="str">
            <v>Southwest</v>
          </cell>
          <cell r="K139">
            <v>1.51796088151702</v>
          </cell>
          <cell r="M139">
            <v>452.19155840204002</v>
          </cell>
        </row>
        <row r="140">
          <cell r="A140" t="str">
            <v>LS-000219</v>
          </cell>
          <cell r="B140" t="str">
            <v>Avent Dr - 4739</v>
          </cell>
          <cell r="C140">
            <v>3.0370467308128202</v>
          </cell>
          <cell r="D140">
            <v>9.99</v>
          </cell>
          <cell r="G140" t="str">
            <v>Southwest</v>
          </cell>
          <cell r="K140">
            <v>78.945113872459899</v>
          </cell>
          <cell r="M140">
            <v>9.1825927036876607</v>
          </cell>
        </row>
        <row r="141">
          <cell r="A141" t="str">
            <v>LS-001947</v>
          </cell>
          <cell r="B141" t="str">
            <v>Sam Caruso Wy - 11400</v>
          </cell>
          <cell r="C141">
            <v>1.5301212872566099</v>
          </cell>
          <cell r="D141">
            <v>31.61</v>
          </cell>
          <cell r="G141" t="str">
            <v>Southwest</v>
          </cell>
          <cell r="K141">
            <v>495.80383353804802</v>
          </cell>
          <cell r="M141">
            <v>4.6700692865509499</v>
          </cell>
        </row>
        <row r="142">
          <cell r="A142" t="str">
            <v>LS-000607</v>
          </cell>
          <cell r="B142" t="str">
            <v>Collins Rd - 5291#1</v>
          </cell>
          <cell r="C142">
            <v>11.168566201986099</v>
          </cell>
          <cell r="D142">
            <v>28.809000000000001</v>
          </cell>
          <cell r="G142" t="str">
            <v>Southwest</v>
          </cell>
          <cell r="K142">
            <v>61.9073198381586</v>
          </cell>
          <cell r="M142">
            <v>32.808653200115998</v>
          </cell>
        </row>
        <row r="143">
          <cell r="A143" t="str">
            <v>LS-000699</v>
          </cell>
          <cell r="B143" t="str">
            <v>Deercreek Club Rd E - 10000</v>
          </cell>
          <cell r="C143">
            <v>97.963435340271502</v>
          </cell>
          <cell r="D143">
            <v>156.154</v>
          </cell>
          <cell r="G143" t="str">
            <v>Arlington-East</v>
          </cell>
          <cell r="K143">
            <v>38.256069593543302</v>
          </cell>
          <cell r="M143">
            <v>258.90535029343903</v>
          </cell>
        </row>
        <row r="144">
          <cell r="A144" t="str">
            <v>LS-001324</v>
          </cell>
          <cell r="B144" t="str">
            <v>Lenox Av - 7702</v>
          </cell>
          <cell r="C144">
            <v>705.32840568832603</v>
          </cell>
          <cell r="D144">
            <v>34.759</v>
          </cell>
          <cell r="G144" t="str">
            <v>Southwest</v>
          </cell>
          <cell r="K144">
            <v>1.1827341608139199</v>
          </cell>
          <cell r="M144">
            <v>1520.0943759818399</v>
          </cell>
        </row>
        <row r="145">
          <cell r="A145" t="str">
            <v>LS-001650</v>
          </cell>
          <cell r="B145" t="str">
            <v>Ortega Bv - 3801</v>
          </cell>
          <cell r="C145">
            <v>0.29140532820970599</v>
          </cell>
          <cell r="D145">
            <v>2.157</v>
          </cell>
          <cell r="G145" t="str">
            <v>Southwest</v>
          </cell>
          <cell r="K145">
            <v>177.64946275363201</v>
          </cell>
          <cell r="M145">
            <v>0.90121038513557306</v>
          </cell>
        </row>
        <row r="146">
          <cell r="A146" t="str">
            <v>LS-001828</v>
          </cell>
          <cell r="B146" t="str">
            <v>Rabbit Ridge Rd - 10277</v>
          </cell>
          <cell r="C146">
            <v>4.6737619636840204</v>
          </cell>
          <cell r="D146">
            <v>21.963000000000001</v>
          </cell>
          <cell r="G146" t="str">
            <v>Buckman</v>
          </cell>
          <cell r="K146">
            <v>112.781096704487</v>
          </cell>
          <cell r="M146">
            <v>14.0230202842443</v>
          </cell>
        </row>
        <row r="147">
          <cell r="A147" t="str">
            <v>LS-001877</v>
          </cell>
          <cell r="B147" t="str">
            <v>Ricker Rd - 6226</v>
          </cell>
          <cell r="C147">
            <v>18.484794547933699</v>
          </cell>
          <cell r="D147">
            <v>21.416</v>
          </cell>
          <cell r="G147" t="str">
            <v>Southwest</v>
          </cell>
          <cell r="K147">
            <v>27.8057729377065</v>
          </cell>
          <cell r="M147">
            <v>53.404549113869898</v>
          </cell>
        </row>
        <row r="148">
          <cell r="A148" t="str">
            <v>LS-001606</v>
          </cell>
          <cell r="B148" t="str">
            <v>North Shore Dr - 7668</v>
          </cell>
          <cell r="C148">
            <v>0.90544832495398897</v>
          </cell>
          <cell r="D148">
            <v>6.1029999999999998</v>
          </cell>
          <cell r="G148" t="str">
            <v>Buckman</v>
          </cell>
          <cell r="K148">
            <v>161.76737640708899</v>
          </cell>
          <cell r="M148">
            <v>2.7783895499162599</v>
          </cell>
        </row>
        <row r="149">
          <cell r="A149" t="str">
            <v>LS-001482</v>
          </cell>
          <cell r="B149" t="str">
            <v>Monument Landing Bv - 11238</v>
          </cell>
          <cell r="C149">
            <v>5.5317244300379604</v>
          </cell>
          <cell r="D149">
            <v>99.417000000000002</v>
          </cell>
          <cell r="G149" t="str">
            <v>Arlington-East</v>
          </cell>
          <cell r="K149">
            <v>431.331681499475</v>
          </cell>
          <cell r="M149">
            <v>16.5399789481562</v>
          </cell>
        </row>
        <row r="150">
          <cell r="A150" t="str">
            <v>LS-001755</v>
          </cell>
          <cell r="B150" t="str">
            <v>Pickettville Rd - 1219</v>
          </cell>
          <cell r="C150">
            <v>21.458843341743101</v>
          </cell>
          <cell r="D150">
            <v>17.04</v>
          </cell>
          <cell r="G150" t="str">
            <v>Buckman</v>
          </cell>
          <cell r="K150">
            <v>19.057877141237402</v>
          </cell>
          <cell r="M150">
            <v>61.645548293558001</v>
          </cell>
        </row>
        <row r="151">
          <cell r="A151" t="str">
            <v>LS-002062</v>
          </cell>
          <cell r="B151" t="str">
            <v>Sibbald Rd - 8555</v>
          </cell>
          <cell r="C151">
            <v>0.55120439320800996</v>
          </cell>
          <cell r="D151">
            <v>2.9660000000000002</v>
          </cell>
          <cell r="G151" t="str">
            <v>Buckman</v>
          </cell>
          <cell r="K151">
            <v>129.142657201459</v>
          </cell>
          <cell r="M151">
            <v>1.6981003654354101</v>
          </cell>
        </row>
        <row r="152">
          <cell r="A152" t="str">
            <v>LS-001664</v>
          </cell>
          <cell r="B152" t="str">
            <v>Commissioners Dr - 5303</v>
          </cell>
          <cell r="C152">
            <v>13.895826374649401</v>
          </cell>
          <cell r="D152">
            <v>115.526</v>
          </cell>
          <cell r="G152" t="str">
            <v>Arlington-East</v>
          </cell>
          <cell r="K152">
            <v>199.52926333752899</v>
          </cell>
          <cell r="M152">
            <v>40.545233905337099</v>
          </cell>
        </row>
        <row r="153">
          <cell r="A153" t="str">
            <v>LS-001064</v>
          </cell>
          <cell r="B153" t="str">
            <v>Hickory Creek Bv - 368</v>
          </cell>
          <cell r="C153">
            <v>72.787330639619597</v>
          </cell>
          <cell r="D153">
            <v>58.412999999999997</v>
          </cell>
          <cell r="G153" t="str">
            <v>Arlington-East</v>
          </cell>
          <cell r="K153">
            <v>19.260384845558701</v>
          </cell>
          <cell r="M153">
            <v>196.36007183179001</v>
          </cell>
        </row>
        <row r="154">
          <cell r="A154" t="str">
            <v>LS-001624</v>
          </cell>
          <cell r="B154" t="str">
            <v>Old Colony Dr - 5447</v>
          </cell>
          <cell r="C154">
            <v>10.1912585336052</v>
          </cell>
          <cell r="D154">
            <v>33.049999999999997</v>
          </cell>
          <cell r="G154" t="str">
            <v>Southwest</v>
          </cell>
          <cell r="K154">
            <v>77.831407905555494</v>
          </cell>
          <cell r="M154">
            <v>30.016885905096</v>
          </cell>
        </row>
        <row r="155">
          <cell r="A155" t="str">
            <v>LS-002267</v>
          </cell>
          <cell r="B155" t="str">
            <v>The Woods Dr - 2233</v>
          </cell>
          <cell r="C155">
            <v>29.2752592534504</v>
          </cell>
          <cell r="D155">
            <v>39.273000000000003</v>
          </cell>
          <cell r="G155" t="str">
            <v>Arlington-East</v>
          </cell>
          <cell r="K155">
            <v>32.196196516651199</v>
          </cell>
          <cell r="M155">
            <v>83.007079066410498</v>
          </cell>
        </row>
        <row r="156">
          <cell r="A156" t="str">
            <v>LS-001639</v>
          </cell>
          <cell r="B156" t="str">
            <v>Old Pioneer Rd - 7184</v>
          </cell>
          <cell r="C156">
            <v>13.3660856796518</v>
          </cell>
          <cell r="D156">
            <v>44.12</v>
          </cell>
          <cell r="G156" t="str">
            <v>Buckman</v>
          </cell>
          <cell r="K156">
            <v>79.221398499039694</v>
          </cell>
          <cell r="M156">
            <v>39.048395075346697</v>
          </cell>
        </row>
        <row r="157">
          <cell r="A157" t="str">
            <v>LS-000071</v>
          </cell>
          <cell r="B157" t="str">
            <v>Adele Rd - 2844</v>
          </cell>
          <cell r="C157">
            <v>8.1774899768517209</v>
          </cell>
          <cell r="D157">
            <v>29.318999999999999</v>
          </cell>
          <cell r="G157" t="str">
            <v>Buckman</v>
          </cell>
          <cell r="K157">
            <v>86.047919592914297</v>
          </cell>
          <cell r="M157">
            <v>24.228522957649599</v>
          </cell>
        </row>
        <row r="158">
          <cell r="A158" t="str">
            <v>LS-001197</v>
          </cell>
          <cell r="B158" t="str">
            <v>Kinlock Dr S - 5730</v>
          </cell>
          <cell r="C158">
            <v>176.213683553831</v>
          </cell>
          <cell r="D158">
            <v>96.064999999999998</v>
          </cell>
          <cell r="G158" t="str">
            <v>Buckman</v>
          </cell>
          <cell r="K158">
            <v>13.0838874342904</v>
          </cell>
          <cell r="M158">
            <v>443.94791137306999</v>
          </cell>
        </row>
        <row r="159">
          <cell r="A159" t="str">
            <v>LS-000516</v>
          </cell>
          <cell r="B159" t="str">
            <v>Caracara Dr - 9344</v>
          </cell>
          <cell r="C159">
            <v>11.914841968694001</v>
          </cell>
          <cell r="D159">
            <v>23.021000000000001</v>
          </cell>
          <cell r="G159" t="str">
            <v>Southwest</v>
          </cell>
          <cell r="K159">
            <v>46.371072436520201</v>
          </cell>
          <cell r="M159">
            <v>34.933338297363498</v>
          </cell>
        </row>
        <row r="160">
          <cell r="A160" t="str">
            <v>LS-000448</v>
          </cell>
          <cell r="B160" t="str">
            <v>Bowden Rd - 6817</v>
          </cell>
          <cell r="C160">
            <v>9.7091376210728999</v>
          </cell>
          <cell r="D160">
            <v>15.981999999999999</v>
          </cell>
          <cell r="G160" t="str">
            <v>Buckman</v>
          </cell>
          <cell r="K160">
            <v>39.505877346665301</v>
          </cell>
          <cell r="M160">
            <v>28.6356066456589</v>
          </cell>
        </row>
        <row r="161">
          <cell r="A161" t="str">
            <v>LS-001137</v>
          </cell>
          <cell r="B161" t="str">
            <v>Irving Scott Dr - 7305</v>
          </cell>
          <cell r="C161">
            <v>21.340737199454502</v>
          </cell>
          <cell r="D161">
            <v>79.671999999999997</v>
          </cell>
          <cell r="G161" t="str">
            <v>Buckman</v>
          </cell>
          <cell r="K161">
            <v>89.599903795679595</v>
          </cell>
          <cell r="M161">
            <v>61.319560331810898</v>
          </cell>
        </row>
        <row r="162">
          <cell r="A162" t="str">
            <v>LS-000849</v>
          </cell>
          <cell r="B162" t="str">
            <v>Epping Forest Wy N - 6623</v>
          </cell>
          <cell r="C162">
            <v>17.985740088791999</v>
          </cell>
          <cell r="D162">
            <v>25.59</v>
          </cell>
          <cell r="G162" t="str">
            <v>Buckman</v>
          </cell>
          <cell r="K162">
            <v>34.147051884883098</v>
          </cell>
          <cell r="M162">
            <v>52.014864091664101</v>
          </cell>
        </row>
        <row r="163">
          <cell r="A163" t="str">
            <v>LS-001212</v>
          </cell>
          <cell r="B163" t="str">
            <v>Lake Fretwell St - 13433</v>
          </cell>
          <cell r="C163">
            <v>6.7825982552280699</v>
          </cell>
          <cell r="D163">
            <v>99.781999999999996</v>
          </cell>
          <cell r="G163" t="str">
            <v>Southwest</v>
          </cell>
          <cell r="K163">
            <v>353.07531271723099</v>
          </cell>
          <cell r="M163">
            <v>20.187885739530401</v>
          </cell>
        </row>
        <row r="164">
          <cell r="A164" t="str">
            <v>LS-002379</v>
          </cell>
          <cell r="B164" t="str">
            <v>Wakeview Dr - 667</v>
          </cell>
          <cell r="C164">
            <v>22.457870156304399</v>
          </cell>
          <cell r="D164">
            <v>109.065</v>
          </cell>
          <cell r="G164" t="str">
            <v>Southwest</v>
          </cell>
          <cell r="K164">
            <v>116.55424053047101</v>
          </cell>
          <cell r="M164">
            <v>64.398920137146504</v>
          </cell>
        </row>
        <row r="165">
          <cell r="A165" t="str">
            <v>LS-001372</v>
          </cell>
          <cell r="B165" t="str">
            <v>Louis Clark Ct - 6331</v>
          </cell>
          <cell r="C165">
            <v>20.101182896864898</v>
          </cell>
          <cell r="D165">
            <v>35.915999999999997</v>
          </cell>
          <cell r="G165" t="str">
            <v>Southwest</v>
          </cell>
          <cell r="K165">
            <v>42.882252473531899</v>
          </cell>
          <cell r="M165">
            <v>57.891951399880902</v>
          </cell>
        </row>
        <row r="166">
          <cell r="A166" t="str">
            <v>LS-000245</v>
          </cell>
          <cell r="B166" t="str">
            <v>Bay St E - 4</v>
          </cell>
          <cell r="C166">
            <v>0.81726233933312498</v>
          </cell>
          <cell r="D166">
            <v>1.97</v>
          </cell>
          <cell r="G166" t="str">
            <v>Buckman</v>
          </cell>
          <cell r="K166">
            <v>57.851680818401398</v>
          </cell>
          <cell r="M166">
            <v>2.5100430707512702</v>
          </cell>
        </row>
        <row r="167">
          <cell r="A167" t="str">
            <v>LS-001407</v>
          </cell>
          <cell r="B167" t="str">
            <v>Marisco Wy - 225</v>
          </cell>
          <cell r="C167">
            <v>10.991497537277599</v>
          </cell>
          <cell r="D167">
            <v>22.538</v>
          </cell>
          <cell r="G167" t="str">
            <v>Buckman</v>
          </cell>
          <cell r="K167">
            <v>49.211856543250697</v>
          </cell>
          <cell r="M167">
            <v>32.303637992136203</v>
          </cell>
        </row>
        <row r="168">
          <cell r="A168" t="str">
            <v>LS-002391</v>
          </cell>
          <cell r="B168" t="str">
            <v>Washington St N - 600</v>
          </cell>
          <cell r="C168">
            <v>4.1447912602853796</v>
          </cell>
          <cell r="D168">
            <v>1.478</v>
          </cell>
          <cell r="G168" t="str">
            <v>Buckman</v>
          </cell>
          <cell r="K168">
            <v>8.5582114447803708</v>
          </cell>
          <cell r="M168">
            <v>12.4645629967528</v>
          </cell>
        </row>
        <row r="169">
          <cell r="A169" t="str">
            <v>LS-001116</v>
          </cell>
          <cell r="B169" t="str">
            <v>Hugh Edwards Dr - 2601</v>
          </cell>
          <cell r="C169">
            <v>235.07572782733999</v>
          </cell>
          <cell r="D169">
            <v>69.022000000000006</v>
          </cell>
          <cell r="G169" t="str">
            <v>Southwest</v>
          </cell>
          <cell r="K169">
            <v>7.04678452050437</v>
          </cell>
          <cell r="M169">
            <v>576.29030860388104</v>
          </cell>
        </row>
        <row r="170">
          <cell r="A170" t="str">
            <v>LS-000907</v>
          </cell>
          <cell r="B170" t="str">
            <v>Foxboro Rd - 5102</v>
          </cell>
          <cell r="C170">
            <v>2.0504810990851001</v>
          </cell>
          <cell r="D170">
            <v>23.393999999999998</v>
          </cell>
          <cell r="G170" t="str">
            <v>Buckman</v>
          </cell>
          <cell r="K170">
            <v>273.816715623721</v>
          </cell>
          <cell r="M170">
            <v>6.2355055754681299</v>
          </cell>
        </row>
        <row r="171">
          <cell r="A171" t="str">
            <v>LS-002307</v>
          </cell>
          <cell r="B171" t="str">
            <v>Tresca Rd - 420</v>
          </cell>
          <cell r="C171">
            <v>247.73927710634001</v>
          </cell>
          <cell r="D171">
            <v>64.209000000000003</v>
          </cell>
          <cell r="G171" t="str">
            <v>Arlington-East</v>
          </cell>
          <cell r="K171">
            <v>6.2203136216407602</v>
          </cell>
          <cell r="M171">
            <v>604.152346885724</v>
          </cell>
        </row>
        <row r="172">
          <cell r="A172" t="str">
            <v>LS-000518</v>
          </cell>
          <cell r="B172" t="str">
            <v>Carey Av - 2004</v>
          </cell>
          <cell r="C172">
            <v>10.743040928742399</v>
          </cell>
          <cell r="D172">
            <v>17.027000000000001</v>
          </cell>
          <cell r="G172" t="str">
            <v>Buckman</v>
          </cell>
          <cell r="K172">
            <v>38.038391802704901</v>
          </cell>
          <cell r="M172">
            <v>31.594429334383001</v>
          </cell>
        </row>
        <row r="173">
          <cell r="A173" t="str">
            <v>LS-000248</v>
          </cell>
          <cell r="B173" t="str">
            <v>5239 Baycrest Rd</v>
          </cell>
          <cell r="C173">
            <v>10.616426225802099</v>
          </cell>
          <cell r="D173">
            <v>28.512</v>
          </cell>
          <cell r="G173" t="str">
            <v>Buckman</v>
          </cell>
          <cell r="K173">
            <v>64.455588485785398</v>
          </cell>
          <cell r="M173">
            <v>31.232745937842999</v>
          </cell>
        </row>
        <row r="174">
          <cell r="A174" t="str">
            <v>LS-000921</v>
          </cell>
          <cell r="B174" t="str">
            <v>Ft Caroline Rd - 8301</v>
          </cell>
          <cell r="C174">
            <v>0.43290271605207498</v>
          </cell>
          <cell r="D174">
            <v>2.3639999999999999</v>
          </cell>
          <cell r="G174" t="str">
            <v>Arlington-East</v>
          </cell>
          <cell r="K174">
            <v>131.05946878183801</v>
          </cell>
          <cell r="M174">
            <v>1.3357936987876999</v>
          </cell>
        </row>
        <row r="175">
          <cell r="A175" t="str">
            <v>LS-001607</v>
          </cell>
          <cell r="B175" t="str">
            <v>Norwood Av - 6947</v>
          </cell>
          <cell r="C175">
            <v>130.07818124142699</v>
          </cell>
          <cell r="D175">
            <v>104.16800000000001</v>
          </cell>
          <cell r="G175" t="str">
            <v>Buckman</v>
          </cell>
          <cell r="K175">
            <v>19.2194569153754</v>
          </cell>
          <cell r="M175">
            <v>336.34792511420801</v>
          </cell>
        </row>
        <row r="176">
          <cell r="A176" t="str">
            <v>LS-001798</v>
          </cell>
          <cell r="B176" t="str">
            <v>Portside Dr - 12221</v>
          </cell>
          <cell r="C176">
            <v>54.845692304414598</v>
          </cell>
          <cell r="D176">
            <v>10.942</v>
          </cell>
          <cell r="G176" t="str">
            <v>Arlington-East</v>
          </cell>
          <cell r="K176">
            <v>4.7881244445311202</v>
          </cell>
          <cell r="M176">
            <v>150.56764657859901</v>
          </cell>
        </row>
        <row r="177">
          <cell r="A177" t="str">
            <v>LS-001468</v>
          </cell>
          <cell r="B177" t="str">
            <v>Minosa Ct - 5423</v>
          </cell>
          <cell r="C177">
            <v>9.5031135748513904</v>
          </cell>
          <cell r="D177">
            <v>26.616</v>
          </cell>
          <cell r="G177" t="str">
            <v>Buckman</v>
          </cell>
          <cell r="K177">
            <v>67.218390579951503</v>
          </cell>
          <cell r="M177">
            <v>28.0445018730233</v>
          </cell>
        </row>
        <row r="178">
          <cell r="A178" t="str">
            <v>LS-000365</v>
          </cell>
          <cell r="B178" t="str">
            <v>Beaver St W - 9801</v>
          </cell>
          <cell r="C178">
            <v>207.02239406149101</v>
          </cell>
          <cell r="D178">
            <v>52.781999999999996</v>
          </cell>
          <cell r="G178" t="str">
            <v>Buckman</v>
          </cell>
          <cell r="K178">
            <v>6.1189901978611001</v>
          </cell>
          <cell r="M178">
            <v>513.83020260731996</v>
          </cell>
        </row>
        <row r="179">
          <cell r="A179" t="str">
            <v>LS-001921</v>
          </cell>
          <cell r="B179" t="str">
            <v>Rossie Ln - 4811</v>
          </cell>
          <cell r="C179">
            <v>0.56416599385791799</v>
          </cell>
          <cell r="D179">
            <v>3.9980000000000002</v>
          </cell>
          <cell r="G179" t="str">
            <v>Southwest</v>
          </cell>
          <cell r="K179">
            <v>170.077603125021</v>
          </cell>
          <cell r="M179">
            <v>1.73774458606866</v>
          </cell>
        </row>
        <row r="180">
          <cell r="A180" t="str">
            <v>LS-001446</v>
          </cell>
          <cell r="B180" t="str">
            <v>Merchants Gate Dr - 8120</v>
          </cell>
          <cell r="C180">
            <v>28.376218472223201</v>
          </cell>
          <cell r="D180">
            <v>122.55</v>
          </cell>
          <cell r="G180" t="str">
            <v>Southwest</v>
          </cell>
          <cell r="K180">
            <v>103.65017463053</v>
          </cell>
          <cell r="M180">
            <v>80.570160628657604</v>
          </cell>
        </row>
        <row r="181">
          <cell r="A181" t="str">
            <v>LS-000063</v>
          </cell>
          <cell r="B181" t="str">
            <v>Acanthus Dr - 8752</v>
          </cell>
          <cell r="C181">
            <v>196.71924712836</v>
          </cell>
          <cell r="D181">
            <v>14.643000000000001</v>
          </cell>
          <cell r="G181" t="str">
            <v>Southwest</v>
          </cell>
          <cell r="K181">
            <v>1.7864647467397501</v>
          </cell>
          <cell r="M181">
            <v>490.61794308499498</v>
          </cell>
        </row>
        <row r="182">
          <cell r="A182" t="str">
            <v>LS-001123</v>
          </cell>
          <cell r="B182" t="str">
            <v>Imeson Rd - 1492</v>
          </cell>
          <cell r="C182">
            <v>21.392085201018201</v>
          </cell>
          <cell r="D182">
            <v>139.529</v>
          </cell>
          <cell r="G182" t="str">
            <v>Buckman</v>
          </cell>
          <cell r="K182">
            <v>156.539017516657</v>
          </cell>
          <cell r="M182">
            <v>61.461299970710698</v>
          </cell>
        </row>
        <row r="183">
          <cell r="A183" t="str">
            <v>LS-000445</v>
          </cell>
          <cell r="B183" t="str">
            <v>Boulevard Center Bv - 4133</v>
          </cell>
          <cell r="C183">
            <v>43.2793326308486</v>
          </cell>
          <cell r="D183">
            <v>10.218999999999999</v>
          </cell>
          <cell r="G183" t="str">
            <v>Buckman</v>
          </cell>
          <cell r="K183">
            <v>5.6668156621524899</v>
          </cell>
          <cell r="M183">
            <v>120.39064520751199</v>
          </cell>
        </row>
        <row r="184">
          <cell r="A184" t="str">
            <v>LS-000547</v>
          </cell>
          <cell r="B184" t="str">
            <v>Chaffee Point Bv - 549</v>
          </cell>
          <cell r="C184">
            <v>27.697205797796101</v>
          </cell>
          <cell r="D184">
            <v>14.757</v>
          </cell>
          <cell r="G184" t="str">
            <v>Southwest</v>
          </cell>
          <cell r="K184">
            <v>12.7871382617297</v>
          </cell>
          <cell r="M184">
            <v>78.726360629093506</v>
          </cell>
        </row>
        <row r="185">
          <cell r="A185" t="str">
            <v>LS-000977</v>
          </cell>
          <cell r="B185" t="str">
            <v>Grant Rd - 3929</v>
          </cell>
          <cell r="C185">
            <v>16.7686267596116</v>
          </cell>
          <cell r="D185">
            <v>94.852999999999994</v>
          </cell>
          <cell r="G185" t="str">
            <v>Buckman</v>
          </cell>
          <cell r="K185">
            <v>135.757807281097</v>
          </cell>
          <cell r="M185">
            <v>48.616984353912201</v>
          </cell>
        </row>
        <row r="186">
          <cell r="A186" t="str">
            <v>LS-000608</v>
          </cell>
          <cell r="B186" t="str">
            <v>Collins Rd - 5291#2</v>
          </cell>
          <cell r="C186">
            <v>25.183350986731401</v>
          </cell>
          <cell r="D186">
            <v>16.728000000000002</v>
          </cell>
          <cell r="G186" t="str">
            <v>Southwest</v>
          </cell>
          <cell r="K186">
            <v>15.9419610285989</v>
          </cell>
          <cell r="M186">
            <v>71.874793483124904</v>
          </cell>
        </row>
        <row r="187">
          <cell r="A187" t="str">
            <v>LS-001169</v>
          </cell>
          <cell r="B187" t="str">
            <v>Julia Marie Dr - 3805</v>
          </cell>
          <cell r="C187">
            <v>23.313784763662301</v>
          </cell>
          <cell r="D187">
            <v>84.953999999999994</v>
          </cell>
          <cell r="G187" t="str">
            <v>Southwest</v>
          </cell>
          <cell r="K187">
            <v>87.454526181347205</v>
          </cell>
          <cell r="M187">
            <v>66.752187010595804</v>
          </cell>
        </row>
        <row r="188">
          <cell r="A188" t="str">
            <v>LS-001222</v>
          </cell>
          <cell r="B188" t="str">
            <v>1755 Lakeshore Bv</v>
          </cell>
          <cell r="C188">
            <v>171.53340616531801</v>
          </cell>
          <cell r="D188">
            <v>56.146999999999998</v>
          </cell>
          <cell r="G188" t="str">
            <v>Buckman</v>
          </cell>
          <cell r="K188">
            <v>7.8557759105027998</v>
          </cell>
          <cell r="M188">
            <v>433.20285471178602</v>
          </cell>
        </row>
        <row r="189">
          <cell r="A189" t="str">
            <v>LS-000113</v>
          </cell>
          <cell r="B189" t="str">
            <v>Arbor Ln - 1092</v>
          </cell>
          <cell r="C189">
            <v>1.7360729437215201</v>
          </cell>
          <cell r="D189">
            <v>38.351999999999997</v>
          </cell>
          <cell r="G189" t="str">
            <v>Buckman</v>
          </cell>
          <cell r="K189">
            <v>530.18970391122605</v>
          </cell>
          <cell r="M189">
            <v>5.2906659576869099</v>
          </cell>
        </row>
        <row r="190">
          <cell r="A190" t="str">
            <v>LS-003886</v>
          </cell>
          <cell r="B190" t="str">
            <v>Redpoll Av - 5709</v>
          </cell>
          <cell r="C190">
            <v>6.0459663962250696</v>
          </cell>
          <cell r="D190">
            <v>43.232999999999997</v>
          </cell>
          <cell r="G190" t="str">
            <v>Buckman</v>
          </cell>
          <cell r="K190">
            <v>171.617229074883</v>
          </cell>
          <cell r="M190">
            <v>18.042632622485701</v>
          </cell>
        </row>
        <row r="191">
          <cell r="A191" t="str">
            <v>LS-002301</v>
          </cell>
          <cell r="B191" t="str">
            <v>Townsend Rd - 6756</v>
          </cell>
          <cell r="C191">
            <v>10.4736794743297</v>
          </cell>
          <cell r="D191">
            <v>68.656999999999996</v>
          </cell>
          <cell r="G191" t="str">
            <v>Southwest</v>
          </cell>
          <cell r="K191">
            <v>157.32465405673</v>
          </cell>
          <cell r="M191">
            <v>30.824761821282198</v>
          </cell>
        </row>
        <row r="192">
          <cell r="A192" t="str">
            <v>LS-000958</v>
          </cell>
          <cell r="B192" t="str">
            <v>4604 Glenwood Av</v>
          </cell>
          <cell r="C192">
            <v>3.6259457156210901</v>
          </cell>
          <cell r="D192">
            <v>13.307</v>
          </cell>
          <cell r="G192" t="str">
            <v>Buckman</v>
          </cell>
          <cell r="K192">
            <v>88.078538689676904</v>
          </cell>
          <cell r="M192">
            <v>10.9306010991174</v>
          </cell>
        </row>
        <row r="193">
          <cell r="A193" t="str">
            <v>LS-000517</v>
          </cell>
          <cell r="B193" t="str">
            <v>5219 Carder St</v>
          </cell>
          <cell r="C193">
            <v>103.63230684569901</v>
          </cell>
          <cell r="D193">
            <v>159.291</v>
          </cell>
          <cell r="G193" t="str">
            <v>Buckman</v>
          </cell>
          <cell r="K193">
            <v>36.889886140353397</v>
          </cell>
          <cell r="M193">
            <v>272.75133739076801</v>
          </cell>
        </row>
        <row r="194">
          <cell r="A194" t="str">
            <v>LS-001463</v>
          </cell>
          <cell r="B194" t="str">
            <v>Mimosa Grove Tl - 7202</v>
          </cell>
          <cell r="C194">
            <v>8.4277225317133606</v>
          </cell>
          <cell r="D194">
            <v>11.896000000000001</v>
          </cell>
          <cell r="G194" t="str">
            <v>Southwest</v>
          </cell>
          <cell r="K194">
            <v>33.876767884283502</v>
          </cell>
          <cell r="M194">
            <v>24.950570815040699</v>
          </cell>
        </row>
        <row r="195">
          <cell r="A195" t="str">
            <v>LS-001594</v>
          </cell>
          <cell r="B195" t="str">
            <v>Normandy Bv - 9800</v>
          </cell>
          <cell r="C195">
            <v>3.2862103853254498</v>
          </cell>
          <cell r="D195">
            <v>5.984</v>
          </cell>
          <cell r="G195" t="str">
            <v>Southwest</v>
          </cell>
          <cell r="K195">
            <v>43.7026188710608</v>
          </cell>
          <cell r="M195">
            <v>9.9231178589551394</v>
          </cell>
        </row>
        <row r="196">
          <cell r="A196" t="str">
            <v>LS-001396</v>
          </cell>
          <cell r="B196" t="str">
            <v>Maney Dr - 2235</v>
          </cell>
          <cell r="C196">
            <v>22.514217664443098</v>
          </cell>
          <cell r="D196">
            <v>28.242999999999999</v>
          </cell>
          <cell r="G196" t="str">
            <v>Buckman</v>
          </cell>
          <cell r="K196">
            <v>30.106842267520001</v>
          </cell>
          <cell r="M196">
            <v>64.554002546242103</v>
          </cell>
        </row>
        <row r="197">
          <cell r="A197" t="str">
            <v>LS-001226</v>
          </cell>
          <cell r="B197" t="str">
            <v>Lamar Dr N - 5391</v>
          </cell>
          <cell r="C197">
            <v>40.1491472243302</v>
          </cell>
          <cell r="D197">
            <v>34.957000000000001</v>
          </cell>
          <cell r="G197" t="str">
            <v>Southwest</v>
          </cell>
          <cell r="K197">
            <v>20.8962844294633</v>
          </cell>
          <cell r="M197">
            <v>112.12170645886</v>
          </cell>
        </row>
        <row r="198">
          <cell r="A198" t="str">
            <v>LS-001821</v>
          </cell>
          <cell r="B198" t="str">
            <v>5148 Quann Dr</v>
          </cell>
          <cell r="C198">
            <v>35.045644785996501</v>
          </cell>
          <cell r="D198">
            <v>42.402000000000001</v>
          </cell>
          <cell r="G198" t="str">
            <v>Buckman</v>
          </cell>
          <cell r="K198">
            <v>29.037787896732599</v>
          </cell>
          <cell r="M198">
            <v>98.536299449793106</v>
          </cell>
        </row>
        <row r="199">
          <cell r="A199" t="str">
            <v>LS-001499</v>
          </cell>
          <cell r="B199" t="str">
            <v>Morse Av - 6101</v>
          </cell>
          <cell r="C199">
            <v>13.553394440565</v>
          </cell>
          <cell r="D199">
            <v>10.381</v>
          </cell>
          <cell r="G199" t="str">
            <v>Southwest</v>
          </cell>
          <cell r="K199">
            <v>18.3824060527832</v>
          </cell>
          <cell r="M199">
            <v>39.577969426928902</v>
          </cell>
        </row>
        <row r="200">
          <cell r="A200" t="str">
            <v>LS-000469</v>
          </cell>
          <cell r="B200" t="str">
            <v>Bristol Bay Ln - 5565</v>
          </cell>
          <cell r="C200">
            <v>31.854218012675901</v>
          </cell>
          <cell r="D200">
            <v>31.690999999999999</v>
          </cell>
          <cell r="G200" t="str">
            <v>Southwest</v>
          </cell>
          <cell r="K200">
            <v>23.8770262606144</v>
          </cell>
          <cell r="M200">
            <v>89.9708878042442</v>
          </cell>
        </row>
        <row r="201">
          <cell r="A201" t="str">
            <v>LS-001585</v>
          </cell>
          <cell r="B201" t="str">
            <v>Normandy Bv - 7764</v>
          </cell>
          <cell r="C201">
            <v>24.1367376092985</v>
          </cell>
          <cell r="D201">
            <v>30.050999999999998</v>
          </cell>
          <cell r="G201" t="str">
            <v>Southwest</v>
          </cell>
          <cell r="K201">
            <v>29.880757361432</v>
          </cell>
          <cell r="M201">
            <v>69.010007736576597</v>
          </cell>
        </row>
        <row r="202">
          <cell r="A202" t="str">
            <v>LS-002191</v>
          </cell>
          <cell r="B202" t="str">
            <v>Stanton Hills Dr - 10653</v>
          </cell>
          <cell r="C202">
            <v>19.4433823517249</v>
          </cell>
          <cell r="D202">
            <v>97.084000000000003</v>
          </cell>
          <cell r="G202" t="str">
            <v>Southwest</v>
          </cell>
          <cell r="K202">
            <v>119.835939953796</v>
          </cell>
          <cell r="M202">
            <v>56.068248625970497</v>
          </cell>
        </row>
        <row r="203">
          <cell r="A203" t="str">
            <v>LS-000759</v>
          </cell>
          <cell r="B203" t="str">
            <v>Dupont Av - 2859</v>
          </cell>
          <cell r="C203">
            <v>41.270252163873501</v>
          </cell>
          <cell r="D203">
            <v>23.23</v>
          </cell>
          <cell r="G203" t="str">
            <v>Buckman</v>
          </cell>
          <cell r="K203">
            <v>13.5090039621331</v>
          </cell>
          <cell r="M203">
            <v>115.088661985492</v>
          </cell>
        </row>
        <row r="204">
          <cell r="A204" t="str">
            <v>LS-000998</v>
          </cell>
          <cell r="B204" t="str">
            <v>Guardian Dr - 1578</v>
          </cell>
          <cell r="C204">
            <v>53.471355197829702</v>
          </cell>
          <cell r="D204">
            <v>75.962000000000003</v>
          </cell>
          <cell r="G204" t="str">
            <v>Southwest</v>
          </cell>
          <cell r="K204">
            <v>34.0946660741076</v>
          </cell>
          <cell r="M204">
            <v>147.011115461261</v>
          </cell>
        </row>
        <row r="205">
          <cell r="A205" t="str">
            <v>LS-002360</v>
          </cell>
          <cell r="B205" t="str">
            <v>Valley Crossing Dr - 1958</v>
          </cell>
          <cell r="C205">
            <v>6.2975153148337899</v>
          </cell>
          <cell r="D205">
            <v>20.13</v>
          </cell>
          <cell r="G205" t="str">
            <v>Southwest</v>
          </cell>
          <cell r="K205">
            <v>76.715970640359004</v>
          </cell>
          <cell r="M205">
            <v>18.776140905266001</v>
          </cell>
        </row>
        <row r="206">
          <cell r="A206" t="str">
            <v>LS-001048</v>
          </cell>
          <cell r="B206" t="str">
            <v>Hendricks Av - 3730</v>
          </cell>
          <cell r="C206">
            <v>2.3459521801431902</v>
          </cell>
          <cell r="D206">
            <v>9.5660000000000007</v>
          </cell>
          <cell r="G206" t="str">
            <v>Buckman</v>
          </cell>
          <cell r="K206">
            <v>97.863887398585703</v>
          </cell>
          <cell r="M206">
            <v>7.1208171107835803</v>
          </cell>
        </row>
        <row r="207">
          <cell r="A207" t="str">
            <v>LS-000039</v>
          </cell>
          <cell r="B207" t="str">
            <v>103rd St - 9902</v>
          </cell>
          <cell r="C207">
            <v>63.218744341586202</v>
          </cell>
          <cell r="D207">
            <v>57.399000000000001</v>
          </cell>
          <cell r="G207" t="str">
            <v>Southwest</v>
          </cell>
          <cell r="K207">
            <v>21.790625776377698</v>
          </cell>
          <cell r="M207">
            <v>172.07992175672399</v>
          </cell>
        </row>
        <row r="208">
          <cell r="A208" t="str">
            <v>LS-001626</v>
          </cell>
          <cell r="B208" t="str">
            <v>Old Kings Rd N - 6305</v>
          </cell>
          <cell r="C208">
            <v>0.71419547482573598</v>
          </cell>
          <cell r="D208">
            <v>5.4649999999999999</v>
          </cell>
          <cell r="G208" t="str">
            <v>Buckman</v>
          </cell>
          <cell r="K208">
            <v>183.64720111395701</v>
          </cell>
          <cell r="M208">
            <v>2.19594458941729</v>
          </cell>
        </row>
        <row r="209">
          <cell r="A209" t="str">
            <v>LS-000299</v>
          </cell>
          <cell r="B209" t="str">
            <v>Beach Bv - 14008</v>
          </cell>
          <cell r="C209">
            <v>41.678348681246099</v>
          </cell>
          <cell r="D209">
            <v>68.694999999999993</v>
          </cell>
          <cell r="G209" t="str">
            <v>Arlington-East</v>
          </cell>
          <cell r="K209">
            <v>39.557229404864898</v>
          </cell>
          <cell r="M209">
            <v>116.16717405555001</v>
          </cell>
        </row>
        <row r="210">
          <cell r="A210" t="str">
            <v>LS-002296</v>
          </cell>
          <cell r="B210" t="str">
            <v>Townsend Rd - 5900 N</v>
          </cell>
          <cell r="C210">
            <v>82.026919229108501</v>
          </cell>
          <cell r="D210">
            <v>85.965000000000003</v>
          </cell>
          <cell r="G210" t="str">
            <v>Southwest</v>
          </cell>
          <cell r="K210">
            <v>25.1522307480232</v>
          </cell>
          <cell r="M210">
            <v>219.52628485765999</v>
          </cell>
        </row>
        <row r="211">
          <cell r="A211" t="str">
            <v>LS-001713</v>
          </cell>
          <cell r="B211" t="str">
            <v>Philips Hy - 3699</v>
          </cell>
          <cell r="C211">
            <v>11.2832479422802</v>
          </cell>
          <cell r="D211">
            <v>19.574999999999999</v>
          </cell>
          <cell r="G211" t="str">
            <v>Buckman</v>
          </cell>
          <cell r="K211">
            <v>41.636947304825199</v>
          </cell>
          <cell r="M211">
            <v>33.135550954500602</v>
          </cell>
        </row>
        <row r="212">
          <cell r="A212" t="str">
            <v>LS-002302</v>
          </cell>
          <cell r="B212" t="str">
            <v>Townsquare Dr - 2456</v>
          </cell>
          <cell r="C212">
            <v>43.345382145242901</v>
          </cell>
          <cell r="D212">
            <v>26.158000000000001</v>
          </cell>
          <cell r="G212" t="str">
            <v>Arlington-East</v>
          </cell>
          <cell r="K212">
            <v>14.4834805676964</v>
          </cell>
          <cell r="M212">
            <v>120.564630074937</v>
          </cell>
        </row>
        <row r="213">
          <cell r="A213" t="str">
            <v>LS-002063</v>
          </cell>
          <cell r="B213" t="str">
            <v>Sierra Gardens Dr - 8059</v>
          </cell>
          <cell r="C213">
            <v>4.44475746592326</v>
          </cell>
          <cell r="D213">
            <v>34.896999999999998</v>
          </cell>
          <cell r="G213" t="str">
            <v>Buckman</v>
          </cell>
          <cell r="K213">
            <v>188.43052886936999</v>
          </cell>
          <cell r="M213">
            <v>13.3489753211297</v>
          </cell>
        </row>
        <row r="214">
          <cell r="A214" t="str">
            <v>LS-002456</v>
          </cell>
          <cell r="B214" t="str">
            <v>Windy Willows Dr N - 12665</v>
          </cell>
          <cell r="C214">
            <v>14.119969905133001</v>
          </cell>
          <cell r="D214">
            <v>14.015000000000001</v>
          </cell>
          <cell r="G214" t="str">
            <v>Arlington-East</v>
          </cell>
          <cell r="K214">
            <v>23.821580517514001</v>
          </cell>
          <cell r="M214">
            <v>41.177756428093197</v>
          </cell>
        </row>
        <row r="215">
          <cell r="A215" t="str">
            <v>LS-002105</v>
          </cell>
          <cell r="B215" t="str">
            <v>Southside Bv - 7587</v>
          </cell>
          <cell r="C215">
            <v>2.6205318800161801</v>
          </cell>
          <cell r="D215">
            <v>9.3520000000000003</v>
          </cell>
          <cell r="G215" t="str">
            <v>Arlington-East</v>
          </cell>
          <cell r="K215">
            <v>85.649788011208599</v>
          </cell>
          <cell r="M215">
            <v>7.9414198565174097</v>
          </cell>
        </row>
        <row r="216">
          <cell r="A216" t="str">
            <v>LS-000993</v>
          </cell>
          <cell r="B216" t="str">
            <v>Gregory Dr - 7677</v>
          </cell>
          <cell r="C216">
            <v>43.268291194343703</v>
          </cell>
          <cell r="D216">
            <v>62.820999999999998</v>
          </cell>
          <cell r="G216" t="str">
            <v>Southwest</v>
          </cell>
          <cell r="K216">
            <v>34.845471322821702</v>
          </cell>
          <cell r="M216">
            <v>120.361558348466</v>
          </cell>
        </row>
        <row r="217">
          <cell r="A217" t="str">
            <v>LS-001065</v>
          </cell>
          <cell r="B217" t="str">
            <v>Hickory Hill Dr - 847</v>
          </cell>
          <cell r="C217">
            <v>203.929880147566</v>
          </cell>
          <cell r="D217">
            <v>33.567</v>
          </cell>
          <cell r="G217" t="str">
            <v>Southwest</v>
          </cell>
          <cell r="K217">
            <v>3.9504166795814899</v>
          </cell>
          <cell r="M217">
            <v>506.87901331627</v>
          </cell>
        </row>
        <row r="218">
          <cell r="A218" t="str">
            <v>LS-000779</v>
          </cell>
          <cell r="B218" t="str">
            <v>Eagles Perch Dr - 7159</v>
          </cell>
          <cell r="C218">
            <v>37.198602250417103</v>
          </cell>
          <cell r="D218">
            <v>92.45</v>
          </cell>
          <cell r="G218" t="str">
            <v>Southwest</v>
          </cell>
          <cell r="K218">
            <v>59.647402476664901</v>
          </cell>
          <cell r="M218">
            <v>104.283644071372</v>
          </cell>
        </row>
        <row r="219">
          <cell r="A219" t="str">
            <v>LS-000941</v>
          </cell>
          <cell r="B219" t="str">
            <v>Gates St - 826</v>
          </cell>
          <cell r="C219">
            <v>5.73137234262951</v>
          </cell>
          <cell r="D219">
            <v>19.033000000000001</v>
          </cell>
          <cell r="G219" t="str">
            <v>Buckman</v>
          </cell>
          <cell r="K219">
            <v>79.700283403752294</v>
          </cell>
          <cell r="M219">
            <v>17.123875432141499</v>
          </cell>
        </row>
        <row r="220">
          <cell r="A220" t="str">
            <v>LS-002281</v>
          </cell>
          <cell r="B220" t="str">
            <v>Timuquana Rd - 5565</v>
          </cell>
          <cell r="C220">
            <v>39.286441959454699</v>
          </cell>
          <cell r="D220">
            <v>29.619</v>
          </cell>
          <cell r="G220" t="str">
            <v>Southwest</v>
          </cell>
          <cell r="K220">
            <v>18.094181212277601</v>
          </cell>
          <cell r="M220">
            <v>109.834431952253</v>
          </cell>
        </row>
        <row r="221">
          <cell r="A221" t="str">
            <v>LS-002373</v>
          </cell>
          <cell r="B221" t="str">
            <v>Vida Ln - 7094</v>
          </cell>
          <cell r="C221">
            <v>0.97791150585527098</v>
          </cell>
          <cell r="D221">
            <v>12.355</v>
          </cell>
          <cell r="G221" t="str">
            <v>Southwest</v>
          </cell>
          <cell r="K221">
            <v>303.21762063804198</v>
          </cell>
          <cell r="M221">
            <v>2.99862936314168</v>
          </cell>
        </row>
        <row r="222">
          <cell r="A222" t="str">
            <v>LS-001416</v>
          </cell>
          <cell r="B222" t="str">
            <v>Martin Lakes Dr N - 11405</v>
          </cell>
          <cell r="C222">
            <v>40.453691512257201</v>
          </cell>
          <cell r="D222">
            <v>34.914999999999999</v>
          </cell>
          <cell r="G222" t="str">
            <v>Buckman</v>
          </cell>
          <cell r="K222">
            <v>20.714055224010998</v>
          </cell>
          <cell r="M222">
            <v>112.92827054407699</v>
          </cell>
        </row>
        <row r="223">
          <cell r="A223" t="str">
            <v>LS-000884</v>
          </cell>
          <cell r="B223" t="str">
            <v>Flicker Av - 5926</v>
          </cell>
          <cell r="C223">
            <v>6.0259657223221099</v>
          </cell>
          <cell r="D223">
            <v>32.262</v>
          </cell>
          <cell r="G223" t="str">
            <v>Buckman</v>
          </cell>
          <cell r="K223">
            <v>128.49193567958599</v>
          </cell>
          <cell r="M223">
            <v>17.984268687814598</v>
          </cell>
        </row>
        <row r="224">
          <cell r="A224" t="str">
            <v>LS-001228</v>
          </cell>
          <cell r="B224" t="str">
            <v>Lancashire - 8869</v>
          </cell>
          <cell r="C224">
            <v>89.985183601445698</v>
          </cell>
          <cell r="D224">
            <v>245.71</v>
          </cell>
          <cell r="G224" t="str">
            <v>Buckman</v>
          </cell>
          <cell r="K224">
            <v>65.533455219901995</v>
          </cell>
          <cell r="M224">
            <v>239.27810177283399</v>
          </cell>
        </row>
        <row r="225">
          <cell r="A225" t="str">
            <v>LS-002402</v>
          </cell>
          <cell r="B225" t="str">
            <v>Wellhouse Dr - 747</v>
          </cell>
          <cell r="C225">
            <v>17.7498661020655</v>
          </cell>
          <cell r="D225">
            <v>48.44</v>
          </cell>
          <cell r="G225" t="str">
            <v>Buckman</v>
          </cell>
          <cell r="K225">
            <v>65.496832106509103</v>
          </cell>
          <cell r="M225">
            <v>51.357330304110803</v>
          </cell>
        </row>
        <row r="226">
          <cell r="A226" t="str">
            <v>LS-001435</v>
          </cell>
          <cell r="B226" t="str">
            <v>Meadow Point Dr - 10342</v>
          </cell>
          <cell r="C226">
            <v>28.874218684717899</v>
          </cell>
          <cell r="D226">
            <v>43.372999999999998</v>
          </cell>
          <cell r="G226" t="str">
            <v>Southwest</v>
          </cell>
          <cell r="K226">
            <v>36.0512612087037</v>
          </cell>
          <cell r="M226">
            <v>81.920634781982102</v>
          </cell>
        </row>
        <row r="227">
          <cell r="A227" t="str">
            <v>LS-001440</v>
          </cell>
          <cell r="B227" t="str">
            <v>Melvin Rd - 7619</v>
          </cell>
          <cell r="C227">
            <v>53.679630354864003</v>
          </cell>
          <cell r="D227">
            <v>43.494</v>
          </cell>
          <cell r="G227" t="str">
            <v>Southwest</v>
          </cell>
          <cell r="K227">
            <v>19.446035546431698</v>
          </cell>
          <cell r="M227">
            <v>147.55057504625501</v>
          </cell>
        </row>
        <row r="228">
          <cell r="A228" t="str">
            <v>LS-002018</v>
          </cell>
          <cell r="B228" t="str">
            <v>Savannah Av - 4355</v>
          </cell>
          <cell r="C228">
            <v>4.9675007653898602</v>
          </cell>
          <cell r="D228">
            <v>17.216999999999999</v>
          </cell>
          <cell r="G228" t="str">
            <v>Southwest</v>
          </cell>
          <cell r="K228">
            <v>83.182272034853099</v>
          </cell>
          <cell r="M228">
            <v>14.886198704456801</v>
          </cell>
        </row>
        <row r="229">
          <cell r="A229" t="str">
            <v>LS-000358</v>
          </cell>
          <cell r="B229" t="str">
            <v>2028 Beaver St W</v>
          </cell>
          <cell r="C229">
            <v>50.937976259536903</v>
          </cell>
          <cell r="D229">
            <v>30.542000000000002</v>
          </cell>
          <cell r="G229" t="str">
            <v>Buckman</v>
          </cell>
          <cell r="K229">
            <v>14.390206557583101</v>
          </cell>
          <cell r="M229">
            <v>140.435316025015</v>
          </cell>
        </row>
        <row r="230">
          <cell r="A230" t="str">
            <v>LS-002444</v>
          </cell>
          <cell r="B230" t="str">
            <v>Wilson Bv - 5937</v>
          </cell>
          <cell r="C230">
            <v>29.0045860748919</v>
          </cell>
          <cell r="D230">
            <v>20.417999999999999</v>
          </cell>
          <cell r="G230" t="str">
            <v>Southwest</v>
          </cell>
          <cell r="K230">
            <v>16.8949833910645</v>
          </cell>
          <cell r="M230">
            <v>82.273914975853003</v>
          </cell>
        </row>
        <row r="231">
          <cell r="A231" t="str">
            <v>LS-001205</v>
          </cell>
          <cell r="B231" t="str">
            <v>La Moya Av - 5549</v>
          </cell>
          <cell r="C231">
            <v>47.119721145843101</v>
          </cell>
          <cell r="D231">
            <v>95.965999999999994</v>
          </cell>
          <cell r="G231" t="str">
            <v>Southwest</v>
          </cell>
          <cell r="K231">
            <v>48.879406413957199</v>
          </cell>
          <cell r="M231">
            <v>130.47396598854701</v>
          </cell>
        </row>
        <row r="232">
          <cell r="A232" t="str">
            <v>LS-001431</v>
          </cell>
          <cell r="B232" t="str">
            <v>McGirts Creek Dr - 10516</v>
          </cell>
          <cell r="C232">
            <v>5.6727341654335897</v>
          </cell>
          <cell r="D232">
            <v>62.494</v>
          </cell>
          <cell r="G232" t="str">
            <v>Southwest</v>
          </cell>
          <cell r="K232">
            <v>264.39737104891498</v>
          </cell>
          <cell r="M232">
            <v>16.9524484142778</v>
          </cell>
        </row>
        <row r="233">
          <cell r="A233" t="str">
            <v>LS-000462</v>
          </cell>
          <cell r="B233" t="str">
            <v>Bridgecreek Dr - 9022</v>
          </cell>
          <cell r="C233">
            <v>65.609192327621301</v>
          </cell>
          <cell r="D233">
            <v>118.193</v>
          </cell>
          <cell r="G233" t="str">
            <v>Southwest</v>
          </cell>
          <cell r="K233">
            <v>43.2352830352674</v>
          </cell>
          <cell r="M233">
            <v>178.17478917680901</v>
          </cell>
        </row>
        <row r="234">
          <cell r="A234" t="str">
            <v>LS-000662</v>
          </cell>
          <cell r="B234" t="str">
            <v>Cumberland Gap Tl - 8007</v>
          </cell>
          <cell r="C234">
            <v>13.1869505249834</v>
          </cell>
          <cell r="D234">
            <v>44.860999999999997</v>
          </cell>
          <cell r="G234" t="str">
            <v>Southwest</v>
          </cell>
          <cell r="K234">
            <v>81.646169670554301</v>
          </cell>
          <cell r="M234">
            <v>38.541605535194797</v>
          </cell>
        </row>
        <row r="235">
          <cell r="A235" t="str">
            <v>LS-003747</v>
          </cell>
          <cell r="B235" t="str">
            <v>Drysdale Dr - 506</v>
          </cell>
          <cell r="C235">
            <v>84.253920512164001</v>
          </cell>
          <cell r="D235">
            <v>150.94499999999999</v>
          </cell>
          <cell r="G235" t="str">
            <v>Southwest</v>
          </cell>
          <cell r="K235">
            <v>42.997168297669702</v>
          </cell>
          <cell r="M235">
            <v>225.07170521573099</v>
          </cell>
        </row>
        <row r="236">
          <cell r="A236" t="str">
            <v>LS-002025</v>
          </cell>
          <cell r="B236" t="str">
            <v>Scott Woods Dr W - 8850</v>
          </cell>
          <cell r="C236">
            <v>7.1550618712093899</v>
          </cell>
          <cell r="D236">
            <v>22.178999999999998</v>
          </cell>
          <cell r="G236" t="str">
            <v>Buckman</v>
          </cell>
          <cell r="K236">
            <v>74.394325245719799</v>
          </cell>
          <cell r="M236">
            <v>21.269501368357599</v>
          </cell>
        </row>
        <row r="237">
          <cell r="A237" t="str">
            <v>LS-001092</v>
          </cell>
          <cell r="B237" t="str">
            <v>Hogan Rd - 7551</v>
          </cell>
          <cell r="C237">
            <v>34.765552787004502</v>
          </cell>
          <cell r="D237">
            <v>13.102</v>
          </cell>
          <cell r="G237" t="str">
            <v>Buckman</v>
          </cell>
          <cell r="K237">
            <v>9.0448151918223303</v>
          </cell>
          <cell r="M237">
            <v>97.786792558085295</v>
          </cell>
        </row>
        <row r="238">
          <cell r="A238" t="str">
            <v>LS-002199</v>
          </cell>
          <cell r="B238" t="str">
            <v>Steamboat Springs Dr E- 4403</v>
          </cell>
          <cell r="C238">
            <v>1.57237864522631</v>
          </cell>
          <cell r="D238">
            <v>21.619</v>
          </cell>
          <cell r="G238" t="str">
            <v>Southwest</v>
          </cell>
          <cell r="K238">
            <v>329.981586544202</v>
          </cell>
          <cell r="M238">
            <v>4.7975181397512303</v>
          </cell>
        </row>
        <row r="239">
          <cell r="A239" t="str">
            <v>LS-001500</v>
          </cell>
          <cell r="B239" t="str">
            <v>Morse Av - 6857</v>
          </cell>
          <cell r="C239">
            <v>61.5517844789129</v>
          </cell>
          <cell r="D239">
            <v>211.84299999999999</v>
          </cell>
          <cell r="G239" t="str">
            <v>Southwest</v>
          </cell>
          <cell r="K239">
            <v>82.600887091125898</v>
          </cell>
          <cell r="M239">
            <v>167.81774896743701</v>
          </cell>
        </row>
        <row r="240">
          <cell r="A240" t="str">
            <v>LS-001811</v>
          </cell>
          <cell r="B240" t="str">
            <v>Princess Kelly Dr - 13383</v>
          </cell>
          <cell r="C240">
            <v>5.7593709158113899</v>
          </cell>
          <cell r="D240">
            <v>18.605</v>
          </cell>
          <cell r="G240" t="str">
            <v>Arlington-East</v>
          </cell>
          <cell r="K240">
            <v>77.529300773831693</v>
          </cell>
          <cell r="M240">
            <v>17.205708651815598</v>
          </cell>
        </row>
        <row r="241">
          <cell r="A241" t="str">
            <v>LS-000717</v>
          </cell>
          <cell r="B241" t="str">
            <v>Derrickson Dr - 8998</v>
          </cell>
          <cell r="C241">
            <v>24.592367133521499</v>
          </cell>
          <cell r="D241">
            <v>23.074999999999999</v>
          </cell>
          <cell r="G241" t="str">
            <v>Southwest</v>
          </cell>
          <cell r="K241">
            <v>22.519182354150999</v>
          </cell>
          <cell r="M241">
            <v>70.258061278139195</v>
          </cell>
        </row>
        <row r="242">
          <cell r="A242" t="str">
            <v>LS-002158</v>
          </cell>
          <cell r="B242" t="str">
            <v>St Augustine Rd - 5805</v>
          </cell>
          <cell r="C242">
            <v>13.3723552616318</v>
          </cell>
          <cell r="D242">
            <v>3.8170000000000002</v>
          </cell>
          <cell r="G242" t="str">
            <v>Buckman</v>
          </cell>
          <cell r="K242">
            <v>6.8505508721297197</v>
          </cell>
          <cell r="M242">
            <v>39.066126531406901</v>
          </cell>
        </row>
        <row r="243">
          <cell r="A243" t="str">
            <v>LS-001340</v>
          </cell>
          <cell r="B243" t="str">
            <v>Leonnie Rd - 3975</v>
          </cell>
          <cell r="C243">
            <v>5.7839483586063301</v>
          </cell>
          <cell r="D243">
            <v>13.259</v>
          </cell>
          <cell r="G243" t="str">
            <v>Buckman</v>
          </cell>
          <cell r="K243">
            <v>55.017088720459398</v>
          </cell>
          <cell r="M243">
            <v>17.2775322062862</v>
          </cell>
        </row>
        <row r="244">
          <cell r="A244" t="str">
            <v>LS-001493</v>
          </cell>
          <cell r="B244" t="str">
            <v>Moret Dr S - 6600</v>
          </cell>
          <cell r="C244">
            <v>19.860489657266999</v>
          </cell>
          <cell r="D244">
            <v>39.978999999999999</v>
          </cell>
          <cell r="G244" t="str">
            <v>Southwest</v>
          </cell>
          <cell r="K244">
            <v>48.311799787318797</v>
          </cell>
          <cell r="M244">
            <v>57.225035942568397</v>
          </cell>
        </row>
        <row r="245">
          <cell r="A245" t="str">
            <v>LS-000870</v>
          </cell>
          <cell r="B245" t="str">
            <v>Ferber Rd - 4147</v>
          </cell>
          <cell r="C245">
            <v>140.29573170624201</v>
          </cell>
          <cell r="D245">
            <v>38.206000000000003</v>
          </cell>
          <cell r="G245" t="str">
            <v>Arlington-East</v>
          </cell>
          <cell r="K245">
            <v>6.5357939892279804</v>
          </cell>
          <cell r="M245">
            <v>360.51863028837801</v>
          </cell>
        </row>
        <row r="246">
          <cell r="A246" t="str">
            <v>LS-000470</v>
          </cell>
          <cell r="B246" t="str">
            <v>Broad St - 1261</v>
          </cell>
          <cell r="C246">
            <v>100.154592971611</v>
          </cell>
          <cell r="D246">
            <v>9.9559999999999995</v>
          </cell>
          <cell r="G246" t="str">
            <v>Buckman</v>
          </cell>
          <cell r="K246">
            <v>2.3857517954042202</v>
          </cell>
          <cell r="M246">
            <v>264.26675262567602</v>
          </cell>
        </row>
        <row r="247">
          <cell r="A247" t="str">
            <v>LS-001402</v>
          </cell>
          <cell r="B247" t="str">
            <v>1030 Marcy St</v>
          </cell>
          <cell r="C247">
            <v>4.1101402627134602</v>
          </cell>
          <cell r="D247">
            <v>30.059000000000001</v>
          </cell>
          <cell r="G247" t="str">
            <v>Buckman</v>
          </cell>
          <cell r="K247">
            <v>175.521017261764</v>
          </cell>
          <cell r="M247">
            <v>12.3622865419881</v>
          </cell>
        </row>
        <row r="248">
          <cell r="A248" t="str">
            <v>LS-002397</v>
          </cell>
          <cell r="B248" t="str">
            <v>5214 Waterside Dr</v>
          </cell>
          <cell r="C248">
            <v>4.27299985610329</v>
          </cell>
          <cell r="D248">
            <v>19.355</v>
          </cell>
          <cell r="G248" t="str">
            <v>Buckman</v>
          </cell>
          <cell r="K248">
            <v>108.710511500839</v>
          </cell>
          <cell r="M248">
            <v>12.842781679497801</v>
          </cell>
        </row>
        <row r="249">
          <cell r="A249" t="str">
            <v>LS-000980</v>
          </cell>
          <cell r="B249" t="str">
            <v>Grayson Ct - 10712</v>
          </cell>
          <cell r="C249">
            <v>4.5601794173717396</v>
          </cell>
          <cell r="D249">
            <v>38.78</v>
          </cell>
          <cell r="G249" t="str">
            <v>Buckman</v>
          </cell>
          <cell r="K249">
            <v>204.09723276555201</v>
          </cell>
          <cell r="M249">
            <v>13.688826652473001</v>
          </cell>
        </row>
        <row r="250">
          <cell r="A250" t="str">
            <v>LS-001039</v>
          </cell>
          <cell r="B250" t="str">
            <v>Hearthside Ct - 944</v>
          </cell>
          <cell r="C250">
            <v>10.9459292634986</v>
          </cell>
          <cell r="D250">
            <v>34.497999999999998</v>
          </cell>
          <cell r="G250" t="str">
            <v>Southwest</v>
          </cell>
          <cell r="K250">
            <v>75.640174540591602</v>
          </cell>
          <cell r="M250">
            <v>32.1736170241712</v>
          </cell>
        </row>
        <row r="251">
          <cell r="A251" t="str">
            <v>LS-001780</v>
          </cell>
          <cell r="B251" t="str">
            <v>3113 Plum St</v>
          </cell>
          <cell r="C251">
            <v>15.717963219377699</v>
          </cell>
          <cell r="D251">
            <v>48.345999999999997</v>
          </cell>
          <cell r="G251" t="str">
            <v>Buckman</v>
          </cell>
          <cell r="K251">
            <v>73.820251632192097</v>
          </cell>
          <cell r="M251">
            <v>45.673573868491999</v>
          </cell>
        </row>
        <row r="252">
          <cell r="A252" t="str">
            <v>LS-001216</v>
          </cell>
          <cell r="B252" t="str">
            <v>Lake Gray Bv - 6130</v>
          </cell>
          <cell r="C252">
            <v>15.699712549124101</v>
          </cell>
          <cell r="D252">
            <v>35.381</v>
          </cell>
          <cell r="G252" t="str">
            <v>Southwest</v>
          </cell>
          <cell r="K252">
            <v>54.086595365555098</v>
          </cell>
          <cell r="M252">
            <v>45.6223589417272</v>
          </cell>
        </row>
        <row r="253">
          <cell r="A253" t="str">
            <v>LS-001428</v>
          </cell>
          <cell r="B253" t="str">
            <v>2251 McCoys Creek Bv</v>
          </cell>
          <cell r="C253">
            <v>55.103884342042697</v>
          </cell>
          <cell r="D253">
            <v>109.26</v>
          </cell>
          <cell r="G253" t="str">
            <v>Buckman</v>
          </cell>
          <cell r="K253">
            <v>47.587207894876201</v>
          </cell>
          <cell r="M253">
            <v>151.234968797764</v>
          </cell>
        </row>
        <row r="254">
          <cell r="A254" t="str">
            <v>LS-001838</v>
          </cell>
          <cell r="B254" t="str">
            <v>Ramona Bv - 6800</v>
          </cell>
          <cell r="C254">
            <v>28.313022564644701</v>
          </cell>
          <cell r="D254">
            <v>6.9180000000000001</v>
          </cell>
          <cell r="G254" t="str">
            <v>Southwest</v>
          </cell>
          <cell r="K254">
            <v>5.8641566657503104</v>
          </cell>
          <cell r="M254">
            <v>80.398677799186103</v>
          </cell>
        </row>
        <row r="255">
          <cell r="A255" t="str">
            <v>LS-002075</v>
          </cell>
          <cell r="B255" t="str">
            <v>Sleiman Py - 4302</v>
          </cell>
          <cell r="C255">
            <v>10.646497101641801</v>
          </cell>
          <cell r="D255">
            <v>8.0749999999999993</v>
          </cell>
          <cell r="G255" t="str">
            <v>Arlington-East</v>
          </cell>
          <cell r="K255">
            <v>18.203170315062099</v>
          </cell>
          <cell r="M255">
            <v>31.318661852323199</v>
          </cell>
        </row>
        <row r="256">
          <cell r="A256" t="str">
            <v>LS-000468</v>
          </cell>
          <cell r="B256" t="str">
            <v>Brighton Park Ln - 5210</v>
          </cell>
          <cell r="C256">
            <v>5.8980903071091904</v>
          </cell>
          <cell r="D256">
            <v>19.661999999999999</v>
          </cell>
          <cell r="G256" t="str">
            <v>Southwest</v>
          </cell>
          <cell r="K256">
            <v>80.006913327728498</v>
          </cell>
          <cell r="M256">
            <v>17.610965311640399</v>
          </cell>
        </row>
        <row r="257">
          <cell r="A257" t="str">
            <v>LS-001800</v>
          </cell>
          <cell r="B257" t="str">
            <v>Powell Pl - 1888</v>
          </cell>
          <cell r="C257">
            <v>61.380988826350702</v>
          </cell>
          <cell r="D257">
            <v>42.49</v>
          </cell>
          <cell r="G257" t="str">
            <v>Buckman</v>
          </cell>
          <cell r="K257">
            <v>16.613613099080901</v>
          </cell>
          <cell r="M257">
            <v>167.38048517339399</v>
          </cell>
        </row>
        <row r="258">
          <cell r="A258" t="str">
            <v>LS-000658</v>
          </cell>
          <cell r="B258" t="str">
            <v>Crystal Springs Rd - 9598</v>
          </cell>
          <cell r="C258">
            <v>19.082759763262398</v>
          </cell>
          <cell r="D258">
            <v>81.709000000000003</v>
          </cell>
          <cell r="G258" t="str">
            <v>Southwest</v>
          </cell>
          <cell r="K258">
            <v>102.763752430363</v>
          </cell>
          <cell r="M258">
            <v>55.067016220398997</v>
          </cell>
        </row>
        <row r="259">
          <cell r="A259" t="str">
            <v>LS-001648</v>
          </cell>
          <cell r="B259" t="str">
            <v>Ortega Bluff Ln - 5349</v>
          </cell>
          <cell r="C259">
            <v>5.1205462048600001</v>
          </cell>
          <cell r="D259">
            <v>52.610999999999997</v>
          </cell>
          <cell r="G259" t="str">
            <v>Southwest</v>
          </cell>
          <cell r="K259">
            <v>246.58775636114399</v>
          </cell>
          <cell r="M259">
            <v>15.3353282338048</v>
          </cell>
        </row>
        <row r="260">
          <cell r="A260" t="str">
            <v>LS-000058</v>
          </cell>
          <cell r="B260" t="str">
            <v>Abel Ln - 5180</v>
          </cell>
          <cell r="C260">
            <v>17.986644561488198</v>
          </cell>
          <cell r="D260">
            <v>43.048999999999999</v>
          </cell>
          <cell r="G260" t="str">
            <v>Buckman</v>
          </cell>
          <cell r="K260">
            <v>57.441286309296899</v>
          </cell>
          <cell r="M260">
            <v>52.017384560767098</v>
          </cell>
        </row>
        <row r="261">
          <cell r="A261" t="str">
            <v>LS-000869</v>
          </cell>
          <cell r="B261" t="str">
            <v>Fender Dr - 4451</v>
          </cell>
          <cell r="C261">
            <v>8.5214173753686104</v>
          </cell>
          <cell r="D261">
            <v>23.994</v>
          </cell>
          <cell r="G261" t="str">
            <v>Southwest</v>
          </cell>
          <cell r="K261">
            <v>67.577490296922605</v>
          </cell>
          <cell r="M261">
            <v>25.220717247984101</v>
          </cell>
        </row>
        <row r="262">
          <cell r="A262" t="str">
            <v>LS-000589</v>
          </cell>
          <cell r="B262" t="str">
            <v>Cleveland Rd - 6050</v>
          </cell>
          <cell r="C262">
            <v>20.829538471372199</v>
          </cell>
          <cell r="D262">
            <v>67.272000000000006</v>
          </cell>
          <cell r="G262" t="str">
            <v>Buckman</v>
          </cell>
          <cell r="K262">
            <v>77.511462974514899</v>
          </cell>
          <cell r="M262">
            <v>59.907394971384399</v>
          </cell>
        </row>
        <row r="263">
          <cell r="A263" t="str">
            <v>LS-001687</v>
          </cell>
          <cell r="B263" t="str">
            <v>Parkview Dr - 638</v>
          </cell>
          <cell r="C263">
            <v>15.3602308696563</v>
          </cell>
          <cell r="D263">
            <v>75.55</v>
          </cell>
          <cell r="G263" t="str">
            <v>Buckman</v>
          </cell>
          <cell r="K263">
            <v>118.045100714074</v>
          </cell>
          <cell r="M263">
            <v>44.669161633048297</v>
          </cell>
        </row>
        <row r="264">
          <cell r="A264" t="str">
            <v>LS-001492</v>
          </cell>
          <cell r="B264" t="str">
            <v>Moret Dr - 5631</v>
          </cell>
          <cell r="C264">
            <v>6.2595499989798196</v>
          </cell>
          <cell r="D264">
            <v>17.215</v>
          </cell>
          <cell r="G264" t="str">
            <v>Southwest</v>
          </cell>
          <cell r="K264">
            <v>66.004744760779403</v>
          </cell>
          <cell r="M264">
            <v>18.665498496794701</v>
          </cell>
        </row>
        <row r="265">
          <cell r="A265" t="str">
            <v>LS-001574</v>
          </cell>
          <cell r="B265" t="str">
            <v>5121 Normandy Bv</v>
          </cell>
          <cell r="C265">
            <v>2.6296759943865999</v>
          </cell>
          <cell r="D265">
            <v>113.32</v>
          </cell>
          <cell r="G265" t="str">
            <v>Buckman</v>
          </cell>
          <cell r="K265">
            <v>1034.2262719078401</v>
          </cell>
          <cell r="M265">
            <v>7.9687142557921904</v>
          </cell>
        </row>
        <row r="266">
          <cell r="A266" t="str">
            <v>LS-002354</v>
          </cell>
          <cell r="B266" t="str">
            <v>University Bv W - 5317</v>
          </cell>
          <cell r="C266">
            <v>44.190526361359801</v>
          </cell>
          <cell r="D266">
            <v>26.111999999999998</v>
          </cell>
          <cell r="G266" t="str">
            <v>Buckman</v>
          </cell>
          <cell r="K266">
            <v>14.181501140660201</v>
          </cell>
          <cell r="M266">
            <v>122.78910086558101</v>
          </cell>
        </row>
        <row r="267">
          <cell r="A267" t="str">
            <v>LS-000476</v>
          </cell>
          <cell r="B267" t="str">
            <v>Broadway Av - 6630</v>
          </cell>
          <cell r="C267">
            <v>70.539228338887497</v>
          </cell>
          <cell r="D267">
            <v>32.006999999999998</v>
          </cell>
          <cell r="G267" t="str">
            <v>Buckman</v>
          </cell>
          <cell r="K267">
            <v>10.889940506714</v>
          </cell>
          <cell r="M267">
            <v>190.68300791589499</v>
          </cell>
        </row>
        <row r="268">
          <cell r="A268" t="str">
            <v>LS-001476</v>
          </cell>
          <cell r="B268" t="str">
            <v>Moncrief Rd - 4861</v>
          </cell>
          <cell r="C268">
            <v>28.769163746682899</v>
          </cell>
          <cell r="D268">
            <v>9.0709999999999997</v>
          </cell>
          <cell r="G268" t="str">
            <v>Buckman</v>
          </cell>
          <cell r="K268">
            <v>7.5672689660679202</v>
          </cell>
          <cell r="M268">
            <v>81.635873278025599</v>
          </cell>
        </row>
        <row r="269">
          <cell r="A269" t="str">
            <v>LS-000460</v>
          </cell>
          <cell r="B269" t="str">
            <v>Breve Dr - 2941</v>
          </cell>
          <cell r="C269">
            <v>11.8569514162103</v>
          </cell>
          <cell r="D269">
            <v>39.292999999999999</v>
          </cell>
          <cell r="G269" t="str">
            <v>Buckman</v>
          </cell>
          <cell r="K269">
            <v>79.5341034045844</v>
          </cell>
          <cell r="M269">
            <v>34.768735020964797</v>
          </cell>
        </row>
        <row r="270">
          <cell r="A270" t="str">
            <v>LS-000885</v>
          </cell>
          <cell r="B270" t="str">
            <v>Flintlock Ct - 1661</v>
          </cell>
          <cell r="C270">
            <v>24.8536868341134</v>
          </cell>
          <cell r="D270">
            <v>32.954999999999998</v>
          </cell>
          <cell r="G270" t="str">
            <v>Arlington-East</v>
          </cell>
          <cell r="K270">
            <v>31.823045219770201</v>
          </cell>
          <cell r="M270">
            <v>70.973231862143095</v>
          </cell>
        </row>
        <row r="271">
          <cell r="A271" t="str">
            <v>LS-002460</v>
          </cell>
          <cell r="B271" t="str">
            <v>Winstonian Way St - 1089</v>
          </cell>
          <cell r="C271">
            <v>40.204824515037302</v>
          </cell>
          <cell r="D271">
            <v>79.653000000000006</v>
          </cell>
          <cell r="G271" t="str">
            <v>Southwest</v>
          </cell>
          <cell r="K271">
            <v>47.548323442750103</v>
          </cell>
          <cell r="M271">
            <v>112.269197519112</v>
          </cell>
        </row>
        <row r="272">
          <cell r="A272" t="str">
            <v>LS-001685</v>
          </cell>
          <cell r="B272" t="str">
            <v>Parkland Rd - 13437</v>
          </cell>
          <cell r="C272">
            <v>91.320045127571404</v>
          </cell>
          <cell r="D272">
            <v>379.66500000000002</v>
          </cell>
          <cell r="G272" t="str">
            <v>Southwest</v>
          </cell>
          <cell r="K272">
            <v>99.780502596892703</v>
          </cell>
          <cell r="M272">
            <v>242.57382228089099</v>
          </cell>
        </row>
        <row r="273">
          <cell r="A273" t="str">
            <v>LS-002476</v>
          </cell>
          <cell r="B273" t="str">
            <v>Youngerman Cr - 6397</v>
          </cell>
          <cell r="C273">
            <v>42.9600782612141</v>
          </cell>
          <cell r="D273">
            <v>27.672999999999998</v>
          </cell>
          <cell r="G273" t="str">
            <v>Southwest</v>
          </cell>
          <cell r="K273">
            <v>15.459748372935801</v>
          </cell>
          <cell r="M273">
            <v>119.54939369656201</v>
          </cell>
        </row>
        <row r="274">
          <cell r="A274" t="str">
            <v>LS-001357</v>
          </cell>
          <cell r="B274" t="str">
            <v>Longleaf St - 5175</v>
          </cell>
          <cell r="C274">
            <v>29.149279998300901</v>
          </cell>
          <cell r="D274">
            <v>213.83500000000001</v>
          </cell>
          <cell r="G274" t="str">
            <v>Buckman</v>
          </cell>
          <cell r="K274">
            <v>176.060609397527</v>
          </cell>
          <cell r="M274">
            <v>82.665897939074696</v>
          </cell>
        </row>
        <row r="275">
          <cell r="A275" t="str">
            <v>LS-002467</v>
          </cell>
          <cell r="B275" t="str">
            <v>Woodmere St - 4211</v>
          </cell>
          <cell r="C275">
            <v>68.266180634367203</v>
          </cell>
          <cell r="D275">
            <v>173.83199999999999</v>
          </cell>
          <cell r="G275" t="str">
            <v>Buckman</v>
          </cell>
          <cell r="K275">
            <v>61.113247602718701</v>
          </cell>
          <cell r="M275">
            <v>184.92610570708101</v>
          </cell>
        </row>
        <row r="276">
          <cell r="A276" t="str">
            <v>LS-002044</v>
          </cell>
          <cell r="B276" t="str">
            <v>Shelby Creek Rd W - 2410</v>
          </cell>
          <cell r="C276">
            <v>22.9960263299959</v>
          </cell>
          <cell r="D276">
            <v>26.295000000000002</v>
          </cell>
          <cell r="G276" t="str">
            <v>Southwest</v>
          </cell>
          <cell r="K276">
            <v>27.4430021493244</v>
          </cell>
          <cell r="M276">
            <v>65.879139226179305</v>
          </cell>
        </row>
        <row r="277">
          <cell r="A277" t="str">
            <v>LS-001480</v>
          </cell>
          <cell r="B277" t="str">
            <v>Montebello Wy - 3780</v>
          </cell>
          <cell r="C277">
            <v>18.412589496524799</v>
          </cell>
          <cell r="D277">
            <v>103.657</v>
          </cell>
          <cell r="G277" t="str">
            <v>Arlington-East</v>
          </cell>
          <cell r="K277">
            <v>135.11233715765701</v>
          </cell>
          <cell r="M277">
            <v>53.203609703980703</v>
          </cell>
        </row>
        <row r="278">
          <cell r="A278" t="str">
            <v>LS-000594</v>
          </cell>
          <cell r="B278" t="str">
            <v>Coachman Lakes Dr - 2664</v>
          </cell>
          <cell r="C278">
            <v>37.359746949710399</v>
          </cell>
          <cell r="D278">
            <v>152.321</v>
          </cell>
          <cell r="G278" t="str">
            <v>Arlington-East</v>
          </cell>
          <cell r="K278">
            <v>97.851412241118993</v>
          </cell>
          <cell r="M278">
            <v>104.71285349772501</v>
          </cell>
        </row>
        <row r="279">
          <cell r="A279" t="str">
            <v>LS-001464</v>
          </cell>
          <cell r="B279" t="str">
            <v>Mindanao Dr S - 11004</v>
          </cell>
          <cell r="C279">
            <v>128.46216632427701</v>
          </cell>
          <cell r="D279">
            <v>17.978000000000002</v>
          </cell>
          <cell r="G279" t="str">
            <v>Arlington-East</v>
          </cell>
          <cell r="K279">
            <v>3.3587476557949101</v>
          </cell>
          <cell r="M279">
            <v>332.50568969532497</v>
          </cell>
        </row>
        <row r="280">
          <cell r="A280" t="str">
            <v>LS-002248</v>
          </cell>
          <cell r="B280" t="str">
            <v>Talbot Av - 1896</v>
          </cell>
          <cell r="C280">
            <v>37.5077001408876</v>
          </cell>
          <cell r="D280">
            <v>31.213000000000001</v>
          </cell>
          <cell r="G280" t="str">
            <v>Buckman</v>
          </cell>
          <cell r="K280">
            <v>19.972218962670599</v>
          </cell>
          <cell r="M280">
            <v>105.106810339719</v>
          </cell>
        </row>
        <row r="281">
          <cell r="A281" t="str">
            <v>LS-000574</v>
          </cell>
          <cell r="B281" t="str">
            <v>Christopher Pt Rd - 6511</v>
          </cell>
          <cell r="C281">
            <v>5.3444105327143303</v>
          </cell>
          <cell r="D281">
            <v>11.305</v>
          </cell>
          <cell r="G281" t="str">
            <v>Buckman</v>
          </cell>
          <cell r="K281">
            <v>50.767058095404401</v>
          </cell>
          <cell r="M281">
            <v>15.9915518947042</v>
          </cell>
        </row>
        <row r="282">
          <cell r="A282" t="str">
            <v>LS-002112</v>
          </cell>
          <cell r="B282" t="str">
            <v>Southside Bv - 9041</v>
          </cell>
          <cell r="C282">
            <v>141.46687466012301</v>
          </cell>
          <cell r="D282">
            <v>93.869</v>
          </cell>
          <cell r="G282" t="str">
            <v>Arlington-East</v>
          </cell>
          <cell r="K282">
            <v>15.924971873539601</v>
          </cell>
          <cell r="M282">
            <v>363.27591719158897</v>
          </cell>
        </row>
        <row r="283">
          <cell r="A283" t="str">
            <v>LS-001754</v>
          </cell>
          <cell r="B283" t="str">
            <v>Pickett St - 7605</v>
          </cell>
          <cell r="C283">
            <v>8.6086398850690795</v>
          </cell>
          <cell r="D283">
            <v>52.13</v>
          </cell>
          <cell r="G283" t="str">
            <v>Buckman</v>
          </cell>
          <cell r="K283">
            <v>145.33306267926901</v>
          </cell>
          <cell r="M283">
            <v>25.472100114654101</v>
          </cell>
        </row>
        <row r="284">
          <cell r="A284" t="str">
            <v>LS-002353</v>
          </cell>
          <cell r="B284" t="str">
            <v>University Bv W - 3737</v>
          </cell>
          <cell r="C284">
            <v>5.7203522063424499</v>
          </cell>
          <cell r="D284">
            <v>14.385999999999999</v>
          </cell>
          <cell r="G284" t="str">
            <v>Buckman</v>
          </cell>
          <cell r="K284">
            <v>60.357122699051303</v>
          </cell>
          <cell r="M284">
            <v>17.091662671002702</v>
          </cell>
        </row>
        <row r="285">
          <cell r="A285" t="str">
            <v>LS-002412</v>
          </cell>
          <cell r="B285" t="str">
            <v>Western Wy - 8465</v>
          </cell>
          <cell r="C285">
            <v>6.9339295296959804</v>
          </cell>
          <cell r="D285">
            <v>6.8070000000000004</v>
          </cell>
          <cell r="G285" t="str">
            <v>Arlington-East</v>
          </cell>
          <cell r="K285">
            <v>23.560666329293198</v>
          </cell>
          <cell r="M285">
            <v>20.627588111152502</v>
          </cell>
        </row>
        <row r="286">
          <cell r="A286" t="str">
            <v>LS-001840</v>
          </cell>
          <cell r="B286" t="str">
            <v>Rampart Rd - 7265</v>
          </cell>
          <cell r="C286">
            <v>7.8246208275577596</v>
          </cell>
          <cell r="D286">
            <v>17.800999999999998</v>
          </cell>
          <cell r="G286" t="str">
            <v>Southwest</v>
          </cell>
          <cell r="K286">
            <v>54.599962019290103</v>
          </cell>
          <cell r="M286">
            <v>23.208901481848901</v>
          </cell>
        </row>
        <row r="287">
          <cell r="A287" t="str">
            <v>LS-001163</v>
          </cell>
          <cell r="B287" t="str">
            <v>Joloru Dr - 9343</v>
          </cell>
          <cell r="C287">
            <v>54.467322510376697</v>
          </cell>
          <cell r="D287">
            <v>14.519</v>
          </cell>
          <cell r="G287" t="str">
            <v>Southwest</v>
          </cell>
          <cell r="K287">
            <v>6.3975239453640196</v>
          </cell>
          <cell r="M287">
            <v>149.58924044569099</v>
          </cell>
        </row>
        <row r="288">
          <cell r="A288" t="str">
            <v>LS-001311</v>
          </cell>
          <cell r="B288" t="str">
            <v>Lem Turner Rd - 9495</v>
          </cell>
          <cell r="C288">
            <v>2.6378468931080898</v>
          </cell>
          <cell r="D288">
            <v>21.759</v>
          </cell>
          <cell r="G288" t="str">
            <v>Buckman</v>
          </cell>
          <cell r="K288">
            <v>197.97054990734799</v>
          </cell>
          <cell r="M288">
            <v>7.9931019010486501</v>
          </cell>
        </row>
        <row r="289">
          <cell r="A289" t="str">
            <v>LS-001035</v>
          </cell>
          <cell r="B289" t="str">
            <v>Hawkins Cove Dr W - 1731</v>
          </cell>
          <cell r="C289">
            <v>61.143858400696203</v>
          </cell>
          <cell r="D289">
            <v>121.47199999999999</v>
          </cell>
          <cell r="G289" t="str">
            <v>Arlington-East</v>
          </cell>
          <cell r="K289">
            <v>47.679817339868897</v>
          </cell>
          <cell r="M289">
            <v>166.77321861169401</v>
          </cell>
        </row>
        <row r="290">
          <cell r="A290" t="str">
            <v>LS-001003</v>
          </cell>
          <cell r="B290" t="str">
            <v>1396 Hamilton St</v>
          </cell>
          <cell r="C290">
            <v>5.4443154526161601</v>
          </cell>
          <cell r="D290">
            <v>31.914000000000001</v>
          </cell>
          <cell r="G290" t="str">
            <v>Buckman</v>
          </cell>
          <cell r="K290">
            <v>140.68545562177999</v>
          </cell>
          <cell r="M290">
            <v>16.284131920442402</v>
          </cell>
        </row>
        <row r="291">
          <cell r="A291" t="str">
            <v>LS-000369</v>
          </cell>
          <cell r="B291" t="str">
            <v>BELAIR RD S - 3002</v>
          </cell>
          <cell r="C291">
            <v>32.976030585404899</v>
          </cell>
          <cell r="D291">
            <v>42.287999999999997</v>
          </cell>
          <cell r="G291" t="str">
            <v>Buckman</v>
          </cell>
          <cell r="K291">
            <v>30.777264030352999</v>
          </cell>
          <cell r="M291">
            <v>92.988115590826993</v>
          </cell>
        </row>
        <row r="292">
          <cell r="A292" t="str">
            <v>LS-000023</v>
          </cell>
          <cell r="B292" t="str">
            <v>Magnolia Valley Dr - 5097</v>
          </cell>
          <cell r="C292">
            <v>5.3034806139558999</v>
          </cell>
          <cell r="D292">
            <v>52.765000000000001</v>
          </cell>
          <cell r="G292" t="str">
            <v>Southwest</v>
          </cell>
          <cell r="K292">
            <v>238.77903817874301</v>
          </cell>
          <cell r="M292">
            <v>15.8716363322168</v>
          </cell>
        </row>
        <row r="293">
          <cell r="A293" t="str">
            <v>LS-000622</v>
          </cell>
          <cell r="B293" t="str">
            <v>Community Oaks Ct - 5503</v>
          </cell>
          <cell r="C293">
            <v>3.5035015872892998</v>
          </cell>
          <cell r="D293">
            <v>5.6559999999999997</v>
          </cell>
          <cell r="G293" t="str">
            <v>Buckman</v>
          </cell>
          <cell r="K293">
            <v>38.745237191408499</v>
          </cell>
          <cell r="M293">
            <v>10.567781998996701</v>
          </cell>
        </row>
        <row r="294">
          <cell r="A294" t="str">
            <v>LS-000069</v>
          </cell>
          <cell r="B294" t="str">
            <v>Addor Ln - 505</v>
          </cell>
          <cell r="C294">
            <v>1.53278597399706</v>
          </cell>
          <cell r="D294">
            <v>17.271999999999998</v>
          </cell>
          <cell r="G294" t="str">
            <v>Buckman</v>
          </cell>
          <cell r="K294">
            <v>270.44088805107702</v>
          </cell>
          <cell r="M294">
            <v>4.6781078061482502</v>
          </cell>
        </row>
        <row r="295">
          <cell r="A295" t="str">
            <v>LS-000489</v>
          </cell>
          <cell r="B295" t="str">
            <v>Bryan St - 250</v>
          </cell>
          <cell r="C295">
            <v>31.058938574624801</v>
          </cell>
          <cell r="D295">
            <v>207.102</v>
          </cell>
          <cell r="G295" t="str">
            <v>Buckman</v>
          </cell>
          <cell r="K295">
            <v>160.032770857819</v>
          </cell>
          <cell r="M295">
            <v>87.827575629744103</v>
          </cell>
        </row>
        <row r="296">
          <cell r="A296" t="str">
            <v>LS-002007</v>
          </cell>
          <cell r="B296" t="str">
            <v>San Pablo Rd S - 4950</v>
          </cell>
          <cell r="C296">
            <v>47.219228965674901</v>
          </cell>
          <cell r="D296">
            <v>103.268</v>
          </cell>
          <cell r="G296" t="str">
            <v>Arlington-East</v>
          </cell>
          <cell r="K296">
            <v>52.487769374668197</v>
          </cell>
          <cell r="M296">
            <v>130.73436191287999</v>
          </cell>
        </row>
        <row r="297">
          <cell r="A297" t="str">
            <v>LS-000233</v>
          </cell>
          <cell r="B297" t="str">
            <v>Bartholf Av - 6039</v>
          </cell>
          <cell r="C297">
            <v>0.74286763731273198</v>
          </cell>
          <cell r="D297">
            <v>9.6959999999999997</v>
          </cell>
          <cell r="G297" t="str">
            <v>Southwest</v>
          </cell>
          <cell r="K297">
            <v>313.25095927154598</v>
          </cell>
          <cell r="M297">
            <v>2.2833763474345701</v>
          </cell>
        </row>
        <row r="298">
          <cell r="A298" t="str">
            <v>LS-002188</v>
          </cell>
          <cell r="B298" t="str">
            <v>Stacey Rd - 14618</v>
          </cell>
          <cell r="C298">
            <v>3.22624383577367</v>
          </cell>
          <cell r="D298">
            <v>18.088999999999999</v>
          </cell>
          <cell r="G298" t="str">
            <v>Arlington-East</v>
          </cell>
          <cell r="K298">
            <v>134.56391460129399</v>
          </cell>
          <cell r="M298">
            <v>9.7450237065166103</v>
          </cell>
        </row>
        <row r="299">
          <cell r="A299" t="str">
            <v>LS-002054</v>
          </cell>
          <cell r="B299" t="str">
            <v>Shindler Dr - 7520</v>
          </cell>
          <cell r="C299">
            <v>13.536418207679899</v>
          </cell>
          <cell r="D299">
            <v>26.135999999999999</v>
          </cell>
          <cell r="G299" t="str">
            <v>Southwest</v>
          </cell>
          <cell r="K299">
            <v>46.338993844333203</v>
          </cell>
          <cell r="M299">
            <v>39.5299870680727</v>
          </cell>
        </row>
        <row r="300">
          <cell r="A300" t="str">
            <v>LS-000626</v>
          </cell>
          <cell r="B300" t="str">
            <v>Copper Cr E - 3631</v>
          </cell>
          <cell r="C300">
            <v>2.8973287178613401</v>
          </cell>
          <cell r="D300">
            <v>4.6959999999999997</v>
          </cell>
          <cell r="G300" t="str">
            <v>Buckman</v>
          </cell>
          <cell r="K300">
            <v>38.899279638242902</v>
          </cell>
          <cell r="M300">
            <v>8.7667145495402394</v>
          </cell>
        </row>
        <row r="301">
          <cell r="A301" t="str">
            <v>LS-000006</v>
          </cell>
          <cell r="B301" t="str">
            <v>41st St W - 1870</v>
          </cell>
          <cell r="C301">
            <v>47.950201195054902</v>
          </cell>
          <cell r="D301">
            <v>145.53299999999999</v>
          </cell>
          <cell r="G301" t="str">
            <v>Buckman</v>
          </cell>
          <cell r="K301">
            <v>72.842071835982495</v>
          </cell>
          <cell r="M301">
            <v>132.645879709204</v>
          </cell>
        </row>
        <row r="302">
          <cell r="A302" t="str">
            <v>LS-001472</v>
          </cell>
          <cell r="B302" t="str">
            <v>Misty Meadow Ct - 8017</v>
          </cell>
          <cell r="C302">
            <v>3.9082065217160502</v>
          </cell>
          <cell r="D302">
            <v>28.850999999999999</v>
          </cell>
          <cell r="G302" t="str">
            <v>Southwest</v>
          </cell>
          <cell r="K302">
            <v>177.17180403659</v>
          </cell>
          <cell r="M302">
            <v>11.765781150106401</v>
          </cell>
        </row>
        <row r="303">
          <cell r="A303" t="str">
            <v>LS-001933</v>
          </cell>
          <cell r="B303" t="str">
            <v>Ryar Rd - 1531</v>
          </cell>
          <cell r="C303">
            <v>194.77640186641099</v>
          </cell>
          <cell r="D303">
            <v>16.071000000000002</v>
          </cell>
          <cell r="G303" t="str">
            <v>Arlington-East</v>
          </cell>
          <cell r="K303">
            <v>1.9802398868859801</v>
          </cell>
          <cell r="M303">
            <v>486.223532032935</v>
          </cell>
        </row>
        <row r="304">
          <cell r="A304" t="str">
            <v>LS-000706</v>
          </cell>
          <cell r="B304" t="str">
            <v>Deerwood Cr N - 908</v>
          </cell>
          <cell r="C304">
            <v>31.8909018698998</v>
          </cell>
          <cell r="D304">
            <v>29.355</v>
          </cell>
          <cell r="G304" t="str">
            <v>Buckman</v>
          </cell>
          <cell r="K304">
            <v>22.091567145831</v>
          </cell>
          <cell r="M304">
            <v>90.069665081731202</v>
          </cell>
        </row>
        <row r="305">
          <cell r="A305" t="str">
            <v>LS-000882</v>
          </cell>
          <cell r="B305" t="str">
            <v>Fish Rd - 10301</v>
          </cell>
          <cell r="C305">
            <v>45.572234249272498</v>
          </cell>
          <cell r="D305">
            <v>60.383000000000003</v>
          </cell>
          <cell r="G305" t="str">
            <v>Buckman</v>
          </cell>
          <cell r="K305">
            <v>31.799889206071398</v>
          </cell>
          <cell r="M305">
            <v>126.41884058550799</v>
          </cell>
        </row>
        <row r="306">
          <cell r="A306" t="str">
            <v>LS-001659</v>
          </cell>
          <cell r="B306" t="str">
            <v>Overland Park Bv - 7422</v>
          </cell>
          <cell r="C306">
            <v>41.154642948837797</v>
          </cell>
          <cell r="D306">
            <v>36.283000000000001</v>
          </cell>
          <cell r="G306" t="str">
            <v>Southwest</v>
          </cell>
          <cell r="K306">
            <v>21.159022107968301</v>
          </cell>
          <cell r="M306">
            <v>114.78298699391701</v>
          </cell>
        </row>
        <row r="307">
          <cell r="A307" t="str">
            <v>LS-000676</v>
          </cell>
          <cell r="B307" t="str">
            <v>Damascus Rd N - 5101</v>
          </cell>
          <cell r="C307">
            <v>5.6484457198643598</v>
          </cell>
          <cell r="D307">
            <v>4.7869999999999999</v>
          </cell>
          <cell r="G307" t="str">
            <v>Buckman</v>
          </cell>
          <cell r="K307">
            <v>20.3397546330248</v>
          </cell>
          <cell r="M307">
            <v>16.881425342409699</v>
          </cell>
        </row>
        <row r="308">
          <cell r="A308" t="str">
            <v>LS-001922</v>
          </cell>
          <cell r="B308" t="str">
            <v>Rothbury Dr - 2138</v>
          </cell>
          <cell r="C308">
            <v>57.511535894457197</v>
          </cell>
          <cell r="D308">
            <v>25.512</v>
          </cell>
          <cell r="G308" t="str">
            <v>Southwest</v>
          </cell>
          <cell r="K308">
            <v>10.6463510403138</v>
          </cell>
          <cell r="M308">
            <v>157.44533543279999</v>
          </cell>
        </row>
        <row r="309">
          <cell r="A309" t="str">
            <v>LS-000838</v>
          </cell>
          <cell r="B309" t="str">
            <v>Emerald Bay Dr - 4211</v>
          </cell>
          <cell r="C309">
            <v>4.9451040182616302</v>
          </cell>
          <cell r="D309">
            <v>16.23</v>
          </cell>
          <cell r="G309" t="str">
            <v>Arlington-East</v>
          </cell>
          <cell r="K309">
            <v>78.768818322436303</v>
          </cell>
          <cell r="M309">
            <v>14.8204382579171</v>
          </cell>
        </row>
        <row r="310">
          <cell r="A310" t="str">
            <v>LS-000600</v>
          </cell>
          <cell r="B310" t="str">
            <v>Collins Grove Dr - 7837</v>
          </cell>
          <cell r="C310">
            <v>3.5161533532162998</v>
          </cell>
          <cell r="D310">
            <v>29.672999999999998</v>
          </cell>
          <cell r="G310" t="str">
            <v>Arlington-East</v>
          </cell>
          <cell r="K310">
            <v>202.53724125785899</v>
          </cell>
          <cell r="M310">
            <v>10.605285819281301</v>
          </cell>
        </row>
        <row r="311">
          <cell r="A311" t="str">
            <v>LS-001122</v>
          </cell>
          <cell r="B311" t="str">
            <v>Ibis Point Bv - 13961</v>
          </cell>
          <cell r="C311">
            <v>12.9175602413032</v>
          </cell>
          <cell r="D311">
            <v>23.838000000000001</v>
          </cell>
          <cell r="G311" t="str">
            <v>Arlington-East</v>
          </cell>
          <cell r="K311">
            <v>44.289477990642602</v>
          </cell>
          <cell r="M311">
            <v>37.778873354057197</v>
          </cell>
        </row>
        <row r="312">
          <cell r="A312" t="str">
            <v>LS-002096</v>
          </cell>
          <cell r="B312" t="str">
            <v>Southpoint Py - 5900</v>
          </cell>
          <cell r="C312">
            <v>44.409527822334198</v>
          </cell>
          <cell r="D312">
            <v>37.545000000000002</v>
          </cell>
          <cell r="G312" t="str">
            <v>Buckman</v>
          </cell>
          <cell r="K312">
            <v>20.290240499851301</v>
          </cell>
          <cell r="M312">
            <v>123.364992661936</v>
          </cell>
        </row>
        <row r="313">
          <cell r="A313" t="str">
            <v>LS-000578</v>
          </cell>
          <cell r="B313" t="str">
            <v>Cinnamon Lakes Dr - 7445</v>
          </cell>
          <cell r="C313">
            <v>30.749054108417798</v>
          </cell>
          <cell r="D313">
            <v>99.888000000000005</v>
          </cell>
          <cell r="G313" t="str">
            <v>Southwest</v>
          </cell>
          <cell r="K313">
            <v>77.963764073761098</v>
          </cell>
          <cell r="M313">
            <v>86.991436293272599</v>
          </cell>
        </row>
        <row r="314">
          <cell r="A314" t="str">
            <v>LS-000931</v>
          </cell>
          <cell r="B314" t="str">
            <v>Gate Py - 9731</v>
          </cell>
          <cell r="C314">
            <v>99.597611773260695</v>
          </cell>
          <cell r="D314">
            <v>83.233000000000004</v>
          </cell>
          <cell r="G314" t="str">
            <v>Arlington-East</v>
          </cell>
          <cell r="K314">
            <v>20.056625499692</v>
          </cell>
          <cell r="M314">
            <v>262.90506836995598</v>
          </cell>
        </row>
        <row r="315">
          <cell r="A315" t="str">
            <v>LS-000149</v>
          </cell>
          <cell r="B315" t="str">
            <v>Ashley Manor Wy W - 4894</v>
          </cell>
          <cell r="C315">
            <v>22.801236296924301</v>
          </cell>
          <cell r="D315">
            <v>80.596999999999994</v>
          </cell>
          <cell r="G315" t="str">
            <v>Arlington-East</v>
          </cell>
          <cell r="K315">
            <v>84.834347349004304</v>
          </cell>
          <cell r="M315">
            <v>65.343598754331396</v>
          </cell>
        </row>
        <row r="316">
          <cell r="A316" t="str">
            <v>LS-000994</v>
          </cell>
          <cell r="B316" t="str">
            <v>Gregory Dr - 7844</v>
          </cell>
          <cell r="C316">
            <v>29.887537445561499</v>
          </cell>
          <cell r="D316">
            <v>6.2329999999999997</v>
          </cell>
          <cell r="G316" t="str">
            <v>Southwest</v>
          </cell>
          <cell r="K316">
            <v>5.0051631143072104</v>
          </cell>
          <cell r="M316">
            <v>84.663916041074799</v>
          </cell>
        </row>
        <row r="317">
          <cell r="A317" t="str">
            <v>LS-001430</v>
          </cell>
          <cell r="B317" t="str">
            <v>McGirts Bv - 4170</v>
          </cell>
          <cell r="C317">
            <v>52.339195904061199</v>
          </cell>
          <cell r="D317">
            <v>88.370999999999995</v>
          </cell>
          <cell r="G317" t="str">
            <v>Southwest</v>
          </cell>
          <cell r="K317">
            <v>40.5222885710292</v>
          </cell>
          <cell r="M317">
            <v>144.075632234528</v>
          </cell>
        </row>
        <row r="318">
          <cell r="A318" t="str">
            <v>LS-001841</v>
          </cell>
          <cell r="B318" t="str">
            <v>Rampart Rd - 7322</v>
          </cell>
          <cell r="C318">
            <v>8.3780491597863502</v>
          </cell>
          <cell r="D318">
            <v>20.952000000000002</v>
          </cell>
          <cell r="G318" t="str">
            <v>Southwest</v>
          </cell>
          <cell r="K318">
            <v>60.019700339502798</v>
          </cell>
          <cell r="M318">
            <v>24.807303304342</v>
          </cell>
        </row>
        <row r="319">
          <cell r="A319" t="str">
            <v>LS-001057</v>
          </cell>
          <cell r="B319" t="str">
            <v>Hernando Rd - 7309</v>
          </cell>
          <cell r="C319">
            <v>177.80116122084101</v>
          </cell>
          <cell r="D319">
            <v>155.32400000000001</v>
          </cell>
          <cell r="G319" t="str">
            <v>Arlington-East</v>
          </cell>
          <cell r="K319">
            <v>20.965982305199098</v>
          </cell>
          <cell r="M319">
            <v>447.58440007122499</v>
          </cell>
        </row>
        <row r="320">
          <cell r="A320" t="str">
            <v>LS-000667</v>
          </cell>
          <cell r="B320" t="str">
            <v>Currituck Dr N - 13410</v>
          </cell>
          <cell r="C320">
            <v>38.844195298780001</v>
          </cell>
          <cell r="D320">
            <v>62.198999999999998</v>
          </cell>
          <cell r="G320" t="str">
            <v>Arlington-East</v>
          </cell>
          <cell r="K320">
            <v>38.429834587071099</v>
          </cell>
          <cell r="M320">
            <v>108.66048848568801</v>
          </cell>
        </row>
        <row r="321">
          <cell r="A321" t="str">
            <v>LS-000173</v>
          </cell>
          <cell r="B321" t="str">
            <v>Atlantic Bv - 4110</v>
          </cell>
          <cell r="C321">
            <v>107.042652714846</v>
          </cell>
          <cell r="D321">
            <v>6.952</v>
          </cell>
          <cell r="G321" t="str">
            <v>Buckman</v>
          </cell>
          <cell r="K321">
            <v>1.5587057660507699</v>
          </cell>
          <cell r="M321">
            <v>281.04266432795299</v>
          </cell>
        </row>
        <row r="322">
          <cell r="A322" t="str">
            <v>LS-001279</v>
          </cell>
          <cell r="B322" t="str">
            <v>Leatherleaf Dr - 196</v>
          </cell>
          <cell r="C322">
            <v>18.1035039071689</v>
          </cell>
          <cell r="D322">
            <v>74.194000000000003</v>
          </cell>
          <cell r="G322" t="str">
            <v>Arlington-East</v>
          </cell>
          <cell r="K322">
            <v>98.359743457998306</v>
          </cell>
          <cell r="M322">
            <v>52.3429767703972</v>
          </cell>
        </row>
        <row r="323">
          <cell r="A323" t="str">
            <v>LS-001565</v>
          </cell>
          <cell r="B323" t="str">
            <v>Niblick Dr - 2078</v>
          </cell>
          <cell r="C323">
            <v>28.127325295837299</v>
          </cell>
          <cell r="D323">
            <v>3.5819999999999999</v>
          </cell>
          <cell r="G323" t="str">
            <v>Southwest</v>
          </cell>
          <cell r="K323">
            <v>3.0563873065002398</v>
          </cell>
          <cell r="M323">
            <v>79.894643857510999</v>
          </cell>
        </row>
        <row r="324">
          <cell r="A324" t="str">
            <v>LS-002011</v>
          </cell>
          <cell r="B324" t="str">
            <v>Sandlers Preserve Dr - 6500</v>
          </cell>
          <cell r="C324">
            <v>4.5190598915622999</v>
          </cell>
          <cell r="D324">
            <v>57.970999999999997</v>
          </cell>
          <cell r="G324" t="str">
            <v>Southwest</v>
          </cell>
          <cell r="K324">
            <v>307.874653884927</v>
          </cell>
          <cell r="M324">
            <v>13.5677818483754</v>
          </cell>
        </row>
        <row r="325">
          <cell r="A325" t="str">
            <v>LS-000444</v>
          </cell>
          <cell r="B325" t="str">
            <v>Boulevard - 1706</v>
          </cell>
          <cell r="C325">
            <v>205.090124196007</v>
          </cell>
          <cell r="D325">
            <v>1209.768</v>
          </cell>
          <cell r="G325" t="str">
            <v>Buckman</v>
          </cell>
          <cell r="K325">
            <v>141.56913753804901</v>
          </cell>
          <cell r="M325">
            <v>509.488541149642</v>
          </cell>
        </row>
        <row r="326">
          <cell r="A326" t="str">
            <v>LS-003274</v>
          </cell>
          <cell r="B326" t="str">
            <v>Lightview Ln - 3687</v>
          </cell>
          <cell r="C326">
            <v>3.97173028801677</v>
          </cell>
          <cell r="D326">
            <v>8.3190000000000008</v>
          </cell>
          <cell r="G326" t="str">
            <v>Arlington-East</v>
          </cell>
          <cell r="K326">
            <v>50.269274477773102</v>
          </cell>
          <cell r="M326">
            <v>11.9535162123048</v>
          </cell>
        </row>
        <row r="327">
          <cell r="A327" t="str">
            <v>LS-003974</v>
          </cell>
          <cell r="B327" t="str">
            <v>Balboa Rd - 7106</v>
          </cell>
          <cell r="C327">
            <v>234.470639068146</v>
          </cell>
          <cell r="D327">
            <v>159.86500000000001</v>
          </cell>
          <cell r="G327" t="str">
            <v>Arlington-East</v>
          </cell>
          <cell r="K327">
            <v>16.363498710322101</v>
          </cell>
          <cell r="M327">
            <v>574.95399601773897</v>
          </cell>
        </row>
        <row r="328">
          <cell r="A328" t="str">
            <v>LS-001881</v>
          </cell>
          <cell r="B328" t="str">
            <v>Ridgeview Av - 6950</v>
          </cell>
          <cell r="C328">
            <v>22.569795101311701</v>
          </cell>
          <cell r="D328">
            <v>32.813000000000002</v>
          </cell>
          <cell r="G328" t="str">
            <v>Southwest</v>
          </cell>
          <cell r="K328">
            <v>34.892297270090502</v>
          </cell>
          <cell r="M328">
            <v>64.706943341537595</v>
          </cell>
        </row>
        <row r="329">
          <cell r="A329" t="str">
            <v>LS-001858</v>
          </cell>
          <cell r="B329" t="str">
            <v>Restlawn Dr - 6451</v>
          </cell>
          <cell r="C329">
            <v>23.640614876747499</v>
          </cell>
          <cell r="D329">
            <v>43.302</v>
          </cell>
          <cell r="G329" t="str">
            <v>Buckman</v>
          </cell>
          <cell r="K329">
            <v>43.960277912322198</v>
          </cell>
          <cell r="M329">
            <v>67.649424741005504</v>
          </cell>
        </row>
        <row r="330">
          <cell r="A330" t="str">
            <v>LS-000609</v>
          </cell>
          <cell r="B330" t="str">
            <v>Collins Ridge Bv N - 8529</v>
          </cell>
          <cell r="C330">
            <v>41.281269366700101</v>
          </cell>
          <cell r="D330">
            <v>33.384</v>
          </cell>
          <cell r="G330" t="str">
            <v>Southwest</v>
          </cell>
          <cell r="K330">
            <v>19.408705504736901</v>
          </cell>
          <cell r="M330">
            <v>115.117788536018</v>
          </cell>
        </row>
        <row r="331">
          <cell r="A331" t="str">
            <v>LS-000942</v>
          </cell>
          <cell r="B331" t="str">
            <v>Gatwick Cr - 8860</v>
          </cell>
          <cell r="C331">
            <v>10.271258447460401</v>
          </cell>
          <cell r="D331">
            <v>15.185</v>
          </cell>
          <cell r="G331" t="str">
            <v>Buckman</v>
          </cell>
          <cell r="K331">
            <v>35.481533432751803</v>
          </cell>
          <cell r="M331">
            <v>30.245822309047899</v>
          </cell>
        </row>
        <row r="332">
          <cell r="A332" t="str">
            <v>LS-001709</v>
          </cell>
          <cell r="B332" t="str">
            <v>Philips Hy - 10200</v>
          </cell>
          <cell r="C332">
            <v>29.356411786489399</v>
          </cell>
          <cell r="D332">
            <v>91.191000000000003</v>
          </cell>
          <cell r="G332" t="str">
            <v>Arlington-East</v>
          </cell>
          <cell r="K332">
            <v>74.552163115767598</v>
          </cell>
          <cell r="M332">
            <v>83.226808422728496</v>
          </cell>
        </row>
        <row r="333">
          <cell r="A333" t="str">
            <v>LS-002015</v>
          </cell>
          <cell r="B333" t="str">
            <v>Sanibel Dr - 5060</v>
          </cell>
          <cell r="C333">
            <v>4.8112580717982496</v>
          </cell>
          <cell r="D333">
            <v>40.488</v>
          </cell>
          <cell r="G333" t="str">
            <v>Southwest</v>
          </cell>
          <cell r="K333">
            <v>201.96630184853399</v>
          </cell>
          <cell r="M333">
            <v>14.427258703001399</v>
          </cell>
        </row>
        <row r="334">
          <cell r="A334" t="str">
            <v>LS-001034</v>
          </cell>
          <cell r="B334" t="str">
            <v>Hawkeye Cr - 8895</v>
          </cell>
          <cell r="C334">
            <v>16.881634282157901</v>
          </cell>
          <cell r="D334">
            <v>36.917000000000002</v>
          </cell>
          <cell r="G334" t="str">
            <v>Southwest</v>
          </cell>
          <cell r="K334">
            <v>52.483544258296</v>
          </cell>
          <cell r="M334">
            <v>48.933000812468698</v>
          </cell>
        </row>
        <row r="335">
          <cell r="A335" t="str">
            <v>LS-000534</v>
          </cell>
          <cell r="B335" t="str">
            <v>Cavalier Rd - 7041</v>
          </cell>
          <cell r="C335">
            <v>17.1652946069939</v>
          </cell>
          <cell r="D335">
            <v>29.105</v>
          </cell>
          <cell r="G335" t="str">
            <v>Buckman</v>
          </cell>
          <cell r="K335">
            <v>40.693737916702801</v>
          </cell>
          <cell r="M335">
            <v>49.725753818515898</v>
          </cell>
        </row>
        <row r="336">
          <cell r="A336" t="str">
            <v>LS-002419</v>
          </cell>
          <cell r="B336" t="str">
            <v>4801 Wheeler Av</v>
          </cell>
          <cell r="C336">
            <v>29.6066641162708</v>
          </cell>
          <cell r="D336">
            <v>39.268000000000001</v>
          </cell>
          <cell r="G336" t="str">
            <v>Buckman</v>
          </cell>
          <cell r="K336">
            <v>31.831752348015101</v>
          </cell>
          <cell r="M336">
            <v>83.904145261689607</v>
          </cell>
        </row>
        <row r="337">
          <cell r="A337" t="str">
            <v>LS-000097</v>
          </cell>
          <cell r="B337" t="str">
            <v>Alumni Wy - 11009</v>
          </cell>
          <cell r="C337">
            <v>73.010147173105196</v>
          </cell>
          <cell r="D337">
            <v>75.436999999999998</v>
          </cell>
          <cell r="G337" t="str">
            <v>Arlington-East</v>
          </cell>
          <cell r="K337">
            <v>24.797758532212999</v>
          </cell>
          <cell r="M337">
            <v>196.92185570957801</v>
          </cell>
        </row>
        <row r="338">
          <cell r="A338" t="str">
            <v>LS-001627</v>
          </cell>
          <cell r="B338" t="str">
            <v>Oxford Forest Dr - 8198</v>
          </cell>
          <cell r="C338">
            <v>14.8842075508307</v>
          </cell>
          <cell r="D338">
            <v>45.326999999999998</v>
          </cell>
          <cell r="G338" t="str">
            <v>Arlington-East</v>
          </cell>
          <cell r="K338">
            <v>73.087397920575597</v>
          </cell>
          <cell r="M338">
            <v>43.330818330868098</v>
          </cell>
        </row>
        <row r="339">
          <cell r="A339" t="str">
            <v>LS-001649</v>
          </cell>
          <cell r="B339" t="str">
            <v>Ortega Bluff Py - 7799</v>
          </cell>
          <cell r="C339">
            <v>9.3922256048745805</v>
          </cell>
          <cell r="D339">
            <v>27.594999999999999</v>
          </cell>
          <cell r="G339" t="str">
            <v>Southwest</v>
          </cell>
          <cell r="K339">
            <v>70.5136383921907</v>
          </cell>
          <cell r="M339">
            <v>27.726139747347901</v>
          </cell>
        </row>
        <row r="340">
          <cell r="A340" t="str">
            <v>LS-000561</v>
          </cell>
          <cell r="B340" t="str">
            <v>Cherbourg Av N - 6705</v>
          </cell>
          <cell r="C340">
            <v>100.984403527417</v>
          </cell>
          <cell r="D340">
            <v>36.100999999999999</v>
          </cell>
          <cell r="G340" t="str">
            <v>Southwest</v>
          </cell>
          <cell r="K340">
            <v>8.5797803396914301</v>
          </cell>
          <cell r="M340">
            <v>266.29398689901399</v>
          </cell>
        </row>
        <row r="341">
          <cell r="A341" t="str">
            <v>LS-000940</v>
          </cell>
          <cell r="B341" t="str">
            <v>Gately Ridge Ct - 12333</v>
          </cell>
          <cell r="C341">
            <v>2.8026822358581298</v>
          </cell>
          <cell r="D341">
            <v>7.6319999999999997</v>
          </cell>
          <cell r="G341" t="str">
            <v>Arlington-East</v>
          </cell>
          <cell r="K341">
            <v>65.354537041876696</v>
          </cell>
          <cell r="M341">
            <v>8.4847291898665294</v>
          </cell>
        </row>
        <row r="342">
          <cell r="A342" t="str">
            <v>LS-002424</v>
          </cell>
          <cell r="B342" t="str">
            <v>Whispering Wood Bv - 2454</v>
          </cell>
          <cell r="C342">
            <v>12.1003852167993</v>
          </cell>
          <cell r="D342">
            <v>21.774000000000001</v>
          </cell>
          <cell r="G342" t="str">
            <v>Arlington-East</v>
          </cell>
          <cell r="K342">
            <v>43.186724276719303</v>
          </cell>
          <cell r="M342">
            <v>35.460664469185602</v>
          </cell>
        </row>
        <row r="343">
          <cell r="A343" t="str">
            <v>LS-001385</v>
          </cell>
          <cell r="B343" t="str">
            <v>Mallory St - 1896</v>
          </cell>
          <cell r="C343">
            <v>6.0839516682286598</v>
          </cell>
          <cell r="D343">
            <v>100.569</v>
          </cell>
          <cell r="G343" t="str">
            <v>Buckman</v>
          </cell>
          <cell r="K343">
            <v>396.72504510587902</v>
          </cell>
          <cell r="M343">
            <v>18.153459977456201</v>
          </cell>
        </row>
        <row r="344">
          <cell r="A344" t="str">
            <v>LS-002262</v>
          </cell>
          <cell r="B344" t="str">
            <v>Terry Rd - 6411</v>
          </cell>
          <cell r="C344">
            <v>65.1876529768723</v>
          </cell>
          <cell r="D344">
            <v>65.62</v>
          </cell>
          <cell r="G344" t="str">
            <v>Buckman</v>
          </cell>
          <cell r="K344">
            <v>24.159176286938099</v>
          </cell>
          <cell r="M344">
            <v>177.10144889287201</v>
          </cell>
        </row>
        <row r="345">
          <cell r="A345" t="str">
            <v>LS-002098</v>
          </cell>
          <cell r="B345" t="str">
            <v>Southside Bv - 10300</v>
          </cell>
          <cell r="C345">
            <v>39.080481379107198</v>
          </cell>
          <cell r="D345">
            <v>10.305999999999999</v>
          </cell>
          <cell r="G345" t="str">
            <v>Arlington-East</v>
          </cell>
          <cell r="K345">
            <v>6.3290929710050197</v>
          </cell>
          <cell r="M345">
            <v>109.287830470035</v>
          </cell>
        </row>
        <row r="346">
          <cell r="A346" t="str">
            <v>LS-000901</v>
          </cell>
          <cell r="B346" t="str">
            <v>Fortune Py - 10320</v>
          </cell>
          <cell r="C346">
            <v>46.488889309023101</v>
          </cell>
          <cell r="D346">
            <v>66.918999999999997</v>
          </cell>
          <cell r="G346" t="str">
            <v>Arlington-East</v>
          </cell>
          <cell r="K346">
            <v>34.547093378036003</v>
          </cell>
          <cell r="M346">
            <v>128.82217276184201</v>
          </cell>
        </row>
        <row r="347">
          <cell r="A347" t="str">
            <v>LS-001706</v>
          </cell>
          <cell r="B347" t="str">
            <v>Pettiford Dr E - 6295</v>
          </cell>
          <cell r="C347">
            <v>10.304387008673499</v>
          </cell>
          <cell r="D347">
            <v>14.284000000000001</v>
          </cell>
          <cell r="G347" t="str">
            <v>Buckman</v>
          </cell>
          <cell r="K347">
            <v>33.2689367850259</v>
          </cell>
          <cell r="M347">
            <v>30.340604851808902</v>
          </cell>
        </row>
        <row r="348">
          <cell r="A348" t="str">
            <v>LS-001826</v>
          </cell>
          <cell r="B348" t="str">
            <v>Queens Island Ct - 1207</v>
          </cell>
          <cell r="C348">
            <v>3.6139989392040501</v>
          </cell>
          <cell r="D348">
            <v>14.365</v>
          </cell>
          <cell r="G348" t="str">
            <v>Arlington-East</v>
          </cell>
          <cell r="K348">
            <v>95.395711454173806</v>
          </cell>
          <cell r="M348">
            <v>10.8952151830769</v>
          </cell>
        </row>
        <row r="349">
          <cell r="A349" t="str">
            <v>LS-000992</v>
          </cell>
          <cell r="B349" t="str">
            <v>Greenwood St - 1990</v>
          </cell>
          <cell r="C349">
            <v>24.4605534217254</v>
          </cell>
          <cell r="D349">
            <v>42.052999999999997</v>
          </cell>
          <cell r="G349" t="str">
            <v>Buckman</v>
          </cell>
          <cell r="K349">
            <v>41.261208714255197</v>
          </cell>
          <cell r="M349">
            <v>69.897143716038002</v>
          </cell>
        </row>
        <row r="350">
          <cell r="A350" t="str">
            <v>LS-000673</v>
          </cell>
          <cell r="B350" t="str">
            <v>D St - 2560</v>
          </cell>
          <cell r="C350">
            <v>22.8233420352562</v>
          </cell>
          <cell r="D350">
            <v>38.168999999999997</v>
          </cell>
          <cell r="G350" t="str">
            <v>Buckman</v>
          </cell>
          <cell r="K350">
            <v>40.136803741753901</v>
          </cell>
          <cell r="M350">
            <v>65.404388018205196</v>
          </cell>
        </row>
        <row r="351">
          <cell r="A351" t="str">
            <v>LS-001176</v>
          </cell>
          <cell r="B351" t="str">
            <v>Kendall Town Bv - 968</v>
          </cell>
          <cell r="C351">
            <v>21.731680705396201</v>
          </cell>
          <cell r="D351">
            <v>3.2810000000000001</v>
          </cell>
          <cell r="G351" t="str">
            <v>Arlington-East</v>
          </cell>
          <cell r="K351">
            <v>3.6234657165953599</v>
          </cell>
          <cell r="M351">
            <v>62.398222428893199</v>
          </cell>
        </row>
        <row r="352">
          <cell r="A352" t="str">
            <v>LS-001948</v>
          </cell>
          <cell r="B352" t="str">
            <v>Sam Hardwick Bv - 2710</v>
          </cell>
          <cell r="C352">
            <v>50.749024746638398</v>
          </cell>
          <cell r="D352">
            <v>51.322000000000003</v>
          </cell>
          <cell r="G352" t="str">
            <v>Arlington-East</v>
          </cell>
          <cell r="K352">
            <v>24.2709688737731</v>
          </cell>
          <cell r="M352">
            <v>139.943809411307</v>
          </cell>
        </row>
        <row r="353">
          <cell r="A353" t="str">
            <v>LS-001412</v>
          </cell>
          <cell r="B353" t="str">
            <v>Marsh Island Ln - 14657</v>
          </cell>
          <cell r="C353">
            <v>1.27816407306208</v>
          </cell>
          <cell r="D353">
            <v>5.0220000000000002</v>
          </cell>
          <cell r="G353" t="str">
            <v>Arlington-East</v>
          </cell>
          <cell r="K353">
            <v>94.297752956905398</v>
          </cell>
          <cell r="M353">
            <v>3.9088700082767902</v>
          </cell>
        </row>
        <row r="354">
          <cell r="A354" t="str">
            <v>LS-001856</v>
          </cell>
          <cell r="B354" t="str">
            <v>Regent Bv - 3850</v>
          </cell>
          <cell r="C354">
            <v>8.0240270851701592</v>
          </cell>
          <cell r="D354">
            <v>13.611000000000001</v>
          </cell>
          <cell r="G354" t="str">
            <v>Arlington-East</v>
          </cell>
          <cell r="K354">
            <v>40.710729977935102</v>
          </cell>
          <cell r="M354">
            <v>23.785294746126802</v>
          </cell>
        </row>
        <row r="355">
          <cell r="A355" t="str">
            <v>LS-001136</v>
          </cell>
          <cell r="B355" t="str">
            <v>Invermere Bv - 7702</v>
          </cell>
          <cell r="C355">
            <v>20.452016234930198</v>
          </cell>
          <cell r="D355">
            <v>35.670999999999999</v>
          </cell>
          <cell r="G355" t="str">
            <v>Southwest</v>
          </cell>
          <cell r="K355">
            <v>41.859149247977498</v>
          </cell>
          <cell r="M355">
            <v>58.863249619793997</v>
          </cell>
        </row>
        <row r="356">
          <cell r="A356" t="str">
            <v>LS-000247</v>
          </cell>
          <cell r="B356" t="str">
            <v>Bayberry Rd - 7999</v>
          </cell>
          <cell r="C356">
            <v>13.8641838969438</v>
          </cell>
          <cell r="D356">
            <v>40.192999999999998</v>
          </cell>
          <cell r="G356" t="str">
            <v>Arlington-East</v>
          </cell>
          <cell r="K356">
            <v>69.577265215923802</v>
          </cell>
          <cell r="M356">
            <v>40.455901382129099</v>
          </cell>
        </row>
        <row r="357">
          <cell r="A357" t="str">
            <v>LS-000629</v>
          </cell>
          <cell r="B357" t="str">
            <v>Coralberry Ln - 8343</v>
          </cell>
          <cell r="C357">
            <v>24.9125308346742</v>
          </cell>
          <cell r="D357">
            <v>68.165000000000006</v>
          </cell>
          <cell r="G357" t="str">
            <v>Southwest</v>
          </cell>
          <cell r="K357">
            <v>65.668157557200402</v>
          </cell>
          <cell r="M357">
            <v>71.134210894047101</v>
          </cell>
        </row>
        <row r="358">
          <cell r="A358" t="str">
            <v>LS-000916</v>
          </cell>
          <cell r="B358" t="str">
            <v>Ft Caroline Rd - 11418</v>
          </cell>
          <cell r="C358">
            <v>29.056074430161502</v>
          </cell>
          <cell r="D358">
            <v>8.0150000000000006</v>
          </cell>
          <cell r="G358" t="str">
            <v>Arlington-East</v>
          </cell>
          <cell r="K358">
            <v>6.6203024246221496</v>
          </cell>
          <cell r="M358">
            <v>82.413413968121404</v>
          </cell>
        </row>
        <row r="359">
          <cell r="A359" t="str">
            <v>LS-002380</v>
          </cell>
          <cell r="B359" t="str">
            <v>Walcott Av - 5004</v>
          </cell>
          <cell r="C359">
            <v>21.229832028217</v>
          </cell>
          <cell r="D359">
            <v>28.484000000000002</v>
          </cell>
          <cell r="G359" t="str">
            <v>Buckman</v>
          </cell>
          <cell r="K359">
            <v>32.200725803736503</v>
          </cell>
          <cell r="M359">
            <v>61.013354239559398</v>
          </cell>
        </row>
        <row r="360">
          <cell r="A360" t="str">
            <v>LS-000261</v>
          </cell>
          <cell r="B360" t="str">
            <v>Baymeadows Wy - 8000</v>
          </cell>
          <cell r="C360">
            <v>12.014883643955701</v>
          </cell>
          <cell r="D360">
            <v>4.681</v>
          </cell>
          <cell r="G360" t="str">
            <v>Arlington-East</v>
          </cell>
          <cell r="K360">
            <v>9.3504026613288396</v>
          </cell>
          <cell r="M360">
            <v>35.217708448609599</v>
          </cell>
        </row>
        <row r="361">
          <cell r="A361" t="str">
            <v>LS-001268</v>
          </cell>
          <cell r="B361" t="str">
            <v>Lantana Av - 2538</v>
          </cell>
          <cell r="C361">
            <v>54.055147172829997</v>
          </cell>
          <cell r="D361">
            <v>20.132999999999999</v>
          </cell>
          <cell r="G361" t="str">
            <v>Buckman</v>
          </cell>
          <cell r="K361">
            <v>8.9388712319123798</v>
          </cell>
          <cell r="M361">
            <v>148.52277569578101</v>
          </cell>
        </row>
        <row r="362">
          <cell r="A362" t="str">
            <v>LS-000262</v>
          </cell>
          <cell r="B362" t="str">
            <v>Baymeadows Wy W - 7611</v>
          </cell>
          <cell r="C362">
            <v>8.9526929354457199</v>
          </cell>
          <cell r="D362">
            <v>35.478999999999999</v>
          </cell>
          <cell r="G362" t="str">
            <v>Arlington-East</v>
          </cell>
          <cell r="K362">
            <v>95.1106003679336</v>
          </cell>
          <cell r="M362">
            <v>26.462741801522</v>
          </cell>
        </row>
        <row r="363">
          <cell r="A363" t="str">
            <v>LS-000540</v>
          </cell>
          <cell r="B363" t="str">
            <v>Central Py - 11550</v>
          </cell>
          <cell r="C363">
            <v>110.457588529528</v>
          </cell>
          <cell r="D363">
            <v>141.31100000000001</v>
          </cell>
          <cell r="G363" t="str">
            <v>Arlington-East</v>
          </cell>
          <cell r="K363">
            <v>30.703766442387799</v>
          </cell>
          <cell r="M363">
            <v>289.31718376555</v>
          </cell>
        </row>
        <row r="364">
          <cell r="A364" t="str">
            <v>LS-002245</v>
          </cell>
          <cell r="B364" t="str">
            <v>Sweet Rose Ln - 7405</v>
          </cell>
          <cell r="C364">
            <v>10.618042375699901</v>
          </cell>
          <cell r="D364">
            <v>26.763000000000002</v>
          </cell>
          <cell r="G364" t="str">
            <v>Southwest</v>
          </cell>
          <cell r="K364">
            <v>60.492506742106499</v>
          </cell>
          <cell r="M364">
            <v>31.237363723045199</v>
          </cell>
        </row>
        <row r="365">
          <cell r="A365" t="str">
            <v>LS-001878</v>
          </cell>
          <cell r="B365" t="str">
            <v>Ricker Rd - 7500</v>
          </cell>
          <cell r="C365">
            <v>2.27057729052656</v>
          </cell>
          <cell r="D365">
            <v>10.555999999999999</v>
          </cell>
          <cell r="G365" t="str">
            <v>Southwest</v>
          </cell>
          <cell r="K365">
            <v>111.576910883861</v>
          </cell>
          <cell r="M365">
            <v>6.8952036025136501</v>
          </cell>
        </row>
        <row r="366">
          <cell r="A366" t="str">
            <v>LS-001036</v>
          </cell>
          <cell r="B366" t="str">
            <v>Hawks Cliff Ct - 7402</v>
          </cell>
          <cell r="C366">
            <v>29.226507097737901</v>
          </cell>
          <cell r="D366">
            <v>83.201999999999998</v>
          </cell>
          <cell r="G366" t="str">
            <v>Southwest</v>
          </cell>
          <cell r="K366">
            <v>68.3231832432879</v>
          </cell>
          <cell r="M366">
            <v>82.875058228498204</v>
          </cell>
        </row>
        <row r="367">
          <cell r="A367" t="str">
            <v>LS-001901</v>
          </cell>
          <cell r="B367" t="str">
            <v>Robert Scott Dr S - 5104</v>
          </cell>
          <cell r="C367">
            <v>73.270313120848201</v>
          </cell>
          <cell r="D367">
            <v>50.286000000000001</v>
          </cell>
          <cell r="G367" t="str">
            <v>Buckman</v>
          </cell>
          <cell r="K367">
            <v>16.471391326108598</v>
          </cell>
          <cell r="M367">
            <v>197.57760729701499</v>
          </cell>
        </row>
        <row r="368">
          <cell r="A368" t="str">
            <v>LS-001017</v>
          </cell>
          <cell r="B368" t="str">
            <v>Harbor View Dr - 4100</v>
          </cell>
          <cell r="C368">
            <v>23.924430821935498</v>
          </cell>
          <cell r="D368">
            <v>24.696000000000002</v>
          </cell>
          <cell r="G368" t="str">
            <v>Buckman</v>
          </cell>
          <cell r="K368">
            <v>24.774006303906301</v>
          </cell>
          <cell r="M368">
            <v>68.427977566349497</v>
          </cell>
        </row>
        <row r="369">
          <cell r="A369" t="str">
            <v>LS-001980</v>
          </cell>
          <cell r="B369" t="str">
            <v>San Jose Bv - 8520</v>
          </cell>
          <cell r="C369">
            <v>6.5410688270938504</v>
          </cell>
          <cell r="D369">
            <v>31.585000000000001</v>
          </cell>
          <cell r="G369" t="str">
            <v>Arlington-East</v>
          </cell>
          <cell r="K369">
            <v>115.889317180109</v>
          </cell>
          <cell r="M369">
            <v>19.4854032093392</v>
          </cell>
        </row>
        <row r="370">
          <cell r="A370" t="str">
            <v>LS-001383</v>
          </cell>
          <cell r="B370" t="str">
            <v>Majestic Oaks Dr - 3482</v>
          </cell>
          <cell r="C370">
            <v>7.5147435033983401</v>
          </cell>
          <cell r="D370">
            <v>25.277000000000001</v>
          </cell>
          <cell r="G370" t="str">
            <v>Arlington-East</v>
          </cell>
          <cell r="K370">
            <v>80.727705440067197</v>
          </cell>
          <cell r="M370">
            <v>22.312109212260399</v>
          </cell>
        </row>
        <row r="371">
          <cell r="A371" t="str">
            <v>LS-001096</v>
          </cell>
          <cell r="B371" t="str">
            <v>Holly Oaks Ravine Dr - 1945</v>
          </cell>
          <cell r="C371">
            <v>26.9144278241031</v>
          </cell>
          <cell r="D371">
            <v>8.9260000000000002</v>
          </cell>
          <cell r="G371" t="str">
            <v>Arlington-East</v>
          </cell>
          <cell r="K371">
            <v>7.9594484192657697</v>
          </cell>
          <cell r="M371">
            <v>76.597222571051901</v>
          </cell>
        </row>
        <row r="372">
          <cell r="A372" t="str">
            <v>LS-000099</v>
          </cell>
          <cell r="B372" t="str">
            <v>UNF Dr - 3545</v>
          </cell>
          <cell r="C372">
            <v>87.672967703731103</v>
          </cell>
          <cell r="D372">
            <v>67.588999999999999</v>
          </cell>
          <cell r="G372" t="str">
            <v>Arlington-East</v>
          </cell>
          <cell r="K372">
            <v>18.502122632390002</v>
          </cell>
          <cell r="M372">
            <v>233.557756349301</v>
          </cell>
        </row>
        <row r="373">
          <cell r="A373" t="str">
            <v>LS-000959</v>
          </cell>
          <cell r="B373" t="str">
            <v>Glynlea St - 1295</v>
          </cell>
          <cell r="C373">
            <v>27.026720977246299</v>
          </cell>
          <cell r="D373">
            <v>51.11</v>
          </cell>
          <cell r="G373" t="str">
            <v>Arlington-East</v>
          </cell>
          <cell r="K373">
            <v>45.386193946084099</v>
          </cell>
          <cell r="M373">
            <v>76.902894940374793</v>
          </cell>
        </row>
        <row r="374">
          <cell r="A374" t="str">
            <v>LS-000048</v>
          </cell>
          <cell r="B374" t="str">
            <v>118th St - 8350</v>
          </cell>
          <cell r="C374">
            <v>42.912254533263997</v>
          </cell>
          <cell r="D374">
            <v>99.567999999999998</v>
          </cell>
          <cell r="G374" t="str">
            <v>Southwest</v>
          </cell>
          <cell r="K374">
            <v>55.686470589599203</v>
          </cell>
          <cell r="M374">
            <v>119.423334972086</v>
          </cell>
        </row>
        <row r="375">
          <cell r="A375" t="str">
            <v>LS-004077</v>
          </cell>
          <cell r="B375" t="str">
            <v>Alexia Ci - 2517</v>
          </cell>
          <cell r="C375">
            <v>13.404811495416199</v>
          </cell>
          <cell r="D375">
            <v>13.363</v>
          </cell>
          <cell r="G375" t="str">
            <v>Arlington-East</v>
          </cell>
          <cell r="K375">
            <v>23.925140619073101</v>
          </cell>
          <cell r="M375">
            <v>39.157912137013199</v>
          </cell>
        </row>
        <row r="376">
          <cell r="A376" t="str">
            <v>LS-000423</v>
          </cell>
          <cell r="B376" t="str">
            <v>Blarney Stone Ct - 8621</v>
          </cell>
          <cell r="C376">
            <v>85.742435241000294</v>
          </cell>
          <cell r="D376">
            <v>11.491</v>
          </cell>
          <cell r="G376" t="str">
            <v>Arlington-East</v>
          </cell>
          <cell r="K376">
            <v>3.2164236906129502</v>
          </cell>
          <cell r="M376">
            <v>228.770261717815</v>
          </cell>
        </row>
        <row r="377">
          <cell r="A377" t="str">
            <v>LS-001164</v>
          </cell>
          <cell r="B377" t="str">
            <v>Jones Creek Dr - 1143</v>
          </cell>
          <cell r="C377">
            <v>6.0753723635119101</v>
          </cell>
          <cell r="D377">
            <v>16.079999999999998</v>
          </cell>
          <cell r="G377" t="str">
            <v>Arlington-East</v>
          </cell>
          <cell r="K377">
            <v>63.5220323807307</v>
          </cell>
          <cell r="M377">
            <v>18.1284306441087</v>
          </cell>
        </row>
        <row r="378">
          <cell r="A378" t="str">
            <v>LS-000282</v>
          </cell>
          <cell r="B378" t="str">
            <v>Beach Bv - 11260</v>
          </cell>
          <cell r="C378">
            <v>41.120670676149501</v>
          </cell>
          <cell r="D378">
            <v>23.728000000000002</v>
          </cell>
          <cell r="G378" t="str">
            <v>Arlington-East</v>
          </cell>
          <cell r="K378">
            <v>13.8488013603898</v>
          </cell>
          <cell r="M378">
            <v>114.693150898368</v>
          </cell>
        </row>
        <row r="379">
          <cell r="A379" t="str">
            <v>LS-000634</v>
          </cell>
          <cell r="B379" t="str">
            <v>Corporate Square Bv - 1706</v>
          </cell>
          <cell r="C379">
            <v>24.137452074071501</v>
          </cell>
          <cell r="D379">
            <v>5.1779999999999999</v>
          </cell>
          <cell r="G379" t="str">
            <v>Arlington-East</v>
          </cell>
          <cell r="K379">
            <v>5.1485135887019702</v>
          </cell>
          <cell r="M379">
            <v>69.011965891783703</v>
          </cell>
        </row>
        <row r="380">
          <cell r="A380" t="str">
            <v>LS-001610</v>
          </cell>
          <cell r="B380" t="str">
            <v>Jiggermast Av - 4423</v>
          </cell>
          <cell r="C380">
            <v>29.916761090681501</v>
          </cell>
          <cell r="D380">
            <v>35.366</v>
          </cell>
          <cell r="G380" t="str">
            <v>Arlington-East</v>
          </cell>
          <cell r="K380">
            <v>28.371520480684001</v>
          </cell>
          <cell r="M380">
            <v>84.742939936844806</v>
          </cell>
        </row>
        <row r="381">
          <cell r="A381" t="str">
            <v>LS-001496</v>
          </cell>
          <cell r="B381" t="str">
            <v>Morrison St - 4516</v>
          </cell>
          <cell r="C381">
            <v>3.4801059135178698</v>
          </cell>
          <cell r="D381">
            <v>19.832000000000001</v>
          </cell>
          <cell r="G381" t="str">
            <v>Buckman</v>
          </cell>
          <cell r="K381">
            <v>136.76825126246399</v>
          </cell>
          <cell r="M381">
            <v>10.498420755451299</v>
          </cell>
        </row>
        <row r="382">
          <cell r="A382" t="str">
            <v>LS-001820</v>
          </cell>
          <cell r="B382" t="str">
            <v>Quail Cove Ln - 7998</v>
          </cell>
          <cell r="C382">
            <v>73.404745682223194</v>
          </cell>
          <cell r="D382">
            <v>75.537000000000006</v>
          </cell>
          <cell r="G382" t="str">
            <v>Southwest</v>
          </cell>
          <cell r="K382">
            <v>24.697149798027802</v>
          </cell>
          <cell r="M382">
            <v>197.91636168977499</v>
          </cell>
        </row>
        <row r="383">
          <cell r="A383" t="str">
            <v>LS-001862</v>
          </cell>
          <cell r="B383" t="str">
            <v>Rhode Island Dr W - 6910</v>
          </cell>
          <cell r="C383">
            <v>10.0780829491981</v>
          </cell>
          <cell r="D383">
            <v>12.577</v>
          </cell>
          <cell r="G383" t="str">
            <v>Buckman</v>
          </cell>
          <cell r="K383">
            <v>29.950934272079799</v>
          </cell>
          <cell r="M383">
            <v>29.692883089911099</v>
          </cell>
        </row>
        <row r="384">
          <cell r="A384" t="str">
            <v>LS-001824</v>
          </cell>
          <cell r="B384" t="str">
            <v>Queens Harbor Bv N - 581</v>
          </cell>
          <cell r="C384">
            <v>137.458635023667</v>
          </cell>
          <cell r="D384">
            <v>54.088000000000001</v>
          </cell>
          <cell r="G384" t="str">
            <v>Arlington-East</v>
          </cell>
          <cell r="K384">
            <v>9.4436555388207992</v>
          </cell>
          <cell r="M384">
            <v>353.82802170022597</v>
          </cell>
        </row>
        <row r="385">
          <cell r="A385" t="str">
            <v>LS-000098</v>
          </cell>
          <cell r="B385" t="str">
            <v>Alumni Wy - 11220</v>
          </cell>
          <cell r="C385">
            <v>142.175042143914</v>
          </cell>
          <cell r="D385">
            <v>48.457999999999998</v>
          </cell>
          <cell r="G385" t="str">
            <v>Arlington-East</v>
          </cell>
          <cell r="K385">
            <v>8.1800010920537396</v>
          </cell>
          <cell r="M385">
            <v>364.94191072166802</v>
          </cell>
        </row>
        <row r="386">
          <cell r="A386" t="str">
            <v>LS-002255</v>
          </cell>
          <cell r="B386" t="str">
            <v>Tampico Rd - 5957</v>
          </cell>
          <cell r="C386">
            <v>48.175582161290897</v>
          </cell>
          <cell r="D386">
            <v>43.776000000000003</v>
          </cell>
          <cell r="G386" t="str">
            <v>Southwest</v>
          </cell>
          <cell r="K386">
            <v>21.808226343431201</v>
          </cell>
          <cell r="M386">
            <v>133.23479294502499</v>
          </cell>
        </row>
        <row r="387">
          <cell r="A387" t="str">
            <v>LS-001779</v>
          </cell>
          <cell r="B387" t="str">
            <v>Plum Lake Dr - 6972</v>
          </cell>
          <cell r="C387">
            <v>61.542022419073298</v>
          </cell>
          <cell r="D387">
            <v>147.93899999999999</v>
          </cell>
          <cell r="G387" t="str">
            <v>Southwest</v>
          </cell>
          <cell r="K387">
            <v>57.692871641794</v>
          </cell>
          <cell r="M387">
            <v>167.79275939972501</v>
          </cell>
        </row>
        <row r="388">
          <cell r="A388" t="str">
            <v>LS-000705</v>
          </cell>
          <cell r="B388" t="str">
            <v>Deerwood Club Rd - 10315</v>
          </cell>
          <cell r="C388">
            <v>55.325785577685799</v>
          </cell>
          <cell r="D388">
            <v>32.018999999999998</v>
          </cell>
          <cell r="G388" t="str">
            <v>Arlington-East</v>
          </cell>
          <cell r="K388">
            <v>13.8896536574428</v>
          </cell>
          <cell r="M388">
            <v>151.808285531889</v>
          </cell>
        </row>
        <row r="389">
          <cell r="A389" t="str">
            <v>LS-002003</v>
          </cell>
          <cell r="B389" t="str">
            <v>San Pablo Rd S - 2702</v>
          </cell>
          <cell r="C389">
            <v>61.878481349136599</v>
          </cell>
          <cell r="D389">
            <v>126.123</v>
          </cell>
          <cell r="G389" t="str">
            <v>Arlington-East</v>
          </cell>
          <cell r="K389">
            <v>48.917684047884798</v>
          </cell>
          <cell r="M389">
            <v>168.65385076535901</v>
          </cell>
        </row>
        <row r="390">
          <cell r="A390" t="str">
            <v>LS-000597</v>
          </cell>
          <cell r="B390" t="str">
            <v>Cold Creek Bv - 2656</v>
          </cell>
          <cell r="C390">
            <v>14.8365082906931</v>
          </cell>
          <cell r="D390">
            <v>53.404000000000003</v>
          </cell>
          <cell r="G390" t="str">
            <v>Southwest</v>
          </cell>
          <cell r="K390">
            <v>86.387981247852295</v>
          </cell>
          <cell r="M390">
            <v>43.196596628649303</v>
          </cell>
        </row>
        <row r="391">
          <cell r="A391" t="str">
            <v>LS-001470</v>
          </cell>
          <cell r="B391" t="str">
            <v>Mission Hills Dr E - 3900</v>
          </cell>
          <cell r="C391">
            <v>14.090167115031001</v>
          </cell>
          <cell r="D391">
            <v>26.687000000000001</v>
          </cell>
          <cell r="G391" t="str">
            <v>Arlington-East</v>
          </cell>
          <cell r="K391">
            <v>45.456380663984199</v>
          </cell>
          <cell r="M391">
            <v>41.093682124390298</v>
          </cell>
        </row>
        <row r="392">
          <cell r="A392" t="str">
            <v>LS-001165</v>
          </cell>
          <cell r="B392" t="str">
            <v>Jose Cr W - 8241</v>
          </cell>
          <cell r="C392">
            <v>17.589106418135401</v>
          </cell>
          <cell r="D392">
            <v>19.872</v>
          </cell>
          <cell r="G392" t="str">
            <v>Arlington-East</v>
          </cell>
          <cell r="K392">
            <v>27.1149647209058</v>
          </cell>
          <cell r="M392">
            <v>50.908924689234198</v>
          </cell>
        </row>
        <row r="393">
          <cell r="A393" t="str">
            <v>LS-001005</v>
          </cell>
          <cell r="B393" t="str">
            <v>Hammond Bv - 1520</v>
          </cell>
          <cell r="C393">
            <v>69.305574757294295</v>
          </cell>
          <cell r="D393">
            <v>35.103000000000002</v>
          </cell>
          <cell r="G393" t="str">
            <v>Southwest</v>
          </cell>
          <cell r="K393">
            <v>12.155905249329599</v>
          </cell>
          <cell r="M393">
            <v>187.56068534866299</v>
          </cell>
        </row>
        <row r="394">
          <cell r="A394" t="str">
            <v>LS-000791</v>
          </cell>
          <cell r="B394" t="str">
            <v>Edenfield Rd - 6210</v>
          </cell>
          <cell r="C394">
            <v>8.7097767927301692</v>
          </cell>
          <cell r="D394">
            <v>13.252000000000001</v>
          </cell>
          <cell r="G394" t="str">
            <v>Arlington-East</v>
          </cell>
          <cell r="K394">
            <v>36.516205589271401</v>
          </cell>
          <cell r="M394">
            <v>25.763462958991401</v>
          </cell>
        </row>
        <row r="395">
          <cell r="A395" t="str">
            <v>LS-002414</v>
          </cell>
          <cell r="B395" t="str">
            <v>Westgate Dr - 857</v>
          </cell>
          <cell r="C395">
            <v>60.870149231794301</v>
          </cell>
          <cell r="D395">
            <v>10.736000000000001</v>
          </cell>
          <cell r="G395" t="str">
            <v>Southwest</v>
          </cell>
          <cell r="K395">
            <v>4.2330108148546204</v>
          </cell>
          <cell r="M395">
            <v>166.07202361163499</v>
          </cell>
        </row>
        <row r="396">
          <cell r="A396" t="str">
            <v>LS-000601</v>
          </cell>
          <cell r="B396" t="str">
            <v>Collins Rd - 4580</v>
          </cell>
          <cell r="C396">
            <v>10.227165600131899</v>
          </cell>
          <cell r="D396">
            <v>4.1589999999999998</v>
          </cell>
          <cell r="G396" t="str">
            <v>Southwest</v>
          </cell>
          <cell r="K396">
            <v>9.7598888981237</v>
          </cell>
          <cell r="M396">
            <v>30.119650643027899</v>
          </cell>
        </row>
        <row r="397">
          <cell r="A397" t="str">
            <v>LS-000891</v>
          </cell>
          <cell r="B397" t="str">
            <v>Floradale Dr S - 2751</v>
          </cell>
          <cell r="C397">
            <v>2.1368286390317999</v>
          </cell>
          <cell r="D397">
            <v>2.0350000000000001</v>
          </cell>
          <cell r="G397" t="str">
            <v>Buckman</v>
          </cell>
          <cell r="K397">
            <v>22.8563016743025</v>
          </cell>
          <cell r="M397">
            <v>6.4944795010002903</v>
          </cell>
        </row>
        <row r="398">
          <cell r="A398" t="str">
            <v>LS-000970</v>
          </cell>
          <cell r="B398" t="str">
            <v>Grampell Dr - 8100</v>
          </cell>
          <cell r="C398">
            <v>60.070823285109803</v>
          </cell>
          <cell r="D398">
            <v>31.556999999999999</v>
          </cell>
          <cell r="G398" t="str">
            <v>Southwest</v>
          </cell>
          <cell r="K398">
            <v>12.6079177640925</v>
          </cell>
          <cell r="M398">
            <v>164.02272396796801</v>
          </cell>
        </row>
        <row r="399">
          <cell r="A399" t="str">
            <v>LS-002449</v>
          </cell>
          <cell r="B399" t="str">
            <v>Wilson Bv - 7800</v>
          </cell>
          <cell r="C399">
            <v>6.5778644449676298</v>
          </cell>
          <cell r="D399">
            <v>9.7859999999999996</v>
          </cell>
          <cell r="G399" t="str">
            <v>Southwest</v>
          </cell>
          <cell r="K399">
            <v>35.705205232631599</v>
          </cell>
          <cell r="M399">
            <v>19.592478834795401</v>
          </cell>
        </row>
        <row r="400">
          <cell r="A400" t="str">
            <v>LS-001201</v>
          </cell>
          <cell r="B400" t="str">
            <v>Knoll Dr W - 1140</v>
          </cell>
          <cell r="C400">
            <v>10.0298875959221</v>
          </cell>
          <cell r="D400">
            <v>6.3890000000000002</v>
          </cell>
          <cell r="G400" t="str">
            <v>Southwest</v>
          </cell>
          <cell r="K400">
            <v>15.2879081179676</v>
          </cell>
          <cell r="M400">
            <v>29.554862325597998</v>
          </cell>
        </row>
        <row r="401">
          <cell r="A401" t="str">
            <v>LS-002260</v>
          </cell>
          <cell r="B401" t="str">
            <v>Tennyson Dr - 6084</v>
          </cell>
          <cell r="C401">
            <v>36.280286809288</v>
          </cell>
          <cell r="D401">
            <v>36.198999999999998</v>
          </cell>
          <cell r="G401" t="str">
            <v>Southwest</v>
          </cell>
          <cell r="K401">
            <v>23.9462274531299</v>
          </cell>
          <cell r="M401">
            <v>101.835153768821</v>
          </cell>
        </row>
        <row r="402">
          <cell r="A402" t="str">
            <v>LS-003514</v>
          </cell>
          <cell r="B402" t="str">
            <v>RG Skinner Py - 9766</v>
          </cell>
          <cell r="C402">
            <v>12.624036079341501</v>
          </cell>
          <cell r="D402">
            <v>43.335000000000001</v>
          </cell>
          <cell r="G402" t="str">
            <v>Arlington-East</v>
          </cell>
          <cell r="K402">
            <v>82.385696100945395</v>
          </cell>
          <cell r="M402">
            <v>36.946976444331497</v>
          </cell>
        </row>
        <row r="403">
          <cell r="A403" t="str">
            <v>LS-001823</v>
          </cell>
          <cell r="B403" t="str">
            <v>Queens Harbor Bv N - 225</v>
          </cell>
          <cell r="C403">
            <v>11.0858477164946</v>
          </cell>
          <cell r="D403">
            <v>26.116</v>
          </cell>
          <cell r="G403" t="str">
            <v>Arlington-East</v>
          </cell>
          <cell r="K403">
            <v>56.539113293736797</v>
          </cell>
          <cell r="M403">
            <v>32.572776092537197</v>
          </cell>
        </row>
        <row r="404">
          <cell r="A404" t="str">
            <v>LS-000441</v>
          </cell>
          <cell r="B404" t="str">
            <v>Bonneval Rd - 6961</v>
          </cell>
          <cell r="C404">
            <v>61.090288023538697</v>
          </cell>
          <cell r="D404">
            <v>5.694</v>
          </cell>
          <cell r="G404" t="str">
            <v>Arlington-East</v>
          </cell>
          <cell r="K404">
            <v>2.2369513129050098</v>
          </cell>
          <cell r="M404">
            <v>166.63600213009801</v>
          </cell>
        </row>
        <row r="405">
          <cell r="A405" t="str">
            <v>LS-001474</v>
          </cell>
          <cell r="B405" t="str">
            <v>Misty View Dr - 6781</v>
          </cell>
          <cell r="C405">
            <v>11.464295348836099</v>
          </cell>
          <cell r="D405">
            <v>12.262</v>
          </cell>
          <cell r="G405" t="str">
            <v>Southwest</v>
          </cell>
          <cell r="K405">
            <v>25.669959735456199</v>
          </cell>
          <cell r="M405">
            <v>33.651329767947097</v>
          </cell>
        </row>
        <row r="406">
          <cell r="A406" t="str">
            <v>LS-000912</v>
          </cell>
          <cell r="B406" t="str">
            <v>Ft Caroline Harbor Dr - 3752</v>
          </cell>
          <cell r="C406">
            <v>3.5431721177374098</v>
          </cell>
          <cell r="D406">
            <v>10.256</v>
          </cell>
          <cell r="G406" t="str">
            <v>Arlington-East</v>
          </cell>
          <cell r="K406">
            <v>69.469952861669597</v>
          </cell>
          <cell r="M406">
            <v>10.685366428837501</v>
          </cell>
        </row>
        <row r="407">
          <cell r="A407" t="str">
            <v>LS-001475</v>
          </cell>
          <cell r="B407" t="str">
            <v>Moncrief Rd - 3942</v>
          </cell>
          <cell r="C407">
            <v>8.3864007905572695</v>
          </cell>
          <cell r="D407">
            <v>78.072999999999993</v>
          </cell>
          <cell r="G407" t="str">
            <v>Buckman</v>
          </cell>
          <cell r="K407">
            <v>223.42743291135901</v>
          </cell>
          <cell r="M407">
            <v>24.831393258908101</v>
          </cell>
        </row>
        <row r="408">
          <cell r="A408" t="str">
            <v>LS-000650</v>
          </cell>
          <cell r="B408" t="str">
            <v>Creekwood Dr - 11035</v>
          </cell>
          <cell r="C408">
            <v>42.425800956643101</v>
          </cell>
          <cell r="D408">
            <v>35.856999999999999</v>
          </cell>
          <cell r="G408" t="str">
            <v>Arlington-East</v>
          </cell>
          <cell r="K408">
            <v>20.284071970248799</v>
          </cell>
          <cell r="M408">
            <v>118.140484051702</v>
          </cell>
        </row>
        <row r="409">
          <cell r="A409" t="str">
            <v>LS-002089</v>
          </cell>
          <cell r="B409" t="str">
            <v>Southbrook Dr - 9601</v>
          </cell>
          <cell r="C409">
            <v>61.9349852336643</v>
          </cell>
          <cell r="D409">
            <v>40.316000000000003</v>
          </cell>
          <cell r="G409" t="str">
            <v>Arlington-East</v>
          </cell>
          <cell r="K409">
            <v>15.622575776026499</v>
          </cell>
          <cell r="M409">
            <v>168.798419779933</v>
          </cell>
        </row>
        <row r="410">
          <cell r="A410" t="str">
            <v>LS-001825</v>
          </cell>
          <cell r="B410" t="str">
            <v>Queens Harbor Bv - 1145</v>
          </cell>
          <cell r="C410">
            <v>9.5786401840988606</v>
          </cell>
          <cell r="D410">
            <v>16.071000000000002</v>
          </cell>
          <cell r="G410" t="str">
            <v>Arlington-East</v>
          </cell>
          <cell r="K410">
            <v>40.267093510861002</v>
          </cell>
          <cell r="M410">
            <v>28.2612551569486</v>
          </cell>
        </row>
        <row r="411">
          <cell r="A411" t="str">
            <v>LS-000017</v>
          </cell>
          <cell r="B411" t="str">
            <v>68th St W - 239</v>
          </cell>
          <cell r="C411">
            <v>6.0530150835162297</v>
          </cell>
          <cell r="D411">
            <v>19.616</v>
          </cell>
          <cell r="G411" t="str">
            <v>Buckman</v>
          </cell>
          <cell r="K411">
            <v>77.776776284938407</v>
          </cell>
          <cell r="M411">
            <v>18.063199877400201</v>
          </cell>
        </row>
        <row r="412">
          <cell r="A412" t="str">
            <v>LS-000853</v>
          </cell>
          <cell r="B412" t="str">
            <v>Exline Rd - 7260</v>
          </cell>
          <cell r="C412">
            <v>2.9915672817155801</v>
          </cell>
          <cell r="D412">
            <v>26.343</v>
          </cell>
          <cell r="G412" t="str">
            <v>Southwest</v>
          </cell>
          <cell r="K412">
            <v>211.33805141679201</v>
          </cell>
          <cell r="M412">
            <v>9.0472712873748193</v>
          </cell>
        </row>
        <row r="413">
          <cell r="A413" t="str">
            <v>LS-001512</v>
          </cell>
          <cell r="B413" t="str">
            <v>Myrtle Av - 55</v>
          </cell>
          <cell r="C413">
            <v>487.30933220568397</v>
          </cell>
          <cell r="D413">
            <v>115.858</v>
          </cell>
          <cell r="G413" t="str">
            <v>Buckman</v>
          </cell>
          <cell r="K413">
            <v>5.7060101587103702</v>
          </cell>
          <cell r="M413">
            <v>1101.6349064815599</v>
          </cell>
        </row>
        <row r="414">
          <cell r="A414" t="str">
            <v>LS-000531</v>
          </cell>
          <cell r="B414" t="str">
            <v>Catania Pl - 3750</v>
          </cell>
          <cell r="C414">
            <v>16.960710599437501</v>
          </cell>
          <cell r="D414">
            <v>30.69</v>
          </cell>
          <cell r="G414" t="str">
            <v>Arlington-East</v>
          </cell>
          <cell r="K414">
            <v>43.427425736774801</v>
          </cell>
          <cell r="M414">
            <v>49.154066380772903</v>
          </cell>
        </row>
        <row r="415">
          <cell r="A415" t="str">
            <v>LS-001056</v>
          </cell>
          <cell r="B415" t="str">
            <v>Hermitage Rd E - 3815</v>
          </cell>
          <cell r="C415">
            <v>3.7155990368395999</v>
          </cell>
          <cell r="D415">
            <v>4.8920000000000003</v>
          </cell>
          <cell r="G415" t="str">
            <v>Arlington-East</v>
          </cell>
          <cell r="K415">
            <v>31.5986732787681</v>
          </cell>
          <cell r="M415">
            <v>11.196055038687</v>
          </cell>
        </row>
        <row r="416">
          <cell r="A416" t="str">
            <v>LS-001224</v>
          </cell>
          <cell r="B416" t="str">
            <v>Lakeside Dr - 4294</v>
          </cell>
          <cell r="C416">
            <v>58.084814094738299</v>
          </cell>
          <cell r="D416">
            <v>73.442999999999998</v>
          </cell>
          <cell r="G416" t="str">
            <v>Buckman</v>
          </cell>
          <cell r="K416">
            <v>30.345831823186799</v>
          </cell>
          <cell r="M416">
            <v>158.92079811134499</v>
          </cell>
        </row>
        <row r="417">
          <cell r="A417" t="str">
            <v>LS-000530</v>
          </cell>
          <cell r="B417" t="str">
            <v>Catherine St - 451</v>
          </cell>
          <cell r="C417">
            <v>20.5777726504393</v>
          </cell>
          <cell r="D417">
            <v>4.2789999999999999</v>
          </cell>
          <cell r="G417" t="str">
            <v>Buckman</v>
          </cell>
          <cell r="K417">
            <v>4.9906275934002897</v>
          </cell>
          <cell r="M417">
            <v>59.211184257673999</v>
          </cell>
        </row>
        <row r="418">
          <cell r="A418" t="str">
            <v>LS-001417</v>
          </cell>
          <cell r="B418" t="str">
            <v>Martin Luther King Dr - 5936</v>
          </cell>
          <cell r="C418">
            <v>6.2994448098607698</v>
          </cell>
          <cell r="D418">
            <v>15.282</v>
          </cell>
          <cell r="G418" t="str">
            <v>Buckman</v>
          </cell>
          <cell r="K418">
            <v>58.222273719405202</v>
          </cell>
          <cell r="M418">
            <v>18.781763441947</v>
          </cell>
        </row>
        <row r="419">
          <cell r="A419" t="str">
            <v>LS-002002</v>
          </cell>
          <cell r="B419" t="str">
            <v>San Pablo Rd - 2197</v>
          </cell>
          <cell r="C419">
            <v>118.22670909948999</v>
          </cell>
          <cell r="D419">
            <v>162.536</v>
          </cell>
          <cell r="G419" t="str">
            <v>Arlington-East</v>
          </cell>
          <cell r="K419">
            <v>32.994777827380403</v>
          </cell>
          <cell r="M419">
            <v>308.04129511857701</v>
          </cell>
        </row>
        <row r="420">
          <cell r="A420" t="str">
            <v>LS-000913</v>
          </cell>
          <cell r="B420" t="str">
            <v>Ft Caroline Hills Dr - 7031</v>
          </cell>
          <cell r="C420">
            <v>218.361989782867</v>
          </cell>
          <cell r="D420">
            <v>29.571999999999999</v>
          </cell>
          <cell r="G420" t="str">
            <v>Arlington-East</v>
          </cell>
          <cell r="K420">
            <v>3.2502359989746101</v>
          </cell>
          <cell r="M420">
            <v>539.20454488984399</v>
          </cell>
        </row>
        <row r="421">
          <cell r="A421" t="str">
            <v>LS-002129</v>
          </cell>
          <cell r="B421" t="str">
            <v>Spring Park Rd - 3924</v>
          </cell>
          <cell r="C421">
            <v>28.451025712123698</v>
          </cell>
          <cell r="D421">
            <v>56.265000000000001</v>
          </cell>
          <cell r="G421" t="str">
            <v>Buckman</v>
          </cell>
          <cell r="K421">
            <v>47.462612197653598</v>
          </cell>
          <cell r="M421">
            <v>80.773119249973703</v>
          </cell>
        </row>
        <row r="422">
          <cell r="A422" t="str">
            <v>LS-001598</v>
          </cell>
          <cell r="B422" t="str">
            <v>Norse Dr - 6247</v>
          </cell>
          <cell r="C422">
            <v>66.297223481535099</v>
          </cell>
          <cell r="D422">
            <v>70.004000000000005</v>
          </cell>
          <cell r="G422" t="str">
            <v>Southwest</v>
          </cell>
          <cell r="K422">
            <v>25.341875749411098</v>
          </cell>
          <cell r="M422">
            <v>179.92536430709399</v>
          </cell>
        </row>
        <row r="423">
          <cell r="A423" t="str">
            <v>LS-000205</v>
          </cell>
          <cell r="B423" t="str">
            <v>Atlantic Bv - 9380</v>
          </cell>
          <cell r="C423">
            <v>92.124716906181007</v>
          </cell>
          <cell r="D423">
            <v>5.327</v>
          </cell>
          <cell r="G423" t="str">
            <v>Arlington-East</v>
          </cell>
          <cell r="K423">
            <v>1.3877708859632001</v>
          </cell>
          <cell r="M423">
            <v>244.558191012343</v>
          </cell>
        </row>
        <row r="424">
          <cell r="A424" t="str">
            <v>LS-002107</v>
          </cell>
          <cell r="B424" t="str">
            <v>Southside Bv - 7932</v>
          </cell>
          <cell r="C424">
            <v>36.531126311026</v>
          </cell>
          <cell r="D424">
            <v>15.061999999999999</v>
          </cell>
          <cell r="G424" t="str">
            <v>Arlington-East</v>
          </cell>
          <cell r="K424">
            <v>9.8953423149971194</v>
          </cell>
          <cell r="M424">
            <v>102.50439684912</v>
          </cell>
        </row>
        <row r="425">
          <cell r="A425" t="str">
            <v>LS-002032</v>
          </cell>
          <cell r="B425" t="str">
            <v>Segovia Av - 2337</v>
          </cell>
          <cell r="C425">
            <v>37.866872804321098</v>
          </cell>
          <cell r="D425">
            <v>13.917999999999999</v>
          </cell>
          <cell r="G425" t="str">
            <v>Buckman</v>
          </cell>
          <cell r="K425">
            <v>8.8212195848895707</v>
          </cell>
          <cell r="M425">
            <v>106.062719979192</v>
          </cell>
        </row>
        <row r="426">
          <cell r="A426" t="str">
            <v>LS-001613</v>
          </cell>
          <cell r="B426" t="str">
            <v>Oak Water Dr - 2034</v>
          </cell>
          <cell r="C426">
            <v>11.441633180156</v>
          </cell>
          <cell r="D426">
            <v>9.8559999999999999</v>
          </cell>
          <cell r="G426" t="str">
            <v>Arlington-East</v>
          </cell>
          <cell r="K426">
            <v>20.673971650328301</v>
          </cell>
          <cell r="M426">
            <v>33.586787943955997</v>
          </cell>
        </row>
        <row r="427">
          <cell r="A427" t="str">
            <v>LS-002200</v>
          </cell>
          <cell r="B427" t="str">
            <v>Stepp Av - 5115</v>
          </cell>
          <cell r="C427">
            <v>4.2192496131286497</v>
          </cell>
          <cell r="D427">
            <v>12.068</v>
          </cell>
          <cell r="G427" t="str">
            <v>Buckman</v>
          </cell>
          <cell r="K427">
            <v>68.645381657150295</v>
          </cell>
          <cell r="M427">
            <v>12.6842559632428</v>
          </cell>
        </row>
        <row r="428">
          <cell r="A428" t="str">
            <v>LS-000260</v>
          </cell>
          <cell r="B428" t="str">
            <v>Baymeadows Wy - 7160</v>
          </cell>
          <cell r="C428">
            <v>22.8459474620648</v>
          </cell>
          <cell r="D428">
            <v>56.985999999999997</v>
          </cell>
          <cell r="G428" t="str">
            <v>Arlington-East</v>
          </cell>
          <cell r="K428">
            <v>59.864621603939803</v>
          </cell>
          <cell r="M428">
            <v>65.466547817784502</v>
          </cell>
        </row>
        <row r="429">
          <cell r="A429" t="str">
            <v>LS-002103</v>
          </cell>
          <cell r="B429" t="str">
            <v>AC Skinner Py - 8500</v>
          </cell>
          <cell r="C429">
            <v>21.190581216662501</v>
          </cell>
          <cell r="D429">
            <v>3.5990000000000002</v>
          </cell>
          <cell r="G429" t="str">
            <v>Arlington-East</v>
          </cell>
          <cell r="K429">
            <v>4.0761505839245702</v>
          </cell>
          <cell r="M429">
            <v>60.904962033584901</v>
          </cell>
        </row>
        <row r="430">
          <cell r="A430" t="str">
            <v>LS-001157</v>
          </cell>
          <cell r="B430" t="str">
            <v>Jessie B Smith Ct - 8694</v>
          </cell>
          <cell r="C430">
            <v>5.6815572482971302</v>
          </cell>
          <cell r="D430">
            <v>11.65</v>
          </cell>
          <cell r="G430" t="str">
            <v>Buckman</v>
          </cell>
          <cell r="K430">
            <v>49.211860020208597</v>
          </cell>
          <cell r="M430">
            <v>16.978246039378998</v>
          </cell>
        </row>
        <row r="431">
          <cell r="A431" t="str">
            <v>LS-001849</v>
          </cell>
          <cell r="B431" t="str">
            <v>Redbird Creek Dr - 1570</v>
          </cell>
          <cell r="C431">
            <v>29.149179158274698</v>
          </cell>
          <cell r="D431">
            <v>40.843000000000004</v>
          </cell>
          <cell r="G431" t="str">
            <v>Southwest</v>
          </cell>
          <cell r="K431">
            <v>33.6281167533919</v>
          </cell>
          <cell r="M431">
            <v>82.665624802510706</v>
          </cell>
        </row>
        <row r="432">
          <cell r="A432" t="str">
            <v>LS-001193</v>
          </cell>
          <cell r="B432" t="str">
            <v>Kilkelly Ln S - 8138</v>
          </cell>
          <cell r="C432">
            <v>13.762916588096999</v>
          </cell>
          <cell r="D432">
            <v>29.965</v>
          </cell>
          <cell r="G432" t="str">
            <v>Southwest</v>
          </cell>
          <cell r="K432">
            <v>52.253459170272997</v>
          </cell>
          <cell r="M432">
            <v>40.169940090195198</v>
          </cell>
        </row>
        <row r="433">
          <cell r="A433" t="str">
            <v>LS-002048</v>
          </cell>
          <cell r="B433" t="str">
            <v>Sherman Hills Py - 4682</v>
          </cell>
          <cell r="C433">
            <v>11.8949042687311</v>
          </cell>
          <cell r="D433">
            <v>80.259</v>
          </cell>
          <cell r="G433" t="str">
            <v>Southwest</v>
          </cell>
          <cell r="K433">
            <v>161.93623391014299</v>
          </cell>
          <cell r="M433">
            <v>34.876652392443901</v>
          </cell>
        </row>
        <row r="434">
          <cell r="A434" t="str">
            <v>LS-001055</v>
          </cell>
          <cell r="B434" t="str">
            <v>Hermitage Rd E - 3231</v>
          </cell>
          <cell r="C434">
            <v>2.68603999979167</v>
          </cell>
          <cell r="D434">
            <v>1.246</v>
          </cell>
          <cell r="G434" t="str">
            <v>Arlington-East</v>
          </cell>
          <cell r="K434">
            <v>11.133117899331101</v>
          </cell>
          <cell r="M434">
            <v>8.1369094698347695</v>
          </cell>
        </row>
        <row r="435">
          <cell r="A435" t="str">
            <v>LS-000696</v>
          </cell>
          <cell r="B435" t="str">
            <v>Deer Lake Dr E - 4831</v>
          </cell>
          <cell r="C435">
            <v>83.802691649282906</v>
          </cell>
          <cell r="D435">
            <v>61.231000000000002</v>
          </cell>
          <cell r="G435" t="str">
            <v>Arlington-East</v>
          </cell>
          <cell r="K435">
            <v>17.535761335090399</v>
          </cell>
          <cell r="M435">
            <v>223.949268787493</v>
          </cell>
        </row>
        <row r="436">
          <cell r="A436" t="str">
            <v>LS-000855</v>
          </cell>
          <cell r="B436" t="str">
            <v>Faith Memorial Rd - 711</v>
          </cell>
          <cell r="C436">
            <v>5.0569739031699203</v>
          </cell>
          <cell r="D436">
            <v>24.209</v>
          </cell>
          <cell r="G436" t="str">
            <v>Southwest</v>
          </cell>
          <cell r="K436">
            <v>114.894007982876</v>
          </cell>
          <cell r="M436">
            <v>15.1488178472336</v>
          </cell>
        </row>
        <row r="437">
          <cell r="A437" t="str">
            <v>LS-000818</v>
          </cell>
          <cell r="B437" t="str">
            <v>El Prado Rd - 1509</v>
          </cell>
          <cell r="C437">
            <v>127.14458083790601</v>
          </cell>
          <cell r="D437">
            <v>15.404999999999999</v>
          </cell>
          <cell r="G437" t="str">
            <v>Arlington-East</v>
          </cell>
          <cell r="K437">
            <v>2.9078706899143998</v>
          </cell>
          <cell r="M437">
            <v>329.368978470549</v>
          </cell>
        </row>
        <row r="438">
          <cell r="A438" t="str">
            <v>LS-002435</v>
          </cell>
          <cell r="B438" t="str">
            <v>W M Davis Py W - 13651</v>
          </cell>
          <cell r="C438">
            <v>77.936419667535603</v>
          </cell>
          <cell r="D438">
            <v>54.49</v>
          </cell>
          <cell r="G438" t="str">
            <v>Arlington-East</v>
          </cell>
          <cell r="K438">
            <v>16.779831631715901</v>
          </cell>
          <cell r="M438">
            <v>209.30247166254901</v>
          </cell>
        </row>
        <row r="439">
          <cell r="A439" t="str">
            <v>LS-001768</v>
          </cell>
          <cell r="B439" t="str">
            <v>Pine Island Dr - 14094</v>
          </cell>
          <cell r="C439">
            <v>19.534361170496499</v>
          </cell>
          <cell r="D439">
            <v>25.521999999999998</v>
          </cell>
          <cell r="G439" t="str">
            <v>Arlington-East</v>
          </cell>
          <cell r="K439">
            <v>31.356438772368101</v>
          </cell>
          <cell r="M439">
            <v>56.320680861151203</v>
          </cell>
        </row>
        <row r="440">
          <cell r="A440" t="str">
            <v>LS-001508</v>
          </cell>
          <cell r="B440" t="str">
            <v>Mountain Brook Ln E - 4513</v>
          </cell>
          <cell r="C440">
            <v>16.888712837974101</v>
          </cell>
          <cell r="D440">
            <v>46.780999999999999</v>
          </cell>
          <cell r="G440" t="str">
            <v>Arlington-East</v>
          </cell>
          <cell r="K440">
            <v>66.4789561390091</v>
          </cell>
          <cell r="M440">
            <v>48.952791784326699</v>
          </cell>
        </row>
        <row r="441">
          <cell r="A441" t="str">
            <v>LS-001011</v>
          </cell>
          <cell r="B441" t="str">
            <v>Hampton Landing Dr E - 9151</v>
          </cell>
          <cell r="C441">
            <v>44.0197526240051</v>
          </cell>
          <cell r="D441">
            <v>102.821</v>
          </cell>
          <cell r="G441" t="str">
            <v>Arlington-East</v>
          </cell>
          <cell r="K441">
            <v>56.059015621416599</v>
          </cell>
          <cell r="M441">
            <v>122.33987812292401</v>
          </cell>
        </row>
        <row r="442">
          <cell r="A442" t="str">
            <v>LS-001490</v>
          </cell>
          <cell r="B442" t="str">
            <v>Monument Point Cr - 4621</v>
          </cell>
          <cell r="C442">
            <v>12.0668486285883</v>
          </cell>
          <cell r="D442">
            <v>10.499000000000001</v>
          </cell>
          <cell r="G442" t="str">
            <v>Arlington-East</v>
          </cell>
          <cell r="K442">
            <v>20.881674060535399</v>
          </cell>
          <cell r="M442">
            <v>35.365378123969698</v>
          </cell>
        </row>
        <row r="443">
          <cell r="A443" t="str">
            <v>LS-002289</v>
          </cell>
          <cell r="B443" t="str">
            <v>Touchton Rd - 8362</v>
          </cell>
          <cell r="C443">
            <v>158.736831985858</v>
          </cell>
          <cell r="D443">
            <v>99.497</v>
          </cell>
          <cell r="G443" t="str">
            <v>Arlington-East</v>
          </cell>
          <cell r="K443">
            <v>15.0433139563522</v>
          </cell>
          <cell r="M443">
            <v>403.63728199483501</v>
          </cell>
        </row>
        <row r="444">
          <cell r="A444" t="str">
            <v>LS-002041</v>
          </cell>
          <cell r="B444" t="str">
            <v>Sharbeth Dr - 7310</v>
          </cell>
          <cell r="C444">
            <v>118.590798818311</v>
          </cell>
          <cell r="D444">
            <v>46.037999999999997</v>
          </cell>
          <cell r="G444" t="str">
            <v>Southwest</v>
          </cell>
          <cell r="K444">
            <v>9.3170128796652705</v>
          </cell>
          <cell r="M444">
            <v>308.91543139298699</v>
          </cell>
        </row>
        <row r="445">
          <cell r="A445" t="str">
            <v>LS-002261</v>
          </cell>
          <cell r="B445" t="str">
            <v>Tequesta Ct - 5316</v>
          </cell>
          <cell r="C445">
            <v>0.48533596860917599</v>
          </cell>
          <cell r="D445">
            <v>2.9860000000000002</v>
          </cell>
          <cell r="G445" t="str">
            <v>Southwest</v>
          </cell>
          <cell r="K445">
            <v>147.65853889907899</v>
          </cell>
          <cell r="M445">
            <v>1.49648145318936</v>
          </cell>
        </row>
        <row r="446">
          <cell r="A446" t="str">
            <v>LS-001018</v>
          </cell>
          <cell r="B446" t="str">
            <v>Harbour Island Dr - 4234</v>
          </cell>
          <cell r="C446">
            <v>6.5842390793759202</v>
          </cell>
          <cell r="D446">
            <v>13.904999999999999</v>
          </cell>
          <cell r="G446" t="str">
            <v>Arlington-East</v>
          </cell>
          <cell r="K446">
            <v>50.684672287390804</v>
          </cell>
          <cell r="M446">
            <v>19.6110270119845</v>
          </cell>
        </row>
        <row r="447">
          <cell r="A447" t="str">
            <v>LS-001403</v>
          </cell>
          <cell r="B447" t="str">
            <v>1573 Mardis Pl E</v>
          </cell>
          <cell r="C447">
            <v>3.2232271688666798</v>
          </cell>
          <cell r="D447">
            <v>7.3</v>
          </cell>
          <cell r="G447" t="str">
            <v>Buckman</v>
          </cell>
          <cell r="K447">
            <v>54.355461412172801</v>
          </cell>
          <cell r="M447">
            <v>9.7360623953701904</v>
          </cell>
        </row>
        <row r="448">
          <cell r="A448" t="str">
            <v>LS-002410</v>
          </cell>
          <cell r="B448" t="str">
            <v>Western Lake Dr - 8652</v>
          </cell>
          <cell r="C448">
            <v>74.553387407606095</v>
          </cell>
          <cell r="D448">
            <v>98.572999999999993</v>
          </cell>
          <cell r="G448" t="str">
            <v>Arlington-East</v>
          </cell>
          <cell r="K448">
            <v>31.732320720260699</v>
          </cell>
          <cell r="M448">
            <v>200.808466802624</v>
          </cell>
        </row>
        <row r="449">
          <cell r="A449" t="str">
            <v>LS-001914</v>
          </cell>
          <cell r="B449" t="str">
            <v>Roosevelt Bv - 6331</v>
          </cell>
          <cell r="C449">
            <v>5.1853410846558097</v>
          </cell>
          <cell r="D449">
            <v>36.392000000000003</v>
          </cell>
          <cell r="G449" t="str">
            <v>Southwest</v>
          </cell>
          <cell r="K449">
            <v>168.437907119465</v>
          </cell>
          <cell r="M449">
            <v>15.525353111768901</v>
          </cell>
        </row>
        <row r="450">
          <cell r="A450" t="str">
            <v>LS-001251</v>
          </cell>
          <cell r="B450" t="str">
            <v>1171 Lane Av S</v>
          </cell>
          <cell r="C450">
            <v>35.318891423982997</v>
          </cell>
          <cell r="D450">
            <v>35.515000000000001</v>
          </cell>
          <cell r="G450" t="str">
            <v>Buckman</v>
          </cell>
          <cell r="K450">
            <v>24.133260293136299</v>
          </cell>
          <cell r="M450">
            <v>99.267084966515895</v>
          </cell>
        </row>
        <row r="451">
          <cell r="A451" t="str">
            <v>LS-000571</v>
          </cell>
          <cell r="B451" t="str">
            <v>Chets Creek Bv - 13225</v>
          </cell>
          <cell r="C451">
            <v>188.577133019217</v>
          </cell>
          <cell r="D451">
            <v>185.21600000000001</v>
          </cell>
          <cell r="G451" t="str">
            <v>Arlington-East</v>
          </cell>
          <cell r="K451">
            <v>23.5722323742561</v>
          </cell>
          <cell r="M451">
            <v>472.16404505260999</v>
          </cell>
        </row>
        <row r="452">
          <cell r="A452" t="str">
            <v>LS-000966</v>
          </cell>
          <cell r="B452" t="str">
            <v>Good Neighbor Tr - 12429</v>
          </cell>
          <cell r="C452">
            <v>58.243289866031503</v>
          </cell>
          <cell r="D452">
            <v>30.135000000000002</v>
          </cell>
          <cell r="G452" t="str">
            <v>Arlington-East</v>
          </cell>
          <cell r="K452">
            <v>12.417567786152899</v>
          </cell>
          <cell r="M452">
            <v>159.32845289494799</v>
          </cell>
        </row>
        <row r="453">
          <cell r="A453" t="str">
            <v>LS-000381</v>
          </cell>
          <cell r="B453" t="str">
            <v>Berwickshire Dr - 13123</v>
          </cell>
          <cell r="C453">
            <v>32.211766775635702</v>
          </cell>
          <cell r="D453">
            <v>71.656999999999996</v>
          </cell>
          <cell r="G453" t="str">
            <v>Arlington-East</v>
          </cell>
          <cell r="K453">
            <v>53.389434115138201</v>
          </cell>
          <cell r="M453">
            <v>90.933320745656204</v>
          </cell>
        </row>
        <row r="454">
          <cell r="A454" t="str">
            <v>LS-001773</v>
          </cell>
          <cell r="B454" t="str">
            <v>Plantation Bay Dr - 7616</v>
          </cell>
          <cell r="C454">
            <v>45.449557103386702</v>
          </cell>
          <cell r="D454">
            <v>94.79</v>
          </cell>
          <cell r="G454" t="str">
            <v>Southwest</v>
          </cell>
          <cell r="K454">
            <v>50.054613179728399</v>
          </cell>
          <cell r="M454">
            <v>126.09691590070101</v>
          </cell>
        </row>
        <row r="455">
          <cell r="A455" t="str">
            <v>LS-000556</v>
          </cell>
          <cell r="B455" t="str">
            <v>Challen Av - 1894</v>
          </cell>
          <cell r="C455">
            <v>17.896150052299301</v>
          </cell>
          <cell r="D455">
            <v>27.815999999999999</v>
          </cell>
          <cell r="G455" t="str">
            <v>Buckman</v>
          </cell>
          <cell r="K455">
            <v>37.3032187397326</v>
          </cell>
          <cell r="M455">
            <v>51.765172641096598</v>
          </cell>
        </row>
        <row r="456">
          <cell r="A456" t="str">
            <v>LS-002275</v>
          </cell>
          <cell r="B456" t="str">
            <v>Timberlin Lake Rd - 9025</v>
          </cell>
          <cell r="C456">
            <v>30.912243227581701</v>
          </cell>
          <cell r="D456">
            <v>112.767</v>
          </cell>
          <cell r="G456" t="str">
            <v>Arlington-East</v>
          </cell>
          <cell r="K456">
            <v>87.551329745787697</v>
          </cell>
          <cell r="M456">
            <v>87.431827432966102</v>
          </cell>
        </row>
        <row r="457">
          <cell r="A457" t="str">
            <v>LS-002016</v>
          </cell>
          <cell r="B457" t="str">
            <v>Sans Pareil St - 2987</v>
          </cell>
          <cell r="C457">
            <v>13.9888235348485</v>
          </cell>
          <cell r="D457">
            <v>34.893000000000001</v>
          </cell>
          <cell r="G457" t="str">
            <v>Arlington-East</v>
          </cell>
          <cell r="K457">
            <v>59.864362282776597</v>
          </cell>
          <cell r="M457">
            <v>40.807726091893699</v>
          </cell>
        </row>
        <row r="458">
          <cell r="A458" t="str">
            <v>LS-001437</v>
          </cell>
          <cell r="B458" t="str">
            <v>Meadowsweet Ln - 12785</v>
          </cell>
          <cell r="C458">
            <v>75.6246514007114</v>
          </cell>
          <cell r="D458">
            <v>68.647999999999996</v>
          </cell>
          <cell r="G458" t="str">
            <v>Arlington-East</v>
          </cell>
          <cell r="K458">
            <v>21.7859119940948</v>
          </cell>
          <cell r="M458">
            <v>203.502002709854</v>
          </cell>
        </row>
        <row r="459">
          <cell r="A459" t="str">
            <v>LS-000909</v>
          </cell>
          <cell r="B459" t="str">
            <v>Freedom Crossing Tr W - 8585</v>
          </cell>
          <cell r="C459">
            <v>11.3642270462254</v>
          </cell>
          <cell r="D459">
            <v>51.165999999999997</v>
          </cell>
          <cell r="G459" t="str">
            <v>Arlington-East</v>
          </cell>
          <cell r="K459">
            <v>108.05697519109999</v>
          </cell>
          <cell r="M459">
            <v>33.3662932901887</v>
          </cell>
        </row>
        <row r="460">
          <cell r="A460" t="str">
            <v>LS-000633</v>
          </cell>
          <cell r="B460" t="str">
            <v>Coronet Ln - 3000</v>
          </cell>
          <cell r="C460">
            <v>116.07815333324599</v>
          </cell>
          <cell r="D460">
            <v>11.061</v>
          </cell>
          <cell r="G460" t="str">
            <v>Arlington-East</v>
          </cell>
          <cell r="K460">
            <v>2.2869419643322999</v>
          </cell>
          <cell r="M460">
            <v>302.87684599223002</v>
          </cell>
        </row>
        <row r="461">
          <cell r="A461" t="str">
            <v>LS-000303</v>
          </cell>
          <cell r="B461" t="str">
            <v>Beach Bv - 14380</v>
          </cell>
          <cell r="C461">
            <v>12.525937858435499</v>
          </cell>
          <cell r="D461">
            <v>22.887</v>
          </cell>
          <cell r="G461" t="str">
            <v>Arlington-East</v>
          </cell>
          <cell r="K461">
            <v>43.852045747623301</v>
          </cell>
          <cell r="M461">
            <v>36.668753656569102</v>
          </cell>
        </row>
        <row r="462">
          <cell r="A462" t="str">
            <v>LS-001115</v>
          </cell>
          <cell r="B462" t="str">
            <v>Huffman Bv - 3092</v>
          </cell>
          <cell r="C462">
            <v>1.8173502986194601</v>
          </cell>
          <cell r="D462">
            <v>85.355999999999995</v>
          </cell>
          <cell r="G462" t="str">
            <v>Arlington-East</v>
          </cell>
          <cell r="K462">
            <v>1127.21471559785</v>
          </cell>
          <cell r="M462">
            <v>5.5352045749505496</v>
          </cell>
        </row>
        <row r="463">
          <cell r="A463" t="str">
            <v>LS-001144</v>
          </cell>
          <cell r="B463" t="str">
            <v>Jammes Rd - 1956</v>
          </cell>
          <cell r="C463">
            <v>17.063598242047199</v>
          </cell>
          <cell r="D463">
            <v>3.964</v>
          </cell>
          <cell r="G463" t="str">
            <v>Southwest</v>
          </cell>
          <cell r="K463">
            <v>5.5753773999185698</v>
          </cell>
          <cell r="M463">
            <v>49.441619006730903</v>
          </cell>
        </row>
        <row r="464">
          <cell r="A464" t="str">
            <v>LS-000914</v>
          </cell>
          <cell r="B464" t="str">
            <v>Ft Caroline Lakes Dr - 11610</v>
          </cell>
          <cell r="C464">
            <v>37.140072569956097</v>
          </cell>
          <cell r="D464">
            <v>64.221999999999994</v>
          </cell>
          <cell r="G464" t="str">
            <v>Arlington-East</v>
          </cell>
          <cell r="K464">
            <v>41.500403562669199</v>
          </cell>
          <cell r="M464">
            <v>104.127717122671</v>
          </cell>
        </row>
        <row r="465">
          <cell r="A465" t="str">
            <v>LS-001204</v>
          </cell>
          <cell r="B465" t="str">
            <v>Kusaie Dr - 2044</v>
          </cell>
          <cell r="C465">
            <v>37.596953859823799</v>
          </cell>
          <cell r="D465">
            <v>60.789000000000001</v>
          </cell>
          <cell r="G465" t="str">
            <v>Arlington-East</v>
          </cell>
          <cell r="K465">
            <v>38.804633094465203</v>
          </cell>
          <cell r="M465">
            <v>105.34441333416601</v>
          </cell>
        </row>
        <row r="466">
          <cell r="A466" t="str">
            <v>LS-001485</v>
          </cell>
          <cell r="B466" t="str">
            <v>Monument Rd - 1453</v>
          </cell>
          <cell r="C466">
            <v>100.164601963957</v>
          </cell>
          <cell r="D466">
            <v>14.095000000000001</v>
          </cell>
          <cell r="G466" t="str">
            <v>Arlington-East</v>
          </cell>
          <cell r="K466">
            <v>3.3772409949946698</v>
          </cell>
          <cell r="M466">
            <v>264.29121501596597</v>
          </cell>
        </row>
        <row r="467">
          <cell r="A467" t="str">
            <v>LS-002239</v>
          </cell>
          <cell r="B467" t="str">
            <v>Sunchase Dr - 12510</v>
          </cell>
          <cell r="C467">
            <v>76.719532245606104</v>
          </cell>
          <cell r="D467">
            <v>130.66800000000001</v>
          </cell>
          <cell r="G467" t="str">
            <v>Arlington-East</v>
          </cell>
          <cell r="K467">
            <v>40.876578730439398</v>
          </cell>
          <cell r="M467">
            <v>206.25122609187699</v>
          </cell>
        </row>
        <row r="468">
          <cell r="A468" t="str">
            <v>LS-002343</v>
          </cell>
          <cell r="B468" t="str">
            <v>University Bv N - 4598</v>
          </cell>
          <cell r="C468">
            <v>36.627056504897403</v>
          </cell>
          <cell r="D468">
            <v>111.499</v>
          </cell>
          <cell r="G468" t="str">
            <v>Arlington-East</v>
          </cell>
          <cell r="K468">
            <v>73.060088780057896</v>
          </cell>
          <cell r="M468">
            <v>102.76025341637801</v>
          </cell>
        </row>
        <row r="469">
          <cell r="A469" t="str">
            <v>LS-001063</v>
          </cell>
          <cell r="B469" t="str">
            <v>Hickory Creek Bv - 12620</v>
          </cell>
          <cell r="C469">
            <v>36.410464203087699</v>
          </cell>
          <cell r="D469">
            <v>46.095999999999997</v>
          </cell>
          <cell r="G469" t="str">
            <v>Arlington-East</v>
          </cell>
          <cell r="K469">
            <v>30.384232231408401</v>
          </cell>
          <cell r="M469">
            <v>102.18250963638199</v>
          </cell>
        </row>
        <row r="470">
          <cell r="A470" t="str">
            <v>LS-000374</v>
          </cell>
          <cell r="B470" t="str">
            <v>Belle Rive Bv - 10222</v>
          </cell>
          <cell r="C470">
            <v>41.072380361778201</v>
          </cell>
          <cell r="D470">
            <v>40.723999999999997</v>
          </cell>
          <cell r="G470" t="str">
            <v>Arlington-East</v>
          </cell>
          <cell r="K470">
            <v>23.796429410493701</v>
          </cell>
          <cell r="M470">
            <v>114.565442730477</v>
          </cell>
        </row>
        <row r="471">
          <cell r="A471" t="str">
            <v>LS-001174</v>
          </cell>
          <cell r="B471" t="str">
            <v>Ken Knight Dr W - 7260</v>
          </cell>
          <cell r="C471">
            <v>97.196746366930697</v>
          </cell>
          <cell r="D471">
            <v>24.343</v>
          </cell>
          <cell r="G471" t="str">
            <v>Buckman</v>
          </cell>
          <cell r="K471">
            <v>6.0108184876317399</v>
          </cell>
          <cell r="M471">
            <v>257.02648769543703</v>
          </cell>
        </row>
        <row r="472">
          <cell r="A472" t="str">
            <v>LS-001399</v>
          </cell>
          <cell r="B472" t="str">
            <v>Manotak Av - 1466</v>
          </cell>
          <cell r="C472">
            <v>10.4122777995356</v>
          </cell>
          <cell r="D472">
            <v>7.25</v>
          </cell>
          <cell r="G472" t="str">
            <v>Southwest</v>
          </cell>
          <cell r="K472">
            <v>16.711040883653801</v>
          </cell>
          <cell r="M472">
            <v>30.649198195560501</v>
          </cell>
        </row>
        <row r="473">
          <cell r="A473" t="str">
            <v>LS-001160</v>
          </cell>
          <cell r="B473" t="str">
            <v>John Prom Bv - 2465</v>
          </cell>
          <cell r="C473">
            <v>31.096502797137799</v>
          </cell>
          <cell r="D473">
            <v>33.438000000000002</v>
          </cell>
          <cell r="G473" t="str">
            <v>Arlington-East</v>
          </cell>
          <cell r="K473">
            <v>25.807146393126398</v>
          </cell>
          <cell r="M473">
            <v>87.928894682200706</v>
          </cell>
        </row>
        <row r="474">
          <cell r="A474" t="str">
            <v>LS-001929</v>
          </cell>
          <cell r="B474" t="str">
            <v>Running River Rd - 1350</v>
          </cell>
          <cell r="C474">
            <v>9.5463390562290407</v>
          </cell>
          <cell r="D474">
            <v>14.327999999999999</v>
          </cell>
          <cell r="G474" t="str">
            <v>Arlington-East</v>
          </cell>
          <cell r="K474">
            <v>36.021347866920898</v>
          </cell>
          <cell r="M474">
            <v>28.168562828708001</v>
          </cell>
        </row>
        <row r="475">
          <cell r="A475" t="str">
            <v>LS-002983</v>
          </cell>
          <cell r="B475" t="str">
            <v>AC Skinner Py - 8224</v>
          </cell>
          <cell r="C475">
            <v>64.843848998278801</v>
          </cell>
          <cell r="D475">
            <v>45.165999999999997</v>
          </cell>
          <cell r="G475" t="str">
            <v>Arlington-East</v>
          </cell>
          <cell r="K475">
            <v>16.716836164811401</v>
          </cell>
          <cell r="M475">
            <v>176.225585083901</v>
          </cell>
        </row>
        <row r="476">
          <cell r="A476" t="str">
            <v>LS-000214</v>
          </cell>
          <cell r="B476" t="str">
            <v>5791 Atlee Av</v>
          </cell>
          <cell r="C476">
            <v>101.64051316819599</v>
          </cell>
          <cell r="D476">
            <v>92.08</v>
          </cell>
          <cell r="G476" t="str">
            <v>Buckman</v>
          </cell>
          <cell r="K476">
            <v>21.742511240011101</v>
          </cell>
          <cell r="M476">
            <v>267.89564477699099</v>
          </cell>
        </row>
        <row r="477">
          <cell r="A477" t="str">
            <v>LS-000560</v>
          </cell>
          <cell r="B477" t="str">
            <v>Chelsea Harbor Dr W - 4245</v>
          </cell>
          <cell r="C477">
            <v>32.300956879746401</v>
          </cell>
          <cell r="D477">
            <v>62.136000000000003</v>
          </cell>
          <cell r="G477" t="str">
            <v>Arlington-East</v>
          </cell>
          <cell r="K477">
            <v>46.167796376802201</v>
          </cell>
          <cell r="M477">
            <v>91.173285741855096</v>
          </cell>
        </row>
        <row r="478">
          <cell r="A478" t="str">
            <v>LS-002111</v>
          </cell>
          <cell r="B478" t="str">
            <v>Southside Bv - 9000</v>
          </cell>
          <cell r="C478">
            <v>87.977530419010805</v>
          </cell>
          <cell r="D478">
            <v>50.432000000000002</v>
          </cell>
          <cell r="G478" t="str">
            <v>Arlington-East</v>
          </cell>
          <cell r="K478">
            <v>13.7576946549349</v>
          </cell>
          <cell r="M478">
            <v>234.312081618793</v>
          </cell>
        </row>
        <row r="479">
          <cell r="A479" t="str">
            <v>LS-001109</v>
          </cell>
          <cell r="B479" t="str">
            <v>Hovington Cr W - 2123</v>
          </cell>
          <cell r="C479">
            <v>49.834591643349597</v>
          </cell>
          <cell r="D479">
            <v>123.42</v>
          </cell>
          <cell r="G479" t="str">
            <v>Arlington-East</v>
          </cell>
          <cell r="K479">
            <v>59.438231604237203</v>
          </cell>
          <cell r="M479">
            <v>137.563059309751</v>
          </cell>
        </row>
        <row r="480">
          <cell r="A480" t="str">
            <v>LS-000960</v>
          </cell>
          <cell r="B480" t="str">
            <v>Glynlea St - 657</v>
          </cell>
          <cell r="C480">
            <v>62.336878806067602</v>
          </cell>
          <cell r="D480">
            <v>100.371</v>
          </cell>
          <cell r="G480" t="str">
            <v>Arlington-East</v>
          </cell>
          <cell r="K480">
            <v>38.6433207137975</v>
          </cell>
          <cell r="M480">
            <v>169.82636051714499</v>
          </cell>
        </row>
        <row r="481">
          <cell r="A481" t="str">
            <v>LS-001930</v>
          </cell>
          <cell r="B481" t="str">
            <v>Running River Rd - 12291</v>
          </cell>
          <cell r="C481">
            <v>30.371973754909199</v>
          </cell>
          <cell r="D481">
            <v>68.879000000000005</v>
          </cell>
          <cell r="G481" t="str">
            <v>Arlington-East</v>
          </cell>
          <cell r="K481">
            <v>54.428336246431797</v>
          </cell>
          <cell r="M481">
            <v>85.973232277252194</v>
          </cell>
        </row>
        <row r="482">
          <cell r="A482" t="str">
            <v>LS-000852</v>
          </cell>
          <cell r="B482" t="str">
            <v>Executive Park Ct - 4808</v>
          </cell>
          <cell r="C482">
            <v>8.7215931893258603</v>
          </cell>
          <cell r="D482">
            <v>8.4770000000000003</v>
          </cell>
          <cell r="G482" t="str">
            <v>Arlington-East</v>
          </cell>
          <cell r="K482">
            <v>23.326930709058399</v>
          </cell>
          <cell r="M482">
            <v>25.797495981415601</v>
          </cell>
        </row>
        <row r="483">
          <cell r="A483" t="str">
            <v>LS-000368</v>
          </cell>
          <cell r="B483" t="str">
            <v>Beechfern Ln - 8622</v>
          </cell>
          <cell r="C483">
            <v>39.688651274662497</v>
          </cell>
          <cell r="D483">
            <v>25.753</v>
          </cell>
          <cell r="G483" t="str">
            <v>Southwest</v>
          </cell>
          <cell r="K483">
            <v>15.5730159667729</v>
          </cell>
          <cell r="M483">
            <v>110.901256577908</v>
          </cell>
        </row>
        <row r="484">
          <cell r="A484" t="str">
            <v>LS-001276</v>
          </cell>
          <cell r="B484" t="str">
            <v>Lawson Rd - 10410</v>
          </cell>
          <cell r="C484">
            <v>54.680156879131303</v>
          </cell>
          <cell r="D484">
            <v>32.866</v>
          </cell>
          <cell r="G484" t="str">
            <v>Arlington-East</v>
          </cell>
          <cell r="K484">
            <v>14.425415818458299</v>
          </cell>
          <cell r="M484">
            <v>150.13966671331099</v>
          </cell>
        </row>
        <row r="485">
          <cell r="A485" t="str">
            <v>LS-001907</v>
          </cell>
          <cell r="B485" t="str">
            <v>Rolac Rd - 2459</v>
          </cell>
          <cell r="C485">
            <v>5.7131883817668099</v>
          </cell>
          <cell r="D485">
            <v>19.148</v>
          </cell>
          <cell r="G485" t="str">
            <v>Buckman</v>
          </cell>
          <cell r="K485">
            <v>80.437046582714501</v>
          </cell>
          <cell r="M485">
            <v>17.070721161619499</v>
          </cell>
        </row>
        <row r="486">
          <cell r="A486" t="str">
            <v>LS-000083</v>
          </cell>
          <cell r="B486" t="str">
            <v>Alden Rd - 12106</v>
          </cell>
          <cell r="C486">
            <v>48.1079339345848</v>
          </cell>
          <cell r="D486">
            <v>123.04</v>
          </cell>
          <cell r="G486" t="str">
            <v>Arlington-East</v>
          </cell>
          <cell r="K486">
            <v>61.381975040028003</v>
          </cell>
          <cell r="M486">
            <v>133.058053259947</v>
          </cell>
        </row>
        <row r="487">
          <cell r="A487" t="str">
            <v>LS-000588</v>
          </cell>
          <cell r="B487" t="str">
            <v>Cleveland Rd - 5520</v>
          </cell>
          <cell r="C487">
            <v>19.641730957926299</v>
          </cell>
          <cell r="D487">
            <v>15.077999999999999</v>
          </cell>
          <cell r="G487" t="str">
            <v>Buckman</v>
          </cell>
          <cell r="K487">
            <v>18.423630828420901</v>
          </cell>
          <cell r="M487">
            <v>56.618508797629303</v>
          </cell>
        </row>
        <row r="488">
          <cell r="A488" t="str">
            <v>LS-002451</v>
          </cell>
          <cell r="B488" t="str">
            <v>Wilson St - 3110</v>
          </cell>
          <cell r="C488">
            <v>14.2649776759873</v>
          </cell>
          <cell r="D488">
            <v>55.679000000000002</v>
          </cell>
          <cell r="G488" t="str">
            <v>Buckman</v>
          </cell>
          <cell r="K488">
            <v>93.676697598302894</v>
          </cell>
          <cell r="M488">
            <v>41.586705534614602</v>
          </cell>
        </row>
        <row r="489">
          <cell r="A489" t="str">
            <v>LS-000953</v>
          </cell>
          <cell r="B489" t="str">
            <v>Glen Gardner Dr - 2366</v>
          </cell>
          <cell r="C489">
            <v>3.8702286649308402</v>
          </cell>
          <cell r="D489">
            <v>8.016</v>
          </cell>
          <cell r="G489" t="str">
            <v>Arlington-East</v>
          </cell>
          <cell r="K489">
            <v>49.708690792159601</v>
          </cell>
          <cell r="M489">
            <v>11.6535042005865</v>
          </cell>
        </row>
        <row r="490">
          <cell r="A490" t="str">
            <v>LS-001845</v>
          </cell>
          <cell r="B490" t="str">
            <v>Rathbone Dr - 4901</v>
          </cell>
          <cell r="C490">
            <v>35.870954857176002</v>
          </cell>
          <cell r="D490">
            <v>272.649</v>
          </cell>
          <cell r="G490" t="str">
            <v>Arlington-East</v>
          </cell>
          <cell r="K490">
            <v>182.41990005713399</v>
          </cell>
          <cell r="M490">
            <v>100.74234521727701</v>
          </cell>
        </row>
        <row r="491">
          <cell r="A491" t="str">
            <v>LS-004039</v>
          </cell>
          <cell r="B491" t="str">
            <v>Avenues Walk Bv - 10910</v>
          </cell>
          <cell r="C491">
            <v>8.3786558348323492</v>
          </cell>
          <cell r="D491">
            <v>70.182000000000002</v>
          </cell>
          <cell r="G491" t="str">
            <v>Arlington-East</v>
          </cell>
          <cell r="K491">
            <v>201.03081367748999</v>
          </cell>
          <cell r="M491">
            <v>24.809053265660399</v>
          </cell>
        </row>
        <row r="492">
          <cell r="A492" t="str">
            <v>LS-001369</v>
          </cell>
          <cell r="B492" t="str">
            <v>Lost Pine Rd - 10747</v>
          </cell>
          <cell r="C492">
            <v>32.322561112202997</v>
          </cell>
          <cell r="D492">
            <v>51.89</v>
          </cell>
          <cell r="G492" t="str">
            <v>Arlington-East</v>
          </cell>
          <cell r="K492">
            <v>38.529125080061497</v>
          </cell>
          <cell r="M492">
            <v>91.231404941777896</v>
          </cell>
        </row>
        <row r="493">
          <cell r="A493" t="str">
            <v>LS-001145</v>
          </cell>
          <cell r="B493" t="str">
            <v>Jammes Rd - 5001</v>
          </cell>
          <cell r="C493">
            <v>39.250812701984202</v>
          </cell>
          <cell r="D493">
            <v>28.071000000000002</v>
          </cell>
          <cell r="G493" t="str">
            <v>Southwest</v>
          </cell>
          <cell r="K493">
            <v>17.164077725349699</v>
          </cell>
          <cell r="M493">
            <v>109.73989002064501</v>
          </cell>
        </row>
        <row r="494">
          <cell r="A494" t="str">
            <v>LS-001657</v>
          </cell>
          <cell r="B494" t="str">
            <v>Osprey Ln - 8671</v>
          </cell>
          <cell r="C494">
            <v>52.105353499242597</v>
          </cell>
          <cell r="D494">
            <v>115.35299999999999</v>
          </cell>
          <cell r="G494" t="str">
            <v>Arlington-East</v>
          </cell>
          <cell r="K494">
            <v>53.132198787217597</v>
          </cell>
          <cell r="M494">
            <v>143.46867613597399</v>
          </cell>
        </row>
        <row r="495">
          <cell r="A495" t="str">
            <v>LS-000511</v>
          </cell>
          <cell r="B495" t="str">
            <v>Canopy Overlook Ct - 13996</v>
          </cell>
          <cell r="C495">
            <v>6.4050075048221604</v>
          </cell>
          <cell r="D495">
            <v>9.968</v>
          </cell>
          <cell r="G495" t="str">
            <v>Arlington-East</v>
          </cell>
          <cell r="K495">
            <v>37.350775907739198</v>
          </cell>
          <cell r="M495">
            <v>19.0892851420246</v>
          </cell>
        </row>
        <row r="496">
          <cell r="A496" t="str">
            <v>LS-000298</v>
          </cell>
          <cell r="B496" t="str">
            <v>Beach Bv - 13955</v>
          </cell>
          <cell r="C496">
            <v>5.1727621976820304</v>
          </cell>
          <cell r="D496">
            <v>9.8970000000000002</v>
          </cell>
          <cell r="G496" t="str">
            <v>Arlington-East</v>
          </cell>
          <cell r="K496">
            <v>45.9189869788406</v>
          </cell>
          <cell r="M496">
            <v>15.488468517152</v>
          </cell>
        </row>
        <row r="497">
          <cell r="A497" t="str">
            <v>LS-002241</v>
          </cell>
          <cell r="B497" t="str">
            <v>Surf Bird Cr - 11874</v>
          </cell>
          <cell r="C497">
            <v>26.2744165807051</v>
          </cell>
          <cell r="D497">
            <v>79.879000000000005</v>
          </cell>
          <cell r="G497" t="str">
            <v>Arlington-East</v>
          </cell>
          <cell r="K497">
            <v>72.964360373574905</v>
          </cell>
          <cell r="M497">
            <v>74.853515835677001</v>
          </cell>
        </row>
        <row r="498">
          <cell r="A498" t="str">
            <v>LS-001522</v>
          </cell>
          <cell r="B498" t="str">
            <v>Nesting Swallow Dr - 981</v>
          </cell>
          <cell r="C498">
            <v>37.061994001291701</v>
          </cell>
          <cell r="D498">
            <v>39.313000000000002</v>
          </cell>
          <cell r="G498" t="str">
            <v>Arlington-East</v>
          </cell>
          <cell r="K498">
            <v>25.457669653907899</v>
          </cell>
          <cell r="M498">
            <v>103.91968325134</v>
          </cell>
        </row>
        <row r="499">
          <cell r="A499" t="str">
            <v>LS-002223</v>
          </cell>
          <cell r="B499" t="str">
            <v>Sugar Meadow Tr - 9237</v>
          </cell>
          <cell r="C499">
            <v>25.273360067361899</v>
          </cell>
          <cell r="D499">
            <v>85.364999999999995</v>
          </cell>
          <cell r="G499" t="str">
            <v>Arlington-East</v>
          </cell>
          <cell r="K499">
            <v>81.0640134330922</v>
          </cell>
          <cell r="M499">
            <v>72.120823642740604</v>
          </cell>
        </row>
        <row r="500">
          <cell r="A500" t="str">
            <v>LS-000509</v>
          </cell>
          <cell r="B500" t="str">
            <v>Candle Bark Dr - 801</v>
          </cell>
          <cell r="C500">
            <v>85.490145864334195</v>
          </cell>
          <cell r="D500">
            <v>141.76</v>
          </cell>
          <cell r="G500" t="str">
            <v>Arlington-East</v>
          </cell>
          <cell r="K500">
            <v>39.796867412053302</v>
          </cell>
          <cell r="M500">
            <v>228.14383575618501</v>
          </cell>
        </row>
        <row r="501">
          <cell r="A501" t="str">
            <v>LS-002004</v>
          </cell>
          <cell r="B501" t="str">
            <v>San Pablo Rd S - 3098</v>
          </cell>
          <cell r="C501">
            <v>11.1324330419916</v>
          </cell>
          <cell r="D501">
            <v>71.150999999999996</v>
          </cell>
          <cell r="G501" t="str">
            <v>Arlington-East</v>
          </cell>
          <cell r="K501">
            <v>153.39180514796999</v>
          </cell>
          <cell r="M501">
            <v>32.7056264518733</v>
          </cell>
        </row>
        <row r="502">
          <cell r="A502" t="str">
            <v>LS-001189</v>
          </cell>
          <cell r="B502" t="str">
            <v>Kernan Forest Bv - 12591</v>
          </cell>
          <cell r="C502">
            <v>51.680824348315099</v>
          </cell>
          <cell r="D502">
            <v>39.844000000000001</v>
          </cell>
          <cell r="G502" t="str">
            <v>Arlington-East</v>
          </cell>
          <cell r="K502">
            <v>18.503110429413599</v>
          </cell>
          <cell r="M502">
            <v>142.36620868037301</v>
          </cell>
        </row>
        <row r="503">
          <cell r="A503" t="str">
            <v>LS-001860</v>
          </cell>
          <cell r="B503" t="str">
            <v>Rhode Island Dr E - 6831</v>
          </cell>
          <cell r="C503">
            <v>6.5233120187154299</v>
          </cell>
          <cell r="D503">
            <v>12.676</v>
          </cell>
          <cell r="G503" t="str">
            <v>Buckman</v>
          </cell>
          <cell r="K503">
            <v>46.636432402310199</v>
          </cell>
          <cell r="M503">
            <v>19.433723400107201</v>
          </cell>
        </row>
        <row r="504">
          <cell r="A504" t="str">
            <v>LS-000160</v>
          </cell>
          <cell r="B504" t="str">
            <v>Atlantic Bv - 12570</v>
          </cell>
          <cell r="C504">
            <v>72.162803579407907</v>
          </cell>
          <cell r="D504">
            <v>70.012</v>
          </cell>
          <cell r="G504" t="str">
            <v>Arlington-East</v>
          </cell>
          <cell r="K504">
            <v>23.2846829204884</v>
          </cell>
          <cell r="M504">
            <v>194.78461266628</v>
          </cell>
        </row>
        <row r="505">
          <cell r="A505" t="str">
            <v>LS-001934</v>
          </cell>
          <cell r="B505" t="str">
            <v>Sabal Oaks Ln - 8245</v>
          </cell>
          <cell r="C505">
            <v>24.2594815644315</v>
          </cell>
          <cell r="D505">
            <v>66.108999999999995</v>
          </cell>
          <cell r="G505" t="str">
            <v>Arlington-East</v>
          </cell>
          <cell r="K505">
            <v>65.401892278120599</v>
          </cell>
          <cell r="M505">
            <v>69.346364776757198</v>
          </cell>
        </row>
        <row r="506">
          <cell r="A506" t="str">
            <v>LS-002431</v>
          </cell>
          <cell r="B506" t="str">
            <v>Willesdon Dr S - 11275</v>
          </cell>
          <cell r="C506">
            <v>85.239592148001904</v>
          </cell>
          <cell r="D506">
            <v>51.033999999999999</v>
          </cell>
          <cell r="G506" t="str">
            <v>Arlington-East</v>
          </cell>
          <cell r="K506">
            <v>14.369097377581801</v>
          </cell>
          <cell r="M506">
            <v>227.521540174808</v>
          </cell>
        </row>
        <row r="507">
          <cell r="A507" t="str">
            <v>LS-000432</v>
          </cell>
          <cell r="B507" t="str">
            <v>Blue Eagle Wy - 12668</v>
          </cell>
          <cell r="C507">
            <v>75.689563684619202</v>
          </cell>
          <cell r="D507">
            <v>113.877</v>
          </cell>
          <cell r="G507" t="str">
            <v>Arlington-East</v>
          </cell>
          <cell r="K507">
            <v>36.1086504790538</v>
          </cell>
          <cell r="M507">
            <v>203.66509986665699</v>
          </cell>
        </row>
        <row r="508">
          <cell r="A508" t="str">
            <v>LS-002001</v>
          </cell>
          <cell r="B508" t="str">
            <v>San Pablo Rd S - 1700</v>
          </cell>
          <cell r="C508">
            <v>89.497099906575002</v>
          </cell>
          <cell r="D508">
            <v>57.247</v>
          </cell>
          <cell r="G508" t="str">
            <v>Arlington-East</v>
          </cell>
          <cell r="K508">
            <v>15.351648281723399</v>
          </cell>
          <cell r="M508">
            <v>238.07182725247401</v>
          </cell>
        </row>
        <row r="509">
          <cell r="A509" t="str">
            <v>LS-000730</v>
          </cell>
          <cell r="B509" t="str">
            <v>Dix Ellis Tr - 8200</v>
          </cell>
          <cell r="C509">
            <v>71.3848463331679</v>
          </cell>
          <cell r="D509">
            <v>35.508000000000003</v>
          </cell>
          <cell r="G509" t="str">
            <v>Arlington-East</v>
          </cell>
          <cell r="K509">
            <v>11.9379958601107</v>
          </cell>
          <cell r="M509">
            <v>192.82034428809499</v>
          </cell>
        </row>
        <row r="510">
          <cell r="A510" t="str">
            <v>LS-001788</v>
          </cell>
          <cell r="B510" t="str">
            <v>Point Park Dr - 12621</v>
          </cell>
          <cell r="C510">
            <v>20.6741650003834</v>
          </cell>
          <cell r="D510">
            <v>43.396999999999998</v>
          </cell>
          <cell r="G510" t="str">
            <v>Arlington-East</v>
          </cell>
          <cell r="K510">
            <v>50.378237765863098</v>
          </cell>
          <cell r="M510">
            <v>59.477795416439399</v>
          </cell>
        </row>
        <row r="511">
          <cell r="A511" t="str">
            <v>LS-000719</v>
          </cell>
          <cell r="B511" t="str">
            <v>Detaille Dr - 4526</v>
          </cell>
          <cell r="C511">
            <v>38.8996383750154</v>
          </cell>
          <cell r="D511">
            <v>33.765999999999998</v>
          </cell>
          <cell r="G511" t="str">
            <v>Buckman</v>
          </cell>
          <cell r="K511">
            <v>20.832687239593898</v>
          </cell>
          <cell r="M511">
            <v>108.80771535774799</v>
          </cell>
        </row>
        <row r="512">
          <cell r="A512" t="str">
            <v>LS-000564</v>
          </cell>
          <cell r="B512" t="str">
            <v>Chester Lake Rd N - 8233</v>
          </cell>
          <cell r="C512">
            <v>24.644885038792498</v>
          </cell>
          <cell r="D512">
            <v>86.42</v>
          </cell>
          <cell r="G512" t="str">
            <v>Arlington-East</v>
          </cell>
          <cell r="K512">
            <v>84.158639682647205</v>
          </cell>
          <cell r="M512">
            <v>70.401827288369503</v>
          </cell>
        </row>
        <row r="513">
          <cell r="A513" t="str">
            <v>LS-001874</v>
          </cell>
          <cell r="B513" t="str">
            <v>Ricker Rd - 5115</v>
          </cell>
          <cell r="C513">
            <v>10.000615624270701</v>
          </cell>
          <cell r="D513">
            <v>16.728000000000002</v>
          </cell>
          <cell r="G513" t="str">
            <v>Southwest</v>
          </cell>
          <cell r="K513">
            <v>40.1447285930739</v>
          </cell>
          <cell r="M513">
            <v>29.4710205951524</v>
          </cell>
        </row>
        <row r="514">
          <cell r="A514" t="str">
            <v>LS-002108</v>
          </cell>
          <cell r="B514" t="str">
            <v>Southside Bv - 7992</v>
          </cell>
          <cell r="C514">
            <v>10.418939368481601</v>
          </cell>
          <cell r="D514">
            <v>13.180999999999999</v>
          </cell>
          <cell r="G514" t="str">
            <v>Arlington-East</v>
          </cell>
          <cell r="K514">
            <v>30.362399550665899</v>
          </cell>
          <cell r="M514">
            <v>30.6682474753054</v>
          </cell>
        </row>
        <row r="515">
          <cell r="A515" t="str">
            <v>LS-000677</v>
          </cell>
          <cell r="B515" t="str">
            <v>Danforth Dr - 3780</v>
          </cell>
          <cell r="C515">
            <v>45.837418948549796</v>
          </cell>
          <cell r="D515">
            <v>41.813000000000002</v>
          </cell>
          <cell r="G515" t="str">
            <v>Arlington-East</v>
          </cell>
          <cell r="K515">
            <v>21.892855728338301</v>
          </cell>
          <cell r="M515">
            <v>127.11449863142199</v>
          </cell>
        </row>
        <row r="516">
          <cell r="A516" t="str">
            <v>LS-001085</v>
          </cell>
          <cell r="B516" t="str">
            <v>Hillstead Ln - 3907</v>
          </cell>
          <cell r="C516">
            <v>40.107171104757597</v>
          </cell>
          <cell r="D516">
            <v>10.731999999999999</v>
          </cell>
          <cell r="G516" t="str">
            <v>Arlington-East</v>
          </cell>
          <cell r="K516">
            <v>6.4219936960212696</v>
          </cell>
          <cell r="M516">
            <v>112.01050028982201</v>
          </cell>
        </row>
        <row r="517">
          <cell r="A517" t="str">
            <v>LS-000637</v>
          </cell>
          <cell r="B517" t="str">
            <v>Covington Creek Dr - 13651</v>
          </cell>
          <cell r="C517">
            <v>37.560200315056598</v>
          </cell>
          <cell r="D517">
            <v>63.792000000000002</v>
          </cell>
          <cell r="G517" t="str">
            <v>Arlington-East</v>
          </cell>
          <cell r="K517">
            <v>40.761443952850001</v>
          </cell>
          <cell r="M517">
            <v>105.246576364207</v>
          </cell>
        </row>
        <row r="518">
          <cell r="A518" t="str">
            <v>LS-000258</v>
          </cell>
          <cell r="B518" t="str">
            <v>Baymeadows Rd E - 7823</v>
          </cell>
          <cell r="C518">
            <v>154.72345768213799</v>
          </cell>
          <cell r="D518">
            <v>60.832999999999998</v>
          </cell>
          <cell r="G518" t="str">
            <v>Arlington-East</v>
          </cell>
          <cell r="K518">
            <v>9.4361386558422797</v>
          </cell>
          <cell r="M518">
            <v>394.306226526194</v>
          </cell>
        </row>
        <row r="519">
          <cell r="A519" t="str">
            <v>LS-001509</v>
          </cell>
          <cell r="B519" t="str">
            <v>Mt Pleasant Rd - 12934</v>
          </cell>
          <cell r="C519">
            <v>49.040872894001801</v>
          </cell>
          <cell r="D519">
            <v>40.905999999999999</v>
          </cell>
          <cell r="G519" t="str">
            <v>Arlington-East</v>
          </cell>
          <cell r="K519">
            <v>20.0188932632167</v>
          </cell>
          <cell r="M519">
            <v>135.49374807105801</v>
          </cell>
        </row>
        <row r="520">
          <cell r="A520" t="str">
            <v>LS-000372</v>
          </cell>
          <cell r="B520" t="str">
            <v>Belfort Rd - 3329</v>
          </cell>
          <cell r="C520">
            <v>15.5765799745555</v>
          </cell>
          <cell r="D520">
            <v>35.926000000000002</v>
          </cell>
          <cell r="G520" t="str">
            <v>Arlington-East</v>
          </cell>
          <cell r="K520">
            <v>55.353871094197203</v>
          </cell>
          <cell r="M520">
            <v>45.276747003426799</v>
          </cell>
        </row>
        <row r="521">
          <cell r="A521" t="str">
            <v>LS-000120</v>
          </cell>
          <cell r="B521" t="str">
            <v>Argyle Forest Bv - 9526</v>
          </cell>
          <cell r="C521">
            <v>12.6175310050837</v>
          </cell>
          <cell r="D521">
            <v>19.765000000000001</v>
          </cell>
          <cell r="G521" t="str">
            <v>Southwest</v>
          </cell>
          <cell r="K521">
            <v>37.595310826569502</v>
          </cell>
          <cell r="M521">
            <v>36.928530030235699</v>
          </cell>
        </row>
        <row r="522">
          <cell r="A522" t="str">
            <v>LS-001952</v>
          </cell>
          <cell r="B522" t="str">
            <v>San Fernando Pl - 7019</v>
          </cell>
          <cell r="C522">
            <v>88.308013393475704</v>
          </cell>
          <cell r="D522">
            <v>7.359</v>
          </cell>
          <cell r="G522" t="str">
            <v>Arlington-East</v>
          </cell>
          <cell r="K522">
            <v>1.9999996966645399</v>
          </cell>
          <cell r="M522">
            <v>235.13031268377</v>
          </cell>
        </row>
        <row r="523">
          <cell r="A523" t="str">
            <v>LS-002436</v>
          </cell>
          <cell r="B523" t="str">
            <v>W M Davis Py W - 13812</v>
          </cell>
          <cell r="C523">
            <v>9.7103695094097802</v>
          </cell>
          <cell r="D523">
            <v>44.93</v>
          </cell>
          <cell r="G523" t="str">
            <v>Arlington-East</v>
          </cell>
          <cell r="K523">
            <v>111.048297282102</v>
          </cell>
          <cell r="M523">
            <v>28.6391395275413</v>
          </cell>
        </row>
        <row r="524">
          <cell r="A524" t="str">
            <v>LS-001397</v>
          </cell>
          <cell r="B524" t="str">
            <v>Mangrove Av - 2962</v>
          </cell>
          <cell r="C524">
            <v>69.425753068055897</v>
          </cell>
          <cell r="D524">
            <v>70.706999999999994</v>
          </cell>
          <cell r="G524" t="str">
            <v>Arlington-East</v>
          </cell>
          <cell r="K524">
            <v>24.442918153678701</v>
          </cell>
          <cell r="M524">
            <v>187.86507241026399</v>
          </cell>
        </row>
        <row r="525">
          <cell r="A525" t="str">
            <v>LS-000459</v>
          </cell>
          <cell r="B525" t="str">
            <v>Brest Rd - 2391</v>
          </cell>
          <cell r="C525">
            <v>13.5621401275403</v>
          </cell>
          <cell r="D525">
            <v>15.071999999999999</v>
          </cell>
          <cell r="G525" t="str">
            <v>Buckman</v>
          </cell>
          <cell r="K525">
            <v>26.671896662197799</v>
          </cell>
          <cell r="M525">
            <v>39.602687512766302</v>
          </cell>
        </row>
        <row r="526">
          <cell r="A526" t="str">
            <v>LS-000712</v>
          </cell>
          <cell r="B526" t="str">
            <v>Del Webb Py - 9092</v>
          </cell>
          <cell r="C526">
            <v>25.318796691040699</v>
          </cell>
          <cell r="D526">
            <v>77.784999999999997</v>
          </cell>
          <cell r="G526" t="str">
            <v>Arlington-East</v>
          </cell>
          <cell r="K526">
            <v>73.733361927922701</v>
          </cell>
          <cell r="M526">
            <v>72.244999393464198</v>
          </cell>
        </row>
        <row r="527">
          <cell r="A527" t="str">
            <v>LS-000559</v>
          </cell>
          <cell r="B527" t="str">
            <v>Charter Ct - 13645</v>
          </cell>
          <cell r="C527">
            <v>14.853392480721</v>
          </cell>
          <cell r="D527">
            <v>55.195</v>
          </cell>
          <cell r="G527" t="str">
            <v>Arlington-East</v>
          </cell>
          <cell r="K527">
            <v>89.183666406134293</v>
          </cell>
          <cell r="M527">
            <v>43.244109726726897</v>
          </cell>
        </row>
        <row r="528">
          <cell r="A528" t="str">
            <v>LS-001931</v>
          </cell>
          <cell r="B528" t="str">
            <v>Rush Creek Dr - 1757</v>
          </cell>
          <cell r="C528">
            <v>40.8951864880435</v>
          </cell>
          <cell r="D528">
            <v>49.417999999999999</v>
          </cell>
          <cell r="G528" t="str">
            <v>Arlington-East</v>
          </cell>
          <cell r="K528">
            <v>29.0017506179306</v>
          </cell>
          <cell r="M528">
            <v>114.09674138512</v>
          </cell>
        </row>
        <row r="529">
          <cell r="A529" t="str">
            <v>LS-001410</v>
          </cell>
          <cell r="B529" t="str">
            <v>Marsh Hammock Dr - 4790</v>
          </cell>
          <cell r="C529">
            <v>11.639859798229599</v>
          </cell>
          <cell r="D529">
            <v>26.164000000000001</v>
          </cell>
          <cell r="G529" t="str">
            <v>Arlington-East</v>
          </cell>
          <cell r="K529">
            <v>53.947041535286402</v>
          </cell>
          <cell r="M529">
            <v>34.151148850963899</v>
          </cell>
        </row>
        <row r="530">
          <cell r="A530" t="str">
            <v>LS-002225</v>
          </cell>
          <cell r="B530" t="str">
            <v>Summerlin Ln - 3751</v>
          </cell>
          <cell r="C530">
            <v>71.387313973537303</v>
          </cell>
          <cell r="D530">
            <v>23.177</v>
          </cell>
          <cell r="G530" t="str">
            <v>Arlington-East</v>
          </cell>
          <cell r="K530">
            <v>7.7919726774731499</v>
          </cell>
          <cell r="M530">
            <v>192.82657794704099</v>
          </cell>
        </row>
        <row r="531">
          <cell r="A531" t="str">
            <v>LS-002287</v>
          </cell>
          <cell r="B531" t="str">
            <v>Tonga Rd - 6936</v>
          </cell>
          <cell r="C531">
            <v>3.4548477077393098</v>
          </cell>
          <cell r="D531">
            <v>12.436</v>
          </cell>
          <cell r="G531" t="str">
            <v>Arlington-East</v>
          </cell>
          <cell r="K531">
            <v>86.389915055127204</v>
          </cell>
          <cell r="M531">
            <v>10.423524359068701</v>
          </cell>
        </row>
        <row r="532">
          <cell r="A532" t="str">
            <v>LS-001941</v>
          </cell>
          <cell r="B532" t="str">
            <v>Salisbury Rd - 6903</v>
          </cell>
          <cell r="C532">
            <v>123.11350671582299</v>
          </cell>
          <cell r="D532">
            <v>65.984999999999999</v>
          </cell>
          <cell r="G532" t="str">
            <v>Arlington-East</v>
          </cell>
          <cell r="K532">
            <v>12.863251500547699</v>
          </cell>
          <cell r="M532">
            <v>319.74964153740302</v>
          </cell>
        </row>
        <row r="533">
          <cell r="A533" t="str">
            <v>LS-001269</v>
          </cell>
          <cell r="B533" t="str">
            <v>Lantana Lakes Dr - 2841</v>
          </cell>
          <cell r="C533">
            <v>54.872566003221003</v>
          </cell>
          <cell r="D533">
            <v>101.89700000000001</v>
          </cell>
          <cell r="G533" t="str">
            <v>Arlington-East</v>
          </cell>
          <cell r="K533">
            <v>44.567407324389499</v>
          </cell>
          <cell r="M533">
            <v>150.637116429119</v>
          </cell>
        </row>
        <row r="534">
          <cell r="A534" t="str">
            <v>LS-000259</v>
          </cell>
          <cell r="B534" t="str">
            <v>Baymeadows Rd E - 8036</v>
          </cell>
          <cell r="C534">
            <v>237.54329722691</v>
          </cell>
          <cell r="D534">
            <v>161.94200000000001</v>
          </cell>
          <cell r="G534" t="str">
            <v>Arlington-East</v>
          </cell>
          <cell r="K534">
            <v>16.3616824611446</v>
          </cell>
          <cell r="M534">
            <v>581.73503977925998</v>
          </cell>
        </row>
        <row r="535">
          <cell r="A535" t="str">
            <v>LS-002393</v>
          </cell>
          <cell r="B535" t="str">
            <v>Watermark Ln W - 10014</v>
          </cell>
          <cell r="C535">
            <v>12.6115108421717</v>
          </cell>
          <cell r="D535">
            <v>36.664999999999999</v>
          </cell>
          <cell r="G535" t="str">
            <v>Arlington-East</v>
          </cell>
          <cell r="K535">
            <v>69.774352257423004</v>
          </cell>
          <cell r="M535">
            <v>36.911458291546303</v>
          </cell>
        </row>
        <row r="536">
          <cell r="A536" t="str">
            <v>LS-000763</v>
          </cell>
          <cell r="B536" t="str">
            <v>Duskin Dr - 901</v>
          </cell>
          <cell r="C536">
            <v>9.7564215380210904</v>
          </cell>
          <cell r="D536">
            <v>34.942999999999998</v>
          </cell>
          <cell r="G536" t="str">
            <v>Arlington-East</v>
          </cell>
          <cell r="K536">
            <v>85.956925572744495</v>
          </cell>
          <cell r="M536">
            <v>28.771197213657398</v>
          </cell>
        </row>
        <row r="537">
          <cell r="A537" t="str">
            <v>LS-000305</v>
          </cell>
          <cell r="B537" t="str">
            <v>Beach Bv - 14750</v>
          </cell>
          <cell r="C537">
            <v>8.4654237855907297</v>
          </cell>
          <cell r="D537">
            <v>17.952000000000002</v>
          </cell>
          <cell r="G537" t="str">
            <v>Arlington-East</v>
          </cell>
          <cell r="K537">
            <v>50.895030291733299</v>
          </cell>
          <cell r="M537">
            <v>25.059286978648</v>
          </cell>
        </row>
        <row r="538">
          <cell r="A538" t="str">
            <v>LS-000937</v>
          </cell>
          <cell r="B538" t="str">
            <v>Gate Py W - 8290</v>
          </cell>
          <cell r="C538">
            <v>67.917745487606794</v>
          </cell>
          <cell r="D538">
            <v>45.146000000000001</v>
          </cell>
          <cell r="G538" t="str">
            <v>Arlington-East</v>
          </cell>
          <cell r="K538">
            <v>15.953179720868601</v>
          </cell>
          <cell r="M538">
            <v>184.042108408611</v>
          </cell>
        </row>
        <row r="539">
          <cell r="A539" t="str">
            <v>LS-000346</v>
          </cell>
          <cell r="B539" t="str">
            <v>Beacon Dr - 11247</v>
          </cell>
          <cell r="C539">
            <v>17.4607919582816</v>
          </cell>
          <cell r="D539">
            <v>19.687000000000001</v>
          </cell>
          <cell r="G539" t="str">
            <v>Arlington-East</v>
          </cell>
          <cell r="K539">
            <v>27.0599409882952</v>
          </cell>
          <cell r="M539">
            <v>50.550863669353603</v>
          </cell>
        </row>
        <row r="540">
          <cell r="A540" t="str">
            <v>LS-000452</v>
          </cell>
          <cell r="B540" t="str">
            <v>Bradley Rd - 10182</v>
          </cell>
          <cell r="C540">
            <v>44.761049956670099</v>
          </cell>
          <cell r="D540">
            <v>44.143000000000001</v>
          </cell>
          <cell r="G540" t="str">
            <v>Arlington-East</v>
          </cell>
          <cell r="K540">
            <v>23.668613694843199</v>
          </cell>
          <cell r="M540">
            <v>124.28890859175699</v>
          </cell>
        </row>
        <row r="541">
          <cell r="A541" t="str">
            <v>LS-000694</v>
          </cell>
          <cell r="B541" t="str">
            <v>Decatur St - 14052</v>
          </cell>
          <cell r="C541">
            <v>11.315006640266899</v>
          </cell>
          <cell r="D541">
            <v>31.83</v>
          </cell>
          <cell r="G541" t="str">
            <v>Arlington-East</v>
          </cell>
          <cell r="K541">
            <v>67.513879954910905</v>
          </cell>
          <cell r="M541">
            <v>33.226052916961102</v>
          </cell>
        </row>
        <row r="542">
          <cell r="A542" t="str">
            <v>LS-000962</v>
          </cell>
          <cell r="B542" t="str">
            <v>Goldenrod Cr N - 12005</v>
          </cell>
          <cell r="C542">
            <v>9.4374183176122699</v>
          </cell>
          <cell r="D542">
            <v>15.185</v>
          </cell>
          <cell r="G542" t="str">
            <v>Arlington-East</v>
          </cell>
          <cell r="K542">
            <v>38.6164931695224</v>
          </cell>
          <cell r="M542">
            <v>27.855907233720199</v>
          </cell>
        </row>
        <row r="543">
          <cell r="A543" t="str">
            <v>LS-000148</v>
          </cell>
          <cell r="B543" t="str">
            <v>Ashford Crossing Dr - 10031</v>
          </cell>
          <cell r="C543">
            <v>4.9968532270686703</v>
          </cell>
          <cell r="D543">
            <v>17.574000000000002</v>
          </cell>
          <cell r="G543" t="str">
            <v>Arlington-East</v>
          </cell>
          <cell r="K543">
            <v>84.408322765051196</v>
          </cell>
          <cell r="M543">
            <v>14.9723688063771</v>
          </cell>
        </row>
        <row r="544">
          <cell r="A544" t="str">
            <v>LS-002057</v>
          </cell>
          <cell r="B544" t="str">
            <v>Shipwatch Dr E - 673</v>
          </cell>
          <cell r="C544">
            <v>39.287882370990999</v>
          </cell>
          <cell r="D544">
            <v>64.804000000000002</v>
          </cell>
          <cell r="G544" t="str">
            <v>Arlington-East</v>
          </cell>
          <cell r="K544">
            <v>39.587168005481097</v>
          </cell>
          <cell r="M544">
            <v>109.83825394000399</v>
          </cell>
        </row>
        <row r="545">
          <cell r="A545" t="str">
            <v>LS-001786</v>
          </cell>
          <cell r="B545" t="str">
            <v>Point Meadows Dr - 7825</v>
          </cell>
          <cell r="C545">
            <v>70.167403140202495</v>
          </cell>
          <cell r="D545">
            <v>95.278999999999996</v>
          </cell>
          <cell r="G545" t="str">
            <v>Arlington-East</v>
          </cell>
          <cell r="K545">
            <v>32.589149628794402</v>
          </cell>
          <cell r="M545">
            <v>189.742462872998</v>
          </cell>
        </row>
        <row r="546">
          <cell r="A546" t="str">
            <v>LS-000385</v>
          </cell>
          <cell r="B546" t="str">
            <v>Biggin Church Rd W - 3891</v>
          </cell>
          <cell r="C546">
            <v>65.433497829878505</v>
          </cell>
          <cell r="D546">
            <v>146.28100000000001</v>
          </cell>
          <cell r="G546" t="str">
            <v>Arlington-East</v>
          </cell>
          <cell r="K546">
            <v>53.653619574604299</v>
          </cell>
          <cell r="M546">
            <v>177.72750361083499</v>
          </cell>
        </row>
        <row r="547">
          <cell r="A547" t="str">
            <v>LS-001827</v>
          </cell>
          <cell r="B547" t="str">
            <v>RG Skinner Py - 9174</v>
          </cell>
          <cell r="C547">
            <v>44.412443121608199</v>
          </cell>
          <cell r="D547">
            <v>89.96</v>
          </cell>
          <cell r="G547" t="str">
            <v>Arlington-East</v>
          </cell>
          <cell r="K547">
            <v>48.613403097150297</v>
          </cell>
          <cell r="M547">
            <v>123.372657334528</v>
          </cell>
        </row>
        <row r="548">
          <cell r="A548" t="str">
            <v>LS-002051</v>
          </cell>
          <cell r="B548" t="str">
            <v>Shiloh Mill Bv - 4695</v>
          </cell>
          <cell r="C548">
            <v>83.024728301390297</v>
          </cell>
          <cell r="D548">
            <v>46.277000000000001</v>
          </cell>
          <cell r="G548" t="str">
            <v>Arlington-East</v>
          </cell>
          <cell r="K548">
            <v>13.377315683204699</v>
          </cell>
          <cell r="M548">
            <v>222.01269509344601</v>
          </cell>
        </row>
        <row r="549">
          <cell r="A549" t="str">
            <v>LS-000672</v>
          </cell>
          <cell r="B549" t="str">
            <v>D St - 2415</v>
          </cell>
          <cell r="C549">
            <v>127.788234263406</v>
          </cell>
          <cell r="D549">
            <v>86.287999999999997</v>
          </cell>
          <cell r="G549" t="str">
            <v>Buckman</v>
          </cell>
          <cell r="K549">
            <v>16.2058112152273</v>
          </cell>
          <cell r="M549">
            <v>330.90174605895299</v>
          </cell>
        </row>
        <row r="550">
          <cell r="A550" t="str">
            <v>LS-002043</v>
          </cell>
          <cell r="B550" t="str">
            <v>Shawnee Shores Dr - 3667</v>
          </cell>
          <cell r="C550">
            <v>39.362280446927997</v>
          </cell>
          <cell r="D550">
            <v>8.8949999999999996</v>
          </cell>
          <cell r="G550" t="str">
            <v>Arlington-East</v>
          </cell>
          <cell r="K550">
            <v>5.4234662620178797</v>
          </cell>
          <cell r="M550">
            <v>110.035647843234</v>
          </cell>
        </row>
        <row r="551">
          <cell r="A551" t="str">
            <v>LS-001471</v>
          </cell>
          <cell r="B551" t="str">
            <v>Mississippi Ct - 4840</v>
          </cell>
          <cell r="C551">
            <v>4.4166872518974403</v>
          </cell>
          <cell r="D551">
            <v>3.84</v>
          </cell>
          <cell r="G551" t="str">
            <v>Buckman</v>
          </cell>
          <cell r="K551">
            <v>20.866317840460098</v>
          </cell>
          <cell r="M551">
            <v>13.2662868355537</v>
          </cell>
        </row>
        <row r="552">
          <cell r="A552" t="str">
            <v>LS-003354</v>
          </cell>
          <cell r="B552" t="str">
            <v>Corporate Square Bv - 2200</v>
          </cell>
          <cell r="C552">
            <v>121.31363283392299</v>
          </cell>
          <cell r="D552">
            <v>24.007000000000001</v>
          </cell>
          <cell r="G552" t="str">
            <v>Arlington-East</v>
          </cell>
          <cell r="K552">
            <v>4.7494085086773801</v>
          </cell>
          <cell r="M552">
            <v>315.44336538779902</v>
          </cell>
        </row>
        <row r="553">
          <cell r="A553" t="str">
            <v>LS-001181</v>
          </cell>
          <cell r="B553" t="str">
            <v>Kensington Lakes Dr - 12312</v>
          </cell>
          <cell r="C553">
            <v>80.887439473087696</v>
          </cell>
          <cell r="D553">
            <v>122.497</v>
          </cell>
          <cell r="G553" t="str">
            <v>Arlington-East</v>
          </cell>
          <cell r="K553">
            <v>36.345915004246798</v>
          </cell>
          <cell r="M553">
            <v>216.683275837694</v>
          </cell>
        </row>
        <row r="554">
          <cell r="A554" t="str">
            <v>LS-001473</v>
          </cell>
          <cell r="B554" t="str">
            <v>Misty Water Dr N - 12090</v>
          </cell>
          <cell r="C554">
            <v>33.381044425490202</v>
          </cell>
          <cell r="D554">
            <v>84.622</v>
          </cell>
          <cell r="G554" t="str">
            <v>Arlington-East</v>
          </cell>
          <cell r="K554">
            <v>60.840756631603597</v>
          </cell>
          <cell r="M554">
            <v>94.075713311237905</v>
          </cell>
        </row>
        <row r="555">
          <cell r="A555" t="str">
            <v>LS-001159</v>
          </cell>
          <cell r="B555" t="str">
            <v>Joeandy Rd N - 12791</v>
          </cell>
          <cell r="C555">
            <v>75.870917260051797</v>
          </cell>
          <cell r="D555">
            <v>121.36799999999999</v>
          </cell>
          <cell r="G555" t="str">
            <v>Arlington-East</v>
          </cell>
          <cell r="K555">
            <v>38.391943912001302</v>
          </cell>
          <cell r="M555">
            <v>204.12069532643099</v>
          </cell>
        </row>
        <row r="556">
          <cell r="A556" t="str">
            <v>LS-001593</v>
          </cell>
          <cell r="B556" t="str">
            <v>Normandy Bv - 9330</v>
          </cell>
          <cell r="C556">
            <v>1.21787393072522</v>
          </cell>
          <cell r="D556">
            <v>31.634</v>
          </cell>
          <cell r="G556" t="str">
            <v>Southwest</v>
          </cell>
          <cell r="K556">
            <v>623.39457381102102</v>
          </cell>
          <cell r="M556">
            <v>3.7263812276727202</v>
          </cell>
        </row>
        <row r="557">
          <cell r="A557" t="str">
            <v>LS-000439</v>
          </cell>
          <cell r="B557" t="str">
            <v>Boatwright Wy - 3500</v>
          </cell>
          <cell r="C557">
            <v>46.597453151395797</v>
          </cell>
          <cell r="D557">
            <v>32.834000000000003</v>
          </cell>
          <cell r="G557" t="str">
            <v>Arlington-East</v>
          </cell>
          <cell r="K557">
            <v>16.911138843569901</v>
          </cell>
          <cell r="M557">
            <v>129.10656474092599</v>
          </cell>
        </row>
        <row r="558">
          <cell r="A558" t="str">
            <v>LS-000076</v>
          </cell>
          <cell r="B558" t="str">
            <v>Agave Rd - 10398</v>
          </cell>
          <cell r="C558">
            <v>26.656210009197299</v>
          </cell>
          <cell r="D558">
            <v>40.32</v>
          </cell>
          <cell r="G558" t="str">
            <v>Arlington-East</v>
          </cell>
          <cell r="K558">
            <v>36.302235001379302</v>
          </cell>
          <cell r="M558">
            <v>75.894025324860195</v>
          </cell>
        </row>
        <row r="559">
          <cell r="A559" t="str">
            <v>LS-000917</v>
          </cell>
          <cell r="B559" t="str">
            <v>Ft Caroline Rd - 12720</v>
          </cell>
          <cell r="C559">
            <v>8.5455653120015391</v>
          </cell>
          <cell r="D559">
            <v>5.3490000000000002</v>
          </cell>
          <cell r="G559" t="str">
            <v>Arlington-East</v>
          </cell>
          <cell r="K559">
            <v>15.022528681596601</v>
          </cell>
          <cell r="M559">
            <v>25.290323537184999</v>
          </cell>
        </row>
        <row r="560">
          <cell r="A560" t="str">
            <v>LS-000512</v>
          </cell>
          <cell r="B560" t="str">
            <v>Canyon Falls Dr S - 14051</v>
          </cell>
          <cell r="C560">
            <v>29.7447709895904</v>
          </cell>
          <cell r="D560">
            <v>70.350999999999999</v>
          </cell>
          <cell r="G560" t="str">
            <v>Arlington-East</v>
          </cell>
          <cell r="K560">
            <v>56.763724978447001</v>
          </cell>
          <cell r="M560">
            <v>84.277787186622106</v>
          </cell>
        </row>
        <row r="561">
          <cell r="A561" t="str">
            <v>LS-002270</v>
          </cell>
          <cell r="B561" t="str">
            <v>Three Creeks Bv - 8430</v>
          </cell>
          <cell r="C561">
            <v>32.273672665967098</v>
          </cell>
          <cell r="D561">
            <v>108.53100000000001</v>
          </cell>
          <cell r="G561" t="str">
            <v>Buckman</v>
          </cell>
          <cell r="K561">
            <v>80.708013214335196</v>
          </cell>
          <cell r="M561">
            <v>91.099882629120302</v>
          </cell>
        </row>
        <row r="562">
          <cell r="A562" t="str">
            <v>LS-001270</v>
          </cell>
          <cell r="B562" t="str">
            <v>Las Palmas Wy - 7600</v>
          </cell>
          <cell r="C562">
            <v>23.776302383406101</v>
          </cell>
          <cell r="D562">
            <v>16.059000000000001</v>
          </cell>
          <cell r="G562" t="str">
            <v>Arlington-East</v>
          </cell>
          <cell r="K562">
            <v>16.210089936818299</v>
          </cell>
          <cell r="M562">
            <v>68.021706624193797</v>
          </cell>
        </row>
        <row r="563">
          <cell r="A563" t="str">
            <v>LS-002009</v>
          </cell>
          <cell r="B563" t="str">
            <v>SandalwoodDr-1767</v>
          </cell>
          <cell r="C563">
            <v>182.89180568380499</v>
          </cell>
          <cell r="D563">
            <v>333.94200000000001</v>
          </cell>
          <cell r="G563" t="str">
            <v>Arlington-East</v>
          </cell>
          <cell r="K563">
            <v>43.8215805789361</v>
          </cell>
          <cell r="M563">
            <v>459.21862605636397</v>
          </cell>
        </row>
        <row r="564">
          <cell r="A564" t="str">
            <v>LS-000895</v>
          </cell>
          <cell r="B564" t="str">
            <v>Foggy Veil Ct - 3757</v>
          </cell>
          <cell r="C564">
            <v>21.810695504628399</v>
          </cell>
          <cell r="D564">
            <v>47.176000000000002</v>
          </cell>
          <cell r="G564" t="str">
            <v>Arlington-East</v>
          </cell>
          <cell r="K564">
            <v>51.911411984075897</v>
          </cell>
          <cell r="M564">
            <v>62.616098275992002</v>
          </cell>
        </row>
        <row r="565">
          <cell r="A565" t="str">
            <v>LS-001520</v>
          </cell>
          <cell r="B565" t="str">
            <v>1082 Nelson St</v>
          </cell>
          <cell r="C565">
            <v>90.607984404112599</v>
          </cell>
          <cell r="D565">
            <v>121.252</v>
          </cell>
          <cell r="G565" t="str">
            <v>Buckman</v>
          </cell>
          <cell r="K565">
            <v>32.116904698168298</v>
          </cell>
          <cell r="M565">
            <v>240.81637618907001</v>
          </cell>
        </row>
        <row r="566">
          <cell r="A566" t="str">
            <v>LS-000939</v>
          </cell>
          <cell r="B566" t="str">
            <v>Gately Rd S - 12409</v>
          </cell>
          <cell r="C566">
            <v>32.898606235099201</v>
          </cell>
          <cell r="D566">
            <v>40.125</v>
          </cell>
          <cell r="G566" t="str">
            <v>Arlington-East</v>
          </cell>
          <cell r="K566">
            <v>29.271756776510099</v>
          </cell>
          <cell r="M566">
            <v>92.780101670830703</v>
          </cell>
        </row>
        <row r="567">
          <cell r="A567" t="str">
            <v>LS-001854</v>
          </cell>
          <cell r="B567" t="str">
            <v>Regency Square Bv N - 9525</v>
          </cell>
          <cell r="C567">
            <v>33.016641051589403</v>
          </cell>
          <cell r="D567">
            <v>25.094999999999999</v>
          </cell>
          <cell r="G567" t="str">
            <v>Arlington-East</v>
          </cell>
          <cell r="K567">
            <v>18.241710265405899</v>
          </cell>
          <cell r="M567">
            <v>93.097209307526398</v>
          </cell>
        </row>
        <row r="568">
          <cell r="A568" t="str">
            <v>LS-002425</v>
          </cell>
          <cell r="B568" t="str">
            <v>White Feather Dr - 12474</v>
          </cell>
          <cell r="C568">
            <v>6.8760470722521996</v>
          </cell>
          <cell r="D568">
            <v>23.283999999999999</v>
          </cell>
          <cell r="G568" t="str">
            <v>Arlington-East</v>
          </cell>
          <cell r="K568">
            <v>81.269949744099705</v>
          </cell>
          <cell r="M568">
            <v>20.459446793363401</v>
          </cell>
        </row>
        <row r="569">
          <cell r="A569" t="str">
            <v>LS-001701</v>
          </cell>
          <cell r="B569" t="str">
            <v>Peregrine Ct - 132</v>
          </cell>
          <cell r="C569">
            <v>25.429808982051799</v>
          </cell>
          <cell r="D569">
            <v>49.601999999999997</v>
          </cell>
          <cell r="G569" t="str">
            <v>Arlington-East</v>
          </cell>
          <cell r="K569">
            <v>46.813092494725701</v>
          </cell>
          <cell r="M569">
            <v>72.548332373742994</v>
          </cell>
        </row>
        <row r="570">
          <cell r="A570" t="str">
            <v>LS-000082</v>
          </cell>
          <cell r="B570" t="str">
            <v>Alden Rd - 11823</v>
          </cell>
          <cell r="C570">
            <v>70.393662176458406</v>
          </cell>
          <cell r="D570">
            <v>69.322999999999993</v>
          </cell>
          <cell r="G570" t="str">
            <v>Arlington-East</v>
          </cell>
          <cell r="K570">
            <v>23.634968668477701</v>
          </cell>
          <cell r="M570">
            <v>190.31484720948799</v>
          </cell>
        </row>
        <row r="571">
          <cell r="A571" t="str">
            <v>LS-001166</v>
          </cell>
          <cell r="B571" t="str">
            <v>Jose Vedra Bv - 14450</v>
          </cell>
          <cell r="C571">
            <v>59.013017623862602</v>
          </cell>
          <cell r="D571">
            <v>16.326000000000001</v>
          </cell>
          <cell r="G571" t="str">
            <v>Arlington-East</v>
          </cell>
          <cell r="K571">
            <v>6.6396197953714102</v>
          </cell>
          <cell r="M571">
            <v>161.307119932154</v>
          </cell>
        </row>
        <row r="572">
          <cell r="A572" t="str">
            <v>LS-003973</v>
          </cell>
          <cell r="B572" t="str">
            <v>Logan St - 1027</v>
          </cell>
          <cell r="C572">
            <v>0.35619048242392798</v>
          </cell>
          <cell r="D572">
            <v>2.073</v>
          </cell>
          <cell r="G572" t="str">
            <v>Buckman</v>
          </cell>
          <cell r="K572">
            <v>139.67807242189701</v>
          </cell>
          <cell r="M572">
            <v>1.10036793548829</v>
          </cell>
        </row>
        <row r="573">
          <cell r="A573" t="str">
            <v>LS-000371</v>
          </cell>
          <cell r="B573" t="str">
            <v>Belfort Py - 7803</v>
          </cell>
          <cell r="C573">
            <v>32.126689423298302</v>
          </cell>
          <cell r="D573">
            <v>36.223999999999997</v>
          </cell>
          <cell r="G573" t="str">
            <v>Arlington-East</v>
          </cell>
          <cell r="K573">
            <v>27.060864832513001</v>
          </cell>
          <cell r="M573">
            <v>90.704379194578905</v>
          </cell>
        </row>
        <row r="574">
          <cell r="A574" t="str">
            <v>LS-000858</v>
          </cell>
          <cell r="B574" t="str">
            <v>Fawn Brook Dr - 9748</v>
          </cell>
          <cell r="C574">
            <v>10.333933884976499</v>
          </cell>
          <cell r="D574">
            <v>19.998999999999999</v>
          </cell>
          <cell r="G574" t="str">
            <v>Arlington-East</v>
          </cell>
          <cell r="K574">
            <v>46.446590944208403</v>
          </cell>
          <cell r="M574">
            <v>30.425129299407399</v>
          </cell>
        </row>
        <row r="575">
          <cell r="A575" t="str">
            <v>LS-001142</v>
          </cell>
          <cell r="B575" t="str">
            <v>J Ray Cr S - 5642</v>
          </cell>
          <cell r="C575">
            <v>452.57302317189402</v>
          </cell>
          <cell r="D575">
            <v>262.791</v>
          </cell>
          <cell r="G575" t="str">
            <v>Buckman</v>
          </cell>
          <cell r="K575">
            <v>13.9358372617904</v>
          </cell>
          <cell r="M575">
            <v>1032.3780951917699</v>
          </cell>
        </row>
        <row r="576">
          <cell r="A576" t="str">
            <v>LS-001750</v>
          </cell>
          <cell r="B576" t="str">
            <v>Philips Industrial Bv E - 6752</v>
          </cell>
          <cell r="C576">
            <v>27.552694455607501</v>
          </cell>
          <cell r="D576">
            <v>62.398000000000003</v>
          </cell>
          <cell r="G576" t="str">
            <v>Arlington-East</v>
          </cell>
          <cell r="K576">
            <v>54.352288572460203</v>
          </cell>
          <cell r="M576">
            <v>78.333582941746698</v>
          </cell>
        </row>
        <row r="577">
          <cell r="A577" t="str">
            <v>LS-001469</v>
          </cell>
          <cell r="B577" t="str">
            <v>Mission Hills Dr - 12501</v>
          </cell>
          <cell r="C577">
            <v>3.6126271082852299</v>
          </cell>
          <cell r="D577">
            <v>2.77</v>
          </cell>
          <cell r="G577" t="str">
            <v>Arlington-East</v>
          </cell>
          <cell r="K577">
            <v>18.402120674877899</v>
          </cell>
          <cell r="M577">
            <v>10.891151676491299</v>
          </cell>
        </row>
        <row r="578">
          <cell r="A578" t="str">
            <v>LS-001020</v>
          </cell>
          <cell r="B578" t="str">
            <v>Harrington Park Dr - 1511</v>
          </cell>
          <cell r="C578">
            <v>70.837550471068596</v>
          </cell>
          <cell r="D578">
            <v>87.590999999999994</v>
          </cell>
          <cell r="G578" t="str">
            <v>Arlington-East</v>
          </cell>
          <cell r="K578">
            <v>29.676124965085702</v>
          </cell>
          <cell r="M578">
            <v>191.43729663584901</v>
          </cell>
        </row>
        <row r="579">
          <cell r="A579" t="str">
            <v>LS-002665</v>
          </cell>
          <cell r="B579" t="str">
            <v>Emerson St - 2325</v>
          </cell>
          <cell r="C579">
            <v>4.0490406648407697</v>
          </cell>
          <cell r="D579">
            <v>1.0429999999999999</v>
          </cell>
          <cell r="G579" t="str">
            <v>Buckman</v>
          </cell>
          <cell r="K579">
            <v>6.1822051374691203</v>
          </cell>
          <cell r="M579">
            <v>12.1818862442798</v>
          </cell>
        </row>
        <row r="580">
          <cell r="A580" t="str">
            <v>LS-001434</v>
          </cell>
          <cell r="B580" t="str">
            <v>McLaurin Rd E - 10577</v>
          </cell>
          <cell r="C580">
            <v>26.775522349824499</v>
          </cell>
          <cell r="D580">
            <v>41.244999999999997</v>
          </cell>
          <cell r="G580" t="str">
            <v>Arlington-East</v>
          </cell>
          <cell r="K580">
            <v>36.969586888619098</v>
          </cell>
          <cell r="M580">
            <v>76.218998077528298</v>
          </cell>
        </row>
        <row r="581">
          <cell r="A581" t="str">
            <v>LS-000465</v>
          </cell>
          <cell r="B581" t="str">
            <v>Brierwood Rd - 8460</v>
          </cell>
          <cell r="C581">
            <v>147.65056113680001</v>
          </cell>
          <cell r="D581">
            <v>89.698999999999998</v>
          </cell>
          <cell r="G581" t="str">
            <v>Arlington-East</v>
          </cell>
          <cell r="K581">
            <v>14.580208726775</v>
          </cell>
          <cell r="M581">
            <v>377.79106245299801</v>
          </cell>
        </row>
        <row r="582">
          <cell r="A582" t="str">
            <v>LS-000557</v>
          </cell>
          <cell r="B582" t="str">
            <v>Chandelier Cr E - 1694</v>
          </cell>
          <cell r="C582">
            <v>15.041000747421601</v>
          </cell>
          <cell r="D582">
            <v>19.347000000000001</v>
          </cell>
          <cell r="G582" t="str">
            <v>Arlington-East</v>
          </cell>
          <cell r="K582">
            <v>30.870818225283202</v>
          </cell>
          <cell r="M582">
            <v>43.771873123794997</v>
          </cell>
        </row>
        <row r="583">
          <cell r="A583" t="str">
            <v>LS-001889</v>
          </cell>
          <cell r="B583" t="str">
            <v>River Trail Rd - 4544</v>
          </cell>
          <cell r="C583">
            <v>42.168647926266701</v>
          </cell>
          <cell r="D583">
            <v>42.738</v>
          </cell>
          <cell r="G583" t="str">
            <v>Arlington-East</v>
          </cell>
          <cell r="K583">
            <v>24.3240428716968</v>
          </cell>
          <cell r="M583">
            <v>117.461885021345</v>
          </cell>
        </row>
        <row r="584">
          <cell r="A584" t="str">
            <v>LS-000386</v>
          </cell>
          <cell r="B584" t="str">
            <v>Bilodeau Ct - 1850</v>
          </cell>
          <cell r="C584">
            <v>13.3992228716008</v>
          </cell>
          <cell r="D584">
            <v>12.791</v>
          </cell>
          <cell r="G584" t="str">
            <v>Southwest</v>
          </cell>
          <cell r="K584">
            <v>22.910582422704699</v>
          </cell>
          <cell r="M584">
            <v>39.142108357156303</v>
          </cell>
        </row>
        <row r="585">
          <cell r="A585" t="str">
            <v>LS-003247</v>
          </cell>
          <cell r="B585" t="str">
            <v>New World Av - 4950</v>
          </cell>
          <cell r="C585">
            <v>3.1159440572581301</v>
          </cell>
          <cell r="D585">
            <v>15.789</v>
          </cell>
          <cell r="G585" t="str">
            <v>Southwest</v>
          </cell>
          <cell r="K585">
            <v>121.611939443304</v>
          </cell>
          <cell r="M585">
            <v>9.4172327321041998</v>
          </cell>
        </row>
        <row r="586">
          <cell r="A586" t="str">
            <v>LS-002352</v>
          </cell>
          <cell r="B586" t="str">
            <v>University Bv W - 3534</v>
          </cell>
          <cell r="C586">
            <v>16.239608466590699</v>
          </cell>
          <cell r="D586">
            <v>19.048999999999999</v>
          </cell>
          <cell r="G586" t="str">
            <v>Buckman</v>
          </cell>
          <cell r="K586">
            <v>28.151910247130399</v>
          </cell>
          <cell r="M586">
            <v>47.1361606431797</v>
          </cell>
        </row>
        <row r="587">
          <cell r="A587" t="str">
            <v>LS-000070</v>
          </cell>
          <cell r="B587" t="str">
            <v>Adelaide Dr - 9374</v>
          </cell>
          <cell r="C587">
            <v>91.415150972105806</v>
          </cell>
          <cell r="D587">
            <v>194.108</v>
          </cell>
          <cell r="G587" t="str">
            <v>Southwest</v>
          </cell>
          <cell r="K587">
            <v>50.960830348806297</v>
          </cell>
          <cell r="M587">
            <v>242.808450116964</v>
          </cell>
        </row>
        <row r="588">
          <cell r="A588" t="str">
            <v>LS-000075</v>
          </cell>
          <cell r="B588" t="str">
            <v>Agave Rd - 10150</v>
          </cell>
          <cell r="C588">
            <v>510.51608388147901</v>
          </cell>
          <cell r="D588">
            <v>303.06799999999998</v>
          </cell>
          <cell r="G588" t="str">
            <v>Arlington-East</v>
          </cell>
          <cell r="K588">
            <v>14.247605961203501</v>
          </cell>
          <cell r="M588">
            <v>1147.46096312434</v>
          </cell>
        </row>
        <row r="589">
          <cell r="A589" t="str">
            <v>LS-000923</v>
          </cell>
          <cell r="B589" t="str">
            <v>Fulton Rd - 5047</v>
          </cell>
          <cell r="C589">
            <v>12.3628821780568</v>
          </cell>
          <cell r="D589">
            <v>15.484</v>
          </cell>
          <cell r="G589" t="str">
            <v>Arlington-East</v>
          </cell>
          <cell r="K589">
            <v>30.0590100793479</v>
          </cell>
          <cell r="M589">
            <v>36.2060816725675</v>
          </cell>
        </row>
        <row r="590">
          <cell r="A590" t="str">
            <v>LS-000923</v>
          </cell>
          <cell r="B590" t="str">
            <v>Fulton Rd - 5047</v>
          </cell>
          <cell r="C590">
            <v>12.3628821780568</v>
          </cell>
          <cell r="D590">
            <v>15.484</v>
          </cell>
          <cell r="G590" t="str">
            <v>Arlington-East</v>
          </cell>
          <cell r="K590">
            <v>30.0590100793479</v>
          </cell>
          <cell r="M590">
            <v>36.2060816725675</v>
          </cell>
        </row>
        <row r="591">
          <cell r="A591" t="str">
            <v>LS-001459</v>
          </cell>
          <cell r="B591" t="str">
            <v>Mill Creek Rd - 1030</v>
          </cell>
          <cell r="C591">
            <v>458.69612992742799</v>
          </cell>
          <cell r="D591">
            <v>3.2080000000000002</v>
          </cell>
          <cell r="G591" t="str">
            <v>Arlington-East</v>
          </cell>
          <cell r="K591">
            <v>0.16784968299641301</v>
          </cell>
          <cell r="M591">
            <v>1044.64604034641</v>
          </cell>
        </row>
        <row r="592">
          <cell r="A592" t="str">
            <v>LS-001667</v>
          </cell>
          <cell r="B592" t="str">
            <v>Pacemaker Dr - 13288</v>
          </cell>
          <cell r="C592">
            <v>5.4885961298505697</v>
          </cell>
          <cell r="D592">
            <v>20.244</v>
          </cell>
          <cell r="G592" t="str">
            <v>Arlington-East</v>
          </cell>
          <cell r="K592">
            <v>88.520996718559402</v>
          </cell>
          <cell r="M592">
            <v>16.413757909830299</v>
          </cell>
        </row>
        <row r="593">
          <cell r="A593" t="str">
            <v>LS-000377</v>
          </cell>
          <cell r="B593" t="str">
            <v>Bentwater Dr - 12869</v>
          </cell>
          <cell r="C593">
            <v>81.215663919440999</v>
          </cell>
          <cell r="D593">
            <v>80.204999999999998</v>
          </cell>
          <cell r="G593" t="str">
            <v>Arlington-East</v>
          </cell>
          <cell r="K593">
            <v>23.701339213447302</v>
          </cell>
          <cell r="M593">
            <v>217.50259074731099</v>
          </cell>
        </row>
        <row r="594">
          <cell r="A594" t="str">
            <v>LS-001867</v>
          </cell>
          <cell r="B594" t="str">
            <v>Richard St - 4903</v>
          </cell>
          <cell r="C594">
            <v>23.249844280602598</v>
          </cell>
          <cell r="D594">
            <v>11.29</v>
          </cell>
          <cell r="G594" t="str">
            <v>Buckman</v>
          </cell>
          <cell r="K594">
            <v>11.6542716041356</v>
          </cell>
          <cell r="M594">
            <v>66.576566027823503</v>
          </cell>
        </row>
        <row r="595">
          <cell r="A595" t="str">
            <v>LS-000251</v>
          </cell>
          <cell r="B595" t="str">
            <v>Baymeadows Cr W - 7836</v>
          </cell>
          <cell r="C595">
            <v>38.164814099996299</v>
          </cell>
          <cell r="D595">
            <v>15.02</v>
          </cell>
          <cell r="G595" t="str">
            <v>Arlington-East</v>
          </cell>
          <cell r="K595">
            <v>9.4453492962260999</v>
          </cell>
          <cell r="M595">
            <v>106.855170856529</v>
          </cell>
        </row>
        <row r="596">
          <cell r="A596" t="str">
            <v>LS-000788</v>
          </cell>
          <cell r="B596" t="str">
            <v>Ebbtide Ct - 13107</v>
          </cell>
          <cell r="C596">
            <v>4.4087533154165701</v>
          </cell>
          <cell r="D596">
            <v>10.798</v>
          </cell>
          <cell r="G596" t="str">
            <v>Arlington-East</v>
          </cell>
          <cell r="K596">
            <v>58.781243008946497</v>
          </cell>
          <cell r="M596">
            <v>13.242912557349401</v>
          </cell>
        </row>
        <row r="597">
          <cell r="A597" t="str">
            <v>LS-001489</v>
          </cell>
          <cell r="B597" t="str">
            <v>Monument Rd - 4245</v>
          </cell>
          <cell r="C597">
            <v>7.3519284022548197</v>
          </cell>
          <cell r="D597">
            <v>9.4550000000000001</v>
          </cell>
          <cell r="G597" t="str">
            <v>Arlington-East</v>
          </cell>
          <cell r="K597">
            <v>30.865371312702699</v>
          </cell>
          <cell r="M597">
            <v>21.840384135631201</v>
          </cell>
        </row>
        <row r="598">
          <cell r="A598" t="str">
            <v>LS-000254</v>
          </cell>
          <cell r="B598" t="str">
            <v>Baymeadows Rd - 10702</v>
          </cell>
          <cell r="C598">
            <v>348.08196593013503</v>
          </cell>
          <cell r="D598">
            <v>182.39599999999999</v>
          </cell>
          <cell r="G598" t="str">
            <v>Arlington-East</v>
          </cell>
          <cell r="K598">
            <v>12.5760723865787</v>
          </cell>
          <cell r="M598">
            <v>818.65947347140695</v>
          </cell>
        </row>
        <row r="599">
          <cell r="A599" t="str">
            <v>LS-002442</v>
          </cell>
          <cell r="B599" t="str">
            <v>Willow Branch Te - 1818</v>
          </cell>
          <cell r="C599">
            <v>88.7752954466809</v>
          </cell>
          <cell r="D599">
            <v>135.94</v>
          </cell>
          <cell r="G599" t="str">
            <v>Buckman</v>
          </cell>
          <cell r="K599">
            <v>36.750764766077502</v>
          </cell>
          <cell r="M599">
            <v>236.28672238742701</v>
          </cell>
        </row>
        <row r="600">
          <cell r="A600" t="str">
            <v>LS-000384</v>
          </cell>
          <cell r="B600" t="str">
            <v>Biggin Church Rd S - 13215</v>
          </cell>
          <cell r="C600">
            <v>110.133597127454</v>
          </cell>
          <cell r="D600">
            <v>164.15199999999999</v>
          </cell>
          <cell r="G600" t="str">
            <v>Arlington-East</v>
          </cell>
          <cell r="K600">
            <v>35.7715365951479</v>
          </cell>
          <cell r="M600">
            <v>288.53332339518602</v>
          </cell>
        </row>
        <row r="601">
          <cell r="A601" t="str">
            <v>LS-000668</v>
          </cell>
          <cell r="B601" t="str">
            <v>Cypress Green Dr - 9247</v>
          </cell>
          <cell r="C601">
            <v>15.977775414626199</v>
          </cell>
          <cell r="D601">
            <v>11.942</v>
          </cell>
          <cell r="G601" t="str">
            <v>Arlington-East</v>
          </cell>
          <cell r="K601">
            <v>17.9379164221846</v>
          </cell>
          <cell r="M601">
            <v>46.402335338114398</v>
          </cell>
        </row>
        <row r="602">
          <cell r="A602" t="str">
            <v>LS-001609</v>
          </cell>
          <cell r="B602" t="str">
            <v>Nottingham Knoll Dr - 1648</v>
          </cell>
          <cell r="C602">
            <v>24.962946040190399</v>
          </cell>
          <cell r="D602">
            <v>63.545000000000002</v>
          </cell>
          <cell r="G602" t="str">
            <v>Arlington-East</v>
          </cell>
          <cell r="K602">
            <v>61.093750615196399</v>
          </cell>
          <cell r="M602">
            <v>71.272112934732505</v>
          </cell>
        </row>
        <row r="603">
          <cell r="A603" t="str">
            <v>LS-001652</v>
          </cell>
          <cell r="B603" t="str">
            <v>Ortega Farms Bv - 5004</v>
          </cell>
          <cell r="C603">
            <v>21.255751465153899</v>
          </cell>
          <cell r="D603">
            <v>34.765000000000001</v>
          </cell>
          <cell r="G603" t="str">
            <v>Southwest</v>
          </cell>
          <cell r="K603">
            <v>39.253375791857003</v>
          </cell>
          <cell r="M603">
            <v>61.084925228981</v>
          </cell>
        </row>
        <row r="604">
          <cell r="A604" t="str">
            <v>LS-000033</v>
          </cell>
          <cell r="B604" t="str">
            <v>103rd St - 7960</v>
          </cell>
          <cell r="C604">
            <v>44.507254455594499</v>
          </cell>
          <cell r="D604">
            <v>31.277000000000001</v>
          </cell>
          <cell r="G604" t="str">
            <v>Southwest</v>
          </cell>
          <cell r="K604">
            <v>16.865744903427601</v>
          </cell>
          <cell r="M604">
            <v>123.621906688433</v>
          </cell>
        </row>
        <row r="605">
          <cell r="A605" t="str">
            <v>LS-001095</v>
          </cell>
          <cell r="B605" t="str">
            <v>Ft Caroline Rd - 9846</v>
          </cell>
          <cell r="C605">
            <v>186.300278817774</v>
          </cell>
          <cell r="D605">
            <v>23.268000000000001</v>
          </cell>
          <cell r="G605" t="str">
            <v>Arlington-East</v>
          </cell>
          <cell r="K605">
            <v>2.9974834366523901</v>
          </cell>
          <cell r="M605">
            <v>466.98566739450001</v>
          </cell>
        </row>
        <row r="606">
          <cell r="A606" t="str">
            <v>LS-000956</v>
          </cell>
          <cell r="B606" t="str">
            <v>Glen Kernan Py - 12858</v>
          </cell>
          <cell r="C606">
            <v>137.389088149862</v>
          </cell>
          <cell r="D606">
            <v>248.33</v>
          </cell>
          <cell r="G606" t="str">
            <v>Arlington-East</v>
          </cell>
          <cell r="K606">
            <v>43.379864298240498</v>
          </cell>
          <cell r="M606">
            <v>353.66381376639703</v>
          </cell>
        </row>
        <row r="607">
          <cell r="A607" t="str">
            <v>LS-000112</v>
          </cell>
          <cell r="B607" t="str">
            <v>Arbor Lake Dr - 12026</v>
          </cell>
          <cell r="C607">
            <v>27.469823710922899</v>
          </cell>
          <cell r="D607">
            <v>16.527000000000001</v>
          </cell>
          <cell r="G607" t="str">
            <v>Arlington-East</v>
          </cell>
          <cell r="K607">
            <v>14.4394082821245</v>
          </cell>
          <cell r="M607">
            <v>78.108283681934196</v>
          </cell>
        </row>
        <row r="608">
          <cell r="A608" t="str">
            <v>LS-001186</v>
          </cell>
          <cell r="B608" t="str">
            <v>Kernan Bv S - 4800</v>
          </cell>
          <cell r="C608">
            <v>29.745635187837401</v>
          </cell>
          <cell r="D608">
            <v>46.612000000000002</v>
          </cell>
          <cell r="G608" t="str">
            <v>Arlington-East</v>
          </cell>
          <cell r="K608">
            <v>37.608475762434402</v>
          </cell>
          <cell r="M608">
            <v>84.280124878187294</v>
          </cell>
        </row>
        <row r="609">
          <cell r="A609" t="str">
            <v>LS-001067</v>
          </cell>
          <cell r="B609" t="str">
            <v>Hickson Rd - 5940</v>
          </cell>
          <cell r="C609">
            <v>52.536979151085902</v>
          </cell>
          <cell r="D609">
            <v>27.544</v>
          </cell>
          <cell r="G609" t="str">
            <v>Arlington-East</v>
          </cell>
          <cell r="K609">
            <v>12.582680060437699</v>
          </cell>
          <cell r="M609">
            <v>144.588820829583</v>
          </cell>
        </row>
        <row r="610">
          <cell r="A610" t="str">
            <v>LS-001012</v>
          </cell>
          <cell r="B610" t="str">
            <v>Hampton Landing Dr S - 10526</v>
          </cell>
          <cell r="C610">
            <v>72.593356313498703</v>
          </cell>
          <cell r="D610">
            <v>65.451999999999998</v>
          </cell>
          <cell r="G610" t="str">
            <v>Arlington-East</v>
          </cell>
          <cell r="K610">
            <v>21.639004996768598</v>
          </cell>
          <cell r="M610">
            <v>195.87087788416201</v>
          </cell>
        </row>
        <row r="611">
          <cell r="A611" t="str">
            <v>LS-002088</v>
          </cell>
          <cell r="B611" t="str">
            <v>Southbrook Dr - 9586</v>
          </cell>
          <cell r="C611">
            <v>7.5771474382701403</v>
          </cell>
          <cell r="D611">
            <v>18.53</v>
          </cell>
          <cell r="G611" t="str">
            <v>Arlington-East</v>
          </cell>
          <cell r="K611">
            <v>58.692272207062899</v>
          </cell>
          <cell r="M611">
            <v>22.4928142686109</v>
          </cell>
        </row>
        <row r="612">
          <cell r="A612" t="str">
            <v>LS-001481</v>
          </cell>
          <cell r="B612" t="str">
            <v>Monterey Bay Dr - 7819</v>
          </cell>
          <cell r="C612">
            <v>36.563873365656399</v>
          </cell>
          <cell r="D612">
            <v>58.902999999999999</v>
          </cell>
          <cell r="G612" t="str">
            <v>Arlington-East</v>
          </cell>
          <cell r="K612">
            <v>38.663081065361901</v>
          </cell>
          <cell r="M612">
            <v>102.59174227766999</v>
          </cell>
        </row>
        <row r="613">
          <cell r="A613" t="str">
            <v>LS-000733</v>
          </cell>
          <cell r="B613" t="str">
            <v>Doloma St - 1711</v>
          </cell>
          <cell r="C613">
            <v>2.69556426062762</v>
          </cell>
          <cell r="D613">
            <v>3.7949999999999999</v>
          </cell>
          <cell r="G613" t="str">
            <v>Southwest</v>
          </cell>
          <cell r="K613">
            <v>33.788843890812501</v>
          </cell>
          <cell r="M613">
            <v>8.1653228470760695</v>
          </cell>
        </row>
        <row r="614">
          <cell r="A614" t="str">
            <v>LS-002005</v>
          </cell>
          <cell r="B614" t="str">
            <v>San Pablo Rd - 3300</v>
          </cell>
          <cell r="C614">
            <v>10.9423105011002</v>
          </cell>
          <cell r="D614">
            <v>29.029</v>
          </cell>
          <cell r="G614" t="str">
            <v>Arlington-East</v>
          </cell>
          <cell r="K614">
            <v>63.669916872670498</v>
          </cell>
          <cell r="M614">
            <v>32.163290537273802</v>
          </cell>
        </row>
        <row r="615">
          <cell r="A615" t="str">
            <v>LS-000908</v>
          </cell>
          <cell r="B615" t="str">
            <v>Freedom Crossing Tr W - 8352</v>
          </cell>
          <cell r="C615">
            <v>50.062895745953803</v>
          </cell>
          <cell r="D615">
            <v>178.46299999999999</v>
          </cell>
          <cell r="G615" t="str">
            <v>Arlington-East</v>
          </cell>
          <cell r="K615">
            <v>85.554619567649894</v>
          </cell>
          <cell r="M615">
            <v>138.15778194792</v>
          </cell>
        </row>
        <row r="616">
          <cell r="A616" t="str">
            <v>LS-000657</v>
          </cell>
          <cell r="B616" t="str">
            <v>Crosswater Bv - 3810</v>
          </cell>
          <cell r="C616">
            <v>117.241699630233</v>
          </cell>
          <cell r="D616">
            <v>143.48400000000001</v>
          </cell>
          <cell r="G616" t="str">
            <v>Arlington-East</v>
          </cell>
          <cell r="K616">
            <v>29.371938575274498</v>
          </cell>
          <cell r="M616">
            <v>305.67492573685797</v>
          </cell>
        </row>
        <row r="617">
          <cell r="A617" t="str">
            <v>LS-000675</v>
          </cell>
          <cell r="B617" t="str">
            <v>Breve Dr - 3211</v>
          </cell>
          <cell r="C617">
            <v>34.703746645347898</v>
          </cell>
          <cell r="D617">
            <v>12.276999999999999</v>
          </cell>
          <cell r="G617" t="str">
            <v>Buckman</v>
          </cell>
          <cell r="K617">
            <v>8.4903801025039503</v>
          </cell>
          <cell r="M617">
            <v>97.621346943768899</v>
          </cell>
        </row>
        <row r="618">
          <cell r="A618" t="str">
            <v>LS-001671</v>
          </cell>
          <cell r="B618" t="str">
            <v>Palmetto Glade Dr - 12928</v>
          </cell>
          <cell r="C618">
            <v>56.598097622603298</v>
          </cell>
          <cell r="D618">
            <v>85.16</v>
          </cell>
          <cell r="G618" t="str">
            <v>Arlington-East</v>
          </cell>
          <cell r="K618">
            <v>36.111461088822203</v>
          </cell>
          <cell r="M618">
            <v>155.09181221456799</v>
          </cell>
        </row>
        <row r="619">
          <cell r="A619" t="str">
            <v>LS-000871</v>
          </cell>
          <cell r="B619" t="str">
            <v>Ferber Rd - 6551</v>
          </cell>
          <cell r="C619">
            <v>136.335146373643</v>
          </cell>
          <cell r="D619">
            <v>13.122999999999999</v>
          </cell>
          <cell r="G619" t="str">
            <v>Arlington-East</v>
          </cell>
          <cell r="K619">
            <v>2.31013064772627</v>
          </cell>
          <cell r="M619">
            <v>351.174168556008</v>
          </cell>
        </row>
        <row r="620">
          <cell r="A620" t="str">
            <v>LS-002187</v>
          </cell>
          <cell r="B620" t="str">
            <v>Stacey Rd - 14463</v>
          </cell>
          <cell r="C620">
            <v>61.808076762340299</v>
          </cell>
          <cell r="D620">
            <v>120.739</v>
          </cell>
          <cell r="G620" t="str">
            <v>Arlington-East</v>
          </cell>
          <cell r="K620">
            <v>46.882804833778501</v>
          </cell>
          <cell r="M620">
            <v>168.47369976791299</v>
          </cell>
        </row>
        <row r="621">
          <cell r="A621" t="str">
            <v>LS-002226</v>
          </cell>
          <cell r="B621" t="str">
            <v>Summer Tree Rd E - 2471</v>
          </cell>
          <cell r="C621">
            <v>55.580206512214502</v>
          </cell>
          <cell r="D621">
            <v>64.977999999999994</v>
          </cell>
          <cell r="G621" t="str">
            <v>Arlington-East</v>
          </cell>
          <cell r="K621">
            <v>28.058046161762402</v>
          </cell>
          <cell r="M621">
            <v>152.46538568936199</v>
          </cell>
        </row>
        <row r="622">
          <cell r="A622" t="str">
            <v>LS-001275</v>
          </cell>
          <cell r="B622" t="str">
            <v>Laurina St - 331</v>
          </cell>
          <cell r="C622">
            <v>31.423111771801299</v>
          </cell>
          <cell r="D622">
            <v>4.508</v>
          </cell>
          <cell r="G622" t="str">
            <v>Arlington-East</v>
          </cell>
          <cell r="K622">
            <v>3.4430708449788199</v>
          </cell>
          <cell r="M622">
            <v>88.809488510265496</v>
          </cell>
        </row>
        <row r="623">
          <cell r="A623" t="str">
            <v>LS-000927</v>
          </cell>
          <cell r="B623" t="str">
            <v>Galilee Rd - 3312</v>
          </cell>
          <cell r="C623">
            <v>4.5726355400808902</v>
          </cell>
          <cell r="D623">
            <v>22.602</v>
          </cell>
          <cell r="G623" t="str">
            <v>Buckman</v>
          </cell>
          <cell r="K623">
            <v>118.629179003058</v>
          </cell>
          <cell r="M623">
            <v>13.7254879133614</v>
          </cell>
        </row>
        <row r="624">
          <cell r="A624" t="str">
            <v>LS-001703</v>
          </cell>
          <cell r="B624" t="str">
            <v>Perimeter Park Bv - 8784</v>
          </cell>
          <cell r="C624">
            <v>27.0615392333244</v>
          </cell>
          <cell r="D624">
            <v>25.207999999999998</v>
          </cell>
          <cell r="G624" t="str">
            <v>Arlington-East</v>
          </cell>
          <cell r="K624">
            <v>22.3561562697437</v>
          </cell>
          <cell r="M624">
            <v>76.9976572149275</v>
          </cell>
        </row>
        <row r="625">
          <cell r="A625" t="str">
            <v>LS-002290</v>
          </cell>
          <cell r="B625" t="str">
            <v>Touchton Rd - 9803</v>
          </cell>
          <cell r="C625">
            <v>146.15544582938199</v>
          </cell>
          <cell r="D625">
            <v>102.61799999999999</v>
          </cell>
          <cell r="G625" t="str">
            <v>Arlington-East</v>
          </cell>
          <cell r="K625">
            <v>16.8507713552805</v>
          </cell>
          <cell r="M625">
            <v>374.2881600339</v>
          </cell>
        </row>
        <row r="626">
          <cell r="A626" t="str">
            <v>LS-000529</v>
          </cell>
          <cell r="B626" t="str">
            <v>Castaway Dr - 2499</v>
          </cell>
          <cell r="C626">
            <v>4.9443561227604702</v>
          </cell>
          <cell r="D626">
            <v>18.170000000000002</v>
          </cell>
          <cell r="G626" t="str">
            <v>Arlington-East</v>
          </cell>
          <cell r="K626">
            <v>88.197530512129404</v>
          </cell>
          <cell r="M626">
            <v>14.818242163149</v>
          </cell>
        </row>
        <row r="627">
          <cell r="A627" t="str">
            <v>LS-000789</v>
          </cell>
          <cell r="B627" t="str">
            <v>Edenfield Rd - 5681</v>
          </cell>
          <cell r="C627">
            <v>23.203336676011801</v>
          </cell>
          <cell r="D627">
            <v>29.309000000000001</v>
          </cell>
          <cell r="G627" t="str">
            <v>Arlington-East</v>
          </cell>
          <cell r="K627">
            <v>30.3152951587006</v>
          </cell>
          <cell r="M627">
            <v>66.448808805289104</v>
          </cell>
        </row>
        <row r="628">
          <cell r="A628" t="str">
            <v>LS-001486</v>
          </cell>
          <cell r="B628" t="str">
            <v>Monument Rd - 1500</v>
          </cell>
          <cell r="C628">
            <v>13.7871436685021</v>
          </cell>
          <cell r="D628">
            <v>11.207000000000001</v>
          </cell>
          <cell r="G628" t="str">
            <v>Arlington-East</v>
          </cell>
          <cell r="K628">
            <v>19.508609358621602</v>
          </cell>
          <cell r="M628">
            <v>40.238362198099701</v>
          </cell>
        </row>
        <row r="629">
          <cell r="A629" t="str">
            <v>LS-001484</v>
          </cell>
          <cell r="B629" t="str">
            <v>Monument Rd - 1154</v>
          </cell>
          <cell r="C629">
            <v>91.584595640332694</v>
          </cell>
          <cell r="D629">
            <v>99.343000000000004</v>
          </cell>
          <cell r="G629" t="str">
            <v>Arlington-East</v>
          </cell>
          <cell r="K629">
            <v>26.0331116093285</v>
          </cell>
          <cell r="M629">
            <v>243.226412546695</v>
          </cell>
        </row>
        <row r="630">
          <cell r="A630" t="str">
            <v>LS-001787</v>
          </cell>
          <cell r="B630" t="str">
            <v>Point Meadows Dr - 8032</v>
          </cell>
          <cell r="C630">
            <v>76.668498213723694</v>
          </cell>
          <cell r="D630">
            <v>41.966999999999999</v>
          </cell>
          <cell r="G630" t="str">
            <v>Arlington-East</v>
          </cell>
          <cell r="K630">
            <v>13.137181808260699</v>
          </cell>
          <cell r="M630">
            <v>206.12316308329599</v>
          </cell>
        </row>
        <row r="631">
          <cell r="A631" t="str">
            <v>LS-001688</v>
          </cell>
          <cell r="B631" t="str">
            <v>Patsy Anne Dr - 2450</v>
          </cell>
          <cell r="C631">
            <v>4.5305188416279503</v>
          </cell>
          <cell r="D631">
            <v>4.2729999999999997</v>
          </cell>
          <cell r="G631" t="str">
            <v>Buckman</v>
          </cell>
          <cell r="K631">
            <v>22.635818012214699</v>
          </cell>
          <cell r="M631">
            <v>13.6015170769678</v>
          </cell>
        </row>
        <row r="632">
          <cell r="A632" t="str">
            <v>LS-000570</v>
          </cell>
          <cell r="B632" t="str">
            <v>Cheswick Oak Av - 8550</v>
          </cell>
          <cell r="C632">
            <v>21.852995863621501</v>
          </cell>
          <cell r="D632">
            <v>58.704999999999998</v>
          </cell>
          <cell r="G632" t="str">
            <v>Southwest</v>
          </cell>
          <cell r="K632">
            <v>64.472624659460095</v>
          </cell>
          <cell r="M632">
            <v>62.732718837482402</v>
          </cell>
        </row>
        <row r="633">
          <cell r="A633" t="str">
            <v>LS-000057</v>
          </cell>
          <cell r="B633" t="str">
            <v>Abbeyfield Ln - 3215</v>
          </cell>
          <cell r="C633">
            <v>147.42186812518599</v>
          </cell>
          <cell r="D633">
            <v>123.455</v>
          </cell>
          <cell r="G633" t="str">
            <v>Arlington-East</v>
          </cell>
          <cell r="K633">
            <v>20.0982394110213</v>
          </cell>
          <cell r="M633">
            <v>377.25552881713003</v>
          </cell>
        </row>
        <row r="634">
          <cell r="A634" t="str">
            <v>LS-001487</v>
          </cell>
          <cell r="B634" t="str">
            <v>Monument Rd - 1701</v>
          </cell>
          <cell r="C634">
            <v>55.989790209518397</v>
          </cell>
          <cell r="D634">
            <v>80.313999999999993</v>
          </cell>
          <cell r="G634" t="str">
            <v>Arlington-East</v>
          </cell>
          <cell r="K634">
            <v>34.426562285498903</v>
          </cell>
          <cell r="M634">
            <v>153.52270072547699</v>
          </cell>
        </row>
        <row r="635">
          <cell r="A635" t="str">
            <v>LS-001374</v>
          </cell>
          <cell r="B635" t="str">
            <v>Luana Dr E - 2323</v>
          </cell>
          <cell r="C635">
            <v>41.882001547920503</v>
          </cell>
          <cell r="D635">
            <v>37.247999999999998</v>
          </cell>
          <cell r="G635" t="str">
            <v>Arlington-East</v>
          </cell>
          <cell r="K635">
            <v>21.344538631401399</v>
          </cell>
          <cell r="M635">
            <v>116.70508901939399</v>
          </cell>
        </row>
        <row r="636">
          <cell r="A636" t="str">
            <v>LS-000839</v>
          </cell>
          <cell r="B636" t="str">
            <v>Emerald Isle Cr W - 3454</v>
          </cell>
          <cell r="C636">
            <v>4.2007780551055998</v>
          </cell>
          <cell r="D636">
            <v>3.4590000000000001</v>
          </cell>
          <cell r="G636" t="str">
            <v>Arlington-East</v>
          </cell>
          <cell r="K636">
            <v>19.762053341309699</v>
          </cell>
          <cell r="M636">
            <v>12.6297648219845</v>
          </cell>
        </row>
        <row r="637">
          <cell r="A637" t="str">
            <v>LS-001637</v>
          </cell>
          <cell r="B637" t="str">
            <v>Old Middleburg Rd - 6712</v>
          </cell>
          <cell r="C637">
            <v>14.2142875512265</v>
          </cell>
          <cell r="D637">
            <v>15.962999999999999</v>
          </cell>
          <cell r="G637" t="str">
            <v>Southwest</v>
          </cell>
          <cell r="K637">
            <v>26.952599531936599</v>
          </cell>
          <cell r="M637">
            <v>41.443772637697997</v>
          </cell>
        </row>
        <row r="638">
          <cell r="A638" t="str">
            <v>LS-002257</v>
          </cell>
          <cell r="B638" t="str">
            <v>Tara Woods Ln - 5582</v>
          </cell>
          <cell r="C638">
            <v>6.5780665283458104</v>
          </cell>
          <cell r="D638">
            <v>69.323999999999998</v>
          </cell>
          <cell r="G638" t="str">
            <v>Southwest</v>
          </cell>
          <cell r="K638">
            <v>252.92781592137399</v>
          </cell>
          <cell r="M638">
            <v>19.593066843132199</v>
          </cell>
        </row>
        <row r="639">
          <cell r="A639" t="str">
            <v>LS-001753</v>
          </cell>
          <cell r="B639" t="str">
            <v>2894 Phyliss St</v>
          </cell>
          <cell r="C639">
            <v>26.786451803726699</v>
          </cell>
          <cell r="D639">
            <v>44.784999999999997</v>
          </cell>
          <cell r="G639" t="str">
            <v>Buckman</v>
          </cell>
          <cell r="K639">
            <v>40.126255163457799</v>
          </cell>
          <cell r="M639">
            <v>76.248762246324404</v>
          </cell>
        </row>
        <row r="640">
          <cell r="A640" t="str">
            <v>LS-001218</v>
          </cell>
          <cell r="B640" t="str">
            <v>Lake Lugano Dr - 6195</v>
          </cell>
          <cell r="C640">
            <v>152.3831402376</v>
          </cell>
          <cell r="D640">
            <v>37.899000000000001</v>
          </cell>
          <cell r="G640" t="str">
            <v>Arlington-East</v>
          </cell>
          <cell r="K640">
            <v>5.9690067981389801</v>
          </cell>
          <cell r="M640">
            <v>388.851706747138</v>
          </cell>
        </row>
        <row r="641">
          <cell r="A641" t="str">
            <v>LS-002033</v>
          </cell>
          <cell r="B641" t="str">
            <v>Seminole Av - 1103</v>
          </cell>
          <cell r="C641">
            <v>5.7942737315289898</v>
          </cell>
          <cell r="D641">
            <v>15.317</v>
          </cell>
          <cell r="G641" t="str">
            <v>Buckman</v>
          </cell>
          <cell r="K641">
            <v>63.443326468975101</v>
          </cell>
          <cell r="M641">
            <v>17.3077034941909</v>
          </cell>
        </row>
        <row r="642">
          <cell r="A642" t="str">
            <v>LS-000936</v>
          </cell>
          <cell r="B642" t="str">
            <v>Gate Py W - 8153</v>
          </cell>
          <cell r="C642">
            <v>25.588811935957299</v>
          </cell>
          <cell r="D642">
            <v>24.728999999999999</v>
          </cell>
          <cell r="G642" t="str">
            <v>Arlington-East</v>
          </cell>
          <cell r="K642">
            <v>23.193573874605001</v>
          </cell>
          <cell r="M642">
            <v>72.982654821061004</v>
          </cell>
        </row>
        <row r="643">
          <cell r="A643" t="str">
            <v>LS-000111</v>
          </cell>
          <cell r="B643" t="str">
            <v>Arbor Lake Dr - 11867</v>
          </cell>
          <cell r="C643">
            <v>4.33138138677465</v>
          </cell>
          <cell r="D643">
            <v>16.526</v>
          </cell>
          <cell r="G643" t="str">
            <v>Arlington-East</v>
          </cell>
          <cell r="K643">
            <v>91.569862956664096</v>
          </cell>
          <cell r="M643">
            <v>13.0149033675346</v>
          </cell>
        </row>
        <row r="644">
          <cell r="A644" t="str">
            <v>LS-001016</v>
          </cell>
          <cell r="B644" t="str">
            <v>Harbour Cay Ct - 11036</v>
          </cell>
          <cell r="C644">
            <v>1.80478965398014</v>
          </cell>
          <cell r="D644">
            <v>6.0839999999999996</v>
          </cell>
          <cell r="G644" t="str">
            <v>Arlington-East</v>
          </cell>
          <cell r="K644">
            <v>80.904719105624096</v>
          </cell>
          <cell r="M644">
            <v>5.4974269337711297</v>
          </cell>
        </row>
        <row r="645">
          <cell r="A645" t="str">
            <v>LS-001007</v>
          </cell>
          <cell r="B645" t="str">
            <v>Hampshire Glen Dr S - 8681</v>
          </cell>
          <cell r="C645">
            <v>59.912408215927499</v>
          </cell>
          <cell r="D645">
            <v>123.18</v>
          </cell>
          <cell r="G645" t="str">
            <v>Arlington-East</v>
          </cell>
          <cell r="K645">
            <v>49.344035535097603</v>
          </cell>
          <cell r="M645">
            <v>163.616303402878</v>
          </cell>
        </row>
        <row r="646">
          <cell r="A646" t="str">
            <v>LS-002077</v>
          </cell>
          <cell r="B646" t="str">
            <v>Smullian TL S - 2301</v>
          </cell>
          <cell r="C646">
            <v>18.9002094465087</v>
          </cell>
          <cell r="D646">
            <v>21.641999999999999</v>
          </cell>
          <cell r="G646" t="str">
            <v>Arlington-East</v>
          </cell>
          <cell r="K646">
            <v>27.481600215596899</v>
          </cell>
          <cell r="M646">
            <v>54.5597915638375</v>
          </cell>
        </row>
        <row r="647">
          <cell r="A647" t="str">
            <v>LS-002078</v>
          </cell>
          <cell r="B647" t="str">
            <v>Smyrna St - 7941</v>
          </cell>
          <cell r="C647">
            <v>22.001579915867801</v>
          </cell>
          <cell r="D647">
            <v>18.510000000000002</v>
          </cell>
          <cell r="G647" t="str">
            <v>Buckman</v>
          </cell>
          <cell r="K647">
            <v>20.191277249121899</v>
          </cell>
          <cell r="M647">
            <v>63.142256708470498</v>
          </cell>
        </row>
        <row r="648">
          <cell r="A648" t="str">
            <v>LS-000710</v>
          </cell>
          <cell r="B648" t="str">
            <v>Deerwood Point Pl - 7709</v>
          </cell>
          <cell r="C648">
            <v>8.7747521376620092</v>
          </cell>
          <cell r="D648">
            <v>17.143000000000001</v>
          </cell>
          <cell r="G648" t="str">
            <v>Arlington-East</v>
          </cell>
          <cell r="K648">
            <v>46.888162029568598</v>
          </cell>
          <cell r="M648">
            <v>25.950579819585201</v>
          </cell>
        </row>
        <row r="649">
          <cell r="A649" t="str">
            <v>LS-001207</v>
          </cell>
          <cell r="B649" t="str">
            <v>La Vista Cr - 4181</v>
          </cell>
          <cell r="C649">
            <v>298.78401695907598</v>
          </cell>
          <cell r="D649">
            <v>110.084</v>
          </cell>
          <cell r="G649" t="str">
            <v>Arlington-East</v>
          </cell>
          <cell r="K649">
            <v>8.8425613487948898</v>
          </cell>
          <cell r="M649">
            <v>714.57205435285596</v>
          </cell>
        </row>
        <row r="650">
          <cell r="A650" t="str">
            <v>LS-001348</v>
          </cell>
          <cell r="B650" t="str">
            <v>Little Fox Ln - 7863</v>
          </cell>
          <cell r="C650">
            <v>61.485844617430701</v>
          </cell>
          <cell r="D650">
            <v>131.68199999999999</v>
          </cell>
          <cell r="G650" t="str">
            <v>Arlington-East</v>
          </cell>
          <cell r="K650">
            <v>51.399928221918998</v>
          </cell>
          <cell r="M650">
            <v>167.648945040428</v>
          </cell>
        </row>
        <row r="651">
          <cell r="A651" t="str">
            <v>LS-002242</v>
          </cell>
          <cell r="B651" t="str">
            <v>Sutton Lakes Bv - 1761</v>
          </cell>
          <cell r="C651">
            <v>103.08954649301501</v>
          </cell>
          <cell r="D651">
            <v>193.06899999999999</v>
          </cell>
          <cell r="G651" t="str">
            <v>Arlington-East</v>
          </cell>
          <cell r="K651">
            <v>44.947874519109902</v>
          </cell>
          <cell r="M651">
            <v>271.429142899287</v>
          </cell>
        </row>
        <row r="652">
          <cell r="A652" t="str">
            <v>LS-002020</v>
          </cell>
          <cell r="B652" t="str">
            <v>Saxon Lake Dr - 13745</v>
          </cell>
          <cell r="C652">
            <v>8.8669200954605092</v>
          </cell>
          <cell r="D652">
            <v>32.843000000000004</v>
          </cell>
          <cell r="G652" t="str">
            <v>Arlington-East</v>
          </cell>
          <cell r="K652">
            <v>88.895805027446002</v>
          </cell>
          <cell r="M652">
            <v>26.215914243833701</v>
          </cell>
        </row>
        <row r="653">
          <cell r="A653" t="str">
            <v>LS-001596</v>
          </cell>
          <cell r="B653" t="str">
            <v>Noroad - 8121</v>
          </cell>
          <cell r="C653">
            <v>13.937000540889001</v>
          </cell>
          <cell r="D653">
            <v>55.750999999999998</v>
          </cell>
          <cell r="G653" t="str">
            <v>Southwest</v>
          </cell>
          <cell r="K653">
            <v>96.005162378694706</v>
          </cell>
          <cell r="M653">
            <v>40.661461673131598</v>
          </cell>
        </row>
        <row r="654">
          <cell r="A654" t="str">
            <v>LS-002333</v>
          </cell>
          <cell r="B654" t="str">
            <v>University Bv - 4449</v>
          </cell>
          <cell r="C654">
            <v>71.132915617646205</v>
          </cell>
          <cell r="D654">
            <v>40.328000000000003</v>
          </cell>
          <cell r="G654" t="str">
            <v>Arlington-East</v>
          </cell>
          <cell r="K654">
            <v>13.606527886506299</v>
          </cell>
          <cell r="M654">
            <v>192.183822315947</v>
          </cell>
        </row>
        <row r="655">
          <cell r="A655" t="str">
            <v>LS-000656</v>
          </cell>
          <cell r="B655" t="str">
            <v>Crossover St - 13451</v>
          </cell>
          <cell r="C655">
            <v>0.41192238192460201</v>
          </cell>
          <cell r="D655">
            <v>44.378</v>
          </cell>
          <cell r="G655" t="str">
            <v>Southwest</v>
          </cell>
          <cell r="K655">
            <v>2585.6133260439101</v>
          </cell>
          <cell r="M655">
            <v>1.2714465804602799</v>
          </cell>
        </row>
        <row r="656">
          <cell r="A656" t="str">
            <v>LS-002220</v>
          </cell>
          <cell r="B656" t="str">
            <v>Suemac Rd - 1029</v>
          </cell>
          <cell r="C656">
            <v>17.430838805050001</v>
          </cell>
          <cell r="D656">
            <v>19.462</v>
          </cell>
          <cell r="G656" t="str">
            <v>Buckman</v>
          </cell>
          <cell r="K656">
            <v>26.796645028045202</v>
          </cell>
          <cell r="M656">
            <v>50.467259674759298</v>
          </cell>
        </row>
        <row r="657">
          <cell r="A657" t="str">
            <v>LS-002434</v>
          </cell>
          <cell r="B657" t="str">
            <v>W M Davis Py - 14151</v>
          </cell>
          <cell r="C657">
            <v>26.114238842063699</v>
          </cell>
          <cell r="D657">
            <v>16.350000000000001</v>
          </cell>
          <cell r="G657" t="str">
            <v>Arlington-East</v>
          </cell>
          <cell r="K657">
            <v>15.0262851761905</v>
          </cell>
          <cell r="M657">
            <v>74.416700397962202</v>
          </cell>
        </row>
        <row r="658">
          <cell r="A658" t="str">
            <v>LS-000357</v>
          </cell>
          <cell r="B658" t="str">
            <v>Beaver St W - 15701</v>
          </cell>
          <cell r="C658">
            <v>46.798539986160399</v>
          </cell>
          <cell r="D658">
            <v>1.129</v>
          </cell>
          <cell r="G658" t="str">
            <v>Buckman</v>
          </cell>
          <cell r="K658">
            <v>0.57899242172967402</v>
          </cell>
          <cell r="M658">
            <v>129.63319149839899</v>
          </cell>
        </row>
        <row r="659">
          <cell r="A659" t="str">
            <v>LS-002413</v>
          </cell>
          <cell r="B659" t="str">
            <v>Western Wy - 8533</v>
          </cell>
          <cell r="C659">
            <v>34.773968248356198</v>
          </cell>
          <cell r="D659">
            <v>48.661000000000001</v>
          </cell>
          <cell r="G659" t="str">
            <v>Arlington-East</v>
          </cell>
          <cell r="K659">
            <v>33.584432804996503</v>
          </cell>
          <cell r="M659">
            <v>97.809317877920293</v>
          </cell>
        </row>
        <row r="660">
          <cell r="A660" t="str">
            <v>LS-001853</v>
          </cell>
          <cell r="B660" t="str">
            <v>Regency Square Bv - 9484</v>
          </cell>
          <cell r="C660">
            <v>16.216087967794198</v>
          </cell>
          <cell r="D660">
            <v>23.797000000000001</v>
          </cell>
          <cell r="G660" t="str">
            <v>Arlington-East</v>
          </cell>
          <cell r="K660">
            <v>35.219838541470899</v>
          </cell>
          <cell r="M660">
            <v>47.070265667903698</v>
          </cell>
        </row>
        <row r="661">
          <cell r="A661" t="str">
            <v>LS-001851</v>
          </cell>
          <cell r="B661" t="str">
            <v>Reedy Branch Dr - 8614</v>
          </cell>
          <cell r="C661">
            <v>50.169914936952701</v>
          </cell>
          <cell r="D661">
            <v>207.20400000000001</v>
          </cell>
          <cell r="G661" t="str">
            <v>Arlington-East</v>
          </cell>
          <cell r="K661">
            <v>99.1210769691222</v>
          </cell>
          <cell r="M661">
            <v>138.43648734265301</v>
          </cell>
        </row>
        <row r="662">
          <cell r="A662" t="str">
            <v>LS-001872</v>
          </cell>
          <cell r="B662" t="str">
            <v>Richmond Park Dr E - 3989</v>
          </cell>
          <cell r="C662">
            <v>149.820790341769</v>
          </cell>
          <cell r="D662">
            <v>84.116</v>
          </cell>
          <cell r="G662" t="str">
            <v>Arlington-East</v>
          </cell>
          <cell r="K662">
            <v>13.474658593075</v>
          </cell>
          <cell r="M662">
            <v>382.86828432186599</v>
          </cell>
        </row>
        <row r="663">
          <cell r="A663" t="str">
            <v>LS-002266</v>
          </cell>
          <cell r="B663" t="str">
            <v>The Woods Dr - 1931</v>
          </cell>
          <cell r="C663">
            <v>22.050434018202999</v>
          </cell>
          <cell r="D663">
            <v>88.575000000000003</v>
          </cell>
          <cell r="G663" t="str">
            <v>Arlington-East</v>
          </cell>
          <cell r="K663">
            <v>96.406265665570004</v>
          </cell>
          <cell r="M663">
            <v>63.276876894624898</v>
          </cell>
        </row>
        <row r="664">
          <cell r="A664" t="str">
            <v>LS-002315</v>
          </cell>
          <cell r="B664" t="str">
            <v>Tuscony Cr E - 6121</v>
          </cell>
          <cell r="C664">
            <v>13.3316409749856</v>
          </cell>
          <cell r="D664">
            <v>12.214</v>
          </cell>
          <cell r="G664" t="str">
            <v>Arlington-East</v>
          </cell>
          <cell r="K664">
            <v>21.987990866992099</v>
          </cell>
          <cell r="M664">
            <v>38.950972595589398</v>
          </cell>
        </row>
        <row r="665">
          <cell r="A665" t="str">
            <v>LS-000340</v>
          </cell>
          <cell r="B665" t="str">
            <v>Beach Bv - 9815</v>
          </cell>
          <cell r="C665">
            <v>14.7892860815937</v>
          </cell>
          <cell r="D665">
            <v>3.335</v>
          </cell>
          <cell r="G665" t="str">
            <v>Arlington-East</v>
          </cell>
          <cell r="K665">
            <v>5.41202594624328</v>
          </cell>
          <cell r="M665">
            <v>43.063696536885097</v>
          </cell>
        </row>
        <row r="666">
          <cell r="A666" t="str">
            <v>LS-000932</v>
          </cell>
          <cell r="B666" t="str">
            <v>Gate Py N - 9898</v>
          </cell>
          <cell r="C666">
            <v>267.69265518212001</v>
          </cell>
          <cell r="D666">
            <v>23.312000000000001</v>
          </cell>
          <cell r="G666" t="str">
            <v>Arlington-East</v>
          </cell>
          <cell r="K666">
            <v>2.09003866624343</v>
          </cell>
          <cell r="M666">
            <v>647.66253193792795</v>
          </cell>
        </row>
        <row r="667">
          <cell r="A667" t="str">
            <v>LS-002206</v>
          </cell>
          <cell r="B667" t="str">
            <v>Strawflower Pl - 6101</v>
          </cell>
          <cell r="C667">
            <v>1.4353780569621599</v>
          </cell>
          <cell r="D667">
            <v>3.85</v>
          </cell>
          <cell r="G667" t="str">
            <v>Buckman</v>
          </cell>
          <cell r="K667">
            <v>64.373284481968199</v>
          </cell>
          <cell r="M667">
            <v>4.38410034121579</v>
          </cell>
        </row>
        <row r="668">
          <cell r="A668" t="str">
            <v>LS-001373</v>
          </cell>
          <cell r="B668" t="str">
            <v>Luana Dr E - 2045</v>
          </cell>
          <cell r="C668">
            <v>55.061210195050002</v>
          </cell>
          <cell r="D668">
            <v>58.68</v>
          </cell>
          <cell r="G668" t="str">
            <v>Arlington-East</v>
          </cell>
          <cell r="K668">
            <v>25.577352822633902</v>
          </cell>
          <cell r="M668">
            <v>151.12469136192999</v>
          </cell>
        </row>
        <row r="669">
          <cell r="A669" t="str">
            <v>LS-001812</v>
          </cell>
          <cell r="B669" t="str">
            <v>Princess Kelly Dr - 13560</v>
          </cell>
          <cell r="C669">
            <v>18.9666608875796</v>
          </cell>
          <cell r="D669">
            <v>33.445999999999998</v>
          </cell>
          <cell r="G669" t="str">
            <v>Arlington-East</v>
          </cell>
          <cell r="K669">
            <v>42.321840663353498</v>
          </cell>
          <cell r="M669">
            <v>54.744460686493198</v>
          </cell>
        </row>
        <row r="670">
          <cell r="A670" t="str">
            <v>LS-001361</v>
          </cell>
          <cell r="B670" t="str">
            <v>Lorain St - 7000</v>
          </cell>
          <cell r="C670">
            <v>2.6401556553074501</v>
          </cell>
          <cell r="D670">
            <v>22.916</v>
          </cell>
          <cell r="G670" t="str">
            <v>Buckman</v>
          </cell>
          <cell r="K670">
            <v>208.314990403834</v>
          </cell>
          <cell r="M670">
            <v>7.9999925479194003</v>
          </cell>
        </row>
        <row r="671">
          <cell r="A671" t="str">
            <v>LS-001130</v>
          </cell>
          <cell r="B671" t="str">
            <v>Indian Springs Dr - 2142</v>
          </cell>
          <cell r="C671">
            <v>179.28760662021401</v>
          </cell>
          <cell r="D671">
            <v>135.49299999999999</v>
          </cell>
          <cell r="G671" t="str">
            <v>Arlington-East</v>
          </cell>
          <cell r="K671">
            <v>18.137516927694701</v>
          </cell>
          <cell r="M671">
            <v>450.98579019654699</v>
          </cell>
        </row>
        <row r="672">
          <cell r="A672" t="str">
            <v>LS-001200</v>
          </cell>
          <cell r="B672" t="str">
            <v>Kline Rd - 3221</v>
          </cell>
          <cell r="C672">
            <v>3.0099823708678999</v>
          </cell>
          <cell r="D672">
            <v>3.0409999999999999</v>
          </cell>
          <cell r="G672" t="str">
            <v>Arlington-East</v>
          </cell>
          <cell r="K672">
            <v>24.247318092748799</v>
          </cell>
          <cell r="M672">
            <v>9.1020701413953997</v>
          </cell>
        </row>
        <row r="673">
          <cell r="A673" t="str">
            <v>LS-001894</v>
          </cell>
          <cell r="B673" t="str">
            <v>Riverview Dr - 13862</v>
          </cell>
          <cell r="C673">
            <v>52.002196826704903</v>
          </cell>
          <cell r="D673">
            <v>35.447000000000003</v>
          </cell>
          <cell r="G673" t="str">
            <v>Arlington-East</v>
          </cell>
          <cell r="K673">
            <v>16.359462713373699</v>
          </cell>
          <cell r="M673">
            <v>143.20085430733499</v>
          </cell>
        </row>
        <row r="674">
          <cell r="A674" t="str">
            <v>LS-001655</v>
          </cell>
          <cell r="B674" t="str">
            <v>Ortega Island Dr - 4659</v>
          </cell>
          <cell r="C674">
            <v>3.05285710826359</v>
          </cell>
          <cell r="D674">
            <v>10.87</v>
          </cell>
          <cell r="G674" t="str">
            <v>Southwest</v>
          </cell>
          <cell r="K674">
            <v>85.454376260795101</v>
          </cell>
          <cell r="M674">
            <v>9.2296242174806906</v>
          </cell>
        </row>
        <row r="675">
          <cell r="A675" t="str">
            <v>LS-000550</v>
          </cell>
          <cell r="B675" t="str">
            <v>Chaffee Rd - 3795</v>
          </cell>
          <cell r="C675">
            <v>12.967128981454399</v>
          </cell>
          <cell r="D675">
            <v>20.198</v>
          </cell>
          <cell r="G675" t="str">
            <v>Southwest</v>
          </cell>
          <cell r="K675">
            <v>37.3831401456168</v>
          </cell>
          <cell r="M675">
            <v>37.919273393360498</v>
          </cell>
        </row>
        <row r="676">
          <cell r="A676" t="str">
            <v>LS-000945</v>
          </cell>
          <cell r="B676" t="str">
            <v>General Av - 10288</v>
          </cell>
          <cell r="C676">
            <v>2.8645917721535898</v>
          </cell>
          <cell r="D676">
            <v>29.998999999999999</v>
          </cell>
          <cell r="G676" t="str">
            <v>Buckman</v>
          </cell>
          <cell r="K676">
            <v>251.336335948044</v>
          </cell>
          <cell r="M676">
            <v>8.6692040871325702</v>
          </cell>
        </row>
        <row r="677">
          <cell r="A677" t="str">
            <v>LS-000140</v>
          </cell>
          <cell r="B677" t="str">
            <v>Arrowroot Dr - 6661</v>
          </cell>
          <cell r="C677">
            <v>9.5552857223027701</v>
          </cell>
          <cell r="D677">
            <v>23.364000000000001</v>
          </cell>
          <cell r="G677" t="str">
            <v>Southwest</v>
          </cell>
          <cell r="K677">
            <v>58.683331539861697</v>
          </cell>
          <cell r="M677">
            <v>28.194237725223601</v>
          </cell>
        </row>
        <row r="678">
          <cell r="A678" t="str">
            <v>LS-000366</v>
          </cell>
          <cell r="B678" t="str">
            <v>Beckley Pl - 11082</v>
          </cell>
          <cell r="C678">
            <v>289.570701553052</v>
          </cell>
          <cell r="D678">
            <v>117.47499999999999</v>
          </cell>
          <cell r="G678" t="str">
            <v>Arlington-East</v>
          </cell>
          <cell r="K678">
            <v>9.7364822645341391</v>
          </cell>
          <cell r="M678">
            <v>694.85257590212598</v>
          </cell>
        </row>
        <row r="679">
          <cell r="A679" t="str">
            <v>LS-002010</v>
          </cell>
          <cell r="B679" t="str">
            <v>Sandburg Rd - 3446</v>
          </cell>
          <cell r="C679">
            <v>26.117895809420901</v>
          </cell>
          <cell r="D679">
            <v>13.368</v>
          </cell>
          <cell r="G679" t="str">
            <v>Arlington-East</v>
          </cell>
          <cell r="K679">
            <v>12.2839911124951</v>
          </cell>
          <cell r="M679">
            <v>74.426675045965894</v>
          </cell>
        </row>
        <row r="680">
          <cell r="A680" t="str">
            <v>LS-000964</v>
          </cell>
          <cell r="B680" t="str">
            <v>Golf Course Dr - 5219</v>
          </cell>
          <cell r="C680">
            <v>32.124778787222802</v>
          </cell>
          <cell r="D680">
            <v>6.22</v>
          </cell>
          <cell r="G680" t="str">
            <v>Arlington-East</v>
          </cell>
          <cell r="K680">
            <v>4.6468802474485598</v>
          </cell>
          <cell r="M680">
            <v>90.699237239008397</v>
          </cell>
        </row>
        <row r="681">
          <cell r="A681" t="str">
            <v>LS-001068</v>
          </cell>
          <cell r="B681" t="str">
            <v>Hidden Hills Dr - 12051</v>
          </cell>
          <cell r="C681">
            <v>41.971346544731603</v>
          </cell>
          <cell r="D681">
            <v>29.576000000000001</v>
          </cell>
          <cell r="G681" t="str">
            <v>Arlington-East</v>
          </cell>
          <cell r="K681">
            <v>16.912109294456201</v>
          </cell>
          <cell r="M681">
            <v>116.941016889221</v>
          </cell>
        </row>
        <row r="682">
          <cell r="A682" t="str">
            <v>LS-002372</v>
          </cell>
          <cell r="B682" t="str">
            <v>Victoria Park Rd - 3176</v>
          </cell>
          <cell r="C682">
            <v>31.823517679526802</v>
          </cell>
          <cell r="D682">
            <v>22.728000000000002</v>
          </cell>
          <cell r="G682" t="str">
            <v>Buckman</v>
          </cell>
          <cell r="K682">
            <v>17.140531272912099</v>
          </cell>
          <cell r="M682">
            <v>89.888216257394006</v>
          </cell>
        </row>
        <row r="683">
          <cell r="A683" t="str">
            <v>LS-001777</v>
          </cell>
          <cell r="B683" t="str">
            <v>Plaza Gate Ln - 8201</v>
          </cell>
          <cell r="C683">
            <v>41.4602650480834</v>
          </cell>
          <cell r="D683">
            <v>46.688000000000002</v>
          </cell>
          <cell r="G683" t="str">
            <v>Arlington-East</v>
          </cell>
          <cell r="K683">
            <v>27.026165865087702</v>
          </cell>
          <cell r="M683">
            <v>115.59092424512301</v>
          </cell>
        </row>
        <row r="684">
          <cell r="A684" t="str">
            <v>LS-002058</v>
          </cell>
          <cell r="B684" t="str">
            <v>ShipWatch Dr E - 791</v>
          </cell>
          <cell r="C684">
            <v>26.811174454415099</v>
          </cell>
          <cell r="D684">
            <v>36.954999999999998</v>
          </cell>
          <cell r="G684" t="str">
            <v>Arlington-East</v>
          </cell>
          <cell r="K684">
            <v>33.080236806036197</v>
          </cell>
          <cell r="M684">
            <v>76.316086601812103</v>
          </cell>
        </row>
        <row r="685">
          <cell r="A685" t="str">
            <v>LS-001281</v>
          </cell>
          <cell r="B685" t="str">
            <v>Leesburg Dr - 3596</v>
          </cell>
          <cell r="C685">
            <v>31.188387148552899</v>
          </cell>
          <cell r="D685">
            <v>45.314999999999998</v>
          </cell>
          <cell r="G685" t="str">
            <v>Arlington-East</v>
          </cell>
          <cell r="K685">
            <v>34.870671407914102</v>
          </cell>
          <cell r="M685">
            <v>88.1766928187687</v>
          </cell>
        </row>
        <row r="686">
          <cell r="A686" t="str">
            <v>LS-001425</v>
          </cell>
          <cell r="B686" t="str">
            <v>McCormick Rd - 12943</v>
          </cell>
          <cell r="C686">
            <v>22.717918940672799</v>
          </cell>
          <cell r="D686">
            <v>54.12</v>
          </cell>
          <cell r="G686" t="str">
            <v>Arlington-East</v>
          </cell>
          <cell r="K686">
            <v>57.1742510126913</v>
          </cell>
          <cell r="M686">
            <v>65.114450649429401</v>
          </cell>
        </row>
        <row r="687">
          <cell r="A687" t="str">
            <v>LS-001951</v>
          </cell>
          <cell r="B687" t="str">
            <v>San Fernando Rd - 2731</v>
          </cell>
          <cell r="C687">
            <v>89.225367437189007</v>
          </cell>
          <cell r="D687">
            <v>9.75</v>
          </cell>
          <cell r="G687" t="str">
            <v>Arlington-East</v>
          </cell>
          <cell r="K687">
            <v>2.6225725566748301</v>
          </cell>
          <cell r="M687">
            <v>237.399970387618</v>
          </cell>
        </row>
        <row r="688">
          <cell r="A688" t="str">
            <v>LS-001672</v>
          </cell>
          <cell r="B688" t="str">
            <v>Palmetto Inlet E - 5512</v>
          </cell>
          <cell r="C688">
            <v>49.742013723722003</v>
          </cell>
          <cell r="D688">
            <v>35.271999999999998</v>
          </cell>
          <cell r="G688" t="str">
            <v>Arlington-East</v>
          </cell>
          <cell r="K688">
            <v>17.018370118704901</v>
          </cell>
          <cell r="M688">
            <v>137.321835391403</v>
          </cell>
        </row>
        <row r="689">
          <cell r="A689" t="str">
            <v>LS-001813</v>
          </cell>
          <cell r="B689" t="str">
            <v>Princeton Square Bv - 8331</v>
          </cell>
          <cell r="C689">
            <v>733.56086931484504</v>
          </cell>
          <cell r="D689">
            <v>97.584999999999994</v>
          </cell>
          <cell r="G689" t="str">
            <v>Arlington-East</v>
          </cell>
          <cell r="K689">
            <v>3.1927002897353201</v>
          </cell>
          <cell r="M689">
            <v>1572.5331883589799</v>
          </cell>
        </row>
        <row r="690">
          <cell r="A690" t="str">
            <v>LS-002427</v>
          </cell>
          <cell r="B690" t="str">
            <v>Wilderland Dr N - 1054</v>
          </cell>
          <cell r="C690">
            <v>32.841803971544003</v>
          </cell>
          <cell r="D690">
            <v>25.184000000000001</v>
          </cell>
          <cell r="G690" t="str">
            <v>Arlington-East</v>
          </cell>
          <cell r="K690">
            <v>18.403861143672302</v>
          </cell>
          <cell r="M690">
            <v>92.627471328104704</v>
          </cell>
        </row>
        <row r="691">
          <cell r="A691" t="str">
            <v>LS-001030</v>
          </cell>
          <cell r="B691" t="str">
            <v>Harvin Rd - 6462</v>
          </cell>
          <cell r="C691">
            <v>175.634540612373</v>
          </cell>
          <cell r="D691">
            <v>75.216999999999999</v>
          </cell>
          <cell r="G691" t="str">
            <v>Arlington-East</v>
          </cell>
          <cell r="K691">
            <v>10.2782060618937</v>
          </cell>
          <cell r="M691">
            <v>442.62023812441203</v>
          </cell>
        </row>
        <row r="692">
          <cell r="A692" t="str">
            <v>LS-002347</v>
          </cell>
          <cell r="B692" t="str">
            <v>University Bv S - 2800</v>
          </cell>
          <cell r="C692">
            <v>37.746505047946798</v>
          </cell>
          <cell r="D692">
            <v>4.4189999999999996</v>
          </cell>
          <cell r="G692" t="str">
            <v>Arlington-East</v>
          </cell>
          <cell r="K692">
            <v>2.8096905889773001</v>
          </cell>
          <cell r="M692">
            <v>105.74244376518</v>
          </cell>
        </row>
        <row r="693">
          <cell r="A693" t="str">
            <v>LS-001714</v>
          </cell>
          <cell r="B693" t="str">
            <v>Philips Hy - 3910</v>
          </cell>
          <cell r="C693">
            <v>5.8829843591768096</v>
          </cell>
          <cell r="D693">
            <v>13.625999999999999</v>
          </cell>
          <cell r="G693" t="str">
            <v>Buckman</v>
          </cell>
          <cell r="K693">
            <v>55.588113113011801</v>
          </cell>
          <cell r="M693">
            <v>17.5668496492721</v>
          </cell>
        </row>
        <row r="694">
          <cell r="A694" t="str">
            <v>LS-002291</v>
          </cell>
          <cell r="B694" t="str">
            <v>Touchton Rd E - 4740</v>
          </cell>
          <cell r="C694">
            <v>150.685547397422</v>
          </cell>
          <cell r="D694">
            <v>52.732999999999997</v>
          </cell>
          <cell r="G694" t="str">
            <v>Arlington-East</v>
          </cell>
          <cell r="K694">
            <v>8.3988943986916702</v>
          </cell>
          <cell r="M694">
            <v>384.88894898099301</v>
          </cell>
        </row>
        <row r="695">
          <cell r="A695" t="str">
            <v>LS-000669</v>
          </cell>
          <cell r="B695" t="str">
            <v>Cypress Lakes Dr - 10255</v>
          </cell>
          <cell r="C695">
            <v>12.0113689590939</v>
          </cell>
          <cell r="D695">
            <v>123.86</v>
          </cell>
          <cell r="G695" t="str">
            <v>Arlington-East</v>
          </cell>
          <cell r="K695">
            <v>247.48552892877299</v>
          </cell>
          <cell r="M695">
            <v>35.207719688971402</v>
          </cell>
        </row>
        <row r="696">
          <cell r="A696" t="str">
            <v>LS-001019</v>
          </cell>
          <cell r="B696" t="str">
            <v>Harlow Bv - 6640</v>
          </cell>
          <cell r="C696">
            <v>467.95573204547702</v>
          </cell>
          <cell r="D696">
            <v>87.239000000000004</v>
          </cell>
          <cell r="G696" t="str">
            <v>Southwest</v>
          </cell>
          <cell r="K696">
            <v>4.4742180865016703</v>
          </cell>
          <cell r="M696">
            <v>1063.1488756086501</v>
          </cell>
        </row>
        <row r="697">
          <cell r="A697" t="str">
            <v>LS-001628</v>
          </cell>
          <cell r="B697" t="str">
            <v>Old Kings Rd S - 8153</v>
          </cell>
          <cell r="C697">
            <v>39.671881071039401</v>
          </cell>
          <cell r="D697">
            <v>28.204999999999998</v>
          </cell>
          <cell r="G697" t="str">
            <v>Arlington-East</v>
          </cell>
          <cell r="K697">
            <v>17.0629670619313</v>
          </cell>
          <cell r="M697">
            <v>110.85679100167999</v>
          </cell>
        </row>
        <row r="698">
          <cell r="A698" t="str">
            <v>LS-001436</v>
          </cell>
          <cell r="B698" t="str">
            <v>Meadow Vista Dr - 7901</v>
          </cell>
          <cell r="C698">
            <v>33.369153932575202</v>
          </cell>
          <cell r="D698">
            <v>4.7080000000000002</v>
          </cell>
          <cell r="G698" t="str">
            <v>Arlington-East</v>
          </cell>
          <cell r="K698">
            <v>3.3861212132710499</v>
          </cell>
          <cell r="M698">
            <v>94.043796285225696</v>
          </cell>
        </row>
        <row r="699">
          <cell r="A699" t="str">
            <v>LS-000795</v>
          </cell>
          <cell r="B699" t="str">
            <v>McLendon Av - 3335</v>
          </cell>
          <cell r="C699">
            <v>3.0578138899728202</v>
          </cell>
          <cell r="D699">
            <v>9.6479999999999997</v>
          </cell>
          <cell r="G699" t="str">
            <v>Buckman</v>
          </cell>
          <cell r="K699">
            <v>75.724687090769294</v>
          </cell>
          <cell r="M699">
            <v>9.2443680775770094</v>
          </cell>
        </row>
        <row r="700">
          <cell r="A700" t="str">
            <v>LS-000595</v>
          </cell>
          <cell r="B700" t="str">
            <v>Coastal View Dr - 3660</v>
          </cell>
          <cell r="C700">
            <v>4.0455038836785002</v>
          </cell>
          <cell r="D700">
            <v>32.040999999999997</v>
          </cell>
          <cell r="G700" t="str">
            <v>Arlington-East</v>
          </cell>
          <cell r="K700">
            <v>190.08361433107299</v>
          </cell>
          <cell r="M700">
            <v>12.1714414159766</v>
          </cell>
        </row>
        <row r="701">
          <cell r="A701" t="str">
            <v>LS-001488</v>
          </cell>
          <cell r="B701" t="str">
            <v>Monument Rd - 3333</v>
          </cell>
          <cell r="C701">
            <v>35.885350279134101</v>
          </cell>
          <cell r="D701">
            <v>43.393000000000001</v>
          </cell>
          <cell r="G701" t="str">
            <v>Arlington-East</v>
          </cell>
          <cell r="K701">
            <v>29.021090553644399</v>
          </cell>
          <cell r="M701">
            <v>100.780792107243</v>
          </cell>
        </row>
        <row r="702">
          <cell r="A702" t="str">
            <v>LS-001220</v>
          </cell>
          <cell r="B702" t="str">
            <v>Palmdale St - 1900</v>
          </cell>
          <cell r="C702">
            <v>46.323566172022197</v>
          </cell>
          <cell r="D702">
            <v>58.814</v>
          </cell>
          <cell r="G702" t="str">
            <v>Buckman</v>
          </cell>
          <cell r="K702">
            <v>30.471229152744201</v>
          </cell>
          <cell r="M702">
            <v>128.388995346467</v>
          </cell>
        </row>
        <row r="703">
          <cell r="A703" t="str">
            <v>LS-001411</v>
          </cell>
          <cell r="B703" t="str">
            <v>Marsh Harbor Dr N - 13708</v>
          </cell>
          <cell r="C703">
            <v>11.200234377224501</v>
          </cell>
          <cell r="D703">
            <v>21.128</v>
          </cell>
          <cell r="G703" t="str">
            <v>Arlington-East</v>
          </cell>
          <cell r="K703">
            <v>45.273338300055997</v>
          </cell>
          <cell r="M703">
            <v>32.898937074765698</v>
          </cell>
        </row>
        <row r="704">
          <cell r="A704" t="str">
            <v>LS-002423</v>
          </cell>
          <cell r="B704" t="str">
            <v>Whispering Oaks Dr N - 6267</v>
          </cell>
          <cell r="C704">
            <v>9.0075494665548295</v>
          </cell>
          <cell r="D704">
            <v>11.958</v>
          </cell>
          <cell r="G704" t="str">
            <v>Arlington-East</v>
          </cell>
          <cell r="K704">
            <v>31.8612738198781</v>
          </cell>
          <cell r="M704">
            <v>26.6205533071514</v>
          </cell>
        </row>
        <row r="705">
          <cell r="A705" t="str">
            <v>LS-001099</v>
          </cell>
          <cell r="B705" t="str">
            <v>Hollyridge Rd - 7821</v>
          </cell>
          <cell r="C705">
            <v>26.930703975314401</v>
          </cell>
          <cell r="D705">
            <v>28.693999999999999</v>
          </cell>
          <cell r="G705" t="str">
            <v>Arlington-East</v>
          </cell>
          <cell r="K705">
            <v>25.571407291515399</v>
          </cell>
          <cell r="M705">
            <v>76.641532724673795</v>
          </cell>
        </row>
        <row r="706">
          <cell r="A706" t="str">
            <v>LS-000004</v>
          </cell>
          <cell r="B706" t="str">
            <v>30th St W - 1999</v>
          </cell>
          <cell r="C706">
            <v>16.897508148603499</v>
          </cell>
          <cell r="D706">
            <v>22.847999999999999</v>
          </cell>
          <cell r="G706" t="str">
            <v>Buckman</v>
          </cell>
          <cell r="K706">
            <v>32.451648798010503</v>
          </cell>
          <cell r="M706">
            <v>48.977382043051499</v>
          </cell>
        </row>
        <row r="707">
          <cell r="A707" t="str">
            <v>LS-001355</v>
          </cell>
          <cell r="B707" t="str">
            <v>Lone Star Rd - 10400</v>
          </cell>
          <cell r="C707">
            <v>7.0234002982650701</v>
          </cell>
          <cell r="D707">
            <v>6.6689999999999996</v>
          </cell>
          <cell r="G707" t="str">
            <v>Arlington-East</v>
          </cell>
          <cell r="K707">
            <v>22.788961642914899</v>
          </cell>
          <cell r="M707">
            <v>20.887393324219399</v>
          </cell>
        </row>
        <row r="708">
          <cell r="A708" t="str">
            <v>LS-002386</v>
          </cell>
          <cell r="B708" t="str">
            <v>Walle Dr - 11955</v>
          </cell>
          <cell r="C708">
            <v>29.803655362948501</v>
          </cell>
          <cell r="D708">
            <v>63.667999999999999</v>
          </cell>
          <cell r="G708" t="str">
            <v>Arlington-East</v>
          </cell>
          <cell r="K708">
            <v>51.269952674987202</v>
          </cell>
          <cell r="M708">
            <v>84.437061656790505</v>
          </cell>
        </row>
        <row r="709">
          <cell r="A709" t="str">
            <v>LS-000946</v>
          </cell>
          <cell r="B709" t="str">
            <v>General Doolittle Dr - 234</v>
          </cell>
          <cell r="C709">
            <v>9.0717142778830002</v>
          </cell>
          <cell r="D709">
            <v>3.6160000000000001</v>
          </cell>
          <cell r="G709" t="str">
            <v>Arlington-East</v>
          </cell>
          <cell r="K709">
            <v>9.5664388605779802</v>
          </cell>
          <cell r="M709">
            <v>26.805095086548899</v>
          </cell>
        </row>
        <row r="710">
          <cell r="A710" t="str">
            <v>LS-000997</v>
          </cell>
          <cell r="B710" t="str">
            <v>Grove Park Bv - 487</v>
          </cell>
          <cell r="C710">
            <v>582.16716593731701</v>
          </cell>
          <cell r="D710">
            <v>75.671000000000006</v>
          </cell>
          <cell r="G710" t="str">
            <v>Arlington-East</v>
          </cell>
          <cell r="K710">
            <v>3.1195575880271198</v>
          </cell>
          <cell r="M710">
            <v>1286.8841378570301</v>
          </cell>
        </row>
        <row r="711">
          <cell r="A711" t="str">
            <v>LS-001518</v>
          </cell>
          <cell r="B711" t="str">
            <v>Nations Wy - 8205</v>
          </cell>
          <cell r="C711">
            <v>69.897128860683296</v>
          </cell>
          <cell r="D711">
            <v>104.36199999999999</v>
          </cell>
          <cell r="G711" t="str">
            <v>Arlington-East</v>
          </cell>
          <cell r="K711">
            <v>35.833918228490603</v>
          </cell>
          <cell r="M711">
            <v>189.058509092995</v>
          </cell>
        </row>
        <row r="712">
          <cell r="A712" t="str">
            <v>LS-002006</v>
          </cell>
          <cell r="B712" t="str">
            <v>San Pablo Rd S - 4467</v>
          </cell>
          <cell r="C712">
            <v>17.779685167495099</v>
          </cell>
          <cell r="D712">
            <v>37.497</v>
          </cell>
          <cell r="G712" t="str">
            <v>Arlington-East</v>
          </cell>
          <cell r="K712">
            <v>50.6155194269273</v>
          </cell>
          <cell r="M712">
            <v>51.440480773234597</v>
          </cell>
        </row>
        <row r="713">
          <cell r="A713" t="str">
            <v>LS-000401</v>
          </cell>
          <cell r="B713" t="str">
            <v>Blagdon Ct - 460</v>
          </cell>
          <cell r="C713">
            <v>13.3152412910864</v>
          </cell>
          <cell r="D713">
            <v>13.997</v>
          </cell>
          <cell r="G713" t="str">
            <v>Arlington-East</v>
          </cell>
          <cell r="K713">
            <v>25.228833083549201</v>
          </cell>
          <cell r="M713">
            <v>38.904584044282899</v>
          </cell>
        </row>
        <row r="714">
          <cell r="A714" t="str">
            <v>LS-000255</v>
          </cell>
          <cell r="B714" t="str">
            <v>Baymeadows Rd - 3847</v>
          </cell>
          <cell r="C714">
            <v>5.9079120647110104</v>
          </cell>
          <cell r="D714">
            <v>13.891</v>
          </cell>
          <cell r="G714" t="str">
            <v>Arlington-East</v>
          </cell>
          <cell r="K714">
            <v>56.430088387970599</v>
          </cell>
          <cell r="M714">
            <v>17.639646972263499</v>
          </cell>
        </row>
        <row r="715">
          <cell r="A715" t="str">
            <v>LS-002035</v>
          </cell>
          <cell r="B715" t="str">
            <v>Seven Pines Dr - 13842</v>
          </cell>
          <cell r="C715">
            <v>12.1198002346324</v>
          </cell>
          <cell r="D715">
            <v>76.216999999999999</v>
          </cell>
          <cell r="G715" t="str">
            <v>Arlington-East</v>
          </cell>
          <cell r="K715">
            <v>150.927240101948</v>
          </cell>
          <cell r="M715">
            <v>35.5158222890338</v>
          </cell>
        </row>
        <row r="716">
          <cell r="A716" t="str">
            <v>LS-002407</v>
          </cell>
          <cell r="B716" t="str">
            <v>West Virginia Av - 6911</v>
          </cell>
          <cell r="C716">
            <v>11.059658491903299</v>
          </cell>
          <cell r="D716">
            <v>12.579000000000001</v>
          </cell>
          <cell r="G716" t="str">
            <v>Buckman</v>
          </cell>
          <cell r="K716">
            <v>27.2970454034377</v>
          </cell>
          <cell r="M716">
            <v>32.498080059149302</v>
          </cell>
        </row>
        <row r="717">
          <cell r="A717" t="str">
            <v>LS-000153</v>
          </cell>
          <cell r="B717" t="str">
            <v>Atlantic Bv - 10065</v>
          </cell>
          <cell r="C717">
            <v>0.81097040925813602</v>
          </cell>
          <cell r="D717">
            <v>17.131</v>
          </cell>
          <cell r="G717" t="str">
            <v>Arlington-East</v>
          </cell>
          <cell r="K717">
            <v>506.97780745922501</v>
          </cell>
          <cell r="M717">
            <v>2.4908830981606198</v>
          </cell>
        </row>
        <row r="718">
          <cell r="A718" t="str">
            <v>LS-001037</v>
          </cell>
          <cell r="B718" t="str">
            <v>Hawks View Dr - 3689</v>
          </cell>
          <cell r="C718">
            <v>98.115597704475505</v>
          </cell>
          <cell r="D718">
            <v>95.671000000000006</v>
          </cell>
          <cell r="G718" t="str">
            <v>Southwest</v>
          </cell>
          <cell r="K718">
            <v>23.402028359607701</v>
          </cell>
          <cell r="M718">
            <v>259.27806249779701</v>
          </cell>
        </row>
        <row r="719">
          <cell r="A719" t="str">
            <v>LS-000920</v>
          </cell>
          <cell r="B719" t="str">
            <v>Ft Caroline Rd - 6554</v>
          </cell>
          <cell r="C719">
            <v>20.945305634902901</v>
          </cell>
          <cell r="D719">
            <v>70.710999999999999</v>
          </cell>
          <cell r="G719" t="str">
            <v>Arlington-East</v>
          </cell>
          <cell r="K719">
            <v>81.023596866117799</v>
          </cell>
          <cell r="M719">
            <v>60.227367460591999</v>
          </cell>
        </row>
        <row r="720">
          <cell r="A720" t="str">
            <v>LS-001503</v>
          </cell>
          <cell r="B720" t="str">
            <v>Morven Rd - 4990</v>
          </cell>
          <cell r="C720">
            <v>20.185188706746199</v>
          </cell>
          <cell r="D720">
            <v>156.87299999999999</v>
          </cell>
          <cell r="G720" t="str">
            <v>Southwest</v>
          </cell>
          <cell r="K720">
            <v>186.520525257299</v>
          </cell>
          <cell r="M720">
            <v>58.124610881025397</v>
          </cell>
        </row>
        <row r="721">
          <cell r="A721" t="str">
            <v>LS-001094</v>
          </cell>
          <cell r="B721" t="str">
            <v>Holly Grove Av - 3655</v>
          </cell>
          <cell r="C721">
            <v>6.7831955442503</v>
          </cell>
          <cell r="D721">
            <v>15.553000000000001</v>
          </cell>
          <cell r="G721" t="str">
            <v>Arlington-East</v>
          </cell>
          <cell r="K721">
            <v>55.0289310642681</v>
          </cell>
          <cell r="M721">
            <v>20.189621862903099</v>
          </cell>
        </row>
        <row r="722">
          <cell r="A722" t="str">
            <v>LS-001267</v>
          </cell>
          <cell r="B722" t="str">
            <v>Lansdowne Dr - 2421</v>
          </cell>
          <cell r="C722">
            <v>16.307025647206601</v>
          </cell>
          <cell r="D722">
            <v>125.009</v>
          </cell>
          <cell r="G722" t="str">
            <v>Arlington-East</v>
          </cell>
          <cell r="K722">
            <v>183.98303068309301</v>
          </cell>
          <cell r="M722">
            <v>47.325009611164397</v>
          </cell>
        </row>
        <row r="723">
          <cell r="A723" t="str">
            <v>LS-002369</v>
          </cell>
          <cell r="B723" t="str">
            <v>Via De La Reina - 3431</v>
          </cell>
          <cell r="C723">
            <v>28.1464477331211</v>
          </cell>
          <cell r="D723">
            <v>3.1059999999999999</v>
          </cell>
          <cell r="G723" t="str">
            <v>Arlington-East</v>
          </cell>
          <cell r="K723">
            <v>2.64843367471487</v>
          </cell>
          <cell r="M723">
            <v>79.946557281865495</v>
          </cell>
        </row>
        <row r="724">
          <cell r="A724" t="str">
            <v>LS-000624</v>
          </cell>
          <cell r="B724" t="str">
            <v>Conga St - 3878</v>
          </cell>
          <cell r="C724">
            <v>103.577637910462</v>
          </cell>
          <cell r="D724">
            <v>71.813999999999993</v>
          </cell>
          <cell r="G724" t="str">
            <v>Arlington-East</v>
          </cell>
          <cell r="K724">
            <v>16.640039633747101</v>
          </cell>
          <cell r="M724">
            <v>272.61819368250502</v>
          </cell>
        </row>
        <row r="725">
          <cell r="A725" t="str">
            <v>LS-001863</v>
          </cell>
          <cell r="B725" t="str">
            <v>Rhone Dr - 6801</v>
          </cell>
          <cell r="C725">
            <v>198.759441011805</v>
          </cell>
          <cell r="D725">
            <v>31.280999999999999</v>
          </cell>
          <cell r="G725" t="str">
            <v>Buckman</v>
          </cell>
          <cell r="K725">
            <v>3.7771488799639501</v>
          </cell>
          <cell r="M725">
            <v>495.22655772266</v>
          </cell>
        </row>
        <row r="726">
          <cell r="A726" t="str">
            <v>LS-000284</v>
          </cell>
          <cell r="B726" t="str">
            <v>Beaver St - 11325</v>
          </cell>
          <cell r="C726">
            <v>116.034865382267</v>
          </cell>
          <cell r="D726">
            <v>58.453000000000003</v>
          </cell>
          <cell r="G726" t="str">
            <v>Southwest</v>
          </cell>
          <cell r="K726">
            <v>12.090090296380801</v>
          </cell>
          <cell r="M726">
            <v>302.77268901146903</v>
          </cell>
        </row>
        <row r="727">
          <cell r="A727" t="str">
            <v>LS-001498</v>
          </cell>
          <cell r="B727" t="str">
            <v>Morse Av - 6084</v>
          </cell>
          <cell r="C727">
            <v>3.1301061424320999</v>
          </cell>
          <cell r="D727">
            <v>35.279000000000003</v>
          </cell>
          <cell r="G727" t="str">
            <v>Southwest</v>
          </cell>
          <cell r="K727">
            <v>270.50073111645798</v>
          </cell>
          <cell r="M727">
            <v>9.4593354378677308</v>
          </cell>
        </row>
        <row r="728">
          <cell r="A728" t="str">
            <v>LS-004006</v>
          </cell>
          <cell r="B728" t="str">
            <v>Christine Marie Ct - 13026</v>
          </cell>
          <cell r="C728">
            <v>15.4560520440091</v>
          </cell>
          <cell r="D728">
            <v>15.412000000000001</v>
          </cell>
          <cell r="G728" t="str">
            <v>Arlington-East</v>
          </cell>
          <cell r="K728">
            <v>23.931596435285702</v>
          </cell>
          <cell r="M728">
            <v>44.938313797385597</v>
          </cell>
        </row>
        <row r="729">
          <cell r="A729" t="str">
            <v>LS-001704</v>
          </cell>
          <cell r="B729" t="str">
            <v>Wesconnett Bv - 4815</v>
          </cell>
          <cell r="C729">
            <v>19.6300807039791</v>
          </cell>
          <cell r="D729">
            <v>13.978</v>
          </cell>
          <cell r="G729" t="str">
            <v>Southwest</v>
          </cell>
          <cell r="K729">
            <v>17.089690310442698</v>
          </cell>
          <cell r="M729">
            <v>56.5861970567558</v>
          </cell>
        </row>
        <row r="730">
          <cell r="A730" t="str">
            <v>LS-000813</v>
          </cell>
          <cell r="B730" t="str">
            <v>Edgewood Av W - 904</v>
          </cell>
          <cell r="C730">
            <v>1.44440131729848</v>
          </cell>
          <cell r="D730">
            <v>5.2089999999999996</v>
          </cell>
          <cell r="G730" t="str">
            <v>Buckman</v>
          </cell>
          <cell r="K730">
            <v>86.552122670327094</v>
          </cell>
          <cell r="M730">
            <v>4.4113491938859699</v>
          </cell>
        </row>
        <row r="731">
          <cell r="A731" t="str">
            <v>LS-001146</v>
          </cell>
          <cell r="B731" t="str">
            <v>Jammes Rd - 5541</v>
          </cell>
          <cell r="C731">
            <v>62.795299294773102</v>
          </cell>
          <cell r="D731">
            <v>21.254999999999999</v>
          </cell>
          <cell r="G731" t="str">
            <v>Southwest</v>
          </cell>
          <cell r="K731">
            <v>8.1235379993237995</v>
          </cell>
          <cell r="M731">
            <v>170.998176125886</v>
          </cell>
        </row>
        <row r="732">
          <cell r="A732" t="str">
            <v>LS-001806</v>
          </cell>
          <cell r="B732" t="str">
            <v>Praver Dr E - 7742</v>
          </cell>
          <cell r="C732">
            <v>8.6398113629135995</v>
          </cell>
          <cell r="D732">
            <v>12.68</v>
          </cell>
          <cell r="G732" t="str">
            <v>Arlington-East</v>
          </cell>
          <cell r="K732">
            <v>35.222991245653098</v>
          </cell>
          <cell r="M732">
            <v>25.561915252615801</v>
          </cell>
        </row>
        <row r="733">
          <cell r="A733" t="str">
            <v>LS-000026</v>
          </cell>
          <cell r="B733" t="str">
            <v>103rd St - 6650</v>
          </cell>
          <cell r="C733">
            <v>5.2768073469261498</v>
          </cell>
          <cell r="D733">
            <v>14.257</v>
          </cell>
          <cell r="G733" t="str">
            <v>Southwest</v>
          </cell>
          <cell r="K733">
            <v>64.843754471976297</v>
          </cell>
          <cell r="M733">
            <v>15.793474224420301</v>
          </cell>
        </row>
        <row r="734">
          <cell r="A734" t="str">
            <v>LS-000284</v>
          </cell>
          <cell r="B734" t="str">
            <v>Beach Bv - 11325</v>
          </cell>
          <cell r="C734">
            <v>167.20981340840399</v>
          </cell>
          <cell r="D734">
            <v>58.453000000000003</v>
          </cell>
          <cell r="G734" t="str">
            <v>Arlington-East</v>
          </cell>
          <cell r="K734">
            <v>8.3898903503560298</v>
          </cell>
          <cell r="M734">
            <v>423.24457935998299</v>
          </cell>
        </row>
        <row r="735">
          <cell r="A735" t="str">
            <v>LS-001206</v>
          </cell>
          <cell r="B735" t="str">
            <v>La Vaca Rd - 2004</v>
          </cell>
          <cell r="C735">
            <v>5.6299371184741398</v>
          </cell>
          <cell r="D735">
            <v>6.2619999999999996</v>
          </cell>
          <cell r="G735" t="str">
            <v>Buckman</v>
          </cell>
          <cell r="K735">
            <v>26.6944366939452</v>
          </cell>
          <cell r="M735">
            <v>16.827296892897198</v>
          </cell>
        </row>
        <row r="736">
          <cell r="A736" t="str">
            <v>LS-001184</v>
          </cell>
          <cell r="B736" t="str">
            <v>Kernan Bv N - 102</v>
          </cell>
          <cell r="C736">
            <v>26.081789310078001</v>
          </cell>
          <cell r="D736">
            <v>7.1929999999999996</v>
          </cell>
          <cell r="G736" t="str">
            <v>Arlington-East</v>
          </cell>
          <cell r="K736">
            <v>6.61887104245932</v>
          </cell>
          <cell r="M736">
            <v>74.328188109359502</v>
          </cell>
        </row>
        <row r="737">
          <cell r="A737" t="str">
            <v>LS-000250</v>
          </cell>
          <cell r="B737" t="str">
            <v>Baymeadows Cr W - 7640</v>
          </cell>
          <cell r="C737">
            <v>69.005944475954394</v>
          </cell>
          <cell r="D737">
            <v>82.587999999999994</v>
          </cell>
          <cell r="G737" t="str">
            <v>Arlington-East</v>
          </cell>
          <cell r="K737">
            <v>28.723786262945499</v>
          </cell>
          <cell r="M737">
            <v>186.80157424988201</v>
          </cell>
        </row>
        <row r="738">
          <cell r="A738" t="str">
            <v>LS-001147</v>
          </cell>
          <cell r="B738" t="str">
            <v>Jammes Rd - 6034</v>
          </cell>
          <cell r="C738">
            <v>13.2377509350369</v>
          </cell>
          <cell r="D738">
            <v>37.542000000000002</v>
          </cell>
          <cell r="G738" t="str">
            <v>Southwest</v>
          </cell>
          <cell r="K738">
            <v>68.0635256261899</v>
          </cell>
          <cell r="M738">
            <v>38.685356846100298</v>
          </cell>
        </row>
        <row r="739">
          <cell r="A739" t="str">
            <v>LS-002305</v>
          </cell>
          <cell r="B739" t="str">
            <v>Trails End Rd - 7457</v>
          </cell>
          <cell r="C739">
            <v>31.764772444591699</v>
          </cell>
          <cell r="D739">
            <v>16.045999999999999</v>
          </cell>
          <cell r="G739" t="str">
            <v>Arlington-East</v>
          </cell>
          <cell r="K739">
            <v>12.123619039668901</v>
          </cell>
          <cell r="M739">
            <v>89.730008893836199</v>
          </cell>
        </row>
        <row r="740">
          <cell r="A740" t="str">
            <v>LS-000481</v>
          </cell>
          <cell r="B740" t="str">
            <v>Brookview Dr N - 38</v>
          </cell>
          <cell r="C740">
            <v>34.097198272496598</v>
          </cell>
          <cell r="D740">
            <v>3.569</v>
          </cell>
          <cell r="G740" t="str">
            <v>Arlington-East</v>
          </cell>
          <cell r="K740">
            <v>2.5121125587931901</v>
          </cell>
          <cell r="M740">
            <v>95.996616260258193</v>
          </cell>
        </row>
        <row r="741">
          <cell r="A741" t="str">
            <v>LS-000073</v>
          </cell>
          <cell r="B741" t="str">
            <v>Aerospace Wy - 13650</v>
          </cell>
          <cell r="C741">
            <v>6.7982711066812103</v>
          </cell>
          <cell r="D741">
            <v>44.953000000000003</v>
          </cell>
          <cell r="G741" t="str">
            <v>Southwest</v>
          </cell>
          <cell r="K741">
            <v>158.69799586834699</v>
          </cell>
          <cell r="M741">
            <v>20.233439833329101</v>
          </cell>
        </row>
        <row r="742">
          <cell r="A742" t="str">
            <v>LS-000546</v>
          </cell>
          <cell r="B742" t="str">
            <v>Cesperdes Av - 8156</v>
          </cell>
          <cell r="C742">
            <v>13.737927791967699</v>
          </cell>
          <cell r="D742">
            <v>25.207000000000001</v>
          </cell>
          <cell r="G742" t="str">
            <v>Arlington-East</v>
          </cell>
          <cell r="K742">
            <v>44.036335694944697</v>
          </cell>
          <cell r="M742">
            <v>40.09936077695</v>
          </cell>
        </row>
        <row r="743">
          <cell r="A743" t="str">
            <v>LS-003714</v>
          </cell>
          <cell r="B743" t="str">
            <v>Philips Hy - 12121</v>
          </cell>
          <cell r="C743">
            <v>7.7189235655351602</v>
          </cell>
          <cell r="D743">
            <v>9.5259999999999998</v>
          </cell>
          <cell r="G743" t="str">
            <v>Arlington-East</v>
          </cell>
          <cell r="K743">
            <v>29.618637632428602</v>
          </cell>
          <cell r="M743">
            <v>22.903159548475699</v>
          </cell>
        </row>
        <row r="744">
          <cell r="A744" t="str">
            <v>LS-004008</v>
          </cell>
          <cell r="B744" t="str">
            <v>BRETUNGER DR - 2888</v>
          </cell>
          <cell r="C744">
            <v>35.9018455331518</v>
          </cell>
          <cell r="D744">
            <v>88.781999999999996</v>
          </cell>
          <cell r="G744" t="str">
            <v>Arlington-East</v>
          </cell>
          <cell r="K744">
            <v>59.349818048558198</v>
          </cell>
          <cell r="M744">
            <v>100.824845831036</v>
          </cell>
        </row>
        <row r="745">
          <cell r="A745" t="str">
            <v>LS-003192</v>
          </cell>
          <cell r="B745" t="str">
            <v>Westland Oaks Dr - 7479</v>
          </cell>
          <cell r="C745">
            <v>32.445480057443298</v>
          </cell>
          <cell r="D745">
            <v>81.16</v>
          </cell>
          <cell r="G745" t="str">
            <v>Southwest</v>
          </cell>
          <cell r="K745">
            <v>60.034248115652296</v>
          </cell>
          <cell r="M745">
            <v>91.562028589221498</v>
          </cell>
        </row>
        <row r="746">
          <cell r="A746" t="str">
            <v>LS-001861</v>
          </cell>
          <cell r="B746" t="str">
            <v>Rhode Island Dr E - 7221</v>
          </cell>
          <cell r="C746">
            <v>7.3693050865391498</v>
          </cell>
          <cell r="D746">
            <v>13.852</v>
          </cell>
          <cell r="G746" t="str">
            <v>Buckman</v>
          </cell>
          <cell r="K746">
            <v>45.112530434823903</v>
          </cell>
          <cell r="M746">
            <v>21.8907474520527</v>
          </cell>
        </row>
        <row r="747">
          <cell r="A747" t="str">
            <v>LS-001935</v>
          </cell>
          <cell r="B747" t="str">
            <v>Safeshelter Dr S - 2748</v>
          </cell>
          <cell r="C747">
            <v>72.473183540315404</v>
          </cell>
          <cell r="D747">
            <v>163.08799999999999</v>
          </cell>
          <cell r="G747" t="str">
            <v>Arlington-East</v>
          </cell>
          <cell r="K747">
            <v>54.007728221607003</v>
          </cell>
          <cell r="M747">
            <v>195.56774734278699</v>
          </cell>
        </row>
        <row r="748">
          <cell r="A748" t="str">
            <v>LS-001876</v>
          </cell>
          <cell r="B748" t="str">
            <v>Ricker Rd - 6175</v>
          </cell>
          <cell r="C748">
            <v>3.1552758666320901</v>
          </cell>
          <cell r="D748">
            <v>23.321000000000002</v>
          </cell>
          <cell r="G748" t="str">
            <v>Southwest</v>
          </cell>
          <cell r="K748">
            <v>177.38670837596899</v>
          </cell>
          <cell r="M748">
            <v>9.5341515868972806</v>
          </cell>
        </row>
        <row r="749">
          <cell r="A749" t="str">
            <v>LS-000280</v>
          </cell>
          <cell r="B749" t="str">
            <v>Beach Bv - 11140</v>
          </cell>
          <cell r="C749">
            <v>0.76369541400125096</v>
          </cell>
          <cell r="D749">
            <v>9.6739999999999995</v>
          </cell>
          <cell r="G749" t="str">
            <v>Arlington-East</v>
          </cell>
          <cell r="K749">
            <v>304.016491055713</v>
          </cell>
          <cell r="M749">
            <v>2.3468619443806098</v>
          </cell>
        </row>
        <row r="750">
          <cell r="A750" t="str">
            <v>LS-000727</v>
          </cell>
          <cell r="B750" t="str">
            <v>Directors Dr - 4502</v>
          </cell>
          <cell r="C750">
            <v>0.97184627442874005</v>
          </cell>
          <cell r="D750">
            <v>27.713999999999999</v>
          </cell>
          <cell r="G750" t="str">
            <v>Buckman</v>
          </cell>
          <cell r="K750">
            <v>684.40453752932603</v>
          </cell>
          <cell r="M750">
            <v>2.9802039212856299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9740C-2123-4A0A-A16D-E704685BCF51}">
  <dimension ref="A1"/>
  <sheetViews>
    <sheetView workbookViewId="0">
      <selection activeCell="G15" sqref="G1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FDBC-47F7-4288-9CDE-C171214B236C}">
  <sheetPr>
    <tabColor rgb="FF00B050"/>
  </sheetPr>
  <dimension ref="A1:K1674"/>
  <sheetViews>
    <sheetView tabSelected="1" workbookViewId="0">
      <pane ySplit="1" topLeftCell="A163" activePane="bottomLeft" state="frozen"/>
      <selection activeCell="G15" sqref="G15"/>
      <selection pane="bottomLeft" activeCell="N247" sqref="N247"/>
    </sheetView>
  </sheetViews>
  <sheetFormatPr defaultColWidth="9.7109375" defaultRowHeight="15" x14ac:dyDescent="0.25"/>
  <cols>
    <col min="1" max="1" width="11" style="55" bestFit="1" customWidth="1"/>
    <col min="2" max="2" width="37" style="55" bestFit="1" customWidth="1"/>
    <col min="3" max="3" width="9.42578125" style="55" bestFit="1" customWidth="1"/>
    <col min="4" max="4" width="12.28515625" style="55" bestFit="1" customWidth="1"/>
    <col min="5" max="5" width="10" style="55" customWidth="1"/>
    <col min="6" max="6" width="9" style="55" bestFit="1" customWidth="1"/>
    <col min="7" max="7" width="7.28515625" style="55" bestFit="1" customWidth="1"/>
    <col min="8" max="8" width="9.42578125" style="55" bestFit="1" customWidth="1"/>
    <col min="9" max="9" width="13.5703125" style="55" customWidth="1"/>
    <col min="10" max="10" width="12.140625" style="55" customWidth="1"/>
    <col min="11" max="11" width="10.7109375" style="55" customWidth="1"/>
    <col min="12" max="16384" width="9.7109375" style="1"/>
  </cols>
  <sheetData>
    <row r="1" spans="1:11" ht="75" x14ac:dyDescent="0.25">
      <c r="A1" s="56" t="s">
        <v>0</v>
      </c>
      <c r="B1" s="56" t="s">
        <v>1</v>
      </c>
      <c r="C1" s="57" t="s">
        <v>2</v>
      </c>
      <c r="D1" s="58" t="s">
        <v>3</v>
      </c>
      <c r="E1" s="58" t="s">
        <v>4</v>
      </c>
      <c r="F1" s="59" t="s">
        <v>5</v>
      </c>
      <c r="G1" s="60" t="s">
        <v>6</v>
      </c>
      <c r="H1" s="58" t="s">
        <v>7</v>
      </c>
      <c r="I1" s="61" t="s">
        <v>3375</v>
      </c>
      <c r="J1" s="61" t="s">
        <v>3376</v>
      </c>
      <c r="K1" s="61" t="s">
        <v>8</v>
      </c>
    </row>
    <row r="2" spans="1:11" x14ac:dyDescent="0.25">
      <c r="A2" s="3" t="s">
        <v>9</v>
      </c>
      <c r="B2" s="4" t="s">
        <v>10</v>
      </c>
      <c r="C2" s="5">
        <v>205269</v>
      </c>
      <c r="D2" s="6" t="s">
        <v>11</v>
      </c>
      <c r="E2" s="6" t="s">
        <v>12</v>
      </c>
      <c r="F2" s="7">
        <v>42676</v>
      </c>
      <c r="G2" s="8">
        <f t="shared" ref="G2:G65" si="0">F2</f>
        <v>42676</v>
      </c>
      <c r="H2" s="6" t="s">
        <v>13</v>
      </c>
      <c r="I2" s="9">
        <f>MAX(original!I2,piwebapi_edit!I2,car_edit!I2)</f>
        <v>2861084.4856553101</v>
      </c>
      <c r="J2" s="9">
        <f>MAX(original!J2,piwebapi_edit!J2,car_edit!J2)</f>
        <v>7000</v>
      </c>
      <c r="K2" s="11"/>
    </row>
    <row r="3" spans="1:11" x14ac:dyDescent="0.25">
      <c r="A3" s="12" t="s">
        <v>14</v>
      </c>
      <c r="B3" s="4" t="s">
        <v>15</v>
      </c>
      <c r="C3" s="5">
        <v>1729</v>
      </c>
      <c r="D3" s="6" t="s">
        <v>16</v>
      </c>
      <c r="E3" s="6" t="s">
        <v>17</v>
      </c>
      <c r="F3" s="7">
        <v>42755</v>
      </c>
      <c r="G3" s="8">
        <f t="shared" si="0"/>
        <v>42755</v>
      </c>
      <c r="H3" s="6" t="s">
        <v>13</v>
      </c>
      <c r="I3" s="9">
        <f>MAX(original!I3,piwebapi_edit!I3,car_edit!I3)</f>
        <v>2714538.48363026</v>
      </c>
      <c r="J3" s="9">
        <f>MAX(original!J3,piwebapi_edit!J3,car_edit!J3)</f>
        <v>9370</v>
      </c>
      <c r="K3" s="11"/>
    </row>
    <row r="4" spans="1:11" x14ac:dyDescent="0.25">
      <c r="A4" s="13" t="s">
        <v>18</v>
      </c>
      <c r="B4" s="4" t="s">
        <v>19</v>
      </c>
      <c r="C4" s="5">
        <v>16966</v>
      </c>
      <c r="D4" s="6" t="s">
        <v>16</v>
      </c>
      <c r="E4" s="6" t="s">
        <v>17</v>
      </c>
      <c r="F4" s="7">
        <v>41143</v>
      </c>
      <c r="G4" s="8">
        <f t="shared" si="0"/>
        <v>41143</v>
      </c>
      <c r="H4" s="6" t="s">
        <v>13</v>
      </c>
      <c r="I4" s="9">
        <f>MAX(original!I4,piwebapi_edit!I4,car_edit!I4)</f>
        <v>932000</v>
      </c>
      <c r="J4" s="9">
        <f>MAX(original!J4,piwebapi_edit!J4,car_edit!J4)</f>
        <v>3040</v>
      </c>
      <c r="K4" s="11"/>
    </row>
    <row r="5" spans="1:11" x14ac:dyDescent="0.25">
      <c r="A5" s="3" t="s">
        <v>20</v>
      </c>
      <c r="B5" s="4" t="s">
        <v>21</v>
      </c>
      <c r="C5" s="5">
        <v>204646</v>
      </c>
      <c r="D5" s="6" t="s">
        <v>16</v>
      </c>
      <c r="E5" s="6" t="s">
        <v>17</v>
      </c>
      <c r="F5" s="7">
        <v>38533</v>
      </c>
      <c r="G5" s="8">
        <f t="shared" si="0"/>
        <v>38533</v>
      </c>
      <c r="H5" s="6" t="s">
        <v>13</v>
      </c>
      <c r="I5" s="9">
        <f>MAX(original!I5,piwebapi_edit!I5,car_edit!I5)</f>
        <v>2827540.5312834</v>
      </c>
      <c r="J5" s="9">
        <f>MAX(original!J5,piwebapi_edit!J5,car_edit!J5)</f>
        <v>5000</v>
      </c>
      <c r="K5" s="11"/>
    </row>
    <row r="6" spans="1:11" x14ac:dyDescent="0.25">
      <c r="A6" s="3" t="s">
        <v>22</v>
      </c>
      <c r="B6" s="4" t="s">
        <v>23</v>
      </c>
      <c r="C6" s="5">
        <v>55153</v>
      </c>
      <c r="D6" s="6" t="s">
        <v>11</v>
      </c>
      <c r="E6" s="6" t="s">
        <v>17</v>
      </c>
      <c r="F6" s="7">
        <v>39420</v>
      </c>
      <c r="G6" s="8">
        <f t="shared" si="0"/>
        <v>39420</v>
      </c>
      <c r="H6" s="6" t="s">
        <v>13</v>
      </c>
      <c r="I6" s="9">
        <f>MAX(original!I6,piwebapi_edit!I6,car_edit!I6)</f>
        <v>2481327.61</v>
      </c>
      <c r="J6" s="9">
        <f>MAX(original!J6,piwebapi_edit!J6,car_edit!J6)</f>
        <v>4400</v>
      </c>
      <c r="K6" s="11"/>
    </row>
    <row r="7" spans="1:11" x14ac:dyDescent="0.25">
      <c r="A7" s="4" t="s">
        <v>24</v>
      </c>
      <c r="B7" s="4" t="s">
        <v>25</v>
      </c>
      <c r="C7" s="14">
        <v>256468</v>
      </c>
      <c r="D7" s="6" t="s">
        <v>16</v>
      </c>
      <c r="E7" s="6" t="s">
        <v>17</v>
      </c>
      <c r="F7" s="15">
        <v>43635</v>
      </c>
      <c r="G7" s="8">
        <f t="shared" si="0"/>
        <v>43635</v>
      </c>
      <c r="H7" s="16" t="s">
        <v>13</v>
      </c>
      <c r="I7" s="9">
        <f>MAX(original!I7,piwebapi_edit!I7,car_edit!I7)</f>
        <v>166464</v>
      </c>
      <c r="J7" s="9">
        <f>MAX(original!J7,piwebapi_edit!J7,car_edit!J7)</f>
        <v>1200</v>
      </c>
      <c r="K7" s="17"/>
    </row>
    <row r="8" spans="1:11" x14ac:dyDescent="0.25">
      <c r="A8" s="3" t="s">
        <v>26</v>
      </c>
      <c r="B8" s="4" t="s">
        <v>27</v>
      </c>
      <c r="C8" s="5">
        <v>277052</v>
      </c>
      <c r="D8" s="6" t="s">
        <v>28</v>
      </c>
      <c r="E8" s="6" t="s">
        <v>17</v>
      </c>
      <c r="F8" s="7">
        <v>44197</v>
      </c>
      <c r="G8" s="8">
        <f t="shared" si="0"/>
        <v>44197</v>
      </c>
      <c r="H8" s="6" t="s">
        <v>13</v>
      </c>
      <c r="I8" s="9">
        <f>MAX(original!I8,piwebapi_edit!I8,car_edit!I8)</f>
        <v>2297937.6</v>
      </c>
      <c r="J8" s="9">
        <f>MAX(original!J8,piwebapi_edit!J8,car_edit!J8)</f>
        <v>5000</v>
      </c>
      <c r="K8" s="17"/>
    </row>
    <row r="9" spans="1:11" x14ac:dyDescent="0.25">
      <c r="A9" s="3" t="s">
        <v>29</v>
      </c>
      <c r="B9" s="4" t="s">
        <v>30</v>
      </c>
      <c r="C9" s="5">
        <v>1329</v>
      </c>
      <c r="D9" s="16" t="s">
        <v>31</v>
      </c>
      <c r="E9" s="16" t="s">
        <v>17</v>
      </c>
      <c r="F9" s="15">
        <v>44319</v>
      </c>
      <c r="G9" s="8">
        <f t="shared" si="0"/>
        <v>44319</v>
      </c>
      <c r="H9" s="16" t="s">
        <v>13</v>
      </c>
      <c r="I9" s="9">
        <f>MAX(original!I9,piwebapi_edit!I9,car_edit!I9)</f>
        <v>12497058.67</v>
      </c>
      <c r="J9" s="9">
        <f>MAX(original!J9,piwebapi_edit!J9,car_edit!J9)</f>
        <v>19500</v>
      </c>
      <c r="K9" s="17"/>
    </row>
    <row r="10" spans="1:11" x14ac:dyDescent="0.25">
      <c r="A10" s="3" t="s">
        <v>32</v>
      </c>
      <c r="B10" s="4" t="s">
        <v>33</v>
      </c>
      <c r="C10" s="14">
        <v>315233</v>
      </c>
      <c r="D10" s="16" t="s">
        <v>34</v>
      </c>
      <c r="E10" s="16" t="s">
        <v>17</v>
      </c>
      <c r="F10" s="15">
        <v>45078</v>
      </c>
      <c r="G10" s="8">
        <f t="shared" si="0"/>
        <v>45078</v>
      </c>
      <c r="H10" s="16" t="s">
        <v>13</v>
      </c>
      <c r="I10" s="9">
        <f>MAX(original!I10,piwebapi_edit!I10,car_edit!I10)</f>
        <v>0</v>
      </c>
      <c r="J10" s="9">
        <f>MAX(original!J10,piwebapi_edit!J10,car_edit!J10)</f>
        <v>0</v>
      </c>
      <c r="K10" s="17"/>
    </row>
    <row r="11" spans="1:11" x14ac:dyDescent="0.25">
      <c r="A11" s="3" t="s">
        <v>35</v>
      </c>
      <c r="B11" s="4" t="s">
        <v>36</v>
      </c>
      <c r="C11" s="14">
        <v>354434</v>
      </c>
      <c r="D11" s="16" t="s">
        <v>37</v>
      </c>
      <c r="E11" s="16" t="s">
        <v>38</v>
      </c>
      <c r="F11" s="15">
        <v>45350</v>
      </c>
      <c r="G11" s="8">
        <f t="shared" si="0"/>
        <v>45350</v>
      </c>
      <c r="H11" s="16" t="s">
        <v>39</v>
      </c>
      <c r="I11" s="9">
        <f>MAX(original!I11,piwebapi_edit!I11,car_edit!I11)</f>
        <v>0</v>
      </c>
      <c r="J11" s="9">
        <f>MAX(original!J11,piwebapi_edit!J11,car_edit!J11)</f>
        <v>0</v>
      </c>
      <c r="K11" s="17"/>
    </row>
    <row r="12" spans="1:11" x14ac:dyDescent="0.25">
      <c r="A12" s="3" t="s">
        <v>40</v>
      </c>
      <c r="B12" s="4" t="s">
        <v>41</v>
      </c>
      <c r="C12" s="14">
        <v>1907</v>
      </c>
      <c r="D12" s="6" t="s">
        <v>34</v>
      </c>
      <c r="E12" s="6" t="s">
        <v>17</v>
      </c>
      <c r="F12" s="7">
        <v>25569</v>
      </c>
      <c r="G12" s="8">
        <f t="shared" si="0"/>
        <v>25569</v>
      </c>
      <c r="H12" s="6" t="s">
        <v>13</v>
      </c>
      <c r="I12" s="9">
        <f>MAX(original!I12,piwebapi_edit!I12,car_edit!I12)</f>
        <v>3800.0026540900399</v>
      </c>
      <c r="J12" s="9">
        <f>MAX(original!J12,piwebapi_edit!J12,car_edit!J12)</f>
        <v>391.95030025985301</v>
      </c>
      <c r="K12" s="17"/>
    </row>
    <row r="13" spans="1:11" x14ac:dyDescent="0.25">
      <c r="A13" s="3" t="s">
        <v>42</v>
      </c>
      <c r="B13" s="4" t="s">
        <v>43</v>
      </c>
      <c r="C13" s="5">
        <v>54481</v>
      </c>
      <c r="D13" s="6" t="s">
        <v>34</v>
      </c>
      <c r="E13" s="6" t="s">
        <v>17</v>
      </c>
      <c r="F13" s="7">
        <v>18264</v>
      </c>
      <c r="G13" s="8">
        <f t="shared" si="0"/>
        <v>18264</v>
      </c>
      <c r="H13" s="6" t="s">
        <v>13</v>
      </c>
      <c r="I13" s="9">
        <f>MAX(original!I13,piwebapi_edit!I13,car_edit!I13)</f>
        <v>772.33629352703406</v>
      </c>
      <c r="J13" s="9">
        <f>MAX(original!J13,piwebapi_edit!J13,car_edit!J13)</f>
        <v>178.695352082179</v>
      </c>
      <c r="K13" s="17"/>
    </row>
    <row r="14" spans="1:11" x14ac:dyDescent="0.25">
      <c r="A14" s="3" t="s">
        <v>44</v>
      </c>
      <c r="B14" s="4" t="s">
        <v>45</v>
      </c>
      <c r="C14" s="5">
        <v>1983</v>
      </c>
      <c r="D14" s="6" t="s">
        <v>34</v>
      </c>
      <c r="E14" s="6" t="s">
        <v>17</v>
      </c>
      <c r="F14" s="7">
        <v>35431</v>
      </c>
      <c r="G14" s="8">
        <f t="shared" si="0"/>
        <v>35431</v>
      </c>
      <c r="H14" s="6" t="s">
        <v>13</v>
      </c>
      <c r="I14" s="9">
        <f>MAX(original!I14,piwebapi_edit!I14,car_edit!I14)</f>
        <v>16897.508148603498</v>
      </c>
      <c r="J14" s="9">
        <f>MAX(original!J14,piwebapi_edit!J14,car_edit!J14)</f>
        <v>139.41557771477301</v>
      </c>
      <c r="K14" s="17"/>
    </row>
    <row r="15" spans="1:11" x14ac:dyDescent="0.25">
      <c r="A15" s="3" t="s">
        <v>46</v>
      </c>
      <c r="B15" s="4" t="s">
        <v>47</v>
      </c>
      <c r="C15" s="5">
        <v>1298</v>
      </c>
      <c r="D15" s="6" t="s">
        <v>34</v>
      </c>
      <c r="E15" s="6" t="s">
        <v>17</v>
      </c>
      <c r="F15" s="7">
        <v>34700</v>
      </c>
      <c r="G15" s="8">
        <f t="shared" si="0"/>
        <v>34700</v>
      </c>
      <c r="H15" s="6" t="s">
        <v>13</v>
      </c>
      <c r="I15" s="9">
        <f>MAX(original!I15,piwebapi_edit!I15,car_edit!I15)</f>
        <v>1014995.49</v>
      </c>
      <c r="J15" s="9">
        <f>MAX(original!J15,piwebapi_edit!J15,car_edit!J15)</f>
        <v>2500</v>
      </c>
      <c r="K15" s="17"/>
    </row>
    <row r="16" spans="1:11" x14ac:dyDescent="0.25">
      <c r="A16" s="3" t="s">
        <v>48</v>
      </c>
      <c r="B16" s="4" t="s">
        <v>49</v>
      </c>
      <c r="C16" s="14">
        <v>1804</v>
      </c>
      <c r="D16" s="6" t="s">
        <v>34</v>
      </c>
      <c r="E16" s="6" t="s">
        <v>17</v>
      </c>
      <c r="F16" s="7">
        <v>32143</v>
      </c>
      <c r="G16" s="8">
        <f t="shared" si="0"/>
        <v>32143</v>
      </c>
      <c r="H16" s="6" t="s">
        <v>13</v>
      </c>
      <c r="I16" s="9">
        <f>MAX(original!I16,piwebapi_edit!I16,car_edit!I16)</f>
        <v>111175.108058315</v>
      </c>
      <c r="J16" s="9">
        <f>MAX(original!J16,piwebapi_edit!J16,car_edit!J16)</f>
        <v>1500</v>
      </c>
      <c r="K16" s="17"/>
    </row>
    <row r="17" spans="1:11" x14ac:dyDescent="0.25">
      <c r="A17" s="3" t="s">
        <v>50</v>
      </c>
      <c r="B17" s="4" t="s">
        <v>51</v>
      </c>
      <c r="C17" s="14">
        <v>54482</v>
      </c>
      <c r="D17" s="6" t="s">
        <v>34</v>
      </c>
      <c r="E17" s="6" t="s">
        <v>17</v>
      </c>
      <c r="F17" s="7">
        <v>21916</v>
      </c>
      <c r="G17" s="8">
        <f t="shared" si="0"/>
        <v>21916</v>
      </c>
      <c r="H17" s="6" t="s">
        <v>13</v>
      </c>
      <c r="I17" s="9">
        <f>MAX(original!I17,piwebapi_edit!I17,car_edit!I17)</f>
        <v>37275.1950802016</v>
      </c>
      <c r="J17" s="9">
        <f>MAX(original!J17,piwebapi_edit!J17,car_edit!J17)</f>
        <v>416.13725058213902</v>
      </c>
      <c r="K17" s="17"/>
    </row>
    <row r="18" spans="1:11" x14ac:dyDescent="0.25">
      <c r="A18" s="12" t="s">
        <v>52</v>
      </c>
      <c r="B18" s="4" t="s">
        <v>53</v>
      </c>
      <c r="C18" s="5">
        <v>1941</v>
      </c>
      <c r="D18" s="6" t="s">
        <v>34</v>
      </c>
      <c r="E18" s="6" t="s">
        <v>17</v>
      </c>
      <c r="F18" s="7">
        <v>21186</v>
      </c>
      <c r="G18" s="8">
        <f t="shared" si="0"/>
        <v>21186</v>
      </c>
      <c r="H18" s="6" t="s">
        <v>13</v>
      </c>
      <c r="I18" s="9">
        <f>MAX(original!I18,piwebapi_edit!I18,car_edit!I18)</f>
        <v>1852554.14</v>
      </c>
      <c r="J18" s="9">
        <f>MAX(original!J18,piwebapi_edit!J18,car_edit!J18)</f>
        <v>10000</v>
      </c>
      <c r="K18" s="11"/>
    </row>
    <row r="19" spans="1:11" ht="30" x14ac:dyDescent="0.25">
      <c r="A19" s="18" t="s">
        <v>54</v>
      </c>
      <c r="B19" s="19" t="s">
        <v>55</v>
      </c>
      <c r="C19" s="20">
        <v>1940</v>
      </c>
      <c r="D19" s="21" t="s">
        <v>28</v>
      </c>
      <c r="E19" s="21" t="s">
        <v>17</v>
      </c>
      <c r="F19" s="22">
        <v>19725</v>
      </c>
      <c r="G19" s="23">
        <f t="shared" si="0"/>
        <v>19725</v>
      </c>
      <c r="H19" s="21" t="s">
        <v>13</v>
      </c>
      <c r="I19" s="9">
        <f>MAX(original!I19,piwebapi_edit!I19,car_edit!I19)</f>
        <v>510479.35000000003</v>
      </c>
      <c r="J19" s="9">
        <f>MAX(original!J19,piwebapi_edit!J19,car_edit!J19)</f>
        <v>1250</v>
      </c>
      <c r="K19" s="25"/>
    </row>
    <row r="20" spans="1:11" x14ac:dyDescent="0.25">
      <c r="A20" s="3" t="s">
        <v>56</v>
      </c>
      <c r="B20" s="4" t="s">
        <v>57</v>
      </c>
      <c r="C20" s="5">
        <v>1534</v>
      </c>
      <c r="D20" s="6" t="s">
        <v>34</v>
      </c>
      <c r="E20" s="6" t="s">
        <v>17</v>
      </c>
      <c r="F20" s="7">
        <v>29221</v>
      </c>
      <c r="G20" s="8">
        <f t="shared" si="0"/>
        <v>29221</v>
      </c>
      <c r="H20" s="6" t="s">
        <v>13</v>
      </c>
      <c r="I20" s="9">
        <f>MAX(original!I20,piwebapi_edit!I20,car_edit!I20)</f>
        <v>6053.0150835162294</v>
      </c>
      <c r="J20" s="9">
        <f>MAX(original!J20,piwebapi_edit!J20,car_edit!J20)</f>
        <v>161.84871143559599</v>
      </c>
      <c r="K20" s="17"/>
    </row>
    <row r="21" spans="1:11" x14ac:dyDescent="0.25">
      <c r="A21" s="3" t="s">
        <v>58</v>
      </c>
      <c r="B21" s="4" t="s">
        <v>59</v>
      </c>
      <c r="C21" s="5">
        <v>1710</v>
      </c>
      <c r="D21" s="6" t="s">
        <v>16</v>
      </c>
      <c r="E21" s="6" t="s">
        <v>17</v>
      </c>
      <c r="F21" s="7">
        <v>30317</v>
      </c>
      <c r="G21" s="8">
        <f t="shared" si="0"/>
        <v>30317</v>
      </c>
      <c r="H21" s="6" t="s">
        <v>13</v>
      </c>
      <c r="I21" s="9">
        <f>MAX(original!I21,piwebapi_edit!I21,car_edit!I21)</f>
        <v>1224444.44</v>
      </c>
      <c r="J21" s="9">
        <f>MAX(original!J21,piwebapi_edit!J21,car_edit!J21)</f>
        <v>3770</v>
      </c>
      <c r="K21" s="17"/>
    </row>
    <row r="22" spans="1:11" x14ac:dyDescent="0.25">
      <c r="A22" s="26" t="s">
        <v>60</v>
      </c>
      <c r="B22" s="27" t="s">
        <v>61</v>
      </c>
      <c r="C22" s="5">
        <v>1252</v>
      </c>
      <c r="D22" s="28" t="s">
        <v>28</v>
      </c>
      <c r="E22" s="28" t="s">
        <v>17</v>
      </c>
      <c r="F22" s="29">
        <v>18264</v>
      </c>
      <c r="G22" s="30">
        <f t="shared" si="0"/>
        <v>18264</v>
      </c>
      <c r="H22" s="28" t="s">
        <v>13</v>
      </c>
      <c r="I22" s="9">
        <f>MAX(original!I22,piwebapi_edit!I22,car_edit!I22)</f>
        <v>24964.524966966303</v>
      </c>
      <c r="J22" s="9">
        <f>MAX(original!J22,piwebapi_edit!J22,car_edit!J22)</f>
        <v>87.938139141937398</v>
      </c>
      <c r="K22" s="33"/>
    </row>
    <row r="23" spans="1:11" x14ac:dyDescent="0.25">
      <c r="A23" s="3" t="s">
        <v>62</v>
      </c>
      <c r="B23" s="4" t="s">
        <v>63</v>
      </c>
      <c r="C23" s="5">
        <v>85617</v>
      </c>
      <c r="D23" s="6" t="s">
        <v>28</v>
      </c>
      <c r="E23" s="6" t="s">
        <v>17</v>
      </c>
      <c r="F23" s="7">
        <v>40162</v>
      </c>
      <c r="G23" s="8">
        <f t="shared" si="0"/>
        <v>40162</v>
      </c>
      <c r="H23" s="6" t="s">
        <v>13</v>
      </c>
      <c r="I23" s="9">
        <f>MAX(original!I23,piwebapi_edit!I23,car_edit!I23)</f>
        <v>8526.1174610864691</v>
      </c>
      <c r="J23" s="9">
        <f>MAX(original!J23,piwebapi_edit!J23,car_edit!J23)</f>
        <v>334.90585104408899</v>
      </c>
      <c r="K23" s="17"/>
    </row>
    <row r="24" spans="1:11" x14ac:dyDescent="0.25">
      <c r="A24" s="3" t="s">
        <v>64</v>
      </c>
      <c r="B24" s="4" t="s">
        <v>65</v>
      </c>
      <c r="C24" s="5">
        <v>26881</v>
      </c>
      <c r="D24" s="6" t="s">
        <v>28</v>
      </c>
      <c r="E24" s="6" t="s">
        <v>17</v>
      </c>
      <c r="F24" s="7">
        <v>32927</v>
      </c>
      <c r="G24" s="8">
        <f t="shared" si="0"/>
        <v>32927</v>
      </c>
      <c r="H24" s="6" t="s">
        <v>13</v>
      </c>
      <c r="I24" s="9">
        <f>MAX(original!I24,piwebapi_edit!I24,car_edit!I24)</f>
        <v>5872.5790073455801</v>
      </c>
      <c r="J24" s="9">
        <f>MAX(original!J24,piwebapi_edit!J24,car_edit!J24)</f>
        <v>164.91227818011299</v>
      </c>
      <c r="K24" s="17"/>
    </row>
    <row r="25" spans="1:11" x14ac:dyDescent="0.25">
      <c r="A25" s="3" t="s">
        <v>66</v>
      </c>
      <c r="B25" s="4" t="s">
        <v>67</v>
      </c>
      <c r="C25" s="5">
        <v>1286</v>
      </c>
      <c r="D25" s="6" t="s">
        <v>28</v>
      </c>
      <c r="E25" s="6" t="s">
        <v>17</v>
      </c>
      <c r="F25" s="7">
        <v>31778</v>
      </c>
      <c r="G25" s="8">
        <f t="shared" si="0"/>
        <v>31778</v>
      </c>
      <c r="H25" s="6" t="s">
        <v>13</v>
      </c>
      <c r="I25" s="9">
        <f>MAX(original!I25,piwebapi_edit!I25,car_edit!I25)</f>
        <v>44507.254455594499</v>
      </c>
      <c r="J25" s="9">
        <f>MAX(original!J25,piwebapi_edit!J25,car_edit!J25)</f>
        <v>123.621906688433</v>
      </c>
      <c r="K25" s="17"/>
    </row>
    <row r="26" spans="1:11" x14ac:dyDescent="0.25">
      <c r="A26" s="3" t="s">
        <v>68</v>
      </c>
      <c r="B26" s="4" t="s">
        <v>69</v>
      </c>
      <c r="C26" s="5">
        <v>1656</v>
      </c>
      <c r="D26" s="6" t="s">
        <v>28</v>
      </c>
      <c r="E26" s="6" t="s">
        <v>17</v>
      </c>
      <c r="F26" s="7">
        <v>36892</v>
      </c>
      <c r="G26" s="8">
        <f t="shared" si="0"/>
        <v>36892</v>
      </c>
      <c r="H26" s="6" t="s">
        <v>13</v>
      </c>
      <c r="I26" s="9">
        <f>MAX(original!I26,piwebapi_edit!I26,car_edit!I26)</f>
        <v>17857.269987343301</v>
      </c>
      <c r="J26" s="9">
        <f>MAX(original!J26,piwebapi_edit!J26,car_edit!J26)</f>
        <v>58.357323868854799</v>
      </c>
      <c r="K26" s="17"/>
    </row>
    <row r="27" spans="1:11" x14ac:dyDescent="0.25">
      <c r="A27" s="26" t="s">
        <v>70</v>
      </c>
      <c r="B27" s="27" t="s">
        <v>71</v>
      </c>
      <c r="C27" s="34">
        <v>1655</v>
      </c>
      <c r="D27" s="28" t="s">
        <v>28</v>
      </c>
      <c r="E27" s="28" t="s">
        <v>17</v>
      </c>
      <c r="F27" s="29">
        <v>34335</v>
      </c>
      <c r="G27" s="30">
        <f t="shared" si="0"/>
        <v>34335</v>
      </c>
      <c r="H27" s="28" t="s">
        <v>13</v>
      </c>
      <c r="I27" s="9">
        <f>MAX(original!I27,piwebapi_edit!I27,car_edit!I27)</f>
        <v>78098.778357816205</v>
      </c>
      <c r="J27" s="9">
        <f>MAX(original!J27,piwebapi_edit!J27,car_edit!J27)</f>
        <v>795.65975373424703</v>
      </c>
      <c r="K27" s="33"/>
    </row>
    <row r="28" spans="1:11" ht="30" x14ac:dyDescent="0.25">
      <c r="A28" s="35" t="s">
        <v>72</v>
      </c>
      <c r="B28" s="19" t="s">
        <v>73</v>
      </c>
      <c r="C28" s="5">
        <v>1256</v>
      </c>
      <c r="D28" s="21" t="s">
        <v>28</v>
      </c>
      <c r="E28" s="21" t="s">
        <v>17</v>
      </c>
      <c r="F28" s="22">
        <v>26299</v>
      </c>
      <c r="G28" s="23">
        <f t="shared" si="0"/>
        <v>26299</v>
      </c>
      <c r="H28" s="21" t="s">
        <v>13</v>
      </c>
      <c r="I28" s="9">
        <f>MAX(original!I28,piwebapi_edit!I28,car_edit!I28)</f>
        <v>10595000</v>
      </c>
      <c r="J28" s="9">
        <f>MAX(original!J28,piwebapi_edit!J28,car_edit!J28)</f>
        <v>15000</v>
      </c>
      <c r="K28" s="25"/>
    </row>
    <row r="29" spans="1:11" ht="30" x14ac:dyDescent="0.25">
      <c r="A29" s="18" t="s">
        <v>74</v>
      </c>
      <c r="B29" s="19" t="s">
        <v>75</v>
      </c>
      <c r="C29" s="5">
        <v>12161</v>
      </c>
      <c r="D29" s="21" t="s">
        <v>28</v>
      </c>
      <c r="E29" s="21" t="s">
        <v>17</v>
      </c>
      <c r="F29" s="22">
        <v>37846</v>
      </c>
      <c r="G29" s="23">
        <f t="shared" si="0"/>
        <v>37846</v>
      </c>
      <c r="H29" s="21" t="s">
        <v>13</v>
      </c>
      <c r="I29" s="9">
        <f>MAX(original!I29,piwebapi_edit!I29,car_edit!I29)</f>
        <v>156740.51996998797</v>
      </c>
      <c r="J29" s="9">
        <f>MAX(original!J29,piwebapi_edit!J29,car_edit!J29)</f>
        <v>401.40040669227602</v>
      </c>
      <c r="K29" s="25"/>
    </row>
    <row r="30" spans="1:11" x14ac:dyDescent="0.25">
      <c r="A30" s="3" t="s">
        <v>76</v>
      </c>
      <c r="B30" s="4" t="s">
        <v>77</v>
      </c>
      <c r="C30" s="5">
        <v>1562</v>
      </c>
      <c r="D30" s="6" t="s">
        <v>28</v>
      </c>
      <c r="E30" s="6" t="s">
        <v>17</v>
      </c>
      <c r="F30" s="7">
        <v>36441</v>
      </c>
      <c r="G30" s="8">
        <f t="shared" si="0"/>
        <v>36441</v>
      </c>
      <c r="H30" s="6" t="s">
        <v>13</v>
      </c>
      <c r="I30" s="9">
        <f>MAX(original!I30,piwebapi_edit!I30,car_edit!I30)</f>
        <v>43395.5521196466</v>
      </c>
      <c r="J30" s="9">
        <f>MAX(original!J30,piwebapi_edit!J30,car_edit!J30)</f>
        <v>250.712923880137</v>
      </c>
      <c r="K30" s="17"/>
    </row>
    <row r="31" spans="1:11" x14ac:dyDescent="0.25">
      <c r="A31" s="3" t="s">
        <v>78</v>
      </c>
      <c r="B31" s="4" t="s">
        <v>79</v>
      </c>
      <c r="C31" s="5">
        <v>1139</v>
      </c>
      <c r="D31" s="6" t="s">
        <v>31</v>
      </c>
      <c r="E31" s="6" t="s">
        <v>17</v>
      </c>
      <c r="F31" s="7">
        <v>29221</v>
      </c>
      <c r="G31" s="8">
        <f t="shared" si="0"/>
        <v>29221</v>
      </c>
      <c r="H31" s="6" t="s">
        <v>13</v>
      </c>
      <c r="I31" s="9">
        <f>MAX(original!I31,piwebapi_edit!I31,car_edit!I31)</f>
        <v>147421.86812518598</v>
      </c>
      <c r="J31" s="9">
        <f>MAX(original!J31,piwebapi_edit!J31,car_edit!J31)</f>
        <v>431.74385581449002</v>
      </c>
      <c r="K31" s="17"/>
    </row>
    <row r="32" spans="1:11" x14ac:dyDescent="0.25">
      <c r="A32" s="3" t="s">
        <v>80</v>
      </c>
      <c r="B32" s="4" t="s">
        <v>81</v>
      </c>
      <c r="C32" s="14">
        <v>1490</v>
      </c>
      <c r="D32" s="6" t="s">
        <v>28</v>
      </c>
      <c r="E32" s="6" t="s">
        <v>17</v>
      </c>
      <c r="F32" s="7">
        <v>26753</v>
      </c>
      <c r="G32" s="8">
        <f t="shared" si="0"/>
        <v>26753</v>
      </c>
      <c r="H32" s="6" t="s">
        <v>13</v>
      </c>
      <c r="I32" s="9">
        <f>MAX(original!I32,piwebapi_edit!I32,car_edit!I32)</f>
        <v>19641.488377677699</v>
      </c>
      <c r="J32" s="9">
        <f>MAX(original!J32,piwebapi_edit!J32,car_edit!J32)</f>
        <v>322.96818647560099</v>
      </c>
      <c r="K32" s="17"/>
    </row>
    <row r="33" spans="1:11" x14ac:dyDescent="0.25">
      <c r="A33" s="37" t="s">
        <v>82</v>
      </c>
      <c r="B33" s="4" t="s">
        <v>83</v>
      </c>
      <c r="C33" s="5">
        <v>1826</v>
      </c>
      <c r="D33" s="6" t="s">
        <v>31</v>
      </c>
      <c r="E33" s="6" t="s">
        <v>17</v>
      </c>
      <c r="F33" s="7">
        <v>31778</v>
      </c>
      <c r="G33" s="8">
        <f t="shared" si="0"/>
        <v>31778</v>
      </c>
      <c r="H33" s="6" t="s">
        <v>13</v>
      </c>
      <c r="I33" s="9">
        <f>MAX(original!I33,piwebapi_edit!I33,car_edit!I33)</f>
        <v>2713621.2990654497</v>
      </c>
      <c r="J33" s="9">
        <f>MAX(original!J33,piwebapi_edit!J33,car_edit!J33)</f>
        <v>8000</v>
      </c>
      <c r="K33" s="17"/>
    </row>
    <row r="34" spans="1:11" x14ac:dyDescent="0.25">
      <c r="A34" s="3" t="s">
        <v>84</v>
      </c>
      <c r="B34" s="4" t="s">
        <v>85</v>
      </c>
      <c r="C34" s="5">
        <v>1564</v>
      </c>
      <c r="D34" s="6" t="s">
        <v>28</v>
      </c>
      <c r="E34" s="6" t="s">
        <v>17</v>
      </c>
      <c r="F34" s="7">
        <v>25569</v>
      </c>
      <c r="G34" s="8">
        <f t="shared" si="0"/>
        <v>25569</v>
      </c>
      <c r="H34" s="6" t="s">
        <v>13</v>
      </c>
      <c r="I34" s="9">
        <f>MAX(original!I34,piwebapi_edit!I34,car_edit!I34)</f>
        <v>264041.88685144699</v>
      </c>
      <c r="J34" s="9">
        <f>MAX(original!J34,piwebapi_edit!J34,car_edit!J34)</f>
        <v>800</v>
      </c>
      <c r="K34" s="17"/>
    </row>
    <row r="35" spans="1:11" x14ac:dyDescent="0.25">
      <c r="A35" s="3" t="s">
        <v>86</v>
      </c>
      <c r="B35" s="4" t="s">
        <v>87</v>
      </c>
      <c r="C35" s="5">
        <v>1968</v>
      </c>
      <c r="D35" s="6" t="s">
        <v>16</v>
      </c>
      <c r="E35" s="6" t="s">
        <v>17</v>
      </c>
      <c r="F35" s="7">
        <v>29221</v>
      </c>
      <c r="G35" s="8">
        <f t="shared" si="0"/>
        <v>29221</v>
      </c>
      <c r="H35" s="6" t="s">
        <v>13</v>
      </c>
      <c r="I35" s="9">
        <f>MAX(original!I35,piwebapi_edit!I35,car_edit!I35)</f>
        <v>10740.1922881224</v>
      </c>
      <c r="J35" s="9">
        <f>MAX(original!J35,piwebapi_edit!J35,car_edit!J35)</f>
        <v>359.74632570250202</v>
      </c>
      <c r="K35" s="17"/>
    </row>
    <row r="36" spans="1:11" x14ac:dyDescent="0.25">
      <c r="A36" s="3" t="s">
        <v>88</v>
      </c>
      <c r="B36" s="4" t="s">
        <v>89</v>
      </c>
      <c r="C36" s="5">
        <v>1369</v>
      </c>
      <c r="D36" s="6" t="s">
        <v>28</v>
      </c>
      <c r="E36" s="6" t="s">
        <v>17</v>
      </c>
      <c r="F36" s="7">
        <v>33813</v>
      </c>
      <c r="G36" s="8">
        <f t="shared" si="0"/>
        <v>33813</v>
      </c>
      <c r="H36" s="6" t="s">
        <v>13</v>
      </c>
      <c r="I36" s="9">
        <f>MAX(original!I36,piwebapi_edit!I36,car_edit!I36)</f>
        <v>1532.78597399706</v>
      </c>
      <c r="J36" s="9">
        <f>MAX(original!J36,piwebapi_edit!J36,car_edit!J36)</f>
        <v>218.86512962089401</v>
      </c>
      <c r="K36" s="17"/>
    </row>
    <row r="37" spans="1:11" x14ac:dyDescent="0.25">
      <c r="A37" s="3" t="s">
        <v>90</v>
      </c>
      <c r="B37" s="4" t="s">
        <v>91</v>
      </c>
      <c r="C37" s="5">
        <v>2241</v>
      </c>
      <c r="D37" s="6" t="s">
        <v>28</v>
      </c>
      <c r="E37" s="6" t="s">
        <v>17</v>
      </c>
      <c r="F37" s="7">
        <v>37117</v>
      </c>
      <c r="G37" s="8">
        <f t="shared" si="0"/>
        <v>37117</v>
      </c>
      <c r="H37" s="6" t="s">
        <v>13</v>
      </c>
      <c r="I37" s="9">
        <f>MAX(original!I37,piwebapi_edit!I37,car_edit!I37)</f>
        <v>103743.192612211</v>
      </c>
      <c r="J37" s="9">
        <f>MAX(original!J37,piwebapi_edit!J37,car_edit!J37)</f>
        <v>398.70769299059202</v>
      </c>
      <c r="K37" s="17"/>
    </row>
    <row r="38" spans="1:11" x14ac:dyDescent="0.25">
      <c r="A38" s="3" t="s">
        <v>92</v>
      </c>
      <c r="B38" s="4" t="s">
        <v>93</v>
      </c>
      <c r="C38" s="5">
        <v>2012</v>
      </c>
      <c r="D38" s="6" t="s">
        <v>16</v>
      </c>
      <c r="E38" s="6" t="s">
        <v>17</v>
      </c>
      <c r="F38" s="7">
        <v>29221</v>
      </c>
      <c r="G38" s="8">
        <f t="shared" si="0"/>
        <v>29221</v>
      </c>
      <c r="H38" s="6" t="s">
        <v>13</v>
      </c>
      <c r="I38" s="9">
        <f>MAX(original!I38,piwebapi_edit!I38,car_edit!I38)</f>
        <v>11032.907342399199</v>
      </c>
      <c r="J38" s="9">
        <f>MAX(original!J38,piwebapi_edit!J38,car_edit!J38)</f>
        <v>33.8272600978786</v>
      </c>
      <c r="K38" s="17"/>
    </row>
    <row r="39" spans="1:11" x14ac:dyDescent="0.25">
      <c r="A39" s="3" t="s">
        <v>94</v>
      </c>
      <c r="B39" s="4" t="s">
        <v>95</v>
      </c>
      <c r="C39" s="5">
        <v>89458</v>
      </c>
      <c r="D39" s="6" t="s">
        <v>28</v>
      </c>
      <c r="E39" s="6" t="s">
        <v>17</v>
      </c>
      <c r="F39" s="7">
        <v>31048</v>
      </c>
      <c r="G39" s="8">
        <f t="shared" si="0"/>
        <v>31048</v>
      </c>
      <c r="H39" s="6" t="s">
        <v>13</v>
      </c>
      <c r="I39" s="9">
        <f>MAX(original!I39,piwebapi_edit!I39,car_edit!I39)</f>
        <v>6798.2711066812099</v>
      </c>
      <c r="J39" s="9">
        <f>MAX(original!J39,piwebapi_edit!J39,car_edit!J39)</f>
        <v>74.420631876838499</v>
      </c>
      <c r="K39" s="17"/>
    </row>
    <row r="40" spans="1:11" x14ac:dyDescent="0.25">
      <c r="A40" s="3" t="s">
        <v>96</v>
      </c>
      <c r="B40" s="4" t="s">
        <v>97</v>
      </c>
      <c r="C40" s="5">
        <v>1963</v>
      </c>
      <c r="D40" s="6" t="s">
        <v>11</v>
      </c>
      <c r="E40" s="6" t="s">
        <v>17</v>
      </c>
      <c r="F40" s="7">
        <v>36039</v>
      </c>
      <c r="G40" s="8">
        <f t="shared" si="0"/>
        <v>36039</v>
      </c>
      <c r="H40" s="6" t="s">
        <v>13</v>
      </c>
      <c r="I40" s="9">
        <f>MAX(original!I40,piwebapi_edit!I40,car_edit!I40)</f>
        <v>32722.459281433999</v>
      </c>
      <c r="J40" s="9">
        <f>MAX(original!J40,piwebapi_edit!J40,car_edit!J40)</f>
        <v>163.584108275657</v>
      </c>
      <c r="K40" s="17"/>
    </row>
    <row r="41" spans="1:11" x14ac:dyDescent="0.25">
      <c r="A41" s="3" t="s">
        <v>98</v>
      </c>
      <c r="B41" s="4" t="s">
        <v>99</v>
      </c>
      <c r="C41" s="14">
        <v>1631</v>
      </c>
      <c r="D41" s="6" t="s">
        <v>31</v>
      </c>
      <c r="E41" s="6" t="s">
        <v>17</v>
      </c>
      <c r="F41" s="7">
        <v>29221</v>
      </c>
      <c r="G41" s="8">
        <f t="shared" si="0"/>
        <v>29221</v>
      </c>
      <c r="H41" s="6" t="s">
        <v>13</v>
      </c>
      <c r="I41" s="9">
        <f>MAX(original!I41,piwebapi_edit!I41,car_edit!I41)</f>
        <v>510516.08388147899</v>
      </c>
      <c r="J41" s="9">
        <f>MAX(original!J41,piwebapi_edit!J41,car_edit!J41)</f>
        <v>2302.9151251459798</v>
      </c>
      <c r="K41" s="17"/>
    </row>
    <row r="42" spans="1:11" x14ac:dyDescent="0.25">
      <c r="A42" s="3" t="s">
        <v>100</v>
      </c>
      <c r="B42" s="4" t="s">
        <v>101</v>
      </c>
      <c r="C42" s="5">
        <v>1741</v>
      </c>
      <c r="D42" s="6" t="s">
        <v>31</v>
      </c>
      <c r="E42" s="6" t="s">
        <v>17</v>
      </c>
      <c r="F42" s="7">
        <v>25569</v>
      </c>
      <c r="G42" s="8">
        <f t="shared" si="0"/>
        <v>25569</v>
      </c>
      <c r="H42" s="6" t="s">
        <v>13</v>
      </c>
      <c r="I42" s="9">
        <f>MAX(original!I42,piwebapi_edit!I42,car_edit!I42)</f>
        <v>26656.210009197297</v>
      </c>
      <c r="J42" s="9">
        <f>MAX(original!J42,piwebapi_edit!J42,car_edit!J42)</f>
        <v>123.212369984387</v>
      </c>
      <c r="K42" s="17"/>
    </row>
    <row r="43" spans="1:11" x14ac:dyDescent="0.25">
      <c r="A43" s="3" t="s">
        <v>102</v>
      </c>
      <c r="B43" s="4" t="s">
        <v>103</v>
      </c>
      <c r="C43" s="5">
        <v>29846</v>
      </c>
      <c r="D43" s="6" t="s">
        <v>34</v>
      </c>
      <c r="E43" s="6" t="s">
        <v>17</v>
      </c>
      <c r="F43" s="7">
        <v>39029</v>
      </c>
      <c r="G43" s="8">
        <f t="shared" si="0"/>
        <v>39029</v>
      </c>
      <c r="H43" s="6" t="s">
        <v>13</v>
      </c>
      <c r="I43" s="9">
        <f>MAX(original!I43,piwebapi_edit!I43,car_edit!I43)</f>
        <v>22977.768615159399</v>
      </c>
      <c r="J43" s="9">
        <f>MAX(original!J43,piwebapi_edit!J43,car_edit!J43)</f>
        <v>74.822792666530603</v>
      </c>
      <c r="K43" s="11"/>
    </row>
    <row r="44" spans="1:11" ht="30" x14ac:dyDescent="0.25">
      <c r="A44" s="18" t="s">
        <v>104</v>
      </c>
      <c r="B44" s="19" t="s">
        <v>105</v>
      </c>
      <c r="C44" s="5">
        <v>1986</v>
      </c>
      <c r="D44" s="21" t="s">
        <v>28</v>
      </c>
      <c r="E44" s="21" t="s">
        <v>17</v>
      </c>
      <c r="F44" s="22">
        <v>29587</v>
      </c>
      <c r="G44" s="23">
        <f t="shared" si="0"/>
        <v>29587</v>
      </c>
      <c r="H44" s="21" t="s">
        <v>13</v>
      </c>
      <c r="I44" s="9">
        <f>MAX(original!I44,piwebapi_edit!I44,car_edit!I44)</f>
        <v>1799391.1974615701</v>
      </c>
      <c r="J44" s="9">
        <f>MAX(original!J44,piwebapi_edit!J44,car_edit!J44)</f>
        <v>6500</v>
      </c>
      <c r="K44" s="25"/>
    </row>
    <row r="45" spans="1:11" x14ac:dyDescent="0.25">
      <c r="A45" s="3" t="s">
        <v>106</v>
      </c>
      <c r="B45" s="4" t="s">
        <v>107</v>
      </c>
      <c r="C45" s="5">
        <v>1344</v>
      </c>
      <c r="D45" s="6" t="s">
        <v>31</v>
      </c>
      <c r="E45" s="6" t="s">
        <v>17</v>
      </c>
      <c r="F45" s="7">
        <v>39213</v>
      </c>
      <c r="G45" s="8">
        <f t="shared" si="0"/>
        <v>39213</v>
      </c>
      <c r="H45" s="6" t="s">
        <v>13</v>
      </c>
      <c r="I45" s="9">
        <f>MAX(original!I45,piwebapi_edit!I45,car_edit!I45)</f>
        <v>70393.662176458412</v>
      </c>
      <c r="J45" s="9">
        <f>MAX(original!J45,piwebapi_edit!J45,car_edit!J45)</f>
        <v>190.31484720948799</v>
      </c>
      <c r="K45" s="17"/>
    </row>
    <row r="46" spans="1:11" x14ac:dyDescent="0.25">
      <c r="A46" s="3" t="s">
        <v>108</v>
      </c>
      <c r="B46" s="4" t="s">
        <v>109</v>
      </c>
      <c r="C46" s="5">
        <v>1158</v>
      </c>
      <c r="D46" s="6" t="s">
        <v>31</v>
      </c>
      <c r="E46" s="6" t="s">
        <v>17</v>
      </c>
      <c r="F46" s="7">
        <v>25569</v>
      </c>
      <c r="G46" s="8">
        <f t="shared" si="0"/>
        <v>25569</v>
      </c>
      <c r="H46" s="6" t="s">
        <v>13</v>
      </c>
      <c r="I46" s="9">
        <f>MAX(original!I46,piwebapi_edit!I46,car_edit!I46)</f>
        <v>48107.933934584798</v>
      </c>
      <c r="J46" s="9">
        <f>MAX(original!J46,piwebapi_edit!J46,car_edit!J46)</f>
        <v>362.40797125309302</v>
      </c>
      <c r="K46" s="17"/>
    </row>
    <row r="47" spans="1:11" x14ac:dyDescent="0.25">
      <c r="A47" s="3" t="s">
        <v>110</v>
      </c>
      <c r="B47" s="4" t="s">
        <v>111</v>
      </c>
      <c r="C47" s="5">
        <v>19856</v>
      </c>
      <c r="D47" s="6" t="s">
        <v>34</v>
      </c>
      <c r="E47" s="6" t="s">
        <v>17</v>
      </c>
      <c r="F47" s="7">
        <v>38512</v>
      </c>
      <c r="G47" s="8">
        <f t="shared" si="0"/>
        <v>38512</v>
      </c>
      <c r="H47" s="6" t="s">
        <v>13</v>
      </c>
      <c r="I47" s="9">
        <f>MAX(original!I47,piwebapi_edit!I47,car_edit!I47)</f>
        <v>48355.364168803295</v>
      </c>
      <c r="J47" s="9">
        <f>MAX(original!J47,piwebapi_edit!J47,car_edit!J47)</f>
        <v>188.21249364247001</v>
      </c>
      <c r="K47" s="17"/>
    </row>
    <row r="48" spans="1:11" x14ac:dyDescent="0.25">
      <c r="A48" s="3" t="s">
        <v>112</v>
      </c>
      <c r="B48" s="4" t="s">
        <v>113</v>
      </c>
      <c r="C48" s="5">
        <v>1624</v>
      </c>
      <c r="D48" s="6" t="s">
        <v>16</v>
      </c>
      <c r="E48" s="6" t="s">
        <v>17</v>
      </c>
      <c r="F48" s="7">
        <v>32874</v>
      </c>
      <c r="G48" s="8">
        <f t="shared" si="0"/>
        <v>32874</v>
      </c>
      <c r="H48" s="6" t="s">
        <v>13</v>
      </c>
      <c r="I48" s="9">
        <f>MAX(original!I48,piwebapi_edit!I48,car_edit!I48)</f>
        <v>38929.068384858903</v>
      </c>
      <c r="J48" s="9">
        <f>MAX(original!J48,piwebapi_edit!J48,car_edit!J48)</f>
        <v>221.70676406877399</v>
      </c>
      <c r="K48" s="17"/>
    </row>
    <row r="49" spans="1:11" x14ac:dyDescent="0.25">
      <c r="A49" s="3" t="s">
        <v>114</v>
      </c>
      <c r="B49" s="4" t="s">
        <v>115</v>
      </c>
      <c r="C49" s="14">
        <v>28897</v>
      </c>
      <c r="D49" s="6" t="s">
        <v>11</v>
      </c>
      <c r="E49" s="6" t="s">
        <v>17</v>
      </c>
      <c r="F49" s="7">
        <v>36639</v>
      </c>
      <c r="G49" s="8">
        <f t="shared" si="0"/>
        <v>36639</v>
      </c>
      <c r="H49" s="6" t="s">
        <v>13</v>
      </c>
      <c r="I49" s="9">
        <f>MAX(original!I49,piwebapi_edit!I49,car_edit!I49)</f>
        <v>37631.493726459703</v>
      </c>
      <c r="J49" s="9">
        <f>MAX(original!J49,piwebapi_edit!J49,car_edit!J49)</f>
        <v>473.137069417318</v>
      </c>
      <c r="K49" s="17"/>
    </row>
    <row r="50" spans="1:11" x14ac:dyDescent="0.25">
      <c r="A50" s="3" t="s">
        <v>116</v>
      </c>
      <c r="B50" s="4" t="s">
        <v>117</v>
      </c>
      <c r="C50" s="5">
        <v>2881</v>
      </c>
      <c r="D50" s="6" t="s">
        <v>34</v>
      </c>
      <c r="E50" s="6" t="s">
        <v>17</v>
      </c>
      <c r="F50" s="7">
        <v>37099</v>
      </c>
      <c r="G50" s="8">
        <f t="shared" si="0"/>
        <v>37099</v>
      </c>
      <c r="H50" s="6" t="s">
        <v>13</v>
      </c>
      <c r="I50" s="9">
        <f>MAX(original!I50,piwebapi_edit!I50,car_edit!I50)</f>
        <v>50874.111443894799</v>
      </c>
      <c r="J50" s="9">
        <f>MAX(original!J50,piwebapi_edit!J50,car_edit!J50)</f>
        <v>538.95212978552104</v>
      </c>
      <c r="K50" s="17"/>
    </row>
    <row r="51" spans="1:11" x14ac:dyDescent="0.25">
      <c r="A51" s="3" t="s">
        <v>118</v>
      </c>
      <c r="B51" s="4" t="s">
        <v>119</v>
      </c>
      <c r="C51" s="14">
        <v>2034</v>
      </c>
      <c r="D51" s="6" t="s">
        <v>16</v>
      </c>
      <c r="E51" s="6" t="s">
        <v>17</v>
      </c>
      <c r="F51" s="7">
        <v>29221</v>
      </c>
      <c r="G51" s="8">
        <f t="shared" si="0"/>
        <v>29221</v>
      </c>
      <c r="H51" s="6" t="s">
        <v>13</v>
      </c>
      <c r="I51" s="9">
        <f>MAX(original!I51,piwebapi_edit!I51,car_edit!I51)</f>
        <v>73010.147173105201</v>
      </c>
      <c r="J51" s="9">
        <f>MAX(original!J51,piwebapi_edit!J51,car_edit!J51)</f>
        <v>518.48566220919997</v>
      </c>
      <c r="K51" s="17"/>
    </row>
    <row r="52" spans="1:11" x14ac:dyDescent="0.25">
      <c r="A52" s="3" t="s">
        <v>120</v>
      </c>
      <c r="B52" s="4" t="s">
        <v>121</v>
      </c>
      <c r="C52" s="14">
        <v>1069</v>
      </c>
      <c r="D52" s="6" t="s">
        <v>16</v>
      </c>
      <c r="E52" s="6" t="s">
        <v>17</v>
      </c>
      <c r="F52" s="7">
        <v>29221</v>
      </c>
      <c r="G52" s="8">
        <f t="shared" si="0"/>
        <v>29221</v>
      </c>
      <c r="H52" s="6" t="s">
        <v>13</v>
      </c>
      <c r="I52" s="9">
        <f>MAX(original!I52,piwebapi_edit!I52,car_edit!I52)</f>
        <v>208112.51526642102</v>
      </c>
      <c r="J52" s="9">
        <f>MAX(original!J52,piwebapi_edit!J52,car_edit!J52)</f>
        <v>533.66602291713798</v>
      </c>
      <c r="K52" s="17"/>
    </row>
    <row r="53" spans="1:11" x14ac:dyDescent="0.25">
      <c r="A53" s="3" t="s">
        <v>122</v>
      </c>
      <c r="B53" s="38" t="s">
        <v>123</v>
      </c>
      <c r="C53" s="14">
        <v>30660</v>
      </c>
      <c r="D53" s="6" t="s">
        <v>31</v>
      </c>
      <c r="E53" s="6" t="s">
        <v>17</v>
      </c>
      <c r="F53" s="7">
        <v>38373</v>
      </c>
      <c r="G53" s="8">
        <f t="shared" si="0"/>
        <v>38373</v>
      </c>
      <c r="H53" s="6" t="s">
        <v>13</v>
      </c>
      <c r="I53" s="9">
        <f>MAX(original!I53,piwebapi_edit!I53,car_edit!I53)</f>
        <v>107447.05115511999</v>
      </c>
      <c r="J53" s="9">
        <f>MAX(original!J53,piwebapi_edit!J53,car_edit!J53)</f>
        <v>1700</v>
      </c>
      <c r="K53" s="17"/>
    </row>
    <row r="54" spans="1:11" x14ac:dyDescent="0.25">
      <c r="A54" s="3" t="s">
        <v>124</v>
      </c>
      <c r="B54" s="4" t="s">
        <v>125</v>
      </c>
      <c r="C54" s="5">
        <v>48721</v>
      </c>
      <c r="D54" s="6" t="s">
        <v>37</v>
      </c>
      <c r="E54" s="6" t="s">
        <v>38</v>
      </c>
      <c r="F54" s="7">
        <v>39323</v>
      </c>
      <c r="G54" s="8">
        <f t="shared" si="0"/>
        <v>39323</v>
      </c>
      <c r="H54" s="6" t="s">
        <v>39</v>
      </c>
      <c r="I54" s="9">
        <f>MAX(original!I54,piwebapi_edit!I54,car_edit!I54)</f>
        <v>72641.361649344501</v>
      </c>
      <c r="J54" s="9">
        <f>MAX(original!J54,piwebapi_edit!J54,car_edit!J54)</f>
        <v>715.34594739520605</v>
      </c>
      <c r="K54" s="17"/>
    </row>
    <row r="55" spans="1:11" x14ac:dyDescent="0.25">
      <c r="A55" s="3" t="s">
        <v>126</v>
      </c>
      <c r="B55" s="4" t="s">
        <v>127</v>
      </c>
      <c r="C55" s="5">
        <v>52257</v>
      </c>
      <c r="D55" s="6" t="s">
        <v>37</v>
      </c>
      <c r="E55" s="6" t="s">
        <v>38</v>
      </c>
      <c r="F55" s="7">
        <v>38568</v>
      </c>
      <c r="G55" s="8">
        <f t="shared" si="0"/>
        <v>38568</v>
      </c>
      <c r="H55" s="6" t="s">
        <v>39</v>
      </c>
      <c r="I55" s="9">
        <f>MAX(original!I55,piwebapi_edit!I55,car_edit!I55)</f>
        <v>20375.0010333229</v>
      </c>
      <c r="J55" s="9">
        <f>MAX(original!J55,piwebapi_edit!J55,car_edit!J55)</f>
        <v>275.95752644794698</v>
      </c>
      <c r="K55" s="17"/>
    </row>
    <row r="56" spans="1:11" x14ac:dyDescent="0.25">
      <c r="A56" s="3" t="s">
        <v>128</v>
      </c>
      <c r="B56" s="4" t="s">
        <v>129</v>
      </c>
      <c r="C56" s="5">
        <v>21776</v>
      </c>
      <c r="D56" s="6" t="s">
        <v>34</v>
      </c>
      <c r="E56" s="6" t="s">
        <v>17</v>
      </c>
      <c r="F56" s="7">
        <v>38686</v>
      </c>
      <c r="G56" s="8">
        <f t="shared" si="0"/>
        <v>38686</v>
      </c>
      <c r="H56" s="6" t="s">
        <v>13</v>
      </c>
      <c r="I56" s="9">
        <f>MAX(original!I56,piwebapi_edit!I56,car_edit!I56)</f>
        <v>11835.085425458701</v>
      </c>
      <c r="J56" s="9">
        <f>MAX(original!J56,piwebapi_edit!J56,car_edit!J56)</f>
        <v>132.30657842536701</v>
      </c>
      <c r="K56" s="17"/>
    </row>
    <row r="57" spans="1:11" x14ac:dyDescent="0.25">
      <c r="A57" s="3" t="s">
        <v>130</v>
      </c>
      <c r="B57" s="4" t="s">
        <v>131</v>
      </c>
      <c r="C57" s="5">
        <v>11844</v>
      </c>
      <c r="D57" s="6" t="s">
        <v>34</v>
      </c>
      <c r="E57" s="6" t="s">
        <v>17</v>
      </c>
      <c r="F57" s="7">
        <v>37985</v>
      </c>
      <c r="G57" s="8">
        <f t="shared" si="0"/>
        <v>37985</v>
      </c>
      <c r="H57" s="6" t="s">
        <v>13</v>
      </c>
      <c r="I57" s="9">
        <f>MAX(original!I57,piwebapi_edit!I57,car_edit!I57)</f>
        <v>14542.814733595798</v>
      </c>
      <c r="J57" s="9">
        <f>MAX(original!J57,piwebapi_edit!J57,car_edit!J57)</f>
        <v>122.528009028105</v>
      </c>
      <c r="K57" s="17"/>
    </row>
    <row r="58" spans="1:11" x14ac:dyDescent="0.25">
      <c r="A58" s="26" t="s">
        <v>132</v>
      </c>
      <c r="B58" s="27" t="s">
        <v>133</v>
      </c>
      <c r="C58" s="34">
        <v>52944</v>
      </c>
      <c r="D58" s="28" t="s">
        <v>28</v>
      </c>
      <c r="E58" s="28" t="s">
        <v>17</v>
      </c>
      <c r="F58" s="29">
        <v>39114</v>
      </c>
      <c r="G58" s="30">
        <f t="shared" si="0"/>
        <v>39114</v>
      </c>
      <c r="H58" s="28" t="s">
        <v>13</v>
      </c>
      <c r="I58" s="9">
        <f>MAX(original!I58,piwebapi_edit!I58,car_edit!I58)</f>
        <v>6843.9663336824897</v>
      </c>
      <c r="J58" s="9">
        <f>MAX(original!J58,piwebapi_edit!J58,car_edit!J58)</f>
        <v>179.44451514877099</v>
      </c>
      <c r="K58" s="33"/>
    </row>
    <row r="59" spans="1:11" x14ac:dyDescent="0.25">
      <c r="A59" s="3" t="s">
        <v>134</v>
      </c>
      <c r="B59" s="4" t="s">
        <v>135</v>
      </c>
      <c r="C59" s="5">
        <v>31330</v>
      </c>
      <c r="D59" s="6" t="s">
        <v>31</v>
      </c>
      <c r="E59" s="6" t="s">
        <v>17</v>
      </c>
      <c r="F59" s="7">
        <v>30947</v>
      </c>
      <c r="G59" s="8">
        <f t="shared" si="0"/>
        <v>30947</v>
      </c>
      <c r="H59" s="6" t="s">
        <v>13</v>
      </c>
      <c r="I59" s="9">
        <f>MAX(original!I59,piwebapi_edit!I59,car_edit!I59)</f>
        <v>4534.04971157004</v>
      </c>
      <c r="J59" s="9">
        <f>MAX(original!J59,piwebapi_edit!J59,car_edit!J59)</f>
        <v>45.937127383006398</v>
      </c>
      <c r="K59" s="17"/>
    </row>
    <row r="60" spans="1:11" x14ac:dyDescent="0.25">
      <c r="A60" s="3" t="s">
        <v>136</v>
      </c>
      <c r="B60" s="4" t="s">
        <v>137</v>
      </c>
      <c r="C60" s="5">
        <v>31297</v>
      </c>
      <c r="D60" s="6" t="s">
        <v>31</v>
      </c>
      <c r="E60" s="6" t="s">
        <v>17</v>
      </c>
      <c r="F60" s="7">
        <v>30855</v>
      </c>
      <c r="G60" s="8">
        <f t="shared" si="0"/>
        <v>30855</v>
      </c>
      <c r="H60" s="6" t="s">
        <v>13</v>
      </c>
      <c r="I60" s="9">
        <f>MAX(original!I60,piwebapi_edit!I60,car_edit!I60)</f>
        <v>31454.357468862898</v>
      </c>
      <c r="J60" s="9">
        <f>MAX(original!J60,piwebapi_edit!J60,car_edit!J60)</f>
        <v>231.966683080417</v>
      </c>
      <c r="K60" s="17"/>
    </row>
    <row r="61" spans="1:11" x14ac:dyDescent="0.25">
      <c r="A61" s="3" t="s">
        <v>138</v>
      </c>
      <c r="B61" s="4" t="s">
        <v>139</v>
      </c>
      <c r="C61" s="5">
        <v>54487</v>
      </c>
      <c r="D61" s="6" t="s">
        <v>31</v>
      </c>
      <c r="E61" s="6" t="s">
        <v>17</v>
      </c>
      <c r="F61" s="7">
        <v>38411</v>
      </c>
      <c r="G61" s="8">
        <f t="shared" si="0"/>
        <v>38411</v>
      </c>
      <c r="H61" s="6" t="s">
        <v>13</v>
      </c>
      <c r="I61" s="9">
        <f>MAX(original!I61,piwebapi_edit!I61,car_edit!I61)</f>
        <v>1736.07294372152</v>
      </c>
      <c r="J61" s="9">
        <f>MAX(original!J61,piwebapi_edit!J61,car_edit!J61)</f>
        <v>5.2906659576869099</v>
      </c>
      <c r="K61" s="17"/>
    </row>
    <row r="62" spans="1:11" x14ac:dyDescent="0.25">
      <c r="A62" s="3" t="s">
        <v>140</v>
      </c>
      <c r="B62" s="4" t="s">
        <v>141</v>
      </c>
      <c r="C62" s="5">
        <v>72173</v>
      </c>
      <c r="D62" s="6" t="s">
        <v>34</v>
      </c>
      <c r="E62" s="6" t="s">
        <v>17</v>
      </c>
      <c r="F62" s="7">
        <v>38580</v>
      </c>
      <c r="G62" s="8">
        <f t="shared" si="0"/>
        <v>38580</v>
      </c>
      <c r="H62" s="6" t="s">
        <v>13</v>
      </c>
      <c r="I62" s="9">
        <f>MAX(original!I62,piwebapi_edit!I62,car_edit!I62)</f>
        <v>52904.9681136406</v>
      </c>
      <c r="J62" s="9">
        <f>MAX(original!J62,piwebapi_edit!J62,car_edit!J62)</f>
        <v>451.21186307305197</v>
      </c>
      <c r="K62" s="17"/>
    </row>
    <row r="63" spans="1:11" x14ac:dyDescent="0.25">
      <c r="A63" s="3" t="s">
        <v>142</v>
      </c>
      <c r="B63" s="4" t="s">
        <v>143</v>
      </c>
      <c r="C63" s="5">
        <v>1118</v>
      </c>
      <c r="D63" s="6" t="s">
        <v>28</v>
      </c>
      <c r="E63" s="6" t="s">
        <v>17</v>
      </c>
      <c r="F63" s="7">
        <v>29221</v>
      </c>
      <c r="G63" s="8">
        <f t="shared" si="0"/>
        <v>29221</v>
      </c>
      <c r="H63" s="6" t="s">
        <v>13</v>
      </c>
      <c r="I63" s="9">
        <f>MAX(original!I63,piwebapi_edit!I63,car_edit!I63)</f>
        <v>139898.20341040601</v>
      </c>
      <c r="J63" s="9">
        <f>MAX(original!J63,piwebapi_edit!J63,car_edit!J63)</f>
        <v>729.92798155001799</v>
      </c>
      <c r="K63" s="17"/>
    </row>
    <row r="64" spans="1:11" x14ac:dyDescent="0.25">
      <c r="A64" s="3" t="s">
        <v>144</v>
      </c>
      <c r="B64" s="4" t="s">
        <v>145</v>
      </c>
      <c r="C64" s="5">
        <v>1792</v>
      </c>
      <c r="D64" s="6" t="s">
        <v>28</v>
      </c>
      <c r="E64" s="6" t="s">
        <v>17</v>
      </c>
      <c r="F64" s="7">
        <v>32143</v>
      </c>
      <c r="G64" s="8">
        <f t="shared" si="0"/>
        <v>32143</v>
      </c>
      <c r="H64" s="6" t="s">
        <v>13</v>
      </c>
      <c r="I64" s="9">
        <f>MAX(original!I64,piwebapi_edit!I64,car_edit!I64)</f>
        <v>266416.03230937803</v>
      </c>
      <c r="J64" s="9">
        <f>MAX(original!J64,piwebapi_edit!J64,car_edit!J64)</f>
        <v>1935.9737835492499</v>
      </c>
      <c r="K64" s="17"/>
    </row>
    <row r="65" spans="1:11" x14ac:dyDescent="0.25">
      <c r="A65" s="26" t="s">
        <v>146</v>
      </c>
      <c r="B65" s="27" t="s">
        <v>147</v>
      </c>
      <c r="C65" s="5">
        <v>1514</v>
      </c>
      <c r="D65" s="28" t="s">
        <v>28</v>
      </c>
      <c r="E65" s="28" t="s">
        <v>17</v>
      </c>
      <c r="F65" s="29">
        <v>25569</v>
      </c>
      <c r="G65" s="30">
        <f t="shared" si="0"/>
        <v>25569</v>
      </c>
      <c r="H65" s="28" t="s">
        <v>13</v>
      </c>
      <c r="I65" s="9">
        <f>MAX(original!I65,piwebapi_edit!I65,car_edit!I65)</f>
        <v>369834.47335766401</v>
      </c>
      <c r="J65" s="9">
        <f>MAX(original!J65,piwebapi_edit!J65,car_edit!J65)</f>
        <v>863.87783547556205</v>
      </c>
      <c r="K65" s="33"/>
    </row>
    <row r="66" spans="1:11" x14ac:dyDescent="0.25">
      <c r="A66" s="3" t="s">
        <v>148</v>
      </c>
      <c r="B66" s="4" t="s">
        <v>149</v>
      </c>
      <c r="C66" s="5">
        <v>41697</v>
      </c>
      <c r="D66" s="6" t="s">
        <v>28</v>
      </c>
      <c r="E66" s="6" t="s">
        <v>17</v>
      </c>
      <c r="F66" s="7">
        <v>37901</v>
      </c>
      <c r="G66" s="8">
        <f t="shared" ref="G66:G129" si="1">F66</f>
        <v>37901</v>
      </c>
      <c r="H66" s="6" t="s">
        <v>13</v>
      </c>
      <c r="I66" s="9">
        <f>MAX(original!I66,piwebapi_edit!I66,car_edit!I66)</f>
        <v>24544.8076490229</v>
      </c>
      <c r="J66" s="9">
        <f>MAX(original!J66,piwebapi_edit!J66,car_edit!J66)</f>
        <v>354.69240241102102</v>
      </c>
      <c r="K66" s="17"/>
    </row>
    <row r="67" spans="1:11" x14ac:dyDescent="0.25">
      <c r="A67" s="3" t="s">
        <v>150</v>
      </c>
      <c r="B67" s="4" t="s">
        <v>151</v>
      </c>
      <c r="C67" s="5">
        <v>27953</v>
      </c>
      <c r="D67" s="6" t="s">
        <v>31</v>
      </c>
      <c r="E67" s="6" t="s">
        <v>17</v>
      </c>
      <c r="F67" s="7">
        <v>21438</v>
      </c>
      <c r="G67" s="8">
        <f t="shared" si="1"/>
        <v>21438</v>
      </c>
      <c r="H67" s="6" t="s">
        <v>13</v>
      </c>
      <c r="I67" s="9">
        <f>MAX(original!I67,piwebapi_edit!I67,car_edit!I67)</f>
        <v>3695.69940360085</v>
      </c>
      <c r="J67" s="9">
        <f>MAX(original!J67,piwebapi_edit!J67,car_edit!J67)</f>
        <v>21.893738060958899</v>
      </c>
      <c r="K67" s="17"/>
    </row>
    <row r="68" spans="1:11" x14ac:dyDescent="0.25">
      <c r="A68" s="3" t="s">
        <v>152</v>
      </c>
      <c r="B68" s="4" t="s">
        <v>153</v>
      </c>
      <c r="C68" s="5">
        <v>39090</v>
      </c>
      <c r="D68" s="6" t="s">
        <v>31</v>
      </c>
      <c r="E68" s="6" t="s">
        <v>17</v>
      </c>
      <c r="F68" s="7">
        <v>28374</v>
      </c>
      <c r="G68" s="8">
        <f t="shared" si="1"/>
        <v>28374</v>
      </c>
      <c r="H68" s="6" t="s">
        <v>13</v>
      </c>
      <c r="I68" s="9">
        <f>MAX(original!I68,piwebapi_edit!I68,car_edit!I68)</f>
        <v>17401.6221925965</v>
      </c>
      <c r="J68" s="9">
        <f>MAX(original!J68,piwebapi_edit!J68,car_edit!J68)</f>
        <v>90.266297396981898</v>
      </c>
      <c r="K68" s="17"/>
    </row>
    <row r="69" spans="1:11" x14ac:dyDescent="0.25">
      <c r="A69" s="3" t="s">
        <v>154</v>
      </c>
      <c r="B69" s="4" t="s">
        <v>155</v>
      </c>
      <c r="C69" s="5">
        <v>36881</v>
      </c>
      <c r="D69" s="6" t="s">
        <v>31</v>
      </c>
      <c r="E69" s="6" t="s">
        <v>17</v>
      </c>
      <c r="F69" s="7">
        <v>26151</v>
      </c>
      <c r="G69" s="8">
        <f t="shared" si="1"/>
        <v>26151</v>
      </c>
      <c r="H69" s="6" t="s">
        <v>13</v>
      </c>
      <c r="I69" s="9">
        <f>MAX(original!I69,piwebapi_edit!I69,car_edit!I69)</f>
        <v>2634.5869075721098</v>
      </c>
      <c r="J69" s="9">
        <f>MAX(original!J69,piwebapi_edit!J69,car_edit!J69)</f>
        <v>129.541657214716</v>
      </c>
      <c r="K69" s="17"/>
    </row>
    <row r="70" spans="1:11" x14ac:dyDescent="0.25">
      <c r="A70" s="3" t="s">
        <v>156</v>
      </c>
      <c r="B70" s="4" t="s">
        <v>157</v>
      </c>
      <c r="C70" s="5">
        <v>39121</v>
      </c>
      <c r="D70" s="6" t="s">
        <v>31</v>
      </c>
      <c r="E70" s="6" t="s">
        <v>17</v>
      </c>
      <c r="F70" s="7">
        <v>32751</v>
      </c>
      <c r="G70" s="8">
        <f t="shared" si="1"/>
        <v>32751</v>
      </c>
      <c r="H70" s="6" t="s">
        <v>13</v>
      </c>
      <c r="I70" s="9">
        <f>MAX(original!I70,piwebapi_edit!I70,car_edit!I70)</f>
        <v>29977.0291440531</v>
      </c>
      <c r="J70" s="9">
        <f>MAX(original!J70,piwebapi_edit!J70,car_edit!J70)</f>
        <v>126.99116868133299</v>
      </c>
      <c r="K70" s="17"/>
    </row>
    <row r="71" spans="1:11" x14ac:dyDescent="0.25">
      <c r="A71" s="3" t="s">
        <v>158</v>
      </c>
      <c r="B71" s="4" t="s">
        <v>159</v>
      </c>
      <c r="C71" s="5">
        <v>34817</v>
      </c>
      <c r="D71" s="6" t="s">
        <v>31</v>
      </c>
      <c r="E71" s="6" t="s">
        <v>17</v>
      </c>
      <c r="F71" s="7">
        <v>24777</v>
      </c>
      <c r="G71" s="8">
        <f t="shared" si="1"/>
        <v>24777</v>
      </c>
      <c r="H71" s="6" t="s">
        <v>13</v>
      </c>
      <c r="I71" s="9">
        <f>MAX(original!I71,piwebapi_edit!I71,car_edit!I71)</f>
        <v>27566.208185907701</v>
      </c>
      <c r="J71" s="9">
        <f>MAX(original!J71,piwebapi_edit!J71,car_edit!J71)</f>
        <v>180.30730898394799</v>
      </c>
      <c r="K71" s="17"/>
    </row>
    <row r="72" spans="1:11" x14ac:dyDescent="0.25">
      <c r="A72" s="26" t="s">
        <v>160</v>
      </c>
      <c r="B72" s="27" t="s">
        <v>161</v>
      </c>
      <c r="C72" s="5">
        <v>36785</v>
      </c>
      <c r="D72" s="28" t="s">
        <v>31</v>
      </c>
      <c r="E72" s="28" t="s">
        <v>17</v>
      </c>
      <c r="F72" s="29">
        <v>26402</v>
      </c>
      <c r="G72" s="30">
        <f t="shared" si="1"/>
        <v>26402</v>
      </c>
      <c r="H72" s="28" t="s">
        <v>13</v>
      </c>
      <c r="I72" s="9">
        <f>MAX(original!I72,piwebapi_edit!I72,car_edit!I72)</f>
        <v>34833.425448916205</v>
      </c>
      <c r="J72" s="9">
        <f>MAX(original!J72,piwebapi_edit!J72,car_edit!J72)</f>
        <v>166.263343101933</v>
      </c>
      <c r="K72" s="33"/>
    </row>
    <row r="73" spans="1:11" x14ac:dyDescent="0.25">
      <c r="A73" s="3" t="s">
        <v>162</v>
      </c>
      <c r="B73" s="4" t="s">
        <v>163</v>
      </c>
      <c r="C73" s="5">
        <v>8004</v>
      </c>
      <c r="D73" s="6" t="s">
        <v>34</v>
      </c>
      <c r="E73" s="6" t="s">
        <v>17</v>
      </c>
      <c r="F73" s="7">
        <v>37518</v>
      </c>
      <c r="G73" s="8">
        <f t="shared" si="1"/>
        <v>37518</v>
      </c>
      <c r="H73" s="6" t="s">
        <v>13</v>
      </c>
      <c r="I73" s="9">
        <f>MAX(original!I73,piwebapi_edit!I73,car_edit!I73)</f>
        <v>880.53989187060495</v>
      </c>
      <c r="J73" s="9">
        <f>MAX(original!J73,piwebapi_edit!J73,car_edit!J73)</f>
        <v>42.319762086656901</v>
      </c>
      <c r="K73" s="17"/>
    </row>
    <row r="74" spans="1:11" x14ac:dyDescent="0.25">
      <c r="A74" s="3" t="s">
        <v>164</v>
      </c>
      <c r="B74" s="4" t="s">
        <v>165</v>
      </c>
      <c r="C74" s="5">
        <v>1793</v>
      </c>
      <c r="D74" s="6" t="s">
        <v>28</v>
      </c>
      <c r="E74" s="6" t="s">
        <v>17</v>
      </c>
      <c r="F74" s="7">
        <v>25569</v>
      </c>
      <c r="G74" s="8">
        <f t="shared" si="1"/>
        <v>25569</v>
      </c>
      <c r="H74" s="6" t="s">
        <v>13</v>
      </c>
      <c r="I74" s="9">
        <f>MAX(original!I74,piwebapi_edit!I74,car_edit!I74)</f>
        <v>12047.360375967801</v>
      </c>
      <c r="J74" s="9">
        <f>MAX(original!J74,piwebapi_edit!J74,car_edit!J74)</f>
        <v>28.194237725223601</v>
      </c>
      <c r="K74" s="17"/>
    </row>
    <row r="75" spans="1:11" x14ac:dyDescent="0.25">
      <c r="A75" s="3" t="s">
        <v>166</v>
      </c>
      <c r="B75" s="4" t="s">
        <v>167</v>
      </c>
      <c r="C75" s="14">
        <v>1182</v>
      </c>
      <c r="D75" s="6" t="s">
        <v>16</v>
      </c>
      <c r="E75" s="6" t="s">
        <v>17</v>
      </c>
      <c r="F75" s="7">
        <v>29221</v>
      </c>
      <c r="G75" s="8">
        <f t="shared" si="1"/>
        <v>29221</v>
      </c>
      <c r="H75" s="6" t="s">
        <v>13</v>
      </c>
      <c r="I75" s="9">
        <f>MAX(original!I75,piwebapi_edit!I75,car_edit!I75)</f>
        <v>44612.024980378599</v>
      </c>
      <c r="J75" s="9">
        <f>MAX(original!J75,piwebapi_edit!J75,car_edit!J75)</f>
        <v>277.21517956993699</v>
      </c>
      <c r="K75" s="11"/>
    </row>
    <row r="76" spans="1:11" x14ac:dyDescent="0.25">
      <c r="A76" s="3" t="s">
        <v>168</v>
      </c>
      <c r="B76" s="4" t="s">
        <v>169</v>
      </c>
      <c r="C76" s="5">
        <v>1191</v>
      </c>
      <c r="D76" s="6" t="s">
        <v>16</v>
      </c>
      <c r="E76" s="6" t="s">
        <v>17</v>
      </c>
      <c r="F76" s="7">
        <v>29221</v>
      </c>
      <c r="G76" s="8">
        <f t="shared" si="1"/>
        <v>29221</v>
      </c>
      <c r="H76" s="6" t="s">
        <v>13</v>
      </c>
      <c r="I76" s="9">
        <f>MAX(original!I76,piwebapi_edit!I76,car_edit!I76)</f>
        <v>5633.5911747603805</v>
      </c>
      <c r="J76" s="9">
        <f>MAX(original!J76,piwebapi_edit!J76,car_edit!J76)</f>
        <v>292.73034453036701</v>
      </c>
      <c r="K76" s="17"/>
    </row>
    <row r="77" spans="1:11" x14ac:dyDescent="0.25">
      <c r="A77" s="3" t="s">
        <v>170</v>
      </c>
      <c r="B77" s="4" t="s">
        <v>171</v>
      </c>
      <c r="C77" s="5">
        <v>14731</v>
      </c>
      <c r="D77" s="6" t="s">
        <v>31</v>
      </c>
      <c r="E77" s="6" t="s">
        <v>17</v>
      </c>
      <c r="F77" s="7">
        <v>32806</v>
      </c>
      <c r="G77" s="8">
        <f t="shared" si="1"/>
        <v>32806</v>
      </c>
      <c r="H77" s="6" t="s">
        <v>13</v>
      </c>
      <c r="I77" s="9">
        <f>MAX(original!I77,piwebapi_edit!I77,car_edit!I77)</f>
        <v>31573.354224272902</v>
      </c>
      <c r="J77" s="9">
        <f>MAX(original!J77,piwebapi_edit!J77,car_edit!J77)</f>
        <v>278.34292628442199</v>
      </c>
      <c r="K77" s="17"/>
    </row>
    <row r="78" spans="1:11" x14ac:dyDescent="0.25">
      <c r="A78" s="3" t="s">
        <v>172</v>
      </c>
      <c r="B78" s="39" t="s">
        <v>173</v>
      </c>
      <c r="C78" s="5">
        <v>1871</v>
      </c>
      <c r="D78" s="6" t="s">
        <v>31</v>
      </c>
      <c r="E78" s="6" t="s">
        <v>17</v>
      </c>
      <c r="F78" s="7">
        <v>36951</v>
      </c>
      <c r="G78" s="8">
        <f t="shared" si="1"/>
        <v>36951</v>
      </c>
      <c r="H78" s="6" t="s">
        <v>13</v>
      </c>
      <c r="I78" s="9">
        <f>MAX(original!I78,piwebapi_edit!I78,car_edit!I78)</f>
        <v>1054.87231905008</v>
      </c>
      <c r="J78" s="9">
        <f>MAX(original!J78,piwebapi_edit!J78,car_edit!J78)</f>
        <v>150.647341924492</v>
      </c>
      <c r="K78" s="17"/>
    </row>
    <row r="79" spans="1:11" x14ac:dyDescent="0.25">
      <c r="A79" s="3" t="s">
        <v>174</v>
      </c>
      <c r="B79" s="4" t="s">
        <v>175</v>
      </c>
      <c r="C79" s="5">
        <v>1032</v>
      </c>
      <c r="D79" s="6" t="s">
        <v>31</v>
      </c>
      <c r="E79" s="6" t="s">
        <v>17</v>
      </c>
      <c r="F79" s="7">
        <v>29221</v>
      </c>
      <c r="G79" s="8">
        <f t="shared" si="1"/>
        <v>29221</v>
      </c>
      <c r="H79" s="6" t="s">
        <v>13</v>
      </c>
      <c r="I79" s="9">
        <f>MAX(original!I79,piwebapi_edit!I79,car_edit!I79)</f>
        <v>85362.880609134299</v>
      </c>
      <c r="J79" s="9">
        <f>MAX(original!J79,piwebapi_edit!J79,car_edit!J79)</f>
        <v>855.55048998105406</v>
      </c>
      <c r="K79" s="17"/>
    </row>
    <row r="80" spans="1:11" x14ac:dyDescent="0.25">
      <c r="A80" s="3" t="s">
        <v>176</v>
      </c>
      <c r="B80" s="4" t="s">
        <v>177</v>
      </c>
      <c r="C80" s="14">
        <v>2055</v>
      </c>
      <c r="D80" s="6" t="s">
        <v>31</v>
      </c>
      <c r="E80" s="6" t="s">
        <v>17</v>
      </c>
      <c r="F80" s="7">
        <v>29952</v>
      </c>
      <c r="G80" s="8">
        <f t="shared" si="1"/>
        <v>29952</v>
      </c>
      <c r="H80" s="6" t="s">
        <v>13</v>
      </c>
      <c r="I80" s="9">
        <f>MAX(original!I80,piwebapi_edit!I80,car_edit!I80)</f>
        <v>401314.83062270301</v>
      </c>
      <c r="J80" s="9">
        <f>MAX(original!J80,piwebapi_edit!J80,car_edit!J80)</f>
        <v>996.21055592542496</v>
      </c>
      <c r="K80" s="17"/>
    </row>
    <row r="81" spans="1:11" x14ac:dyDescent="0.25">
      <c r="A81" s="3" t="s">
        <v>178</v>
      </c>
      <c r="B81" s="4" t="s">
        <v>179</v>
      </c>
      <c r="C81" s="5">
        <v>1868</v>
      </c>
      <c r="D81" s="6" t="s">
        <v>31</v>
      </c>
      <c r="E81" s="6" t="s">
        <v>17</v>
      </c>
      <c r="F81" s="7">
        <v>25569</v>
      </c>
      <c r="G81" s="8">
        <f t="shared" si="1"/>
        <v>25569</v>
      </c>
      <c r="H81" s="6" t="s">
        <v>13</v>
      </c>
      <c r="I81" s="9">
        <f>MAX(original!I81,piwebapi_edit!I81,car_edit!I81)</f>
        <v>92124.716906181013</v>
      </c>
      <c r="J81" s="9">
        <f>MAX(original!J81,piwebapi_edit!J81,car_edit!J81)</f>
        <v>476.83853908673598</v>
      </c>
      <c r="K81" s="17"/>
    </row>
    <row r="82" spans="1:11" x14ac:dyDescent="0.25">
      <c r="A82" s="3" t="s">
        <v>180</v>
      </c>
      <c r="B82" s="4" t="s">
        <v>181</v>
      </c>
      <c r="C82" s="14">
        <v>1292</v>
      </c>
      <c r="D82" s="6" t="s">
        <v>28</v>
      </c>
      <c r="E82" s="6" t="s">
        <v>17</v>
      </c>
      <c r="F82" s="7">
        <v>32143</v>
      </c>
      <c r="G82" s="8">
        <f t="shared" si="1"/>
        <v>32143</v>
      </c>
      <c r="H82" s="6" t="s">
        <v>13</v>
      </c>
      <c r="I82" s="9">
        <f>MAX(original!I82,piwebapi_edit!I82,car_edit!I82)</f>
        <v>101640.51316819599</v>
      </c>
      <c r="J82" s="9">
        <f>MAX(original!J82,piwebapi_edit!J82,car_edit!J82)</f>
        <v>842.488155675229</v>
      </c>
      <c r="K82" s="11"/>
    </row>
    <row r="83" spans="1:11" x14ac:dyDescent="0.25">
      <c r="A83" s="3" t="s">
        <v>182</v>
      </c>
      <c r="B83" s="4" t="s">
        <v>183</v>
      </c>
      <c r="C83" s="5">
        <v>30550</v>
      </c>
      <c r="D83" s="6" t="s">
        <v>34</v>
      </c>
      <c r="E83" s="6" t="s">
        <v>17</v>
      </c>
      <c r="F83" s="7">
        <v>38357</v>
      </c>
      <c r="G83" s="8">
        <f t="shared" si="1"/>
        <v>38357</v>
      </c>
      <c r="H83" s="6" t="s">
        <v>13</v>
      </c>
      <c r="I83" s="9">
        <f>MAX(original!I83,piwebapi_edit!I83,car_edit!I83)</f>
        <v>28163.6347343253</v>
      </c>
      <c r="J83" s="9">
        <f>MAX(original!J83,piwebapi_edit!J83,car_edit!J83)</f>
        <v>235.223615431083</v>
      </c>
      <c r="K83" s="17"/>
    </row>
    <row r="84" spans="1:11" x14ac:dyDescent="0.25">
      <c r="A84" s="3" t="s">
        <v>184</v>
      </c>
      <c r="B84" s="4" t="s">
        <v>185</v>
      </c>
      <c r="C84" s="5">
        <v>52936</v>
      </c>
      <c r="D84" s="6" t="s">
        <v>28</v>
      </c>
      <c r="E84" s="6" t="s">
        <v>17</v>
      </c>
      <c r="F84" s="7">
        <v>39154</v>
      </c>
      <c r="G84" s="8">
        <f t="shared" si="1"/>
        <v>39154</v>
      </c>
      <c r="H84" s="6" t="s">
        <v>13</v>
      </c>
      <c r="I84" s="9">
        <f>MAX(original!I84,piwebapi_edit!I84,car_edit!I84)</f>
        <v>7169.04084391987</v>
      </c>
      <c r="J84" s="9">
        <f>MAX(original!J84,piwebapi_edit!J84,car_edit!J84)</f>
        <v>157.236168627795</v>
      </c>
      <c r="K84" s="17"/>
    </row>
    <row r="85" spans="1:11" x14ac:dyDescent="0.25">
      <c r="A85" s="3" t="s">
        <v>186</v>
      </c>
      <c r="B85" s="4" t="s">
        <v>187</v>
      </c>
      <c r="C85" s="5">
        <v>72107</v>
      </c>
      <c r="D85" s="6" t="s">
        <v>31</v>
      </c>
      <c r="E85" s="6" t="s">
        <v>17</v>
      </c>
      <c r="F85" s="7">
        <v>36294</v>
      </c>
      <c r="G85" s="8">
        <f t="shared" si="1"/>
        <v>36294</v>
      </c>
      <c r="H85" s="6" t="s">
        <v>13</v>
      </c>
      <c r="I85" s="9">
        <f>MAX(original!I85,piwebapi_edit!I85,car_edit!I85)</f>
        <v>2877.0623216839999</v>
      </c>
      <c r="J85" s="9">
        <f>MAX(original!J85,piwebapi_edit!J85,car_edit!J85)</f>
        <v>167.89099973787901</v>
      </c>
      <c r="K85" s="17"/>
    </row>
    <row r="86" spans="1:11" x14ac:dyDescent="0.25">
      <c r="A86" s="3" t="s">
        <v>188</v>
      </c>
      <c r="B86" s="4" t="s">
        <v>189</v>
      </c>
      <c r="C86" s="5">
        <v>28865</v>
      </c>
      <c r="D86" s="6" t="s">
        <v>34</v>
      </c>
      <c r="E86" s="6" t="s">
        <v>17</v>
      </c>
      <c r="F86" s="7">
        <v>38275</v>
      </c>
      <c r="G86" s="8">
        <f t="shared" si="1"/>
        <v>38275</v>
      </c>
      <c r="H86" s="6" t="s">
        <v>13</v>
      </c>
      <c r="I86" s="9">
        <f>MAX(original!I86,piwebapi_edit!I86,car_edit!I86)</f>
        <v>12026.2521360018</v>
      </c>
      <c r="J86" s="9">
        <f>MAX(original!J86,piwebapi_edit!J86,car_edit!J86)</f>
        <v>379.00602885960598</v>
      </c>
      <c r="K86" s="17"/>
    </row>
    <row r="87" spans="1:11" x14ac:dyDescent="0.25">
      <c r="A87" s="3" t="s">
        <v>190</v>
      </c>
      <c r="B87" s="4" t="s">
        <v>191</v>
      </c>
      <c r="C87" s="5">
        <v>52938</v>
      </c>
      <c r="D87" s="6" t="s">
        <v>34</v>
      </c>
      <c r="E87" s="6" t="s">
        <v>17</v>
      </c>
      <c r="F87" s="7">
        <v>39029</v>
      </c>
      <c r="G87" s="8">
        <f t="shared" si="1"/>
        <v>39029</v>
      </c>
      <c r="H87" s="6" t="s">
        <v>13</v>
      </c>
      <c r="I87" s="9">
        <f>MAX(original!I87,piwebapi_edit!I87,car_edit!I87)</f>
        <v>43397.314449300196</v>
      </c>
      <c r="J87" s="9">
        <f>MAX(original!J87,piwebapi_edit!J87,car_edit!J87)</f>
        <v>384.24129537774598</v>
      </c>
      <c r="K87" s="17"/>
    </row>
    <row r="88" spans="1:11" x14ac:dyDescent="0.25">
      <c r="A88" s="26" t="s">
        <v>192</v>
      </c>
      <c r="B88" s="27" t="s">
        <v>193</v>
      </c>
      <c r="C88" s="34">
        <v>52939</v>
      </c>
      <c r="D88" s="28" t="s">
        <v>34</v>
      </c>
      <c r="E88" s="28" t="s">
        <v>17</v>
      </c>
      <c r="F88" s="29">
        <v>39029</v>
      </c>
      <c r="G88" s="30">
        <f t="shared" si="1"/>
        <v>39029</v>
      </c>
      <c r="H88" s="28" t="s">
        <v>13</v>
      </c>
      <c r="I88" s="9">
        <f>MAX(original!I88,piwebapi_edit!I88,car_edit!I88)</f>
        <v>23132.687038096701</v>
      </c>
      <c r="J88" s="9">
        <f>MAX(original!J88,piwebapi_edit!J88,car_edit!J88)</f>
        <v>366.37303404518002</v>
      </c>
      <c r="K88" s="33"/>
    </row>
    <row r="89" spans="1:11" x14ac:dyDescent="0.25">
      <c r="A89" s="26" t="s">
        <v>194</v>
      </c>
      <c r="B89" s="27" t="s">
        <v>195</v>
      </c>
      <c r="C89" s="5">
        <v>1081</v>
      </c>
      <c r="D89" s="28" t="s">
        <v>34</v>
      </c>
      <c r="E89" s="28" t="s">
        <v>17</v>
      </c>
      <c r="F89" s="29">
        <v>19725</v>
      </c>
      <c r="G89" s="30">
        <f t="shared" si="1"/>
        <v>19725</v>
      </c>
      <c r="H89" s="28" t="s">
        <v>13</v>
      </c>
      <c r="I89" s="9">
        <f>MAX(original!I89,piwebapi_edit!I89,car_edit!I89)</f>
        <v>13393.576232035301</v>
      </c>
      <c r="J89" s="9">
        <f>MAX(original!J89,piwebapi_edit!J89,car_edit!J89)</f>
        <v>145.948897735521</v>
      </c>
      <c r="K89" s="33"/>
    </row>
    <row r="90" spans="1:11" x14ac:dyDescent="0.25">
      <c r="A90" s="3" t="s">
        <v>196</v>
      </c>
      <c r="B90" s="4" t="s">
        <v>197</v>
      </c>
      <c r="C90" s="5">
        <v>1462</v>
      </c>
      <c r="D90" s="6" t="s">
        <v>34</v>
      </c>
      <c r="E90" s="6" t="s">
        <v>17</v>
      </c>
      <c r="F90" s="7">
        <v>29221</v>
      </c>
      <c r="G90" s="8">
        <f t="shared" si="1"/>
        <v>29221</v>
      </c>
      <c r="H90" s="6" t="s">
        <v>13</v>
      </c>
      <c r="I90" s="9">
        <f>MAX(original!I90,piwebapi_edit!I90,car_edit!I90)</f>
        <v>56834.845610320102</v>
      </c>
      <c r="J90" s="9">
        <f>MAX(original!J90,piwebapi_edit!J90,car_edit!J90)</f>
        <v>796.64675046360503</v>
      </c>
      <c r="K90" s="17"/>
    </row>
    <row r="91" spans="1:11" x14ac:dyDescent="0.25">
      <c r="A91" s="3" t="s">
        <v>198</v>
      </c>
      <c r="B91" s="4" t="s">
        <v>199</v>
      </c>
      <c r="C91" s="5">
        <v>1445</v>
      </c>
      <c r="D91" s="6" t="s">
        <v>16</v>
      </c>
      <c r="E91" s="6" t="s">
        <v>17</v>
      </c>
      <c r="F91" s="7">
        <v>31048</v>
      </c>
      <c r="G91" s="8">
        <f t="shared" si="1"/>
        <v>31048</v>
      </c>
      <c r="H91" s="6" t="s">
        <v>13</v>
      </c>
      <c r="I91" s="9">
        <f>MAX(original!I91,piwebapi_edit!I91,car_edit!I91)</f>
        <v>4409.5128343048</v>
      </c>
      <c r="J91" s="9">
        <f>MAX(original!J91,piwebapi_edit!J91,car_edit!J91)</f>
        <v>159.02897209521799</v>
      </c>
      <c r="K91" s="17"/>
    </row>
    <row r="92" spans="1:11" x14ac:dyDescent="0.25">
      <c r="A92" s="3" t="s">
        <v>200</v>
      </c>
      <c r="B92" s="4" t="s">
        <v>201</v>
      </c>
      <c r="C92" s="5">
        <v>1901</v>
      </c>
      <c r="D92" s="6" t="s">
        <v>31</v>
      </c>
      <c r="E92" s="6" t="s">
        <v>17</v>
      </c>
      <c r="F92" s="7">
        <v>37950</v>
      </c>
      <c r="G92" s="8">
        <f t="shared" si="1"/>
        <v>37950</v>
      </c>
      <c r="H92" s="6" t="s">
        <v>13</v>
      </c>
      <c r="I92" s="9">
        <f>MAX(original!I92,piwebapi_edit!I92,car_edit!I92)</f>
        <v>652418.36</v>
      </c>
      <c r="J92" s="9">
        <f>MAX(original!J92,piwebapi_edit!J92,car_edit!J92)</f>
        <v>2000</v>
      </c>
      <c r="K92" s="17"/>
    </row>
    <row r="93" spans="1:11" x14ac:dyDescent="0.25">
      <c r="A93" s="3" t="s">
        <v>202</v>
      </c>
      <c r="B93" s="4" t="s">
        <v>203</v>
      </c>
      <c r="C93" s="5">
        <v>52946</v>
      </c>
      <c r="D93" s="6" t="s">
        <v>34</v>
      </c>
      <c r="E93" s="6" t="s">
        <v>17</v>
      </c>
      <c r="F93" s="7">
        <v>35065</v>
      </c>
      <c r="G93" s="8">
        <f t="shared" si="1"/>
        <v>35065</v>
      </c>
      <c r="H93" s="6" t="s">
        <v>13</v>
      </c>
      <c r="I93" s="9">
        <f>MAX(original!I93,piwebapi_edit!I93,car_edit!I93)</f>
        <v>15688.097794725199</v>
      </c>
      <c r="J93" s="9">
        <f>MAX(original!J93,piwebapi_edit!J93,car_edit!J93)</f>
        <v>65.6145153431099</v>
      </c>
      <c r="K93" s="11"/>
    </row>
    <row r="94" spans="1:11" x14ac:dyDescent="0.25">
      <c r="A94" s="3" t="s">
        <v>204</v>
      </c>
      <c r="B94" s="4" t="s">
        <v>205</v>
      </c>
      <c r="C94" s="5">
        <v>1557</v>
      </c>
      <c r="D94" s="6" t="s">
        <v>28</v>
      </c>
      <c r="E94" s="6" t="s">
        <v>17</v>
      </c>
      <c r="F94" s="7">
        <v>18264</v>
      </c>
      <c r="G94" s="8">
        <f t="shared" si="1"/>
        <v>18264</v>
      </c>
      <c r="H94" s="6" t="s">
        <v>13</v>
      </c>
      <c r="I94" s="9">
        <f>MAX(original!I94,piwebapi_edit!I94,car_edit!I94)</f>
        <v>1446.7472461944101</v>
      </c>
      <c r="J94" s="9">
        <f>MAX(original!J94,piwebapi_edit!J94,car_edit!J94)</f>
        <v>36.716842079020502</v>
      </c>
      <c r="K94" s="17"/>
    </row>
    <row r="95" spans="1:11" x14ac:dyDescent="0.25">
      <c r="A95" s="3" t="s">
        <v>206</v>
      </c>
      <c r="B95" s="4" t="s">
        <v>207</v>
      </c>
      <c r="C95" s="14">
        <v>14085</v>
      </c>
      <c r="D95" s="6" t="s">
        <v>11</v>
      </c>
      <c r="E95" s="6" t="s">
        <v>17</v>
      </c>
      <c r="F95" s="7">
        <v>38037</v>
      </c>
      <c r="G95" s="8">
        <f t="shared" si="1"/>
        <v>38037</v>
      </c>
      <c r="H95" s="6" t="s">
        <v>13</v>
      </c>
      <c r="I95" s="9">
        <f>MAX(original!I95,piwebapi_edit!I95,car_edit!I95)</f>
        <v>352236.29</v>
      </c>
      <c r="J95" s="9">
        <f>MAX(original!J95,piwebapi_edit!J95,car_edit!J95)</f>
        <v>2120</v>
      </c>
      <c r="K95" s="17"/>
    </row>
    <row r="96" spans="1:11" x14ac:dyDescent="0.25">
      <c r="A96" s="3" t="s">
        <v>208</v>
      </c>
      <c r="B96" s="4" t="s">
        <v>209</v>
      </c>
      <c r="C96" s="5">
        <v>72134</v>
      </c>
      <c r="D96" s="6" t="s">
        <v>11</v>
      </c>
      <c r="E96" s="6" t="s">
        <v>17</v>
      </c>
      <c r="F96" s="7">
        <v>38832</v>
      </c>
      <c r="G96" s="8">
        <f t="shared" si="1"/>
        <v>38832</v>
      </c>
      <c r="H96" s="6" t="s">
        <v>13</v>
      </c>
      <c r="I96" s="9">
        <f>MAX(original!I96,piwebapi_edit!I96,car_edit!I96)</f>
        <v>49675.1462184556</v>
      </c>
      <c r="J96" s="9">
        <f>MAX(original!J96,piwebapi_edit!J96,car_edit!J96)</f>
        <v>693.73631841165002</v>
      </c>
      <c r="K96" s="17"/>
    </row>
    <row r="97" spans="1:11" x14ac:dyDescent="0.25">
      <c r="A97" s="3" t="s">
        <v>210</v>
      </c>
      <c r="B97" s="4" t="s">
        <v>211</v>
      </c>
      <c r="C97" s="14">
        <v>72108</v>
      </c>
      <c r="D97" s="6" t="s">
        <v>11</v>
      </c>
      <c r="E97" s="6" t="s">
        <v>17</v>
      </c>
      <c r="F97" s="7">
        <v>39091</v>
      </c>
      <c r="G97" s="8">
        <f t="shared" si="1"/>
        <v>39091</v>
      </c>
      <c r="H97" s="6" t="s">
        <v>13</v>
      </c>
      <c r="I97" s="9">
        <f>MAX(original!I97,piwebapi_edit!I97,car_edit!I97)</f>
        <v>103000</v>
      </c>
      <c r="J97" s="9">
        <f>MAX(original!J97,piwebapi_edit!J97,car_edit!J97)</f>
        <v>1040</v>
      </c>
      <c r="K97" s="17"/>
    </row>
    <row r="98" spans="1:11" x14ac:dyDescent="0.25">
      <c r="A98" s="3" t="s">
        <v>212</v>
      </c>
      <c r="B98" s="4" t="s">
        <v>213</v>
      </c>
      <c r="C98" s="5">
        <v>54491</v>
      </c>
      <c r="D98" s="6" t="s">
        <v>11</v>
      </c>
      <c r="E98" s="6" t="s">
        <v>17</v>
      </c>
      <c r="F98" s="7">
        <v>38950</v>
      </c>
      <c r="G98" s="8">
        <f t="shared" si="1"/>
        <v>38950</v>
      </c>
      <c r="H98" s="6" t="s">
        <v>13</v>
      </c>
      <c r="I98" s="9">
        <f>MAX(original!I98,piwebapi_edit!I98,car_edit!I98)</f>
        <v>32117.676287077997</v>
      </c>
      <c r="J98" s="9">
        <f>MAX(original!J98,piwebapi_edit!J98,car_edit!J98)</f>
        <v>243.42063274460801</v>
      </c>
      <c r="K98" s="17"/>
    </row>
    <row r="99" spans="1:11" x14ac:dyDescent="0.25">
      <c r="A99" s="3" t="s">
        <v>214</v>
      </c>
      <c r="B99" s="4" t="s">
        <v>215</v>
      </c>
      <c r="C99" s="14">
        <v>30537</v>
      </c>
      <c r="D99" s="6" t="s">
        <v>16</v>
      </c>
      <c r="E99" s="6" t="s">
        <v>17</v>
      </c>
      <c r="F99" s="7">
        <v>38540</v>
      </c>
      <c r="G99" s="8">
        <f t="shared" si="1"/>
        <v>38540</v>
      </c>
      <c r="H99" s="6" t="s">
        <v>13</v>
      </c>
      <c r="I99" s="9">
        <f>MAX(original!I99,piwebapi_edit!I99,car_edit!I99)</f>
        <v>80111.227386269209</v>
      </c>
      <c r="J99" s="9">
        <f>MAX(original!J99,piwebapi_edit!J99,car_edit!J99)</f>
        <v>605.56964621366205</v>
      </c>
      <c r="K99" s="17"/>
    </row>
    <row r="100" spans="1:11" x14ac:dyDescent="0.25">
      <c r="A100" s="3" t="s">
        <v>216</v>
      </c>
      <c r="B100" s="4" t="s">
        <v>217</v>
      </c>
      <c r="C100" s="14">
        <v>14732</v>
      </c>
      <c r="D100" s="6" t="s">
        <v>31</v>
      </c>
      <c r="E100" s="6" t="s">
        <v>17</v>
      </c>
      <c r="F100" s="7">
        <v>31373</v>
      </c>
      <c r="G100" s="8">
        <f t="shared" si="1"/>
        <v>31373</v>
      </c>
      <c r="H100" s="6" t="s">
        <v>13</v>
      </c>
      <c r="I100" s="9">
        <f>MAX(original!I100,piwebapi_edit!I100,car_edit!I100)</f>
        <v>585015.31000000006</v>
      </c>
      <c r="J100" s="9">
        <f>MAX(original!J100,piwebapi_edit!J100,car_edit!J100)</f>
        <v>2400</v>
      </c>
      <c r="K100" s="17"/>
    </row>
    <row r="101" spans="1:11" x14ac:dyDescent="0.25">
      <c r="A101" s="3" t="s">
        <v>218</v>
      </c>
      <c r="B101" s="4" t="s">
        <v>219</v>
      </c>
      <c r="C101" s="5">
        <v>54492</v>
      </c>
      <c r="D101" s="6" t="s">
        <v>34</v>
      </c>
      <c r="E101" s="6" t="s">
        <v>17</v>
      </c>
      <c r="F101" s="7">
        <v>37911</v>
      </c>
      <c r="G101" s="8">
        <f t="shared" si="1"/>
        <v>37911</v>
      </c>
      <c r="H101" s="6" t="s">
        <v>13</v>
      </c>
      <c r="I101" s="9">
        <f>MAX(original!I101,piwebapi_edit!I101,car_edit!I101)</f>
        <v>1879.9985236985299</v>
      </c>
      <c r="J101" s="9">
        <f>MAX(original!J101,piwebapi_edit!J101,car_edit!J101)</f>
        <v>96.347902826816593</v>
      </c>
      <c r="K101" s="6"/>
    </row>
    <row r="102" spans="1:11" x14ac:dyDescent="0.25">
      <c r="A102" s="12" t="s">
        <v>220</v>
      </c>
      <c r="B102" s="4" t="s">
        <v>221</v>
      </c>
      <c r="C102" s="14">
        <v>1902</v>
      </c>
      <c r="D102" s="6" t="s">
        <v>34</v>
      </c>
      <c r="E102" s="6" t="s">
        <v>17</v>
      </c>
      <c r="F102" s="7">
        <v>24108</v>
      </c>
      <c r="G102" s="8">
        <f t="shared" si="1"/>
        <v>24108</v>
      </c>
      <c r="H102" s="6" t="s">
        <v>13</v>
      </c>
      <c r="I102" s="9">
        <f>MAX(original!I102,piwebapi_edit!I102,car_edit!I102)</f>
        <v>3443586.1300000004</v>
      </c>
      <c r="J102" s="9">
        <f>MAX(original!J102,piwebapi_edit!J102,car_edit!J102)</f>
        <v>19250</v>
      </c>
      <c r="K102" s="17"/>
    </row>
    <row r="103" spans="1:11" x14ac:dyDescent="0.25">
      <c r="A103" s="3" t="s">
        <v>222</v>
      </c>
      <c r="B103" s="4" t="s">
        <v>223</v>
      </c>
      <c r="C103" s="5">
        <v>17601</v>
      </c>
      <c r="D103" s="6" t="s">
        <v>16</v>
      </c>
      <c r="E103" s="6" t="s">
        <v>17</v>
      </c>
      <c r="F103" s="7">
        <v>27485</v>
      </c>
      <c r="G103" s="8">
        <f t="shared" si="1"/>
        <v>27485</v>
      </c>
      <c r="H103" s="6" t="s">
        <v>13</v>
      </c>
      <c r="I103" s="9">
        <f>MAX(original!I103,piwebapi_edit!I103,car_edit!I103)</f>
        <v>13864.183896943799</v>
      </c>
      <c r="J103" s="9">
        <f>MAX(original!J103,piwebapi_edit!J103,car_edit!J103)</f>
        <v>134.52954241650801</v>
      </c>
      <c r="K103" s="17"/>
    </row>
    <row r="104" spans="1:11" x14ac:dyDescent="0.25">
      <c r="A104" s="3" t="s">
        <v>224</v>
      </c>
      <c r="B104" s="4" t="s">
        <v>225</v>
      </c>
      <c r="C104" s="5">
        <v>1373</v>
      </c>
      <c r="D104" s="6" t="s">
        <v>28</v>
      </c>
      <c r="E104" s="6" t="s">
        <v>17</v>
      </c>
      <c r="F104" s="7">
        <v>25934</v>
      </c>
      <c r="G104" s="8">
        <f t="shared" si="1"/>
        <v>25934</v>
      </c>
      <c r="H104" s="6" t="s">
        <v>13</v>
      </c>
      <c r="I104" s="9">
        <f>MAX(original!I104,piwebapi_edit!I104,car_edit!I104)</f>
        <v>16794.040767994498</v>
      </c>
      <c r="J104" s="9">
        <f>MAX(original!J104,piwebapi_edit!J104,car_edit!J104)</f>
        <v>372.90577693659498</v>
      </c>
      <c r="K104" s="17"/>
    </row>
    <row r="105" spans="1:11" x14ac:dyDescent="0.25">
      <c r="A105" s="3" t="s">
        <v>226</v>
      </c>
      <c r="B105" s="4" t="s">
        <v>227</v>
      </c>
      <c r="C105" s="14">
        <v>17282</v>
      </c>
      <c r="D105" s="6" t="s">
        <v>16</v>
      </c>
      <c r="E105" s="6" t="s">
        <v>17</v>
      </c>
      <c r="F105" s="7">
        <v>26257</v>
      </c>
      <c r="G105" s="8">
        <f t="shared" si="1"/>
        <v>26257</v>
      </c>
      <c r="H105" s="6" t="s">
        <v>13</v>
      </c>
      <c r="I105" s="9">
        <f>MAX(original!I105,piwebapi_edit!I105,car_edit!I105)</f>
        <v>300837.89999999997</v>
      </c>
      <c r="J105" s="9">
        <f>MAX(original!J105,piwebapi_edit!J105,car_edit!J105)</f>
        <v>800</v>
      </c>
      <c r="K105" s="17"/>
    </row>
    <row r="106" spans="1:11" x14ac:dyDescent="0.25">
      <c r="A106" s="3" t="s">
        <v>228</v>
      </c>
      <c r="B106" s="4" t="s">
        <v>229</v>
      </c>
      <c r="C106" s="5">
        <v>16646</v>
      </c>
      <c r="D106" s="6" t="s">
        <v>16</v>
      </c>
      <c r="E106" s="6" t="s">
        <v>17</v>
      </c>
      <c r="F106" s="7">
        <v>30748</v>
      </c>
      <c r="G106" s="8">
        <f t="shared" si="1"/>
        <v>30748</v>
      </c>
      <c r="H106" s="6" t="s">
        <v>13</v>
      </c>
      <c r="I106" s="9">
        <f>MAX(original!I106,piwebapi_edit!I106,car_edit!I106)</f>
        <v>69005.944475954399</v>
      </c>
      <c r="J106" s="9">
        <f>MAX(original!J106,piwebapi_edit!J106,car_edit!J106)</f>
        <v>186.80157424988201</v>
      </c>
      <c r="K106" s="17"/>
    </row>
    <row r="107" spans="1:11" x14ac:dyDescent="0.25">
      <c r="A107" s="3" t="s">
        <v>230</v>
      </c>
      <c r="B107" s="4" t="s">
        <v>231</v>
      </c>
      <c r="C107" s="5">
        <v>16652</v>
      </c>
      <c r="D107" s="6" t="s">
        <v>16</v>
      </c>
      <c r="E107" s="6" t="s">
        <v>17</v>
      </c>
      <c r="F107" s="7">
        <v>26746</v>
      </c>
      <c r="G107" s="8">
        <f t="shared" si="1"/>
        <v>26746</v>
      </c>
      <c r="H107" s="6" t="s">
        <v>13</v>
      </c>
      <c r="I107" s="9">
        <f>MAX(original!I107,piwebapi_edit!I107,car_edit!I107)</f>
        <v>38164.8140999963</v>
      </c>
      <c r="J107" s="9">
        <f>MAX(original!J107,piwebapi_edit!J107,car_edit!J107)</f>
        <v>141.424319687474</v>
      </c>
      <c r="K107" s="17"/>
    </row>
    <row r="108" spans="1:11" x14ac:dyDescent="0.25">
      <c r="A108" s="3" t="s">
        <v>232</v>
      </c>
      <c r="B108" s="4" t="s">
        <v>233</v>
      </c>
      <c r="C108" s="14">
        <v>1193</v>
      </c>
      <c r="D108" s="6" t="s">
        <v>16</v>
      </c>
      <c r="E108" s="6" t="s">
        <v>17</v>
      </c>
      <c r="F108" s="7">
        <v>29221</v>
      </c>
      <c r="G108" s="8">
        <f t="shared" si="1"/>
        <v>29221</v>
      </c>
      <c r="H108" s="6" t="s">
        <v>13</v>
      </c>
      <c r="I108" s="9">
        <f>MAX(original!I108,piwebapi_edit!I108,car_edit!I108)</f>
        <v>357750.32</v>
      </c>
      <c r="J108" s="9">
        <f>MAX(original!J108,piwebapi_edit!J108,car_edit!J108)</f>
        <v>900</v>
      </c>
      <c r="K108" s="17"/>
    </row>
    <row r="109" spans="1:11" x14ac:dyDescent="0.25">
      <c r="A109" s="3" t="s">
        <v>234</v>
      </c>
      <c r="B109" s="4" t="s">
        <v>235</v>
      </c>
      <c r="C109" s="5">
        <v>15375</v>
      </c>
      <c r="D109" s="6" t="s">
        <v>16</v>
      </c>
      <c r="E109" s="6" t="s">
        <v>17</v>
      </c>
      <c r="F109" s="7">
        <v>26046</v>
      </c>
      <c r="G109" s="8">
        <f t="shared" si="1"/>
        <v>26046</v>
      </c>
      <c r="H109" s="6" t="s">
        <v>13</v>
      </c>
      <c r="I109" s="9">
        <f>MAX(original!I109,piwebapi_edit!I109,car_edit!I109)</f>
        <v>5907.9120647110103</v>
      </c>
      <c r="J109" s="9">
        <f>MAX(original!J109,piwebapi_edit!J109,car_edit!J109)</f>
        <v>124.636670558738</v>
      </c>
      <c r="K109" s="17"/>
    </row>
    <row r="110" spans="1:11" x14ac:dyDescent="0.25">
      <c r="A110" s="3" t="s">
        <v>236</v>
      </c>
      <c r="B110" s="4" t="s">
        <v>237</v>
      </c>
      <c r="C110" s="5">
        <v>382844</v>
      </c>
      <c r="D110" s="6" t="s">
        <v>16</v>
      </c>
      <c r="E110" s="6" t="s">
        <v>17</v>
      </c>
      <c r="F110" s="7">
        <v>45600</v>
      </c>
      <c r="G110" s="8">
        <f t="shared" si="1"/>
        <v>45600</v>
      </c>
      <c r="H110" s="6" t="s">
        <v>13</v>
      </c>
      <c r="I110" s="9">
        <f>MAX(original!I110,piwebapi_edit!I110,car_edit!I110)</f>
        <v>359664.75</v>
      </c>
      <c r="J110" s="9">
        <f>MAX(original!J110,piwebapi_edit!J110,car_edit!J110)</f>
        <v>700</v>
      </c>
      <c r="K110" s="17"/>
    </row>
    <row r="111" spans="1:11" x14ac:dyDescent="0.25">
      <c r="A111" s="3" t="s">
        <v>238</v>
      </c>
      <c r="B111" s="4" t="s">
        <v>239</v>
      </c>
      <c r="C111" s="14">
        <v>1614</v>
      </c>
      <c r="D111" s="6" t="s">
        <v>16</v>
      </c>
      <c r="E111" s="6" t="s">
        <v>17</v>
      </c>
      <c r="F111" s="7">
        <v>36972</v>
      </c>
      <c r="G111" s="8">
        <f t="shared" si="1"/>
        <v>36972</v>
      </c>
      <c r="H111" s="6" t="s">
        <v>13</v>
      </c>
      <c r="I111" s="9">
        <f>MAX(original!I111,piwebapi_edit!I111,car_edit!I111)</f>
        <v>154723.45768213799</v>
      </c>
      <c r="J111" s="9">
        <f>MAX(original!J111,piwebapi_edit!J111,car_edit!J111)</f>
        <v>671.65015272146502</v>
      </c>
      <c r="K111" s="17"/>
    </row>
    <row r="112" spans="1:11" x14ac:dyDescent="0.25">
      <c r="A112" s="3" t="s">
        <v>240</v>
      </c>
      <c r="B112" s="4" t="s">
        <v>241</v>
      </c>
      <c r="C112" s="14">
        <v>11845</v>
      </c>
      <c r="D112" s="6" t="s">
        <v>16</v>
      </c>
      <c r="E112" s="6" t="s">
        <v>17</v>
      </c>
      <c r="F112" s="7">
        <v>37812</v>
      </c>
      <c r="G112" s="8">
        <f t="shared" si="1"/>
        <v>37812</v>
      </c>
      <c r="H112" s="6" t="s">
        <v>13</v>
      </c>
      <c r="I112" s="9">
        <f>MAX(original!I112,piwebapi_edit!I112,car_edit!I112)</f>
        <v>312798.53000000003</v>
      </c>
      <c r="J112" s="9">
        <f>MAX(original!J112,piwebapi_edit!J112,car_edit!J112)</f>
        <v>1508.68487796828</v>
      </c>
      <c r="K112" s="17"/>
    </row>
    <row r="113" spans="1:11" x14ac:dyDescent="0.25">
      <c r="A113" s="3" t="s">
        <v>242</v>
      </c>
      <c r="B113" s="4" t="s">
        <v>243</v>
      </c>
      <c r="C113" s="5">
        <v>2010</v>
      </c>
      <c r="D113" s="6" t="s">
        <v>16</v>
      </c>
      <c r="E113" s="6" t="s">
        <v>17</v>
      </c>
      <c r="F113" s="7">
        <v>36416</v>
      </c>
      <c r="G113" s="8">
        <f t="shared" si="1"/>
        <v>36416</v>
      </c>
      <c r="H113" s="6" t="s">
        <v>13</v>
      </c>
      <c r="I113" s="9">
        <f>MAX(original!I113,piwebapi_edit!I113,car_edit!I113)</f>
        <v>24135.041123999599</v>
      </c>
      <c r="J113" s="9">
        <f>MAX(original!J113,piwebapi_edit!J113,car_edit!J113)</f>
        <v>408.88083460646698</v>
      </c>
      <c r="K113" s="17"/>
    </row>
    <row r="114" spans="1:11" x14ac:dyDescent="0.25">
      <c r="A114" s="3" t="s">
        <v>244</v>
      </c>
      <c r="B114" s="4" t="s">
        <v>245</v>
      </c>
      <c r="C114" s="5">
        <v>18886</v>
      </c>
      <c r="D114" s="6" t="s">
        <v>16</v>
      </c>
      <c r="E114" s="6" t="s">
        <v>17</v>
      </c>
      <c r="F114" s="7">
        <v>29575</v>
      </c>
      <c r="G114" s="8">
        <f t="shared" si="1"/>
        <v>29575</v>
      </c>
      <c r="H114" s="6" t="s">
        <v>13</v>
      </c>
      <c r="I114" s="9">
        <f>MAX(original!I114,piwebapi_edit!I114,car_edit!I114)</f>
        <v>16039.2071381527</v>
      </c>
      <c r="J114" s="9">
        <f>MAX(original!J114,piwebapi_edit!J114,car_edit!J114)</f>
        <v>89.572074988074903</v>
      </c>
      <c r="K114" s="17"/>
    </row>
    <row r="115" spans="1:11" x14ac:dyDescent="0.25">
      <c r="A115" s="3" t="s">
        <v>246</v>
      </c>
      <c r="B115" s="4" t="s">
        <v>247</v>
      </c>
      <c r="C115" s="5">
        <v>15693</v>
      </c>
      <c r="D115" s="6" t="s">
        <v>16</v>
      </c>
      <c r="E115" s="6" t="s">
        <v>17</v>
      </c>
      <c r="F115" s="7">
        <v>29929</v>
      </c>
      <c r="G115" s="8">
        <f t="shared" si="1"/>
        <v>29929</v>
      </c>
      <c r="H115" s="6" t="s">
        <v>13</v>
      </c>
      <c r="I115" s="9">
        <f>MAX(original!I115,piwebapi_edit!I115,car_edit!I115)</f>
        <v>8952.6929354457207</v>
      </c>
      <c r="J115" s="9">
        <f>MAX(original!J115,piwebapi_edit!J115,car_edit!J115)</f>
        <v>129.043309585353</v>
      </c>
      <c r="K115" s="17"/>
    </row>
    <row r="116" spans="1:11" x14ac:dyDescent="0.25">
      <c r="A116" s="3" t="s">
        <v>248</v>
      </c>
      <c r="B116" s="4" t="s">
        <v>249</v>
      </c>
      <c r="C116" s="14">
        <v>2017</v>
      </c>
      <c r="D116" s="6" t="s">
        <v>16</v>
      </c>
      <c r="E116" s="6" t="s">
        <v>17</v>
      </c>
      <c r="F116" s="7">
        <v>31048</v>
      </c>
      <c r="G116" s="8">
        <f t="shared" si="1"/>
        <v>31048</v>
      </c>
      <c r="H116" s="6" t="s">
        <v>13</v>
      </c>
      <c r="I116" s="9">
        <f>MAX(original!I116,piwebapi_edit!I116,car_edit!I116)</f>
        <v>578953.63</v>
      </c>
      <c r="J116" s="9">
        <f>MAX(original!J116,piwebapi_edit!J116,car_edit!J116)</f>
        <v>1760</v>
      </c>
      <c r="K116" s="17"/>
    </row>
    <row r="117" spans="1:11" x14ac:dyDescent="0.25">
      <c r="A117" s="3" t="s">
        <v>250</v>
      </c>
      <c r="B117" s="4" t="s">
        <v>251</v>
      </c>
      <c r="C117" s="5">
        <v>2037</v>
      </c>
      <c r="D117" s="6" t="s">
        <v>16</v>
      </c>
      <c r="E117" s="6" t="s">
        <v>17</v>
      </c>
      <c r="F117" s="7">
        <v>36526</v>
      </c>
      <c r="G117" s="8">
        <f t="shared" si="1"/>
        <v>36526</v>
      </c>
      <c r="H117" s="6" t="s">
        <v>13</v>
      </c>
      <c r="I117" s="9">
        <f>MAX(original!I117,piwebapi_edit!I117,car_edit!I117)</f>
        <v>46767.274326170897</v>
      </c>
      <c r="J117" s="9">
        <f>MAX(original!J117,piwebapi_edit!J117,car_edit!J117)</f>
        <v>214.12827432230199</v>
      </c>
      <c r="K117" s="17"/>
    </row>
    <row r="118" spans="1:11" x14ac:dyDescent="0.25">
      <c r="A118" s="3" t="s">
        <v>252</v>
      </c>
      <c r="B118" s="4" t="s">
        <v>253</v>
      </c>
      <c r="C118" s="14">
        <v>1455</v>
      </c>
      <c r="D118" s="6" t="s">
        <v>31</v>
      </c>
      <c r="E118" s="6" t="s">
        <v>17</v>
      </c>
      <c r="F118" s="7">
        <v>32051</v>
      </c>
      <c r="G118" s="8">
        <f t="shared" si="1"/>
        <v>32051</v>
      </c>
      <c r="H118" s="6" t="s">
        <v>13</v>
      </c>
      <c r="I118" s="9">
        <f>MAX(original!I118,piwebapi_edit!I118,car_edit!I118)</f>
        <v>116034.865382267</v>
      </c>
      <c r="J118" s="9">
        <f>MAX(original!J118,piwebapi_edit!J118,car_edit!J118)</f>
        <v>302.77268901146903</v>
      </c>
      <c r="K118" s="17"/>
    </row>
    <row r="119" spans="1:11" x14ac:dyDescent="0.25">
      <c r="A119" s="3" t="s">
        <v>254</v>
      </c>
      <c r="B119" s="4" t="s">
        <v>255</v>
      </c>
      <c r="C119" s="5">
        <v>1472</v>
      </c>
      <c r="D119" s="6" t="s">
        <v>31</v>
      </c>
      <c r="E119" s="6" t="s">
        <v>17</v>
      </c>
      <c r="F119" s="7">
        <v>36774</v>
      </c>
      <c r="G119" s="8">
        <f t="shared" si="1"/>
        <v>36774</v>
      </c>
      <c r="H119" s="6" t="s">
        <v>13</v>
      </c>
      <c r="I119" s="9">
        <f>MAX(original!I119,piwebapi_edit!I119,car_edit!I119)</f>
        <v>5172.7621976820301</v>
      </c>
      <c r="J119" s="9">
        <f>MAX(original!J119,piwebapi_edit!J119,car_edit!J119)</f>
        <v>15.488468517152</v>
      </c>
      <c r="K119" s="17"/>
    </row>
    <row r="120" spans="1:11" x14ac:dyDescent="0.25">
      <c r="A120" s="3" t="s">
        <v>256</v>
      </c>
      <c r="B120" s="4" t="s">
        <v>257</v>
      </c>
      <c r="C120" s="5">
        <v>60577</v>
      </c>
      <c r="D120" s="6" t="s">
        <v>31</v>
      </c>
      <c r="E120" s="6" t="s">
        <v>17</v>
      </c>
      <c r="F120" s="7">
        <v>38959</v>
      </c>
      <c r="G120" s="8">
        <f t="shared" si="1"/>
        <v>38959</v>
      </c>
      <c r="H120" s="6" t="s">
        <v>13</v>
      </c>
      <c r="I120" s="9">
        <f>MAX(original!I120,piwebapi_edit!I120,car_edit!I120)</f>
        <v>62768.411928007401</v>
      </c>
      <c r="J120" s="9">
        <f>MAX(original!J120,piwebapi_edit!J120,car_edit!J120)</f>
        <v>434.49357046823002</v>
      </c>
      <c r="K120" s="17"/>
    </row>
    <row r="121" spans="1:11" x14ac:dyDescent="0.25">
      <c r="A121" s="3" t="s">
        <v>258</v>
      </c>
      <c r="B121" s="4" t="s">
        <v>259</v>
      </c>
      <c r="C121" s="14">
        <v>1352</v>
      </c>
      <c r="D121" s="6" t="s">
        <v>31</v>
      </c>
      <c r="E121" s="6" t="s">
        <v>17</v>
      </c>
      <c r="F121" s="7">
        <v>29221</v>
      </c>
      <c r="G121" s="8">
        <f t="shared" si="1"/>
        <v>29221</v>
      </c>
      <c r="H121" s="6" t="s">
        <v>13</v>
      </c>
      <c r="I121" s="9">
        <f>MAX(original!I121,piwebapi_edit!I121,car_edit!I121)</f>
        <v>56509.473417721601</v>
      </c>
      <c r="J121" s="9">
        <f>MAX(original!J121,piwebapi_edit!J121,car_edit!J121)</f>
        <v>112.303627948333</v>
      </c>
      <c r="K121" s="11"/>
    </row>
    <row r="122" spans="1:11" x14ac:dyDescent="0.25">
      <c r="A122" s="3" t="s">
        <v>260</v>
      </c>
      <c r="B122" s="4" t="s">
        <v>261</v>
      </c>
      <c r="C122" s="5">
        <v>21122</v>
      </c>
      <c r="D122" s="6" t="s">
        <v>31</v>
      </c>
      <c r="E122" s="6" t="s">
        <v>17</v>
      </c>
      <c r="F122" s="7">
        <v>35576</v>
      </c>
      <c r="G122" s="8">
        <f t="shared" si="1"/>
        <v>35576</v>
      </c>
      <c r="H122" s="6" t="s">
        <v>13</v>
      </c>
      <c r="I122" s="9">
        <f>MAX(original!I122,piwebapi_edit!I122,car_edit!I122)</f>
        <v>12525.9378584355</v>
      </c>
      <c r="J122" s="9">
        <f>MAX(original!J122,piwebapi_edit!J122,car_edit!J122)</f>
        <v>237.595160408884</v>
      </c>
      <c r="K122" s="17"/>
    </row>
    <row r="123" spans="1:11" x14ac:dyDescent="0.25">
      <c r="A123" s="3" t="s">
        <v>262</v>
      </c>
      <c r="B123" s="4" t="s">
        <v>263</v>
      </c>
      <c r="C123" s="5">
        <v>21444</v>
      </c>
      <c r="D123" s="6" t="s">
        <v>31</v>
      </c>
      <c r="E123" s="6" t="s">
        <v>17</v>
      </c>
      <c r="F123" s="7">
        <v>32273</v>
      </c>
      <c r="G123" s="8">
        <f t="shared" si="1"/>
        <v>32273</v>
      </c>
      <c r="H123" s="6" t="s">
        <v>13</v>
      </c>
      <c r="I123" s="9">
        <f>MAX(original!I123,piwebapi_edit!I123,car_edit!I123)</f>
        <v>8465.4237855907304</v>
      </c>
      <c r="J123" s="9">
        <f>MAX(original!J123,piwebapi_edit!J123,car_edit!J123)</f>
        <v>126.820256779586</v>
      </c>
      <c r="K123" s="17"/>
    </row>
    <row r="124" spans="1:11" x14ac:dyDescent="0.25">
      <c r="A124" s="3" t="s">
        <v>264</v>
      </c>
      <c r="B124" s="4" t="s">
        <v>265</v>
      </c>
      <c r="C124" s="5">
        <v>1766</v>
      </c>
      <c r="D124" s="6" t="s">
        <v>31</v>
      </c>
      <c r="E124" s="6" t="s">
        <v>17</v>
      </c>
      <c r="F124" s="7">
        <v>36637</v>
      </c>
      <c r="G124" s="8">
        <f t="shared" si="1"/>
        <v>36637</v>
      </c>
      <c r="H124" s="6" t="s">
        <v>13</v>
      </c>
      <c r="I124" s="9">
        <f>MAX(original!I124,piwebapi_edit!I124,car_edit!I124)</f>
        <v>6826.5924928024297</v>
      </c>
      <c r="J124" s="9">
        <f>MAX(original!J124,piwebapi_edit!J124,car_edit!J124)</f>
        <v>150.13892731748899</v>
      </c>
      <c r="K124" s="17"/>
    </row>
    <row r="125" spans="1:11" x14ac:dyDescent="0.25">
      <c r="A125" s="3" t="s">
        <v>266</v>
      </c>
      <c r="B125" s="4" t="s">
        <v>267</v>
      </c>
      <c r="C125" s="5">
        <v>54499</v>
      </c>
      <c r="D125" s="6" t="s">
        <v>31</v>
      </c>
      <c r="E125" s="6" t="s">
        <v>17</v>
      </c>
      <c r="F125" s="7">
        <v>29768</v>
      </c>
      <c r="G125" s="8">
        <f t="shared" si="1"/>
        <v>29768</v>
      </c>
      <c r="H125" s="6" t="s">
        <v>13</v>
      </c>
      <c r="I125" s="9">
        <f>MAX(original!I125,piwebapi_edit!I125,car_edit!I125)</f>
        <v>14789.2860815937</v>
      </c>
      <c r="J125" s="9">
        <f>MAX(original!J125,piwebapi_edit!J125,car_edit!J125)</f>
        <v>50.677797425653999</v>
      </c>
      <c r="K125" s="17"/>
    </row>
    <row r="126" spans="1:11" x14ac:dyDescent="0.25">
      <c r="A126" s="26" t="s">
        <v>268</v>
      </c>
      <c r="B126" s="27" t="s">
        <v>269</v>
      </c>
      <c r="C126" s="5">
        <v>14722</v>
      </c>
      <c r="D126" s="28" t="s">
        <v>31</v>
      </c>
      <c r="E126" s="28" t="s">
        <v>17</v>
      </c>
      <c r="F126" s="29">
        <v>27474</v>
      </c>
      <c r="G126" s="30">
        <f t="shared" si="1"/>
        <v>27474</v>
      </c>
      <c r="H126" s="28" t="s">
        <v>13</v>
      </c>
      <c r="I126" s="9">
        <f>MAX(original!I126,piwebapi_edit!I126,car_edit!I126)</f>
        <v>17460.791958281599</v>
      </c>
      <c r="J126" s="9">
        <f>MAX(original!J126,piwebapi_edit!J126,car_edit!J126)</f>
        <v>340.77943727390101</v>
      </c>
      <c r="K126" s="33"/>
    </row>
    <row r="127" spans="1:11" x14ac:dyDescent="0.25">
      <c r="A127" s="26" t="s">
        <v>270</v>
      </c>
      <c r="B127" s="27" t="s">
        <v>271</v>
      </c>
      <c r="C127" s="5">
        <v>1719</v>
      </c>
      <c r="D127" s="28" t="s">
        <v>16</v>
      </c>
      <c r="E127" s="28" t="s">
        <v>17</v>
      </c>
      <c r="F127" s="29">
        <v>25569</v>
      </c>
      <c r="G127" s="30">
        <f t="shared" si="1"/>
        <v>25569</v>
      </c>
      <c r="H127" s="28" t="s">
        <v>13</v>
      </c>
      <c r="I127" s="9">
        <f>MAX(original!I127,piwebapi_edit!I127,car_edit!I127)</f>
        <v>5570.1832179544799</v>
      </c>
      <c r="J127" s="9">
        <f>MAX(original!J127,piwebapi_edit!J127,car_edit!J127)</f>
        <v>70.273521473816402</v>
      </c>
      <c r="K127" s="33"/>
    </row>
    <row r="128" spans="1:11" x14ac:dyDescent="0.25">
      <c r="A128" s="3" t="s">
        <v>272</v>
      </c>
      <c r="B128" s="4" t="s">
        <v>273</v>
      </c>
      <c r="C128" s="5">
        <v>1310</v>
      </c>
      <c r="D128" s="6" t="s">
        <v>16</v>
      </c>
      <c r="E128" s="6" t="s">
        <v>17</v>
      </c>
      <c r="F128" s="7">
        <v>25569</v>
      </c>
      <c r="G128" s="8">
        <f t="shared" si="1"/>
        <v>25569</v>
      </c>
      <c r="H128" s="6" t="s">
        <v>13</v>
      </c>
      <c r="I128" s="9">
        <f>MAX(original!I128,piwebapi_edit!I128,car_edit!I128)</f>
        <v>11883.8813037991</v>
      </c>
      <c r="J128" s="9">
        <f>MAX(original!J128,piwebapi_edit!J128,car_edit!J128)</f>
        <v>287.59210520924898</v>
      </c>
      <c r="K128" s="17"/>
    </row>
    <row r="129" spans="1:11" x14ac:dyDescent="0.25">
      <c r="A129" s="3" t="s">
        <v>274</v>
      </c>
      <c r="B129" s="4" t="s">
        <v>275</v>
      </c>
      <c r="C129" s="5">
        <v>1058</v>
      </c>
      <c r="D129" s="6" t="s">
        <v>16</v>
      </c>
      <c r="E129" s="6" t="s">
        <v>17</v>
      </c>
      <c r="F129" s="7">
        <v>29221</v>
      </c>
      <c r="G129" s="8">
        <f t="shared" si="1"/>
        <v>29221</v>
      </c>
      <c r="H129" s="6" t="s">
        <v>13</v>
      </c>
      <c r="I129" s="9">
        <f>MAX(original!I129,piwebapi_edit!I129,car_edit!I129)</f>
        <v>7328.0667524581195</v>
      </c>
      <c r="J129" s="9">
        <f>MAX(original!J129,piwebapi_edit!J129,car_edit!J129)</f>
        <v>97.254933597946504</v>
      </c>
      <c r="K129" s="17"/>
    </row>
    <row r="130" spans="1:11" x14ac:dyDescent="0.25">
      <c r="A130" s="3" t="s">
        <v>276</v>
      </c>
      <c r="B130" s="4" t="s">
        <v>277</v>
      </c>
      <c r="C130" s="5">
        <v>1851</v>
      </c>
      <c r="D130" s="6" t="s">
        <v>16</v>
      </c>
      <c r="E130" s="6" t="s">
        <v>17</v>
      </c>
      <c r="F130" s="7">
        <v>35795</v>
      </c>
      <c r="G130" s="8">
        <f t="shared" ref="G130:G193" si="2">F130</f>
        <v>35795</v>
      </c>
      <c r="H130" s="6" t="s">
        <v>13</v>
      </c>
      <c r="I130" s="9">
        <f>MAX(original!I130,piwebapi_edit!I130,car_edit!I130)</f>
        <v>2354.6991408839403</v>
      </c>
      <c r="J130" s="9">
        <f>MAX(original!J130,piwebapi_edit!J130,car_edit!J130)</f>
        <v>72.287924698683995</v>
      </c>
      <c r="K130" s="17"/>
    </row>
    <row r="131" spans="1:11" x14ac:dyDescent="0.25">
      <c r="A131" s="3" t="s">
        <v>278</v>
      </c>
      <c r="B131" s="4" t="s">
        <v>279</v>
      </c>
      <c r="C131" s="14">
        <v>54498</v>
      </c>
      <c r="D131" s="6" t="s">
        <v>28</v>
      </c>
      <c r="E131" s="6" t="s">
        <v>17</v>
      </c>
      <c r="F131" s="7">
        <v>38121</v>
      </c>
      <c r="G131" s="8">
        <f t="shared" si="2"/>
        <v>38121</v>
      </c>
      <c r="H131" s="6" t="s">
        <v>13</v>
      </c>
      <c r="I131" s="9">
        <f>MAX(original!I131,piwebapi_edit!I131,car_edit!I131)</f>
        <v>46798.539986160402</v>
      </c>
      <c r="J131" s="9">
        <f>MAX(original!J131,piwebapi_edit!J131,car_edit!J131)</f>
        <v>129.63319149839899</v>
      </c>
      <c r="K131" s="11"/>
    </row>
    <row r="132" spans="1:11" x14ac:dyDescent="0.25">
      <c r="A132" s="3" t="s">
        <v>280</v>
      </c>
      <c r="B132" s="4" t="s">
        <v>281</v>
      </c>
      <c r="C132" s="5">
        <v>2067</v>
      </c>
      <c r="D132" s="6" t="s">
        <v>34</v>
      </c>
      <c r="E132" s="6" t="s">
        <v>17</v>
      </c>
      <c r="F132" s="7">
        <v>19725</v>
      </c>
      <c r="G132" s="8">
        <f t="shared" si="2"/>
        <v>19725</v>
      </c>
      <c r="H132" s="6" t="s">
        <v>13</v>
      </c>
      <c r="I132" s="9">
        <f>MAX(original!I132,piwebapi_edit!I132,car_edit!I132)</f>
        <v>57742.555881400796</v>
      </c>
      <c r="J132" s="9">
        <f>MAX(original!J132,piwebapi_edit!J132,car_edit!J132)</f>
        <v>756.31175219793295</v>
      </c>
      <c r="K132" s="17"/>
    </row>
    <row r="133" spans="1:11" x14ac:dyDescent="0.25">
      <c r="A133" s="3" t="s">
        <v>282</v>
      </c>
      <c r="B133" s="4" t="s">
        <v>283</v>
      </c>
      <c r="C133" s="14">
        <v>1538</v>
      </c>
      <c r="D133" s="6" t="s">
        <v>28</v>
      </c>
      <c r="E133" s="6" t="s">
        <v>17</v>
      </c>
      <c r="F133" s="7">
        <v>33239</v>
      </c>
      <c r="G133" s="8">
        <f t="shared" si="2"/>
        <v>33239</v>
      </c>
      <c r="H133" s="6" t="s">
        <v>13</v>
      </c>
      <c r="I133" s="9">
        <f>MAX(original!I133,piwebapi_edit!I133,car_edit!I133)</f>
        <v>281747.63111424498</v>
      </c>
      <c r="J133" s="9">
        <f>MAX(original!J133,piwebapi_edit!J133,car_edit!J133)</f>
        <v>994.11016231306996</v>
      </c>
      <c r="K133" s="17"/>
    </row>
    <row r="134" spans="1:11" x14ac:dyDescent="0.25">
      <c r="A134" s="3" t="s">
        <v>284</v>
      </c>
      <c r="B134" s="4" t="s">
        <v>285</v>
      </c>
      <c r="C134" s="14">
        <v>1454</v>
      </c>
      <c r="D134" s="6" t="s">
        <v>16</v>
      </c>
      <c r="E134" s="6" t="s">
        <v>17</v>
      </c>
      <c r="F134" s="7">
        <v>29952</v>
      </c>
      <c r="G134" s="8">
        <f t="shared" si="2"/>
        <v>29952</v>
      </c>
      <c r="H134" s="6" t="s">
        <v>13</v>
      </c>
      <c r="I134" s="9">
        <f>MAX(original!I134,piwebapi_edit!I134,car_edit!I134)</f>
        <v>295620.52731747204</v>
      </c>
      <c r="J134" s="9">
        <f>MAX(original!J134,piwebapi_edit!J134,car_edit!J134)</f>
        <v>1510.6119339325801</v>
      </c>
      <c r="K134" s="17"/>
    </row>
    <row r="135" spans="1:11" x14ac:dyDescent="0.25">
      <c r="A135" s="3" t="s">
        <v>286</v>
      </c>
      <c r="B135" s="4" t="s">
        <v>287</v>
      </c>
      <c r="C135" s="14">
        <v>52904</v>
      </c>
      <c r="D135" s="6" t="s">
        <v>11</v>
      </c>
      <c r="E135" s="6" t="s">
        <v>12</v>
      </c>
      <c r="F135" s="7">
        <v>39094</v>
      </c>
      <c r="G135" s="8">
        <f t="shared" si="2"/>
        <v>39094</v>
      </c>
      <c r="H135" s="6" t="s">
        <v>39</v>
      </c>
      <c r="I135" s="9">
        <f>MAX(original!I135,piwebapi_edit!I135,car_edit!I135)</f>
        <v>13492.313707641901</v>
      </c>
      <c r="J135" s="9">
        <f>MAX(original!J135,piwebapi_edit!J135,car_edit!J135)</f>
        <v>149.29855145829899</v>
      </c>
      <c r="K135" s="17"/>
    </row>
    <row r="136" spans="1:11" x14ac:dyDescent="0.25">
      <c r="A136" s="3" t="s">
        <v>288</v>
      </c>
      <c r="B136" s="4" t="s">
        <v>289</v>
      </c>
      <c r="C136" s="5">
        <v>1117</v>
      </c>
      <c r="D136" s="6" t="s">
        <v>28</v>
      </c>
      <c r="E136" s="6" t="s">
        <v>17</v>
      </c>
      <c r="F136" s="7">
        <v>18264</v>
      </c>
      <c r="G136" s="8">
        <f t="shared" si="2"/>
        <v>18264</v>
      </c>
      <c r="H136" s="6" t="s">
        <v>13</v>
      </c>
      <c r="I136" s="9">
        <f>MAX(original!I136,piwebapi_edit!I136,car_edit!I136)</f>
        <v>49340.480740833897</v>
      </c>
      <c r="J136" s="9">
        <f>MAX(original!J136,piwebapi_edit!J136,car_edit!J136)</f>
        <v>381.78360321839199</v>
      </c>
      <c r="K136" s="17"/>
    </row>
    <row r="137" spans="1:11" x14ac:dyDescent="0.25">
      <c r="A137" s="3" t="s">
        <v>290</v>
      </c>
      <c r="B137" s="4" t="s">
        <v>291</v>
      </c>
      <c r="C137" s="5">
        <v>39105</v>
      </c>
      <c r="D137" s="6" t="s">
        <v>31</v>
      </c>
      <c r="E137" s="6" t="s">
        <v>17</v>
      </c>
      <c r="F137" s="7">
        <v>37377</v>
      </c>
      <c r="G137" s="8">
        <f t="shared" si="2"/>
        <v>37377</v>
      </c>
      <c r="H137" s="6" t="s">
        <v>13</v>
      </c>
      <c r="I137" s="9">
        <f>MAX(original!I137,piwebapi_edit!I137,car_edit!I137)</f>
        <v>32976.0305854049</v>
      </c>
      <c r="J137" s="9">
        <f>MAX(original!J137,piwebapi_edit!J137,car_edit!J137)</f>
        <v>257.32945786273899</v>
      </c>
      <c r="K137" s="17"/>
    </row>
    <row r="138" spans="1:11" x14ac:dyDescent="0.25">
      <c r="A138" s="12" t="s">
        <v>292</v>
      </c>
      <c r="B138" s="4" t="s">
        <v>293</v>
      </c>
      <c r="C138" s="14">
        <v>1714</v>
      </c>
      <c r="D138" s="6" t="s">
        <v>16</v>
      </c>
      <c r="E138" s="6" t="s">
        <v>17</v>
      </c>
      <c r="F138" s="7">
        <v>29221</v>
      </c>
      <c r="G138" s="8">
        <f t="shared" si="2"/>
        <v>29221</v>
      </c>
      <c r="H138" s="6" t="s">
        <v>13</v>
      </c>
      <c r="I138" s="9">
        <f>MAX(original!I138,piwebapi_edit!I138,car_edit!I138)</f>
        <v>347331.89537180698</v>
      </c>
      <c r="J138" s="9">
        <f>MAX(original!J138,piwebapi_edit!J138,car_edit!J138)</f>
        <v>1000</v>
      </c>
      <c r="K138" s="17"/>
    </row>
    <row r="139" spans="1:11" x14ac:dyDescent="0.25">
      <c r="A139" s="3" t="s">
        <v>294</v>
      </c>
      <c r="B139" s="4" t="s">
        <v>295</v>
      </c>
      <c r="C139" s="5">
        <v>1176</v>
      </c>
      <c r="D139" s="6" t="s">
        <v>16</v>
      </c>
      <c r="E139" s="6" t="s">
        <v>17</v>
      </c>
      <c r="F139" s="7">
        <v>29221</v>
      </c>
      <c r="G139" s="8">
        <f t="shared" si="2"/>
        <v>29221</v>
      </c>
      <c r="H139" s="6" t="s">
        <v>13</v>
      </c>
      <c r="I139" s="9">
        <f>MAX(original!I139,piwebapi_edit!I139,car_edit!I139)</f>
        <v>32126.689423298303</v>
      </c>
      <c r="J139" s="9">
        <f>MAX(original!J139,piwebapi_edit!J139,car_edit!J139)</f>
        <v>148.41648704090301</v>
      </c>
      <c r="K139" s="17"/>
    </row>
    <row r="140" spans="1:11" x14ac:dyDescent="0.25">
      <c r="A140" s="3" t="s">
        <v>296</v>
      </c>
      <c r="B140" s="4" t="s">
        <v>297</v>
      </c>
      <c r="C140" s="5">
        <v>1049</v>
      </c>
      <c r="D140" s="6" t="s">
        <v>16</v>
      </c>
      <c r="E140" s="6" t="s">
        <v>17</v>
      </c>
      <c r="F140" s="7">
        <v>29221</v>
      </c>
      <c r="G140" s="8">
        <f t="shared" si="2"/>
        <v>29221</v>
      </c>
      <c r="H140" s="6" t="s">
        <v>13</v>
      </c>
      <c r="I140" s="9">
        <f>MAX(original!I140,piwebapi_edit!I140,car_edit!I140)</f>
        <v>15576.5799745555</v>
      </c>
      <c r="J140" s="9">
        <f>MAX(original!J140,piwebapi_edit!J140,car_edit!J140)</f>
        <v>139.300243171045</v>
      </c>
      <c r="K140" s="17"/>
    </row>
    <row r="141" spans="1:11" x14ac:dyDescent="0.25">
      <c r="A141" s="3" t="s">
        <v>298</v>
      </c>
      <c r="B141" s="4" t="s">
        <v>299</v>
      </c>
      <c r="C141" s="5">
        <v>1194</v>
      </c>
      <c r="D141" s="6" t="s">
        <v>16</v>
      </c>
      <c r="E141" s="6" t="s">
        <v>17</v>
      </c>
      <c r="F141" s="7">
        <v>31048</v>
      </c>
      <c r="G141" s="8">
        <f t="shared" si="2"/>
        <v>31048</v>
      </c>
      <c r="H141" s="6" t="s">
        <v>13</v>
      </c>
      <c r="I141" s="9">
        <f>MAX(original!I141,piwebapi_edit!I141,car_edit!I141)</f>
        <v>43082.596415259301</v>
      </c>
      <c r="J141" s="9">
        <f>MAX(original!J141,piwebapi_edit!J141,car_edit!J141)</f>
        <v>205.92091706397301</v>
      </c>
      <c r="K141" s="11"/>
    </row>
    <row r="142" spans="1:11" x14ac:dyDescent="0.25">
      <c r="A142" s="3" t="s">
        <v>300</v>
      </c>
      <c r="B142" s="4" t="s">
        <v>301</v>
      </c>
      <c r="C142" s="14">
        <v>1757</v>
      </c>
      <c r="D142" s="6" t="s">
        <v>31</v>
      </c>
      <c r="E142" s="6" t="s">
        <v>17</v>
      </c>
      <c r="F142" s="7">
        <v>31048</v>
      </c>
      <c r="G142" s="8">
        <f t="shared" si="2"/>
        <v>31048</v>
      </c>
      <c r="H142" s="6" t="s">
        <v>13</v>
      </c>
      <c r="I142" s="9">
        <f>MAX(original!I142,piwebapi_edit!I142,car_edit!I142)</f>
        <v>81215.663919440995</v>
      </c>
      <c r="J142" s="9">
        <f>MAX(original!J142,piwebapi_edit!J142,car_edit!J142)</f>
        <v>491.60276601106102</v>
      </c>
      <c r="K142" s="17"/>
    </row>
    <row r="143" spans="1:11" x14ac:dyDescent="0.25">
      <c r="A143" s="3" t="s">
        <v>302</v>
      </c>
      <c r="B143" s="4" t="s">
        <v>303</v>
      </c>
      <c r="C143" s="14">
        <v>1723</v>
      </c>
      <c r="D143" s="6" t="s">
        <v>16</v>
      </c>
      <c r="E143" s="6" t="s">
        <v>17</v>
      </c>
      <c r="F143" s="7">
        <v>31048</v>
      </c>
      <c r="G143" s="8">
        <f t="shared" si="2"/>
        <v>31048</v>
      </c>
      <c r="H143" s="6" t="s">
        <v>13</v>
      </c>
      <c r="I143" s="9">
        <f>MAX(original!I143,piwebapi_edit!I143,car_edit!I143)</f>
        <v>75108.617618256903</v>
      </c>
      <c r="J143" s="9">
        <f>MAX(original!J143,piwebapi_edit!J143,car_edit!J143)</f>
        <v>441.25869882399599</v>
      </c>
      <c r="K143" s="17"/>
    </row>
    <row r="144" spans="1:11" x14ac:dyDescent="0.25">
      <c r="A144" s="3" t="s">
        <v>304</v>
      </c>
      <c r="B144" s="4" t="s">
        <v>305</v>
      </c>
      <c r="C144" s="5">
        <v>25282</v>
      </c>
      <c r="D144" s="6" t="s">
        <v>31</v>
      </c>
      <c r="E144" s="6" t="s">
        <v>17</v>
      </c>
      <c r="F144" s="7">
        <v>24153</v>
      </c>
      <c r="G144" s="8">
        <f t="shared" si="2"/>
        <v>24153</v>
      </c>
      <c r="H144" s="6" t="s">
        <v>13</v>
      </c>
      <c r="I144" s="9">
        <f>MAX(original!I144,piwebapi_edit!I144,car_edit!I144)</f>
        <v>9827.1379565238203</v>
      </c>
      <c r="J144" s="9">
        <f>MAX(original!J144,piwebapi_edit!J144,car_edit!J144)</f>
        <v>157.07388092023999</v>
      </c>
      <c r="K144" s="17"/>
    </row>
    <row r="145" spans="1:11" x14ac:dyDescent="0.25">
      <c r="A145" s="3" t="s">
        <v>306</v>
      </c>
      <c r="B145" s="4" t="s">
        <v>307</v>
      </c>
      <c r="C145" s="14">
        <v>37505</v>
      </c>
      <c r="D145" s="6" t="s">
        <v>31</v>
      </c>
      <c r="E145" s="6" t="s">
        <v>17</v>
      </c>
      <c r="F145" s="7">
        <v>24590</v>
      </c>
      <c r="G145" s="8">
        <f t="shared" si="2"/>
        <v>24590</v>
      </c>
      <c r="H145" s="6" t="s">
        <v>13</v>
      </c>
      <c r="I145" s="9">
        <f>MAX(original!I145,piwebapi_edit!I145,car_edit!I145)</f>
        <v>32075.0077856588</v>
      </c>
      <c r="J145" s="9">
        <f>MAX(original!J145,piwebapi_edit!J145,car_edit!J145)</f>
        <v>291.85448397307198</v>
      </c>
      <c r="K145" s="17"/>
    </row>
    <row r="146" spans="1:11" x14ac:dyDescent="0.25">
      <c r="A146" s="3" t="s">
        <v>308</v>
      </c>
      <c r="B146" s="4" t="s">
        <v>309</v>
      </c>
      <c r="C146" s="5">
        <v>12810</v>
      </c>
      <c r="D146" s="6" t="s">
        <v>31</v>
      </c>
      <c r="E146" s="6" t="s">
        <v>17</v>
      </c>
      <c r="F146" s="7">
        <v>37816</v>
      </c>
      <c r="G146" s="8">
        <f t="shared" si="2"/>
        <v>37816</v>
      </c>
      <c r="H146" s="6" t="s">
        <v>13</v>
      </c>
      <c r="I146" s="9">
        <f>MAX(original!I146,piwebapi_edit!I146,car_edit!I146)</f>
        <v>33278.7709671267</v>
      </c>
      <c r="J146" s="9">
        <f>MAX(original!J146,piwebapi_edit!J146,car_edit!J146)</f>
        <v>434.346744718281</v>
      </c>
      <c r="K146" s="17"/>
    </row>
    <row r="147" spans="1:11" x14ac:dyDescent="0.25">
      <c r="A147" s="3" t="s">
        <v>310</v>
      </c>
      <c r="B147" s="4" t="s">
        <v>311</v>
      </c>
      <c r="C147" s="14">
        <v>1219</v>
      </c>
      <c r="D147" s="6" t="s">
        <v>31</v>
      </c>
      <c r="E147" s="6" t="s">
        <v>17</v>
      </c>
      <c r="F147" s="7">
        <v>29952</v>
      </c>
      <c r="G147" s="8">
        <f t="shared" si="2"/>
        <v>29952</v>
      </c>
      <c r="H147" s="6" t="s">
        <v>13</v>
      </c>
      <c r="I147" s="9">
        <f>MAX(original!I147,piwebapi_edit!I147,car_edit!I147)</f>
        <v>145919.99812078199</v>
      </c>
      <c r="J147" s="9">
        <f>MAX(original!J147,piwebapi_edit!J147,car_edit!J147)</f>
        <v>564.64325259731197</v>
      </c>
      <c r="K147" s="17"/>
    </row>
    <row r="148" spans="1:11" x14ac:dyDescent="0.25">
      <c r="A148" s="3" t="s">
        <v>312</v>
      </c>
      <c r="B148" s="4" t="s">
        <v>313</v>
      </c>
      <c r="C148" s="5">
        <v>1087</v>
      </c>
      <c r="D148" s="6" t="s">
        <v>31</v>
      </c>
      <c r="E148" s="6" t="s">
        <v>17</v>
      </c>
      <c r="F148" s="7">
        <v>29952</v>
      </c>
      <c r="G148" s="8">
        <f t="shared" si="2"/>
        <v>29952</v>
      </c>
      <c r="H148" s="6" t="s">
        <v>13</v>
      </c>
      <c r="I148" s="9">
        <f>MAX(original!I148,piwebapi_edit!I148,car_edit!I148)</f>
        <v>65433.497829878506</v>
      </c>
      <c r="J148" s="9">
        <f>MAX(original!J148,piwebapi_edit!J148,car_edit!J148)</f>
        <v>557.82853731360603</v>
      </c>
      <c r="K148" s="17"/>
    </row>
    <row r="149" spans="1:11" x14ac:dyDescent="0.25">
      <c r="A149" s="3" t="s">
        <v>314</v>
      </c>
      <c r="B149" s="4" t="s">
        <v>315</v>
      </c>
      <c r="C149" s="5">
        <v>54500</v>
      </c>
      <c r="D149" s="6" t="s">
        <v>28</v>
      </c>
      <c r="E149" s="6" t="s">
        <v>17</v>
      </c>
      <c r="F149" s="7">
        <v>39929</v>
      </c>
      <c r="G149" s="8">
        <f t="shared" si="2"/>
        <v>39929</v>
      </c>
      <c r="H149" s="6" t="s">
        <v>13</v>
      </c>
      <c r="I149" s="9">
        <f>MAX(original!I149,piwebapi_edit!I149,car_edit!I149)</f>
        <v>22092.343662920899</v>
      </c>
      <c r="J149" s="9">
        <f>MAX(original!J149,piwebapi_edit!J149,car_edit!J149)</f>
        <v>177.69622123985201</v>
      </c>
      <c r="K149" s="17"/>
    </row>
    <row r="150" spans="1:11" x14ac:dyDescent="0.25">
      <c r="A150" s="3" t="s">
        <v>316</v>
      </c>
      <c r="B150" s="4" t="s">
        <v>317</v>
      </c>
      <c r="C150" s="5">
        <v>1912</v>
      </c>
      <c r="D150" s="6" t="s">
        <v>34</v>
      </c>
      <c r="E150" s="6" t="s">
        <v>17</v>
      </c>
      <c r="F150" s="7">
        <v>29952</v>
      </c>
      <c r="G150" s="8">
        <f t="shared" si="2"/>
        <v>29952</v>
      </c>
      <c r="H150" s="6" t="s">
        <v>13</v>
      </c>
      <c r="I150" s="9">
        <f>MAX(original!I150,piwebapi_edit!I150,car_edit!I150)</f>
        <v>19581.570440201802</v>
      </c>
      <c r="J150" s="9">
        <f>MAX(original!J150,piwebapi_edit!J150,car_edit!J150)</f>
        <v>204.32547462023001</v>
      </c>
      <c r="K150" s="17"/>
    </row>
    <row r="151" spans="1:11" x14ac:dyDescent="0.25">
      <c r="A151" s="3" t="s">
        <v>318</v>
      </c>
      <c r="B151" s="4" t="s">
        <v>319</v>
      </c>
      <c r="C151" s="5">
        <v>12493</v>
      </c>
      <c r="D151" s="6" t="s">
        <v>34</v>
      </c>
      <c r="E151" s="6" t="s">
        <v>17</v>
      </c>
      <c r="F151" s="7">
        <v>37606</v>
      </c>
      <c r="G151" s="8">
        <f t="shared" si="2"/>
        <v>37606</v>
      </c>
      <c r="H151" s="6" t="s">
        <v>13</v>
      </c>
      <c r="I151" s="9">
        <f>MAX(original!I151,piwebapi_edit!I151,car_edit!I151)</f>
        <v>111275.00646688801</v>
      </c>
      <c r="J151" s="9">
        <f>MAX(original!J151,piwebapi_edit!J151,car_edit!J151)</f>
        <v>369.68670204134497</v>
      </c>
      <c r="K151" s="17"/>
    </row>
    <row r="152" spans="1:11" x14ac:dyDescent="0.25">
      <c r="A152" s="3" t="s">
        <v>320</v>
      </c>
      <c r="B152" s="4" t="s">
        <v>321</v>
      </c>
      <c r="C152" s="5">
        <v>9921</v>
      </c>
      <c r="D152" s="6" t="s">
        <v>11</v>
      </c>
      <c r="E152" s="6" t="s">
        <v>17</v>
      </c>
      <c r="F152" s="7">
        <v>37344</v>
      </c>
      <c r="G152" s="8">
        <f t="shared" si="2"/>
        <v>37344</v>
      </c>
      <c r="H152" s="6" t="s">
        <v>13</v>
      </c>
      <c r="I152" s="9">
        <f>MAX(original!I152,piwebapi_edit!I152,car_edit!I152)</f>
        <v>26903.883610495101</v>
      </c>
      <c r="J152" s="9">
        <f>MAX(original!J152,piwebapi_edit!J152,car_edit!J152)</f>
        <v>301.220808390976</v>
      </c>
      <c r="K152" s="17"/>
    </row>
    <row r="153" spans="1:11" x14ac:dyDescent="0.25">
      <c r="A153" s="3" t="s">
        <v>322</v>
      </c>
      <c r="B153" s="4" t="s">
        <v>323</v>
      </c>
      <c r="C153" s="5">
        <v>3201</v>
      </c>
      <c r="D153" s="6" t="s">
        <v>11</v>
      </c>
      <c r="E153" s="6" t="s">
        <v>17</v>
      </c>
      <c r="F153" s="7">
        <v>36098</v>
      </c>
      <c r="G153" s="8">
        <f t="shared" si="2"/>
        <v>36098</v>
      </c>
      <c r="H153" s="6" t="s">
        <v>13</v>
      </c>
      <c r="I153" s="9">
        <f>MAX(original!I153,piwebapi_edit!I153,car_edit!I153)</f>
        <v>13169.897841324399</v>
      </c>
      <c r="J153" s="9">
        <f>MAX(original!J153,piwebapi_edit!J153,car_edit!J153)</f>
        <v>85.420609530885599</v>
      </c>
      <c r="K153" s="17"/>
    </row>
    <row r="154" spans="1:11" x14ac:dyDescent="0.25">
      <c r="A154" s="3" t="s">
        <v>324</v>
      </c>
      <c r="B154" s="4" t="s">
        <v>325</v>
      </c>
      <c r="C154" s="5">
        <v>10566</v>
      </c>
      <c r="D154" s="6" t="s">
        <v>11</v>
      </c>
      <c r="E154" s="6" t="s">
        <v>17</v>
      </c>
      <c r="F154" s="7">
        <v>37503</v>
      </c>
      <c r="G154" s="8">
        <f t="shared" si="2"/>
        <v>37503</v>
      </c>
      <c r="H154" s="6" t="s">
        <v>13</v>
      </c>
      <c r="I154" s="9">
        <f>MAX(original!I154,piwebapi_edit!I154,car_edit!I154)</f>
        <v>34262.024905199396</v>
      </c>
      <c r="J154" s="9">
        <f>MAX(original!J154,piwebapi_edit!J154,car_edit!J154)</f>
        <v>246.975882917744</v>
      </c>
      <c r="K154" s="17"/>
    </row>
    <row r="155" spans="1:11" x14ac:dyDescent="0.25">
      <c r="A155" s="3" t="s">
        <v>326</v>
      </c>
      <c r="B155" s="4" t="s">
        <v>327</v>
      </c>
      <c r="C155" s="5">
        <v>1586</v>
      </c>
      <c r="D155" s="6" t="s">
        <v>34</v>
      </c>
      <c r="E155" s="6" t="s">
        <v>17</v>
      </c>
      <c r="F155" s="7">
        <v>18264</v>
      </c>
      <c r="G155" s="8">
        <f t="shared" si="2"/>
        <v>18264</v>
      </c>
      <c r="H155" s="6" t="s">
        <v>13</v>
      </c>
      <c r="I155" s="9">
        <f>MAX(original!I155,piwebapi_edit!I155,car_edit!I155)</f>
        <v>31235.1311943654</v>
      </c>
      <c r="J155" s="9">
        <f>MAX(original!J155,piwebapi_edit!J155,car_edit!J155)</f>
        <v>132.17699820878201</v>
      </c>
      <c r="K155" s="17"/>
    </row>
    <row r="156" spans="1:11" x14ac:dyDescent="0.25">
      <c r="A156" s="3" t="s">
        <v>328</v>
      </c>
      <c r="B156" s="4" t="s">
        <v>329</v>
      </c>
      <c r="C156" s="14">
        <v>72106</v>
      </c>
      <c r="D156" s="6" t="s">
        <v>11</v>
      </c>
      <c r="E156" s="6" t="s">
        <v>17</v>
      </c>
      <c r="F156" s="7">
        <v>38854</v>
      </c>
      <c r="G156" s="8">
        <f t="shared" si="2"/>
        <v>38854</v>
      </c>
      <c r="H156" s="6" t="s">
        <v>13</v>
      </c>
      <c r="I156" s="9">
        <f>MAX(original!I156,piwebapi_edit!I156,car_edit!I156)</f>
        <v>29095.218224874199</v>
      </c>
      <c r="J156" s="9">
        <f>MAX(original!J156,piwebapi_edit!J156,car_edit!J156)</f>
        <v>237.56578901430399</v>
      </c>
      <c r="K156" s="17"/>
    </row>
    <row r="157" spans="1:11" x14ac:dyDescent="0.25">
      <c r="A157" s="3" t="s">
        <v>330</v>
      </c>
      <c r="B157" s="4" t="s">
        <v>331</v>
      </c>
      <c r="C157" s="5">
        <v>52883</v>
      </c>
      <c r="D157" s="6" t="s">
        <v>34</v>
      </c>
      <c r="E157" s="6" t="s">
        <v>17</v>
      </c>
      <c r="F157" s="7">
        <v>39115</v>
      </c>
      <c r="G157" s="8">
        <f t="shared" si="2"/>
        <v>39115</v>
      </c>
      <c r="H157" s="6" t="s">
        <v>13</v>
      </c>
      <c r="I157" s="9">
        <f>MAX(original!I157,piwebapi_edit!I157,car_edit!I157)</f>
        <v>678.93801156224401</v>
      </c>
      <c r="J157" s="9">
        <f>MAX(original!J157,piwebapi_edit!J157,car_edit!J157)</f>
        <v>5.70888574034106</v>
      </c>
      <c r="K157" s="17"/>
    </row>
    <row r="158" spans="1:11" x14ac:dyDescent="0.25">
      <c r="A158" s="3" t="s">
        <v>332</v>
      </c>
      <c r="B158" s="4" t="s">
        <v>333</v>
      </c>
      <c r="C158" s="5">
        <v>1201</v>
      </c>
      <c r="D158" s="6" t="s">
        <v>11</v>
      </c>
      <c r="E158" s="6" t="s">
        <v>17</v>
      </c>
      <c r="F158" s="7">
        <v>34700</v>
      </c>
      <c r="G158" s="8">
        <f t="shared" si="2"/>
        <v>34700</v>
      </c>
      <c r="H158" s="6" t="s">
        <v>13</v>
      </c>
      <c r="I158" s="9">
        <f>MAX(original!I158,piwebapi_edit!I158,car_edit!I158)</f>
        <v>78900.606589201998</v>
      </c>
      <c r="J158" s="9">
        <f>MAX(original!J158,piwebapi_edit!J158,car_edit!J158)</f>
        <v>226.45491617924699</v>
      </c>
      <c r="K158" s="17"/>
    </row>
    <row r="159" spans="1:11" x14ac:dyDescent="0.25">
      <c r="A159" s="3" t="s">
        <v>334</v>
      </c>
      <c r="B159" s="4" t="s">
        <v>335</v>
      </c>
      <c r="C159" s="5">
        <v>13761</v>
      </c>
      <c r="D159" s="6" t="s">
        <v>11</v>
      </c>
      <c r="E159" s="6" t="s">
        <v>17</v>
      </c>
      <c r="F159" s="7">
        <v>37922</v>
      </c>
      <c r="G159" s="8">
        <f t="shared" si="2"/>
        <v>37922</v>
      </c>
      <c r="H159" s="6" t="s">
        <v>13</v>
      </c>
      <c r="I159" s="9">
        <f>MAX(original!I159,piwebapi_edit!I159,car_edit!I159)</f>
        <v>9099.8313104270983</v>
      </c>
      <c r="J159" s="9">
        <f>MAX(original!J159,piwebapi_edit!J159,car_edit!J159)</f>
        <v>200.77089009874501</v>
      </c>
      <c r="K159" s="11"/>
    </row>
    <row r="160" spans="1:11" x14ac:dyDescent="0.25">
      <c r="A160" s="3" t="s">
        <v>336</v>
      </c>
      <c r="B160" s="4" t="s">
        <v>337</v>
      </c>
      <c r="C160" s="5">
        <v>1166</v>
      </c>
      <c r="D160" s="6" t="s">
        <v>31</v>
      </c>
      <c r="E160" s="6" t="s">
        <v>17</v>
      </c>
      <c r="F160" s="7">
        <v>36619</v>
      </c>
      <c r="G160" s="8">
        <f t="shared" si="2"/>
        <v>36619</v>
      </c>
      <c r="H160" s="6" t="s">
        <v>13</v>
      </c>
      <c r="I160" s="9">
        <f>MAX(original!I160,piwebapi_edit!I160,car_edit!I160)</f>
        <v>13315.2412910864</v>
      </c>
      <c r="J160" s="9">
        <f>MAX(original!J160,piwebapi_edit!J160,car_edit!J160)</f>
        <v>61.801272801978101</v>
      </c>
      <c r="K160" s="17"/>
    </row>
    <row r="161" spans="1:11" x14ac:dyDescent="0.25">
      <c r="A161" s="3" t="s">
        <v>338</v>
      </c>
      <c r="B161" s="4" t="s">
        <v>339</v>
      </c>
      <c r="C161" s="5">
        <v>15041</v>
      </c>
      <c r="D161" s="6" t="s">
        <v>28</v>
      </c>
      <c r="E161" s="6" t="s">
        <v>17</v>
      </c>
      <c r="F161" s="7">
        <v>38274</v>
      </c>
      <c r="G161" s="8">
        <f t="shared" si="2"/>
        <v>38274</v>
      </c>
      <c r="H161" s="6" t="s">
        <v>13</v>
      </c>
      <c r="I161" s="9">
        <f>MAX(original!I161,piwebapi_edit!I161,car_edit!I161)</f>
        <v>6420.3199508084399</v>
      </c>
      <c r="J161" s="9">
        <f>MAX(original!J161,piwebapi_edit!J161,car_edit!J161)</f>
        <v>302.34898001927502</v>
      </c>
      <c r="K161" s="17"/>
    </row>
    <row r="162" spans="1:11" x14ac:dyDescent="0.25">
      <c r="A162" s="3" t="s">
        <v>340</v>
      </c>
      <c r="B162" s="4" t="s">
        <v>341</v>
      </c>
      <c r="C162" s="14">
        <v>12491</v>
      </c>
      <c r="D162" s="6" t="s">
        <v>28</v>
      </c>
      <c r="E162" s="6" t="s">
        <v>17</v>
      </c>
      <c r="F162" s="7">
        <v>36620</v>
      </c>
      <c r="G162" s="8">
        <f t="shared" si="2"/>
        <v>36620</v>
      </c>
      <c r="H162" s="6" t="s">
        <v>13</v>
      </c>
      <c r="I162" s="9">
        <f>MAX(original!I162,piwebapi_edit!I162,car_edit!I162)</f>
        <v>906664.07000000007</v>
      </c>
      <c r="J162" s="9">
        <f>MAX(original!J162,piwebapi_edit!J162,car_edit!J162)</f>
        <v>1650</v>
      </c>
      <c r="K162" s="17"/>
    </row>
    <row r="163" spans="1:11" x14ac:dyDescent="0.25">
      <c r="A163" s="3" t="s">
        <v>342</v>
      </c>
      <c r="B163" s="4" t="s">
        <v>343</v>
      </c>
      <c r="C163" s="5">
        <v>8336</v>
      </c>
      <c r="D163" s="6" t="s">
        <v>28</v>
      </c>
      <c r="E163" s="6" t="s">
        <v>17</v>
      </c>
      <c r="F163" s="7">
        <v>31293</v>
      </c>
      <c r="G163" s="8">
        <f t="shared" si="2"/>
        <v>31293</v>
      </c>
      <c r="H163" s="6" t="s">
        <v>13</v>
      </c>
      <c r="I163" s="9">
        <f>MAX(original!I163,piwebapi_edit!I163,car_edit!I163)</f>
        <v>3410.98366881623</v>
      </c>
      <c r="J163" s="9">
        <f>MAX(original!J163,piwebapi_edit!J163,car_edit!J163)</f>
        <v>136.396627197486</v>
      </c>
      <c r="K163" s="17"/>
    </row>
    <row r="164" spans="1:11" x14ac:dyDescent="0.25">
      <c r="A164" s="3" t="s">
        <v>344</v>
      </c>
      <c r="B164" s="4" t="s">
        <v>345</v>
      </c>
      <c r="C164" s="14">
        <v>1393</v>
      </c>
      <c r="D164" s="6" t="s">
        <v>16</v>
      </c>
      <c r="E164" s="6" t="s">
        <v>17</v>
      </c>
      <c r="F164" s="7">
        <v>27227</v>
      </c>
      <c r="G164" s="8">
        <f t="shared" si="2"/>
        <v>27227</v>
      </c>
      <c r="H164" s="6" t="s">
        <v>13</v>
      </c>
      <c r="I164" s="9">
        <f>MAX(original!I164,piwebapi_edit!I164,car_edit!I164)</f>
        <v>85742.43524100029</v>
      </c>
      <c r="J164" s="9">
        <f>MAX(original!J164,piwebapi_edit!J164,car_edit!J164)</f>
        <v>441.85748890638598</v>
      </c>
      <c r="K164" s="17"/>
    </row>
    <row r="165" spans="1:11" x14ac:dyDescent="0.25">
      <c r="A165" s="3" t="s">
        <v>346</v>
      </c>
      <c r="B165" s="4" t="s">
        <v>347</v>
      </c>
      <c r="C165" s="14">
        <v>2042</v>
      </c>
      <c r="D165" s="6" t="s">
        <v>34</v>
      </c>
      <c r="E165" s="6" t="s">
        <v>17</v>
      </c>
      <c r="F165" s="7">
        <v>25569</v>
      </c>
      <c r="G165" s="8">
        <f t="shared" si="2"/>
        <v>25569</v>
      </c>
      <c r="H165" s="6" t="s">
        <v>13</v>
      </c>
      <c r="I165" s="9">
        <f>MAX(original!I165,piwebapi_edit!I165,car_edit!I165)</f>
        <v>27305.283543569298</v>
      </c>
      <c r="J165" s="9">
        <f>MAX(original!J165,piwebapi_edit!J165,car_edit!J165)</f>
        <v>334.93220028928101</v>
      </c>
      <c r="K165" s="17"/>
    </row>
    <row r="166" spans="1:11" x14ac:dyDescent="0.25">
      <c r="A166" s="3" t="s">
        <v>348</v>
      </c>
      <c r="B166" s="4" t="s">
        <v>349</v>
      </c>
      <c r="C166" s="5">
        <v>15687</v>
      </c>
      <c r="D166" s="6" t="s">
        <v>34</v>
      </c>
      <c r="E166" s="6" t="s">
        <v>17</v>
      </c>
      <c r="F166" s="7">
        <v>37196</v>
      </c>
      <c r="G166" s="8">
        <f t="shared" si="2"/>
        <v>37196</v>
      </c>
      <c r="H166" s="6" t="s">
        <v>13</v>
      </c>
      <c r="I166" s="9">
        <f>MAX(original!I166,piwebapi_edit!I166,car_edit!I166)</f>
        <v>1424.2328963750199</v>
      </c>
      <c r="J166" s="9">
        <f>MAX(original!J166,piwebapi_edit!J166,car_edit!J166)</f>
        <v>48.682950153252598</v>
      </c>
      <c r="K166" s="17"/>
    </row>
    <row r="167" spans="1:11" x14ac:dyDescent="0.25">
      <c r="A167" s="3" t="s">
        <v>350</v>
      </c>
      <c r="B167" s="4" t="s">
        <v>351</v>
      </c>
      <c r="C167" s="14">
        <v>13446</v>
      </c>
      <c r="D167" s="6" t="s">
        <v>34</v>
      </c>
      <c r="E167" s="6" t="s">
        <v>17</v>
      </c>
      <c r="F167" s="7">
        <v>36942</v>
      </c>
      <c r="G167" s="8">
        <f t="shared" si="2"/>
        <v>36942</v>
      </c>
      <c r="H167" s="6" t="s">
        <v>13</v>
      </c>
      <c r="I167" s="9">
        <f>MAX(original!I167,piwebapi_edit!I167,car_edit!I167)</f>
        <v>22457.2618885757</v>
      </c>
      <c r="J167" s="9">
        <f>MAX(original!J167,piwebapi_edit!J167,car_edit!J167)</f>
        <v>855.12756693922199</v>
      </c>
      <c r="K167" s="17"/>
    </row>
    <row r="168" spans="1:11" x14ac:dyDescent="0.25">
      <c r="A168" s="3" t="s">
        <v>352</v>
      </c>
      <c r="B168" s="4" t="s">
        <v>353</v>
      </c>
      <c r="C168" s="5">
        <v>15688</v>
      </c>
      <c r="D168" s="6" t="s">
        <v>34</v>
      </c>
      <c r="E168" s="6" t="s">
        <v>17</v>
      </c>
      <c r="F168" s="7">
        <v>37196</v>
      </c>
      <c r="G168" s="8">
        <f t="shared" si="2"/>
        <v>37196</v>
      </c>
      <c r="H168" s="6" t="s">
        <v>13</v>
      </c>
      <c r="I168" s="9">
        <f>MAX(original!I168,piwebapi_edit!I168,car_edit!I168)</f>
        <v>727.41526677665297</v>
      </c>
      <c r="J168" s="9">
        <f>MAX(original!J168,piwebapi_edit!J168,car_edit!J168)</f>
        <v>18.945719789090699</v>
      </c>
      <c r="K168" s="17"/>
    </row>
    <row r="169" spans="1:11" x14ac:dyDescent="0.25">
      <c r="A169" s="3" t="s">
        <v>354</v>
      </c>
      <c r="B169" s="4" t="s">
        <v>355</v>
      </c>
      <c r="C169" s="5">
        <v>15689</v>
      </c>
      <c r="D169" s="6" t="s">
        <v>34</v>
      </c>
      <c r="E169" s="6" t="s">
        <v>17</v>
      </c>
      <c r="F169" s="7">
        <v>36161</v>
      </c>
      <c r="G169" s="8">
        <f t="shared" si="2"/>
        <v>36161</v>
      </c>
      <c r="H169" s="6" t="s">
        <v>13</v>
      </c>
      <c r="I169" s="9">
        <f>MAX(original!I169,piwebapi_edit!I169,car_edit!I169)</f>
        <v>3604.8168431820404</v>
      </c>
      <c r="J169" s="9">
        <f>MAX(original!J169,piwebapi_edit!J169,car_edit!J169)</f>
        <v>43.9059093244012</v>
      </c>
      <c r="K169" s="17"/>
    </row>
    <row r="170" spans="1:11" x14ac:dyDescent="0.25">
      <c r="A170" s="3" t="s">
        <v>356</v>
      </c>
      <c r="B170" s="4" t="s">
        <v>357</v>
      </c>
      <c r="C170" s="5">
        <v>1266</v>
      </c>
      <c r="D170" s="6" t="s">
        <v>34</v>
      </c>
      <c r="E170" s="6" t="s">
        <v>17</v>
      </c>
      <c r="F170" s="7">
        <v>36539</v>
      </c>
      <c r="G170" s="8">
        <f t="shared" si="2"/>
        <v>36539</v>
      </c>
      <c r="H170" s="6" t="s">
        <v>13</v>
      </c>
      <c r="I170" s="9">
        <f>MAX(original!I170,piwebapi_edit!I170,car_edit!I170)</f>
        <v>3531.6948473387797</v>
      </c>
      <c r="J170" s="9">
        <f>MAX(original!J170,piwebapi_edit!J170,car_edit!J170)</f>
        <v>56.613533226688801</v>
      </c>
      <c r="K170" s="17"/>
    </row>
    <row r="171" spans="1:11" x14ac:dyDescent="0.25">
      <c r="A171" s="3" t="s">
        <v>358</v>
      </c>
      <c r="B171" s="4" t="s">
        <v>359</v>
      </c>
      <c r="C171" s="5">
        <v>1036</v>
      </c>
      <c r="D171" s="6" t="s">
        <v>31</v>
      </c>
      <c r="E171" s="6" t="s">
        <v>17</v>
      </c>
      <c r="F171" s="7">
        <v>29221</v>
      </c>
      <c r="G171" s="8">
        <f t="shared" si="2"/>
        <v>29221</v>
      </c>
      <c r="H171" s="6" t="s">
        <v>13</v>
      </c>
      <c r="I171" s="9">
        <f>MAX(original!I171,piwebapi_edit!I171,car_edit!I171)</f>
        <v>83689.625221764101</v>
      </c>
      <c r="J171" s="9">
        <f>MAX(original!J171,piwebapi_edit!J171,car_edit!J171)</f>
        <v>544.12811191629999</v>
      </c>
      <c r="K171" s="17"/>
    </row>
    <row r="172" spans="1:11" ht="30" x14ac:dyDescent="0.25">
      <c r="A172" s="18" t="s">
        <v>360</v>
      </c>
      <c r="B172" s="19" t="s">
        <v>361</v>
      </c>
      <c r="C172" s="5">
        <v>2020</v>
      </c>
      <c r="D172" s="21" t="s">
        <v>16</v>
      </c>
      <c r="E172" s="21" t="s">
        <v>17</v>
      </c>
      <c r="F172" s="22">
        <v>29221</v>
      </c>
      <c r="G172" s="23">
        <f t="shared" si="2"/>
        <v>29221</v>
      </c>
      <c r="H172" s="21" t="s">
        <v>13</v>
      </c>
      <c r="I172" s="9">
        <f>MAX(original!I172,piwebapi_edit!I172,car_edit!I172)</f>
        <v>78981.841004533504</v>
      </c>
      <c r="J172" s="9">
        <f>MAX(original!J172,piwebapi_edit!J172,car_edit!J172)</f>
        <v>355.55562204968697</v>
      </c>
      <c r="K172" s="25"/>
    </row>
    <row r="173" spans="1:11" x14ac:dyDescent="0.25">
      <c r="A173" s="3" t="s">
        <v>362</v>
      </c>
      <c r="B173" s="4" t="s">
        <v>363</v>
      </c>
      <c r="C173" s="14">
        <v>72105</v>
      </c>
      <c r="D173" s="6" t="s">
        <v>11</v>
      </c>
      <c r="E173" s="6" t="s">
        <v>12</v>
      </c>
      <c r="F173" s="7">
        <v>39234</v>
      </c>
      <c r="G173" s="8">
        <f t="shared" si="2"/>
        <v>39234</v>
      </c>
      <c r="H173" s="6" t="s">
        <v>39</v>
      </c>
      <c r="I173" s="9">
        <f>MAX(original!I173,piwebapi_edit!I173,car_edit!I173)</f>
        <v>136184.96683234299</v>
      </c>
      <c r="J173" s="9">
        <f>MAX(original!J173,piwebapi_edit!J173,car_edit!J173)</f>
        <v>895.28770553682205</v>
      </c>
      <c r="K173" s="17"/>
    </row>
    <row r="174" spans="1:11" x14ac:dyDescent="0.25">
      <c r="A174" s="3" t="s">
        <v>364</v>
      </c>
      <c r="B174" s="4" t="s">
        <v>365</v>
      </c>
      <c r="C174" s="5">
        <v>72104</v>
      </c>
      <c r="D174" s="6" t="s">
        <v>11</v>
      </c>
      <c r="E174" s="6" t="s">
        <v>12</v>
      </c>
      <c r="F174" s="7">
        <v>39234</v>
      </c>
      <c r="G174" s="8">
        <f t="shared" si="2"/>
        <v>39234</v>
      </c>
      <c r="H174" s="6" t="s">
        <v>39</v>
      </c>
      <c r="I174" s="9">
        <f>MAX(original!I174,piwebapi_edit!I174,car_edit!I174)</f>
        <v>32437.258491004501</v>
      </c>
      <c r="J174" s="9">
        <f>MAX(original!J174,piwebapi_edit!J174,car_edit!J174)</f>
        <v>137.85590731735201</v>
      </c>
      <c r="K174" s="17"/>
    </row>
    <row r="175" spans="1:11" x14ac:dyDescent="0.25">
      <c r="A175" s="3" t="s">
        <v>366</v>
      </c>
      <c r="B175" s="4" t="s">
        <v>367</v>
      </c>
      <c r="C175" s="5">
        <v>72103</v>
      </c>
      <c r="D175" s="6" t="s">
        <v>11</v>
      </c>
      <c r="E175" s="6" t="s">
        <v>12</v>
      </c>
      <c r="F175" s="7">
        <v>39234</v>
      </c>
      <c r="G175" s="8">
        <f t="shared" si="2"/>
        <v>39234</v>
      </c>
      <c r="H175" s="6" t="s">
        <v>39</v>
      </c>
      <c r="I175" s="9">
        <f>MAX(original!I175,piwebapi_edit!I175,car_edit!I175)</f>
        <v>31735.735319745701</v>
      </c>
      <c r="J175" s="9">
        <f>MAX(original!J175,piwebapi_edit!J175,car_edit!J175)</f>
        <v>294.60218505434301</v>
      </c>
      <c r="K175" s="17"/>
    </row>
    <row r="176" spans="1:11" x14ac:dyDescent="0.25">
      <c r="A176" s="3" t="s">
        <v>368</v>
      </c>
      <c r="B176" s="4" t="s">
        <v>369</v>
      </c>
      <c r="C176" s="5">
        <v>1483</v>
      </c>
      <c r="D176" s="6" t="s">
        <v>34</v>
      </c>
      <c r="E176" s="6" t="s">
        <v>17</v>
      </c>
      <c r="F176" s="7">
        <v>31778</v>
      </c>
      <c r="G176" s="8">
        <f t="shared" si="2"/>
        <v>31778</v>
      </c>
      <c r="H176" s="6" t="s">
        <v>13</v>
      </c>
      <c r="I176" s="9">
        <f>MAX(original!I176,piwebapi_edit!I176,car_edit!I176)</f>
        <v>14419.497335814</v>
      </c>
      <c r="J176" s="9">
        <f>MAX(original!J176,piwebapi_edit!J176,car_edit!J176)</f>
        <v>240.478865821206</v>
      </c>
      <c r="K176" s="17"/>
    </row>
    <row r="177" spans="1:11" x14ac:dyDescent="0.25">
      <c r="A177" s="3" t="s">
        <v>370</v>
      </c>
      <c r="B177" s="4" t="s">
        <v>371</v>
      </c>
      <c r="C177" s="5">
        <v>1173</v>
      </c>
      <c r="D177" s="6" t="s">
        <v>16</v>
      </c>
      <c r="E177" s="6" t="s">
        <v>17</v>
      </c>
      <c r="F177" s="7">
        <v>29221</v>
      </c>
      <c r="G177" s="8">
        <f t="shared" si="2"/>
        <v>29221</v>
      </c>
      <c r="H177" s="6" t="s">
        <v>13</v>
      </c>
      <c r="I177" s="9">
        <f>MAX(original!I177,piwebapi_edit!I177,car_edit!I177)</f>
        <v>52805.874301351498</v>
      </c>
      <c r="J177" s="9">
        <f>MAX(original!J177,piwebapi_edit!J177,car_edit!J177)</f>
        <v>364.23808882190298</v>
      </c>
      <c r="K177" s="11"/>
    </row>
    <row r="178" spans="1:11" x14ac:dyDescent="0.25">
      <c r="A178" s="3" t="s">
        <v>372</v>
      </c>
      <c r="B178" s="4" t="s">
        <v>373</v>
      </c>
      <c r="C178" s="5">
        <v>1174</v>
      </c>
      <c r="D178" s="6" t="s">
        <v>16</v>
      </c>
      <c r="E178" s="6" t="s">
        <v>17</v>
      </c>
      <c r="F178" s="7">
        <v>32874</v>
      </c>
      <c r="G178" s="8">
        <f t="shared" si="2"/>
        <v>32874</v>
      </c>
      <c r="H178" s="6" t="s">
        <v>13</v>
      </c>
      <c r="I178" s="9">
        <f>MAX(original!I178,piwebapi_edit!I178,car_edit!I178)</f>
        <v>135024.80287407801</v>
      </c>
      <c r="J178" s="9">
        <f>MAX(original!J178,piwebapi_edit!J178,car_edit!J178)</f>
        <v>442.79755946508402</v>
      </c>
      <c r="K178" s="17"/>
    </row>
    <row r="179" spans="1:11" x14ac:dyDescent="0.25">
      <c r="A179" s="3" t="s">
        <v>374</v>
      </c>
      <c r="B179" s="4" t="s">
        <v>375</v>
      </c>
      <c r="C179" s="5">
        <v>14403</v>
      </c>
      <c r="D179" s="6" t="s">
        <v>37</v>
      </c>
      <c r="E179" s="6" t="s">
        <v>38</v>
      </c>
      <c r="F179" s="7">
        <v>37125</v>
      </c>
      <c r="G179" s="8">
        <f t="shared" si="2"/>
        <v>37125</v>
      </c>
      <c r="H179" s="6" t="s">
        <v>39</v>
      </c>
      <c r="I179" s="9">
        <f>MAX(original!I179,piwebapi_edit!I179,car_edit!I179)</f>
        <v>11936.893934848398</v>
      </c>
      <c r="J179" s="9">
        <f>MAX(original!J179,piwebapi_edit!J179,car_edit!J179)</f>
        <v>86.815144043570299</v>
      </c>
      <c r="K179" s="17"/>
    </row>
    <row r="180" spans="1:11" x14ac:dyDescent="0.25">
      <c r="A180" s="3" t="s">
        <v>376</v>
      </c>
      <c r="B180" s="4" t="s">
        <v>377</v>
      </c>
      <c r="C180" s="14">
        <v>1778</v>
      </c>
      <c r="D180" s="6" t="s">
        <v>34</v>
      </c>
      <c r="E180" s="6" t="s">
        <v>17</v>
      </c>
      <c r="F180" s="7">
        <v>24108</v>
      </c>
      <c r="G180" s="8">
        <f t="shared" si="2"/>
        <v>24108</v>
      </c>
      <c r="H180" s="6" t="s">
        <v>13</v>
      </c>
      <c r="I180" s="9">
        <f>MAX(original!I180,piwebapi_edit!I180,car_edit!I180)</f>
        <v>357219.04</v>
      </c>
      <c r="J180" s="9">
        <f>MAX(original!J180,piwebapi_edit!J180,car_edit!J180)</f>
        <v>1700</v>
      </c>
      <c r="K180" s="17"/>
    </row>
    <row r="181" spans="1:11" x14ac:dyDescent="0.25">
      <c r="A181" s="3" t="s">
        <v>378</v>
      </c>
      <c r="B181" s="4" t="s">
        <v>379</v>
      </c>
      <c r="C181" s="14">
        <v>1357</v>
      </c>
      <c r="D181" s="6" t="s">
        <v>31</v>
      </c>
      <c r="E181" s="6" t="s">
        <v>17</v>
      </c>
      <c r="F181" s="7">
        <v>29221</v>
      </c>
      <c r="G181" s="8">
        <f t="shared" si="2"/>
        <v>29221</v>
      </c>
      <c r="H181" s="6" t="s">
        <v>13</v>
      </c>
      <c r="I181" s="9">
        <f>MAX(original!I181,piwebapi_edit!I181,car_edit!I181)</f>
        <v>96498.090005450606</v>
      </c>
      <c r="J181" s="9">
        <f>MAX(original!J181,piwebapi_edit!J181,car_edit!J181)</f>
        <v>530.16185639980699</v>
      </c>
      <c r="K181" s="17"/>
    </row>
    <row r="182" spans="1:11" x14ac:dyDescent="0.25">
      <c r="A182" s="3" t="s">
        <v>380</v>
      </c>
      <c r="B182" s="4" t="s">
        <v>381</v>
      </c>
      <c r="C182" s="14">
        <v>24002</v>
      </c>
      <c r="D182" s="6" t="s">
        <v>16</v>
      </c>
      <c r="E182" s="6" t="s">
        <v>17</v>
      </c>
      <c r="F182" s="7">
        <v>38506</v>
      </c>
      <c r="G182" s="8">
        <f t="shared" si="2"/>
        <v>38506</v>
      </c>
      <c r="H182" s="6" t="s">
        <v>13</v>
      </c>
      <c r="I182" s="9">
        <f>MAX(original!I182,piwebapi_edit!I182,car_edit!I182)</f>
        <v>13901.3691571687</v>
      </c>
      <c r="J182" s="9">
        <f>MAX(original!J182,piwebapi_edit!J182,car_edit!J182)</f>
        <v>149.31415656906299</v>
      </c>
      <c r="K182" s="17"/>
    </row>
    <row r="183" spans="1:11" x14ac:dyDescent="0.25">
      <c r="A183" s="3" t="s">
        <v>382</v>
      </c>
      <c r="B183" s="4" t="s">
        <v>383</v>
      </c>
      <c r="C183" s="14">
        <v>1466</v>
      </c>
      <c r="D183" s="6" t="s">
        <v>31</v>
      </c>
      <c r="E183" s="6" t="s">
        <v>17</v>
      </c>
      <c r="F183" s="7">
        <v>39680</v>
      </c>
      <c r="G183" s="8">
        <f t="shared" si="2"/>
        <v>39680</v>
      </c>
      <c r="H183" s="6" t="s">
        <v>13</v>
      </c>
      <c r="I183" s="9">
        <f>MAX(original!I183,piwebapi_edit!I183,car_edit!I183)</f>
        <v>295088.14</v>
      </c>
      <c r="J183" s="9">
        <f>MAX(original!J183,piwebapi_edit!J183,car_edit!J183)</f>
        <v>1200</v>
      </c>
      <c r="K183" s="17"/>
    </row>
    <row r="184" spans="1:11" ht="30" x14ac:dyDescent="0.25">
      <c r="A184" s="18" t="s">
        <v>384</v>
      </c>
      <c r="B184" s="19" t="s">
        <v>385</v>
      </c>
      <c r="C184" s="5">
        <v>2031</v>
      </c>
      <c r="D184" s="21" t="s">
        <v>31</v>
      </c>
      <c r="E184" s="21" t="s">
        <v>17</v>
      </c>
      <c r="F184" s="22">
        <v>29221</v>
      </c>
      <c r="G184" s="23">
        <f t="shared" si="2"/>
        <v>29221</v>
      </c>
      <c r="H184" s="21" t="s">
        <v>13</v>
      </c>
      <c r="I184" s="9">
        <f>MAX(original!I184,piwebapi_edit!I184,car_edit!I184)</f>
        <v>44761.049956670096</v>
      </c>
      <c r="J184" s="9">
        <f>MAX(original!J184,piwebapi_edit!J184,car_edit!J184)</f>
        <v>316.03397435221302</v>
      </c>
      <c r="K184" s="25"/>
    </row>
    <row r="185" spans="1:11" x14ac:dyDescent="0.25">
      <c r="A185" s="3" t="s">
        <v>386</v>
      </c>
      <c r="B185" s="4" t="s">
        <v>387</v>
      </c>
      <c r="C185" s="14">
        <v>1383</v>
      </c>
      <c r="D185" s="6" t="s">
        <v>16</v>
      </c>
      <c r="E185" s="6" t="s">
        <v>17</v>
      </c>
      <c r="F185" s="7">
        <v>29221</v>
      </c>
      <c r="G185" s="8">
        <f t="shared" si="2"/>
        <v>29221</v>
      </c>
      <c r="H185" s="6" t="s">
        <v>13</v>
      </c>
      <c r="I185" s="9">
        <f>MAX(original!I185,piwebapi_edit!I185,car_edit!I185)</f>
        <v>43567.475510670905</v>
      </c>
      <c r="J185" s="9">
        <f>MAX(original!J185,piwebapi_edit!J185,car_edit!J185)</f>
        <v>366.69729227471998</v>
      </c>
      <c r="K185" s="17"/>
    </row>
    <row r="186" spans="1:11" x14ac:dyDescent="0.25">
      <c r="A186" s="3" t="s">
        <v>388</v>
      </c>
      <c r="B186" s="4" t="s">
        <v>389</v>
      </c>
      <c r="C186" s="5">
        <v>52274</v>
      </c>
      <c r="D186" s="6" t="s">
        <v>37</v>
      </c>
      <c r="E186" s="6" t="s">
        <v>38</v>
      </c>
      <c r="F186" s="7">
        <v>38624</v>
      </c>
      <c r="G186" s="8">
        <f t="shared" si="2"/>
        <v>38624</v>
      </c>
      <c r="H186" s="6" t="s">
        <v>39</v>
      </c>
      <c r="I186" s="9">
        <f>MAX(original!I186,piwebapi_edit!I186,car_edit!I186)</f>
        <v>9444.3435276887794</v>
      </c>
      <c r="J186" s="9">
        <f>MAX(original!J186,piwebapi_edit!J186,car_edit!J186)</f>
        <v>143.548662741725</v>
      </c>
      <c r="K186" s="17"/>
    </row>
    <row r="187" spans="1:11" ht="30" x14ac:dyDescent="0.25">
      <c r="A187" s="18" t="s">
        <v>390</v>
      </c>
      <c r="B187" s="19" t="s">
        <v>391</v>
      </c>
      <c r="C187" s="20">
        <v>1392</v>
      </c>
      <c r="D187" s="21" t="s">
        <v>16</v>
      </c>
      <c r="E187" s="21" t="s">
        <v>17</v>
      </c>
      <c r="F187" s="22">
        <v>29221</v>
      </c>
      <c r="G187" s="23">
        <f t="shared" si="2"/>
        <v>29221</v>
      </c>
      <c r="H187" s="21" t="s">
        <v>13</v>
      </c>
      <c r="I187" s="9">
        <f>MAX(original!I187,piwebapi_edit!I187,car_edit!I187)</f>
        <v>13562.140127540299</v>
      </c>
      <c r="J187" s="9">
        <f>MAX(original!J187,piwebapi_edit!J187,car_edit!J187)</f>
        <v>117.523592862001</v>
      </c>
      <c r="K187" s="25"/>
    </row>
    <row r="188" spans="1:11" x14ac:dyDescent="0.25">
      <c r="A188" s="3" t="s">
        <v>392</v>
      </c>
      <c r="B188" s="4" t="s">
        <v>393</v>
      </c>
      <c r="C188" s="5">
        <v>1676</v>
      </c>
      <c r="D188" s="6" t="s">
        <v>34</v>
      </c>
      <c r="E188" s="6" t="s">
        <v>17</v>
      </c>
      <c r="F188" s="7">
        <v>36427</v>
      </c>
      <c r="G188" s="8">
        <f t="shared" si="2"/>
        <v>36427</v>
      </c>
      <c r="H188" s="6" t="s">
        <v>13</v>
      </c>
      <c r="I188" s="9">
        <f>MAX(original!I188,piwebapi_edit!I188,car_edit!I188)</f>
        <v>12520.8499598159</v>
      </c>
      <c r="J188" s="9">
        <f>MAX(original!J188,piwebapi_edit!J188,car_edit!J188)</f>
        <v>99.432220415281606</v>
      </c>
      <c r="K188" s="17"/>
    </row>
    <row r="189" spans="1:11" x14ac:dyDescent="0.25">
      <c r="A189" s="26" t="s">
        <v>394</v>
      </c>
      <c r="B189" s="27" t="s">
        <v>395</v>
      </c>
      <c r="C189" s="34">
        <v>35169</v>
      </c>
      <c r="D189" s="28" t="s">
        <v>11</v>
      </c>
      <c r="E189" s="28" t="s">
        <v>12</v>
      </c>
      <c r="F189" s="29">
        <v>37097</v>
      </c>
      <c r="G189" s="30">
        <f t="shared" si="2"/>
        <v>37097</v>
      </c>
      <c r="H189" s="28" t="s">
        <v>39</v>
      </c>
      <c r="I189" s="9">
        <f>MAX(original!I189,piwebapi_edit!I189,car_edit!I189)</f>
        <v>8062.2924434563802</v>
      </c>
      <c r="J189" s="9">
        <f>MAX(original!J189,piwebapi_edit!J189,car_edit!J189)</f>
        <v>58.002307816356399</v>
      </c>
      <c r="K189" s="33"/>
    </row>
    <row r="190" spans="1:11" x14ac:dyDescent="0.25">
      <c r="A190" s="3" t="s">
        <v>396</v>
      </c>
      <c r="B190" s="4" t="s">
        <v>397</v>
      </c>
      <c r="C190" s="5">
        <v>1961</v>
      </c>
      <c r="D190" s="6" t="s">
        <v>28</v>
      </c>
      <c r="E190" s="6" t="s">
        <v>17</v>
      </c>
      <c r="F190" s="7">
        <v>34335</v>
      </c>
      <c r="G190" s="8">
        <f t="shared" si="2"/>
        <v>34335</v>
      </c>
      <c r="H190" s="6" t="s">
        <v>13</v>
      </c>
      <c r="I190" s="9">
        <f>MAX(original!I190,piwebapi_edit!I190,car_edit!I190)</f>
        <v>97775.930455702706</v>
      </c>
      <c r="J190" s="9">
        <f>MAX(original!J190,piwebapi_edit!J190,car_edit!J190)</f>
        <v>466.50112000215103</v>
      </c>
      <c r="K190" s="17"/>
    </row>
    <row r="191" spans="1:11" x14ac:dyDescent="0.25">
      <c r="A191" s="3" t="s">
        <v>398</v>
      </c>
      <c r="B191" s="4" t="s">
        <v>399</v>
      </c>
      <c r="C191" s="14">
        <v>1303</v>
      </c>
      <c r="D191" s="6" t="s">
        <v>16</v>
      </c>
      <c r="E191" s="6" t="s">
        <v>17</v>
      </c>
      <c r="F191" s="7">
        <v>35247</v>
      </c>
      <c r="G191" s="8">
        <f t="shared" si="2"/>
        <v>35247</v>
      </c>
      <c r="H191" s="6" t="s">
        <v>13</v>
      </c>
      <c r="I191" s="9">
        <f>MAX(original!I191,piwebapi_edit!I191,car_edit!I191)</f>
        <v>258710.35</v>
      </c>
      <c r="J191" s="9">
        <f>MAX(original!J191,piwebapi_edit!J191,car_edit!J191)</f>
        <v>870</v>
      </c>
      <c r="K191" s="17"/>
    </row>
    <row r="192" spans="1:11" x14ac:dyDescent="0.25">
      <c r="A192" s="3" t="s">
        <v>400</v>
      </c>
      <c r="B192" s="4" t="s">
        <v>401</v>
      </c>
      <c r="C192" s="5">
        <v>54503</v>
      </c>
      <c r="D192" s="6" t="s">
        <v>28</v>
      </c>
      <c r="E192" s="6" t="s">
        <v>17</v>
      </c>
      <c r="F192" s="7">
        <v>38453</v>
      </c>
      <c r="G192" s="8">
        <f t="shared" si="2"/>
        <v>38453</v>
      </c>
      <c r="H192" s="6" t="s">
        <v>13</v>
      </c>
      <c r="I192" s="9">
        <f>MAX(original!I192,piwebapi_edit!I192,car_edit!I192)</f>
        <v>11506.6483227641</v>
      </c>
      <c r="J192" s="9">
        <f>MAX(original!J192,piwebapi_edit!J192,car_edit!J192)</f>
        <v>116.911773532399</v>
      </c>
      <c r="K192" s="17"/>
    </row>
    <row r="193" spans="1:11" x14ac:dyDescent="0.25">
      <c r="A193" s="26" t="s">
        <v>402</v>
      </c>
      <c r="B193" s="27" t="s">
        <v>403</v>
      </c>
      <c r="C193" s="34">
        <v>9284</v>
      </c>
      <c r="D193" s="28" t="s">
        <v>28</v>
      </c>
      <c r="E193" s="28" t="s">
        <v>17</v>
      </c>
      <c r="F193" s="29">
        <v>36446</v>
      </c>
      <c r="G193" s="30">
        <f t="shared" si="2"/>
        <v>36446</v>
      </c>
      <c r="H193" s="28" t="s">
        <v>13</v>
      </c>
      <c r="I193" s="9">
        <f>MAX(original!I193,piwebapi_edit!I193,car_edit!I193)</f>
        <v>53545.951159406002</v>
      </c>
      <c r="J193" s="9">
        <f>MAX(original!J193,piwebapi_edit!J193,car_edit!J193)</f>
        <v>445.17524021537099</v>
      </c>
      <c r="K193" s="33"/>
    </row>
    <row r="194" spans="1:11" x14ac:dyDescent="0.25">
      <c r="A194" s="3" t="s">
        <v>404</v>
      </c>
      <c r="B194" s="4" t="s">
        <v>405</v>
      </c>
      <c r="C194" s="5">
        <v>52940</v>
      </c>
      <c r="D194" s="6" t="s">
        <v>34</v>
      </c>
      <c r="E194" s="6" t="s">
        <v>17</v>
      </c>
      <c r="F194" s="7">
        <v>24108</v>
      </c>
      <c r="G194" s="8">
        <f t="shared" ref="G194:G257" si="3">F194</f>
        <v>24108</v>
      </c>
      <c r="H194" s="6" t="s">
        <v>13</v>
      </c>
      <c r="I194" s="9">
        <f>MAX(original!I194,piwebapi_edit!I194,car_edit!I194)</f>
        <v>100154.592971611</v>
      </c>
      <c r="J194" s="9">
        <f>MAX(original!J194,piwebapi_edit!J194,car_edit!J194)</f>
        <v>264.26675262567602</v>
      </c>
      <c r="K194" s="17"/>
    </row>
    <row r="195" spans="1:11" ht="30" x14ac:dyDescent="0.25">
      <c r="A195" s="18" t="s">
        <v>406</v>
      </c>
      <c r="B195" s="19" t="s">
        <v>407</v>
      </c>
      <c r="C195" s="5">
        <v>1102</v>
      </c>
      <c r="D195" s="21" t="s">
        <v>28</v>
      </c>
      <c r="E195" s="21" t="s">
        <v>17</v>
      </c>
      <c r="F195" s="22">
        <v>29221</v>
      </c>
      <c r="G195" s="23">
        <f t="shared" si="3"/>
        <v>29221</v>
      </c>
      <c r="H195" s="21" t="s">
        <v>13</v>
      </c>
      <c r="I195" s="9">
        <f>MAX(original!I195,piwebapi_edit!I195,car_edit!I195)</f>
        <v>70539.228338887493</v>
      </c>
      <c r="J195" s="9">
        <f>MAX(original!J195,piwebapi_edit!J195,car_edit!J195)</f>
        <v>894.81274920007695</v>
      </c>
      <c r="K195" s="25"/>
    </row>
    <row r="196" spans="1:11" x14ac:dyDescent="0.25">
      <c r="A196" s="3" t="s">
        <v>408</v>
      </c>
      <c r="B196" s="4" t="s">
        <v>409</v>
      </c>
      <c r="C196" s="5">
        <v>19203</v>
      </c>
      <c r="D196" s="6" t="s">
        <v>31</v>
      </c>
      <c r="E196" s="6" t="s">
        <v>17</v>
      </c>
      <c r="F196" s="7">
        <v>34116</v>
      </c>
      <c r="G196" s="8">
        <f t="shared" si="3"/>
        <v>34116</v>
      </c>
      <c r="H196" s="6" t="s">
        <v>13</v>
      </c>
      <c r="I196" s="9">
        <f>MAX(original!I196,piwebapi_edit!I196,car_edit!I196)</f>
        <v>34097.1982724966</v>
      </c>
      <c r="J196" s="9">
        <f>MAX(original!J196,piwebapi_edit!J196,car_edit!J196)</f>
        <v>119.047114707082</v>
      </c>
      <c r="K196" s="17"/>
    </row>
    <row r="197" spans="1:11" x14ac:dyDescent="0.25">
      <c r="A197" s="3" t="s">
        <v>410</v>
      </c>
      <c r="B197" s="4" t="s">
        <v>411</v>
      </c>
      <c r="C197" s="5">
        <v>72154</v>
      </c>
      <c r="D197" s="6" t="s">
        <v>37</v>
      </c>
      <c r="E197" s="6" t="s">
        <v>38</v>
      </c>
      <c r="F197" s="7">
        <v>38876</v>
      </c>
      <c r="G197" s="8">
        <f t="shared" si="3"/>
        <v>38876</v>
      </c>
      <c r="H197" s="6" t="s">
        <v>39</v>
      </c>
      <c r="I197" s="9">
        <f>MAX(original!I197,piwebapi_edit!I197,car_edit!I197)</f>
        <v>19550.368575270302</v>
      </c>
      <c r="J197" s="9">
        <f>MAX(original!J197,piwebapi_edit!J197,car_edit!J197)</f>
        <v>195.91151495695399</v>
      </c>
      <c r="K197" s="17"/>
    </row>
    <row r="198" spans="1:11" x14ac:dyDescent="0.25">
      <c r="A198" s="3" t="s">
        <v>412</v>
      </c>
      <c r="B198" s="4" t="s">
        <v>413</v>
      </c>
      <c r="C198" s="14">
        <v>1979</v>
      </c>
      <c r="D198" s="6" t="s">
        <v>34</v>
      </c>
      <c r="E198" s="6" t="s">
        <v>17</v>
      </c>
      <c r="F198" s="7">
        <v>35065</v>
      </c>
      <c r="G198" s="8">
        <f t="shared" si="3"/>
        <v>35065</v>
      </c>
      <c r="H198" s="6" t="s">
        <v>13</v>
      </c>
      <c r="I198" s="9">
        <f>MAX(original!I198,piwebapi_edit!I198,car_edit!I198)</f>
        <v>49558.799405140395</v>
      </c>
      <c r="J198" s="9">
        <f>MAX(original!J198,piwebapi_edit!J198,car_edit!J198)</f>
        <v>670.52345152579596</v>
      </c>
      <c r="K198" s="17"/>
    </row>
    <row r="199" spans="1:11" x14ac:dyDescent="0.25">
      <c r="A199" s="3" t="s">
        <v>414</v>
      </c>
      <c r="B199" s="4" t="s">
        <v>415</v>
      </c>
      <c r="C199" s="5">
        <v>1078</v>
      </c>
      <c r="D199" s="6" t="s">
        <v>34</v>
      </c>
      <c r="E199" s="6" t="s">
        <v>17</v>
      </c>
      <c r="F199" s="7">
        <v>18264</v>
      </c>
      <c r="G199" s="8">
        <f t="shared" si="3"/>
        <v>18264</v>
      </c>
      <c r="H199" s="6" t="s">
        <v>13</v>
      </c>
      <c r="I199" s="9">
        <f>MAX(original!I199,piwebapi_edit!I199,car_edit!I199)</f>
        <v>966.52166002310798</v>
      </c>
      <c r="J199" s="9">
        <f>MAX(original!J199,piwebapi_edit!J199,car_edit!J199)</f>
        <v>17.9348056877114</v>
      </c>
      <c r="K199" s="17"/>
    </row>
    <row r="200" spans="1:11" x14ac:dyDescent="0.25">
      <c r="A200" s="3" t="s">
        <v>416</v>
      </c>
      <c r="B200" s="4" t="s">
        <v>417</v>
      </c>
      <c r="C200" s="5">
        <v>1878</v>
      </c>
      <c r="D200" s="6" t="s">
        <v>34</v>
      </c>
      <c r="E200" s="6" t="s">
        <v>17</v>
      </c>
      <c r="F200" s="7">
        <v>25569</v>
      </c>
      <c r="G200" s="8">
        <f t="shared" si="3"/>
        <v>25569</v>
      </c>
      <c r="H200" s="6" t="s">
        <v>13</v>
      </c>
      <c r="I200" s="9">
        <f>MAX(original!I200,piwebapi_edit!I200,car_edit!I200)</f>
        <v>40625.426608373498</v>
      </c>
      <c r="J200" s="9">
        <f>MAX(original!J200,piwebapi_edit!J200,car_edit!J200)</f>
        <v>321.21817040082402</v>
      </c>
      <c r="K200" s="17"/>
    </row>
    <row r="201" spans="1:11" x14ac:dyDescent="0.25">
      <c r="A201" s="3" t="s">
        <v>418</v>
      </c>
      <c r="B201" s="4" t="s">
        <v>419</v>
      </c>
      <c r="C201" s="14">
        <v>1229</v>
      </c>
      <c r="D201" s="6" t="s">
        <v>34</v>
      </c>
      <c r="E201" s="6" t="s">
        <v>17</v>
      </c>
      <c r="F201" s="7">
        <v>24108</v>
      </c>
      <c r="G201" s="8">
        <f t="shared" si="3"/>
        <v>24108</v>
      </c>
      <c r="H201" s="6" t="s">
        <v>13</v>
      </c>
      <c r="I201" s="9">
        <f>MAX(original!I201,piwebapi_edit!I201,car_edit!I201)</f>
        <v>41055.135290833401</v>
      </c>
      <c r="J201" s="9">
        <f>MAX(original!J201,piwebapi_edit!J201,car_edit!J201)</f>
        <v>456.92342160638299</v>
      </c>
      <c r="K201" s="17"/>
    </row>
    <row r="202" spans="1:11" x14ac:dyDescent="0.25">
      <c r="A202" s="3" t="s">
        <v>420</v>
      </c>
      <c r="B202" s="4" t="s">
        <v>421</v>
      </c>
      <c r="C202" s="5">
        <v>1659</v>
      </c>
      <c r="D202" s="6" t="s">
        <v>11</v>
      </c>
      <c r="E202" s="6" t="s">
        <v>17</v>
      </c>
      <c r="F202" s="7">
        <v>34670</v>
      </c>
      <c r="G202" s="8">
        <f t="shared" si="3"/>
        <v>34670</v>
      </c>
      <c r="H202" s="6" t="s">
        <v>13</v>
      </c>
      <c r="I202" s="9">
        <f>MAX(original!I202,piwebapi_edit!I202,car_edit!I202)</f>
        <v>14679.2195229873</v>
      </c>
      <c r="J202" s="9">
        <f>MAX(original!J202,piwebapi_edit!J202,car_edit!J202)</f>
        <v>89.746374536611199</v>
      </c>
      <c r="K202" s="17"/>
    </row>
    <row r="203" spans="1:11" x14ac:dyDescent="0.25">
      <c r="A203" s="3" t="s">
        <v>422</v>
      </c>
      <c r="B203" s="4" t="s">
        <v>423</v>
      </c>
      <c r="C203" s="14">
        <v>2003</v>
      </c>
      <c r="D203" s="6" t="s">
        <v>34</v>
      </c>
      <c r="E203" s="6" t="s">
        <v>17</v>
      </c>
      <c r="F203" s="7">
        <v>31413</v>
      </c>
      <c r="G203" s="8">
        <f t="shared" si="3"/>
        <v>31413</v>
      </c>
      <c r="H203" s="6" t="s">
        <v>13</v>
      </c>
      <c r="I203" s="9">
        <f>MAX(original!I203,piwebapi_edit!I203,car_edit!I203)</f>
        <v>532908.61</v>
      </c>
      <c r="J203" s="9">
        <f>MAX(original!J203,piwebapi_edit!J203,car_edit!J203)</f>
        <v>8000</v>
      </c>
      <c r="K203" s="17"/>
    </row>
    <row r="204" spans="1:11" x14ac:dyDescent="0.25">
      <c r="A204" s="3" t="s">
        <v>424</v>
      </c>
      <c r="B204" s="4" t="s">
        <v>425</v>
      </c>
      <c r="C204" s="5">
        <v>1306</v>
      </c>
      <c r="D204" s="6" t="s">
        <v>16</v>
      </c>
      <c r="E204" s="6" t="s">
        <v>17</v>
      </c>
      <c r="F204" s="7">
        <v>29952</v>
      </c>
      <c r="G204" s="8">
        <f t="shared" si="3"/>
        <v>29952</v>
      </c>
      <c r="H204" s="6" t="s">
        <v>13</v>
      </c>
      <c r="I204" s="9">
        <f>MAX(original!I204,piwebapi_edit!I204,car_edit!I204)</f>
        <v>1816566.1</v>
      </c>
      <c r="J204" s="9">
        <f>MAX(original!J204,piwebapi_edit!J204,car_edit!J204)</f>
        <v>3100</v>
      </c>
      <c r="K204" s="17"/>
    </row>
    <row r="205" spans="1:11" x14ac:dyDescent="0.25">
      <c r="A205" s="3" t="s">
        <v>426</v>
      </c>
      <c r="B205" s="4" t="s">
        <v>427</v>
      </c>
      <c r="C205" s="14">
        <v>11204</v>
      </c>
      <c r="D205" s="6" t="s">
        <v>16</v>
      </c>
      <c r="E205" s="6" t="s">
        <v>17</v>
      </c>
      <c r="F205" s="7">
        <v>38504</v>
      </c>
      <c r="G205" s="8">
        <f t="shared" si="3"/>
        <v>38504</v>
      </c>
      <c r="H205" s="6" t="s">
        <v>13</v>
      </c>
      <c r="I205" s="9">
        <f>MAX(original!I205,piwebapi_edit!I205,car_edit!I205)</f>
        <v>110168.415330066</v>
      </c>
      <c r="J205" s="9">
        <f>MAX(original!J205,piwebapi_edit!J205,car_edit!J205)</f>
        <v>627.54744414715401</v>
      </c>
      <c r="K205" s="17"/>
    </row>
    <row r="206" spans="1:11" x14ac:dyDescent="0.25">
      <c r="A206" s="3" t="s">
        <v>428</v>
      </c>
      <c r="B206" s="4" t="s">
        <v>429</v>
      </c>
      <c r="C206" s="5">
        <v>54504</v>
      </c>
      <c r="D206" s="6" t="s">
        <v>34</v>
      </c>
      <c r="E206" s="6" t="s">
        <v>17</v>
      </c>
      <c r="F206" s="7">
        <v>38534</v>
      </c>
      <c r="G206" s="8">
        <f t="shared" si="3"/>
        <v>38534</v>
      </c>
      <c r="H206" s="6" t="s">
        <v>13</v>
      </c>
      <c r="I206" s="9">
        <f>MAX(original!I206,piwebapi_edit!I206,car_edit!I206)</f>
        <v>2349.00312517667</v>
      </c>
      <c r="J206" s="9">
        <f>MAX(original!J206,piwebapi_edit!J206,car_edit!J206)</f>
        <v>61.6179433826657</v>
      </c>
      <c r="K206" s="17"/>
    </row>
    <row r="207" spans="1:11" ht="30" x14ac:dyDescent="0.25">
      <c r="A207" s="18" t="s">
        <v>430</v>
      </c>
      <c r="B207" s="19" t="s">
        <v>431</v>
      </c>
      <c r="C207" s="20">
        <v>1464</v>
      </c>
      <c r="D207" s="21" t="s">
        <v>34</v>
      </c>
      <c r="E207" s="21" t="s">
        <v>17</v>
      </c>
      <c r="F207" s="22">
        <v>27395</v>
      </c>
      <c r="G207" s="23">
        <f t="shared" si="3"/>
        <v>27395</v>
      </c>
      <c r="H207" s="21" t="s">
        <v>13</v>
      </c>
      <c r="I207" s="9">
        <f>MAX(original!I207,piwebapi_edit!I207,car_edit!I207)</f>
        <v>45377.842665554803</v>
      </c>
      <c r="J207" s="9">
        <f>MAX(original!J207,piwebapi_edit!J207,car_edit!J207)</f>
        <v>84.918003505304199</v>
      </c>
      <c r="K207" s="25"/>
    </row>
    <row r="208" spans="1:11" x14ac:dyDescent="0.25">
      <c r="A208" s="3" t="s">
        <v>432</v>
      </c>
      <c r="B208" s="4" t="s">
        <v>433</v>
      </c>
      <c r="C208" s="5">
        <v>30554</v>
      </c>
      <c r="D208" s="6" t="s">
        <v>34</v>
      </c>
      <c r="E208" s="6" t="s">
        <v>17</v>
      </c>
      <c r="F208" s="7">
        <v>39828</v>
      </c>
      <c r="G208" s="8">
        <f t="shared" si="3"/>
        <v>39828</v>
      </c>
      <c r="H208" s="6" t="s">
        <v>13</v>
      </c>
      <c r="I208" s="9">
        <f>MAX(original!I208,piwebapi_edit!I208,car_edit!I208)</f>
        <v>10809.634088156701</v>
      </c>
      <c r="J208" s="9">
        <f>MAX(original!J208,piwebapi_edit!J208,car_edit!J208)</f>
        <v>181.710534816105</v>
      </c>
      <c r="K208" s="17"/>
    </row>
    <row r="209" spans="1:11" x14ac:dyDescent="0.25">
      <c r="A209" s="3" t="s">
        <v>434</v>
      </c>
      <c r="B209" s="4" t="s">
        <v>435</v>
      </c>
      <c r="C209" s="14">
        <v>11203</v>
      </c>
      <c r="D209" s="6" t="s">
        <v>31</v>
      </c>
      <c r="E209" s="6" t="s">
        <v>17</v>
      </c>
      <c r="F209" s="7">
        <v>37931</v>
      </c>
      <c r="G209" s="8">
        <f t="shared" si="3"/>
        <v>37931</v>
      </c>
      <c r="H209" s="6" t="s">
        <v>13</v>
      </c>
      <c r="I209" s="9">
        <f>MAX(original!I209,piwebapi_edit!I209,car_edit!I209)</f>
        <v>87395.929484468201</v>
      </c>
      <c r="J209" s="9">
        <f>MAX(original!J209,piwebapi_edit!J209,car_edit!J209)</f>
        <v>516.86458215845198</v>
      </c>
      <c r="K209" s="17"/>
    </row>
    <row r="210" spans="1:11" x14ac:dyDescent="0.25">
      <c r="A210" s="3" t="s">
        <v>436</v>
      </c>
      <c r="B210" s="4" t="s">
        <v>437</v>
      </c>
      <c r="C210" s="5">
        <v>54849</v>
      </c>
      <c r="D210" s="6" t="s">
        <v>34</v>
      </c>
      <c r="E210" s="6" t="s">
        <v>17</v>
      </c>
      <c r="F210" s="7">
        <v>38469</v>
      </c>
      <c r="G210" s="8">
        <f t="shared" si="3"/>
        <v>38469</v>
      </c>
      <c r="H210" s="6" t="s">
        <v>13</v>
      </c>
      <c r="I210" s="9">
        <f>MAX(original!I210,piwebapi_edit!I210,car_edit!I210)</f>
        <v>19051.364849141803</v>
      </c>
      <c r="J210" s="9">
        <f>MAX(original!J210,piwebapi_edit!J210,car_edit!J210)</f>
        <v>173.60715659118301</v>
      </c>
      <c r="K210" s="17"/>
    </row>
    <row r="211" spans="1:11" x14ac:dyDescent="0.25">
      <c r="A211" s="3" t="s">
        <v>438</v>
      </c>
      <c r="B211" s="4" t="s">
        <v>439</v>
      </c>
      <c r="C211" s="5">
        <v>1223</v>
      </c>
      <c r="D211" s="6" t="s">
        <v>31</v>
      </c>
      <c r="E211" s="6" t="s">
        <v>17</v>
      </c>
      <c r="F211" s="7">
        <v>29221</v>
      </c>
      <c r="G211" s="8">
        <f t="shared" si="3"/>
        <v>29221</v>
      </c>
      <c r="H211" s="6" t="s">
        <v>13</v>
      </c>
      <c r="I211" s="9">
        <f>MAX(original!I211,piwebapi_edit!I211,car_edit!I211)</f>
        <v>6931.8833622461698</v>
      </c>
      <c r="J211" s="9">
        <f>MAX(original!J211,piwebapi_edit!J211,car_edit!J211)</f>
        <v>167.47483476582701</v>
      </c>
      <c r="K211" s="17"/>
    </row>
    <row r="212" spans="1:11" x14ac:dyDescent="0.25">
      <c r="A212" s="3" t="s">
        <v>440</v>
      </c>
      <c r="B212" s="4" t="s">
        <v>441</v>
      </c>
      <c r="C212" s="5">
        <v>1088</v>
      </c>
      <c r="D212" s="6" t="s">
        <v>31</v>
      </c>
      <c r="E212" s="6" t="s">
        <v>17</v>
      </c>
      <c r="F212" s="7">
        <v>29221</v>
      </c>
      <c r="G212" s="8">
        <f t="shared" si="3"/>
        <v>29221</v>
      </c>
      <c r="H212" s="6" t="s">
        <v>13</v>
      </c>
      <c r="I212" s="9">
        <f>MAX(original!I212,piwebapi_edit!I212,car_edit!I212)</f>
        <v>29744.770989590401</v>
      </c>
      <c r="J212" s="9">
        <f>MAX(original!J212,piwebapi_edit!J212,car_edit!J212)</f>
        <v>121.81481333395701</v>
      </c>
      <c r="K212" s="17"/>
    </row>
    <row r="213" spans="1:11" x14ac:dyDescent="0.25">
      <c r="A213" s="3" t="s">
        <v>442</v>
      </c>
      <c r="B213" s="4" t="s">
        <v>443</v>
      </c>
      <c r="C213" s="5">
        <v>64740</v>
      </c>
      <c r="D213" s="6" t="s">
        <v>34</v>
      </c>
      <c r="E213" s="6" t="s">
        <v>17</v>
      </c>
      <c r="F213" s="7">
        <v>39209</v>
      </c>
      <c r="G213" s="8">
        <f t="shared" si="3"/>
        <v>39209</v>
      </c>
      <c r="H213" s="6" t="s">
        <v>13</v>
      </c>
      <c r="I213" s="9">
        <f>MAX(original!I213,piwebapi_edit!I213,car_edit!I213)</f>
        <v>27671.8295197726</v>
      </c>
      <c r="J213" s="9">
        <f>MAX(original!J213,piwebapi_edit!J213,car_edit!J213)</f>
        <v>329.50481126303703</v>
      </c>
      <c r="K213" s="17"/>
    </row>
    <row r="214" spans="1:11" x14ac:dyDescent="0.25">
      <c r="A214" s="3" t="s">
        <v>444</v>
      </c>
      <c r="B214" s="4" t="s">
        <v>445</v>
      </c>
      <c r="C214" s="14">
        <v>1339</v>
      </c>
      <c r="D214" s="6" t="s">
        <v>34</v>
      </c>
      <c r="E214" s="6" t="s">
        <v>17</v>
      </c>
      <c r="F214" s="7">
        <v>29221</v>
      </c>
      <c r="G214" s="8">
        <f t="shared" si="3"/>
        <v>29221</v>
      </c>
      <c r="H214" s="6" t="s">
        <v>13</v>
      </c>
      <c r="I214" s="9">
        <f>MAX(original!I214,piwebapi_edit!I214,car_edit!I214)</f>
        <v>107050.908368031</v>
      </c>
      <c r="J214" s="9">
        <f>MAX(original!J214,piwebapi_edit!J214,car_edit!J214)</f>
        <v>726.65172572683605</v>
      </c>
      <c r="K214" s="17"/>
    </row>
    <row r="215" spans="1:11" x14ac:dyDescent="0.25">
      <c r="A215" s="3" t="s">
        <v>446</v>
      </c>
      <c r="B215" s="4" t="s">
        <v>447</v>
      </c>
      <c r="C215" s="5">
        <v>56753</v>
      </c>
      <c r="D215" s="6" t="s">
        <v>28</v>
      </c>
      <c r="E215" s="6" t="s">
        <v>17</v>
      </c>
      <c r="F215" s="7">
        <v>39393</v>
      </c>
      <c r="G215" s="8">
        <f t="shared" si="3"/>
        <v>39393</v>
      </c>
      <c r="H215" s="6" t="s">
        <v>13</v>
      </c>
      <c r="I215" s="9">
        <f>MAX(original!I215,piwebapi_edit!I215,car_edit!I215)</f>
        <v>19009.2161840232</v>
      </c>
      <c r="J215" s="9">
        <f>MAX(original!J215,piwebapi_edit!J215,car_edit!J215)</f>
        <v>93.559051099045902</v>
      </c>
      <c r="K215" s="17"/>
    </row>
    <row r="216" spans="1:11" x14ac:dyDescent="0.25">
      <c r="A216" s="3" t="s">
        <v>448</v>
      </c>
      <c r="B216" s="4" t="s">
        <v>449</v>
      </c>
      <c r="C216" s="5">
        <v>1995</v>
      </c>
      <c r="D216" s="6" t="s">
        <v>28</v>
      </c>
      <c r="E216" s="6" t="s">
        <v>17</v>
      </c>
      <c r="F216" s="7">
        <v>24108</v>
      </c>
      <c r="G216" s="8">
        <f t="shared" si="3"/>
        <v>24108</v>
      </c>
      <c r="H216" s="6" t="s">
        <v>13</v>
      </c>
      <c r="I216" s="9">
        <f>MAX(original!I216,piwebapi_edit!I216,car_edit!I216)</f>
        <v>167412.957231337</v>
      </c>
      <c r="J216" s="9">
        <f>MAX(original!J216,piwebapi_edit!J216,car_edit!J216)</f>
        <v>1002.9526741691</v>
      </c>
      <c r="K216" s="17"/>
    </row>
    <row r="217" spans="1:11" x14ac:dyDescent="0.25">
      <c r="A217" s="3" t="s">
        <v>450</v>
      </c>
      <c r="B217" s="4" t="s">
        <v>451</v>
      </c>
      <c r="C217" s="5">
        <v>1980</v>
      </c>
      <c r="D217" s="6" t="s">
        <v>34</v>
      </c>
      <c r="E217" s="6" t="s">
        <v>17</v>
      </c>
      <c r="F217" s="7">
        <v>29221</v>
      </c>
      <c r="G217" s="8">
        <f t="shared" si="3"/>
        <v>29221</v>
      </c>
      <c r="H217" s="6" t="s">
        <v>13</v>
      </c>
      <c r="I217" s="9">
        <f>MAX(original!I217,piwebapi_edit!I217,car_edit!I217)</f>
        <v>10774.7487250346</v>
      </c>
      <c r="J217" s="9">
        <f>MAX(original!J217,piwebapi_edit!J217,car_edit!J217)</f>
        <v>503.23245196878702</v>
      </c>
      <c r="K217" s="17"/>
    </row>
    <row r="218" spans="1:11" x14ac:dyDescent="0.25">
      <c r="A218" s="3" t="s">
        <v>452</v>
      </c>
      <c r="B218" s="4" t="s">
        <v>453</v>
      </c>
      <c r="C218" s="14">
        <v>26241</v>
      </c>
      <c r="D218" s="6" t="s">
        <v>31</v>
      </c>
      <c r="E218" s="6" t="s">
        <v>17</v>
      </c>
      <c r="F218" s="7">
        <v>32827</v>
      </c>
      <c r="G218" s="8">
        <f t="shared" si="3"/>
        <v>32827</v>
      </c>
      <c r="H218" s="6" t="s">
        <v>13</v>
      </c>
      <c r="I218" s="9">
        <f>MAX(original!I218,piwebapi_edit!I218,car_edit!I218)</f>
        <v>351037.62</v>
      </c>
      <c r="J218" s="9">
        <f>MAX(original!J218,piwebapi_edit!J218,car_edit!J218)</f>
        <v>900</v>
      </c>
      <c r="K218" s="17"/>
    </row>
    <row r="219" spans="1:11" x14ac:dyDescent="0.25">
      <c r="A219" s="3" t="s">
        <v>454</v>
      </c>
      <c r="B219" s="4" t="s">
        <v>455</v>
      </c>
      <c r="C219" s="14">
        <v>26577</v>
      </c>
      <c r="D219" s="6" t="s">
        <v>31</v>
      </c>
      <c r="E219" s="6" t="s">
        <v>17</v>
      </c>
      <c r="F219" s="7">
        <v>20925</v>
      </c>
      <c r="G219" s="8">
        <f t="shared" si="3"/>
        <v>20925</v>
      </c>
      <c r="H219" s="6" t="s">
        <v>13</v>
      </c>
      <c r="I219" s="9">
        <f>MAX(original!I219,piwebapi_edit!I219,car_edit!I219)</f>
        <v>142174.31304885302</v>
      </c>
      <c r="J219" s="9">
        <f>MAX(original!J219,piwebapi_edit!J219,car_edit!J219)</f>
        <v>560.58453937881995</v>
      </c>
      <c r="K219" s="17"/>
    </row>
    <row r="220" spans="1:11" x14ac:dyDescent="0.25">
      <c r="A220" s="3" t="s">
        <v>456</v>
      </c>
      <c r="B220" s="4" t="s">
        <v>457</v>
      </c>
      <c r="C220" s="5">
        <v>1222</v>
      </c>
      <c r="D220" s="6" t="s">
        <v>31</v>
      </c>
      <c r="E220" s="6" t="s">
        <v>17</v>
      </c>
      <c r="F220" s="7">
        <v>29221</v>
      </c>
      <c r="G220" s="8">
        <f t="shared" si="3"/>
        <v>29221</v>
      </c>
      <c r="H220" s="6" t="s">
        <v>13</v>
      </c>
      <c r="I220" s="9">
        <f>MAX(original!I220,piwebapi_edit!I220,car_edit!I220)</f>
        <v>5274.7457905596202</v>
      </c>
      <c r="J220" s="9">
        <f>MAX(original!J220,piwebapi_edit!J220,car_edit!J220)</f>
        <v>62.872880852453697</v>
      </c>
      <c r="K220" s="17"/>
    </row>
    <row r="221" spans="1:11" x14ac:dyDescent="0.25">
      <c r="A221" s="3" t="s">
        <v>458</v>
      </c>
      <c r="B221" s="4" t="s">
        <v>459</v>
      </c>
      <c r="C221" s="5">
        <v>54505</v>
      </c>
      <c r="D221" s="6" t="s">
        <v>34</v>
      </c>
      <c r="E221" s="6" t="s">
        <v>17</v>
      </c>
      <c r="F221" s="7">
        <v>18264</v>
      </c>
      <c r="G221" s="8">
        <f t="shared" si="3"/>
        <v>18264</v>
      </c>
      <c r="H221" s="6" t="s">
        <v>13</v>
      </c>
      <c r="I221" s="9">
        <f>MAX(original!I221,piwebapi_edit!I221,car_edit!I221)</f>
        <v>21335.260049010099</v>
      </c>
      <c r="J221" s="9">
        <f>MAX(original!J221,piwebapi_edit!J221,car_edit!J221)</f>
        <v>581.92681205000395</v>
      </c>
      <c r="K221" s="17"/>
    </row>
    <row r="222" spans="1:11" x14ac:dyDescent="0.25">
      <c r="A222" s="3" t="s">
        <v>460</v>
      </c>
      <c r="B222" s="4" t="s">
        <v>461</v>
      </c>
      <c r="C222" s="5">
        <v>52929</v>
      </c>
      <c r="D222" s="6" t="s">
        <v>31</v>
      </c>
      <c r="E222" s="6" t="s">
        <v>17</v>
      </c>
      <c r="F222" s="7">
        <v>38950</v>
      </c>
      <c r="G222" s="8">
        <f t="shared" si="3"/>
        <v>38950</v>
      </c>
      <c r="H222" s="6" t="s">
        <v>13</v>
      </c>
      <c r="I222" s="9">
        <f>MAX(original!I222,piwebapi_edit!I222,car_edit!I222)</f>
        <v>16960.710599437502</v>
      </c>
      <c r="J222" s="9">
        <f>MAX(original!J222,piwebapi_edit!J222,car_edit!J222)</f>
        <v>142.16832973861099</v>
      </c>
      <c r="K222" s="17"/>
    </row>
    <row r="223" spans="1:11" x14ac:dyDescent="0.25">
      <c r="A223" s="3" t="s">
        <v>462</v>
      </c>
      <c r="B223" s="4" t="s">
        <v>463</v>
      </c>
      <c r="C223" s="5">
        <v>1568</v>
      </c>
      <c r="D223" s="6" t="s">
        <v>11</v>
      </c>
      <c r="E223" s="6" t="s">
        <v>17</v>
      </c>
      <c r="F223" s="7">
        <v>35073</v>
      </c>
      <c r="G223" s="8">
        <f t="shared" si="3"/>
        <v>35073</v>
      </c>
      <c r="H223" s="6" t="s">
        <v>13</v>
      </c>
      <c r="I223" s="9">
        <f>MAX(original!I223,piwebapi_edit!I223,car_edit!I223)</f>
        <v>10195.4466389065</v>
      </c>
      <c r="J223" s="9">
        <f>MAX(original!J223,piwebapi_edit!J223,car_edit!J223)</f>
        <v>54.535286105382902</v>
      </c>
      <c r="K223" s="17"/>
    </row>
    <row r="224" spans="1:11" x14ac:dyDescent="0.25">
      <c r="A224" s="3" t="s">
        <v>464</v>
      </c>
      <c r="B224" s="4" t="s">
        <v>465</v>
      </c>
      <c r="C224" s="5">
        <v>24338</v>
      </c>
      <c r="D224" s="6" t="s">
        <v>34</v>
      </c>
      <c r="E224" s="6" t="s">
        <v>17</v>
      </c>
      <c r="F224" s="7">
        <v>38608</v>
      </c>
      <c r="G224" s="8">
        <f t="shared" si="3"/>
        <v>38608</v>
      </c>
      <c r="H224" s="6" t="s">
        <v>13</v>
      </c>
      <c r="I224" s="9">
        <f>MAX(original!I224,piwebapi_edit!I224,car_edit!I224)</f>
        <v>6797.6504823095402</v>
      </c>
      <c r="J224" s="9">
        <f>MAX(original!J224,piwebapi_edit!J224,car_edit!J224)</f>
        <v>152.364444569531</v>
      </c>
      <c r="K224" s="17"/>
    </row>
    <row r="225" spans="1:11" x14ac:dyDescent="0.25">
      <c r="A225" s="3" t="s">
        <v>466</v>
      </c>
      <c r="B225" s="4" t="s">
        <v>467</v>
      </c>
      <c r="C225" s="5">
        <v>2061</v>
      </c>
      <c r="D225" s="6" t="s">
        <v>34</v>
      </c>
      <c r="E225" s="6" t="s">
        <v>17</v>
      </c>
      <c r="F225" s="7">
        <v>20096</v>
      </c>
      <c r="G225" s="8">
        <f t="shared" si="3"/>
        <v>20096</v>
      </c>
      <c r="H225" s="6" t="s">
        <v>13</v>
      </c>
      <c r="I225" s="9">
        <f>MAX(original!I225,piwebapi_edit!I225,car_edit!I225)</f>
        <v>17165.294606993899</v>
      </c>
      <c r="J225" s="9">
        <f>MAX(original!J225,piwebapi_edit!J225,car_edit!J225)</f>
        <v>102.896807785984</v>
      </c>
      <c r="K225" s="17"/>
    </row>
    <row r="226" spans="1:11" x14ac:dyDescent="0.25">
      <c r="A226" s="3" t="s">
        <v>468</v>
      </c>
      <c r="B226" s="4" t="s">
        <v>469</v>
      </c>
      <c r="C226" s="5">
        <v>72098</v>
      </c>
      <c r="D226" s="6" t="s">
        <v>34</v>
      </c>
      <c r="E226" s="6" t="s">
        <v>17</v>
      </c>
      <c r="F226" s="7">
        <v>39108</v>
      </c>
      <c r="G226" s="8">
        <f t="shared" si="3"/>
        <v>39108</v>
      </c>
      <c r="H226" s="6" t="s">
        <v>13</v>
      </c>
      <c r="I226" s="9">
        <f>MAX(original!I226,piwebapi_edit!I226,car_edit!I226)</f>
        <v>21687.616621592701</v>
      </c>
      <c r="J226" s="9">
        <f>MAX(original!J226,piwebapi_edit!J226,car_edit!J226)</f>
        <v>251.198234639795</v>
      </c>
      <c r="K226" s="17"/>
    </row>
    <row r="227" spans="1:11" x14ac:dyDescent="0.25">
      <c r="A227" s="3" t="s">
        <v>470</v>
      </c>
      <c r="B227" s="4" t="s">
        <v>471</v>
      </c>
      <c r="C227" s="14">
        <v>22401</v>
      </c>
      <c r="D227" s="6" t="s">
        <v>31</v>
      </c>
      <c r="E227" s="6" t="s">
        <v>17</v>
      </c>
      <c r="F227" s="7">
        <v>38991</v>
      </c>
      <c r="G227" s="8">
        <f t="shared" si="3"/>
        <v>38991</v>
      </c>
      <c r="H227" s="6" t="s">
        <v>13</v>
      </c>
      <c r="I227" s="9">
        <f>MAX(original!I227,piwebapi_edit!I227,car_edit!I227)</f>
        <v>269689.29000000004</v>
      </c>
      <c r="J227" s="9">
        <f>MAX(original!J227,piwebapi_edit!J227,car_edit!J227)</f>
        <v>1130</v>
      </c>
      <c r="K227" s="17"/>
    </row>
    <row r="228" spans="1:11" x14ac:dyDescent="0.25">
      <c r="A228" s="3" t="s">
        <v>472</v>
      </c>
      <c r="B228" s="4" t="s">
        <v>473</v>
      </c>
      <c r="C228" s="5">
        <v>30595</v>
      </c>
      <c r="D228" s="6" t="s">
        <v>34</v>
      </c>
      <c r="E228" s="6" t="s">
        <v>17</v>
      </c>
      <c r="F228" s="7">
        <v>38758</v>
      </c>
      <c r="G228" s="8">
        <f t="shared" si="3"/>
        <v>38758</v>
      </c>
      <c r="H228" s="6" t="s">
        <v>13</v>
      </c>
      <c r="I228" s="9">
        <f>MAX(original!I228,piwebapi_edit!I228,car_edit!I228)</f>
        <v>26402.029853791701</v>
      </c>
      <c r="J228" s="9">
        <f>MAX(original!J228,piwebapi_edit!J228,car_edit!J228)</f>
        <v>348.50753711722803</v>
      </c>
      <c r="K228" s="17"/>
    </row>
    <row r="229" spans="1:11" x14ac:dyDescent="0.25">
      <c r="A229" s="3" t="s">
        <v>474</v>
      </c>
      <c r="B229" s="4" t="s">
        <v>475</v>
      </c>
      <c r="C229" s="5">
        <v>30553</v>
      </c>
      <c r="D229" s="6" t="s">
        <v>34</v>
      </c>
      <c r="E229" s="6" t="s">
        <v>17</v>
      </c>
      <c r="F229" s="7">
        <v>38377</v>
      </c>
      <c r="G229" s="8">
        <f t="shared" si="3"/>
        <v>38377</v>
      </c>
      <c r="H229" s="6" t="s">
        <v>13</v>
      </c>
      <c r="I229" s="9">
        <f>MAX(original!I229,piwebapi_edit!I229,car_edit!I229)</f>
        <v>9278.6080118306509</v>
      </c>
      <c r="J229" s="9">
        <f>MAX(original!J229,piwebapi_edit!J229,car_edit!J229)</f>
        <v>110.340983800705</v>
      </c>
      <c r="K229" s="17"/>
    </row>
    <row r="230" spans="1:11" x14ac:dyDescent="0.25">
      <c r="A230" s="3" t="s">
        <v>476</v>
      </c>
      <c r="B230" s="4" t="s">
        <v>477</v>
      </c>
      <c r="C230" s="14">
        <v>2033</v>
      </c>
      <c r="D230" s="6" t="s">
        <v>31</v>
      </c>
      <c r="E230" s="6" t="s">
        <v>17</v>
      </c>
      <c r="F230" s="7">
        <v>32874</v>
      </c>
      <c r="G230" s="8">
        <f t="shared" si="3"/>
        <v>32874</v>
      </c>
      <c r="H230" s="6" t="s">
        <v>13</v>
      </c>
      <c r="I230" s="9">
        <f>MAX(original!I230,piwebapi_edit!I230,car_edit!I230)</f>
        <v>199869</v>
      </c>
      <c r="J230" s="9">
        <f>MAX(original!J230,piwebapi_edit!J230,car_edit!J230)</f>
        <v>1033.46034018153</v>
      </c>
      <c r="K230" s="17"/>
    </row>
    <row r="231" spans="1:11" x14ac:dyDescent="0.25">
      <c r="A231" s="3" t="s">
        <v>478</v>
      </c>
      <c r="B231" s="4" t="s">
        <v>479</v>
      </c>
      <c r="C231" s="5">
        <v>1611</v>
      </c>
      <c r="D231" s="6" t="s">
        <v>16</v>
      </c>
      <c r="E231" s="6" t="s">
        <v>17</v>
      </c>
      <c r="F231" s="7">
        <v>29221</v>
      </c>
      <c r="G231" s="8">
        <f t="shared" si="3"/>
        <v>29221</v>
      </c>
      <c r="H231" s="6" t="s">
        <v>13</v>
      </c>
      <c r="I231" s="9">
        <f>MAX(original!I231,piwebapi_edit!I231,car_edit!I231)</f>
        <v>134479.773389646</v>
      </c>
      <c r="J231" s="9">
        <f>MAX(original!J231,piwebapi_edit!J231,car_edit!J231)</f>
        <v>283.88539716042999</v>
      </c>
      <c r="K231" s="17"/>
    </row>
    <row r="232" spans="1:11" x14ac:dyDescent="0.25">
      <c r="A232" s="3" t="s">
        <v>480</v>
      </c>
      <c r="B232" s="4" t="s">
        <v>481</v>
      </c>
      <c r="C232" s="5">
        <v>31618</v>
      </c>
      <c r="D232" s="6" t="s">
        <v>31</v>
      </c>
      <c r="E232" s="6" t="s">
        <v>17</v>
      </c>
      <c r="F232" s="7">
        <v>33428</v>
      </c>
      <c r="G232" s="8">
        <f t="shared" si="3"/>
        <v>33428</v>
      </c>
      <c r="H232" s="6" t="s">
        <v>13</v>
      </c>
      <c r="I232" s="9">
        <f>MAX(original!I232,piwebapi_edit!I232,car_edit!I232)</f>
        <v>2055.1243689142498</v>
      </c>
      <c r="J232" s="9">
        <f>MAX(original!J232,piwebapi_edit!J232,car_edit!J232)</f>
        <v>171.70384153596399</v>
      </c>
      <c r="K232" s="17"/>
    </row>
    <row r="233" spans="1:11" x14ac:dyDescent="0.25">
      <c r="A233" s="3" t="s">
        <v>482</v>
      </c>
      <c r="B233" s="4" t="s">
        <v>483</v>
      </c>
      <c r="C233" s="5">
        <v>18564</v>
      </c>
      <c r="D233" s="6" t="s">
        <v>16</v>
      </c>
      <c r="E233" s="6" t="s">
        <v>17</v>
      </c>
      <c r="F233" s="7">
        <v>21069</v>
      </c>
      <c r="G233" s="8">
        <f t="shared" si="3"/>
        <v>21069</v>
      </c>
      <c r="H233" s="6" t="s">
        <v>13</v>
      </c>
      <c r="I233" s="9">
        <f>MAX(original!I233,piwebapi_edit!I233,car_edit!I233)</f>
        <v>13737.927791967699</v>
      </c>
      <c r="J233" s="9">
        <f>MAX(original!J233,piwebapi_edit!J233,car_edit!J233)</f>
        <v>40.09936077695</v>
      </c>
      <c r="K233" s="17"/>
    </row>
    <row r="234" spans="1:11" x14ac:dyDescent="0.25">
      <c r="A234" s="3" t="s">
        <v>484</v>
      </c>
      <c r="B234" s="4" t="s">
        <v>485</v>
      </c>
      <c r="C234" s="5">
        <v>54506</v>
      </c>
      <c r="D234" s="6" t="s">
        <v>28</v>
      </c>
      <c r="E234" s="6" t="s">
        <v>17</v>
      </c>
      <c r="F234" s="7">
        <v>38112</v>
      </c>
      <c r="G234" s="8">
        <f t="shared" si="3"/>
        <v>38112</v>
      </c>
      <c r="H234" s="6" t="s">
        <v>13</v>
      </c>
      <c r="I234" s="9">
        <f>MAX(original!I234,piwebapi_edit!I234,car_edit!I234)</f>
        <v>36970.884388119404</v>
      </c>
      <c r="J234" s="9">
        <f>MAX(original!J234,piwebapi_edit!J234,car_edit!J234)</f>
        <v>192.94446763559</v>
      </c>
      <c r="K234" s="17"/>
    </row>
    <row r="235" spans="1:11" x14ac:dyDescent="0.25">
      <c r="A235" s="3" t="s">
        <v>486</v>
      </c>
      <c r="B235" s="4" t="s">
        <v>487</v>
      </c>
      <c r="C235" s="5">
        <v>1786</v>
      </c>
      <c r="D235" s="6" t="s">
        <v>28</v>
      </c>
      <c r="E235" s="6" t="s">
        <v>17</v>
      </c>
      <c r="F235" s="7">
        <v>40626</v>
      </c>
      <c r="G235" s="8">
        <f t="shared" si="3"/>
        <v>40626</v>
      </c>
      <c r="H235" s="6" t="s">
        <v>13</v>
      </c>
      <c r="I235" s="9">
        <f>MAX(original!I235,piwebapi_edit!I235,car_edit!I235)</f>
        <v>4775.7172361877301</v>
      </c>
      <c r="J235" s="9">
        <f>MAX(original!J235,piwebapi_edit!J235,car_edit!J235)</f>
        <v>336.75849715901302</v>
      </c>
      <c r="K235" s="17"/>
    </row>
    <row r="236" spans="1:11" x14ac:dyDescent="0.25">
      <c r="A236" s="3" t="s">
        <v>488</v>
      </c>
      <c r="B236" s="4" t="s">
        <v>489</v>
      </c>
      <c r="C236" s="5">
        <v>15368</v>
      </c>
      <c r="D236" s="6" t="s">
        <v>28</v>
      </c>
      <c r="E236" s="6" t="s">
        <v>17</v>
      </c>
      <c r="F236" s="7">
        <v>38321</v>
      </c>
      <c r="G236" s="8">
        <f t="shared" si="3"/>
        <v>38321</v>
      </c>
      <c r="H236" s="6" t="s">
        <v>13</v>
      </c>
      <c r="I236" s="9">
        <f>MAX(original!I236,piwebapi_edit!I236,car_edit!I236)</f>
        <v>131297.190194947</v>
      </c>
      <c r="J236" s="9">
        <f>MAX(original!J236,piwebapi_edit!J236,car_edit!J236)</f>
        <v>252.090198014827</v>
      </c>
      <c r="K236" s="17"/>
    </row>
    <row r="237" spans="1:11" ht="30" x14ac:dyDescent="0.25">
      <c r="A237" s="18" t="s">
        <v>490</v>
      </c>
      <c r="B237" s="19" t="s">
        <v>491</v>
      </c>
      <c r="C237" s="5">
        <v>1503</v>
      </c>
      <c r="D237" s="21" t="s">
        <v>28</v>
      </c>
      <c r="E237" s="21" t="s">
        <v>17</v>
      </c>
      <c r="F237" s="22">
        <v>18264</v>
      </c>
      <c r="G237" s="23">
        <f t="shared" si="3"/>
        <v>18264</v>
      </c>
      <c r="H237" s="21" t="s">
        <v>13</v>
      </c>
      <c r="I237" s="9">
        <f>MAX(original!I237,piwebapi_edit!I237,car_edit!I237)</f>
        <v>17896.150052299301</v>
      </c>
      <c r="J237" s="9">
        <f>MAX(original!J237,piwebapi_edit!J237,car_edit!J237)</f>
        <v>140.12085481403199</v>
      </c>
      <c r="K237" s="25"/>
    </row>
    <row r="238" spans="1:11" x14ac:dyDescent="0.25">
      <c r="A238" s="3" t="s">
        <v>492</v>
      </c>
      <c r="B238" s="4" t="s">
        <v>493</v>
      </c>
      <c r="C238" s="5">
        <v>1831</v>
      </c>
      <c r="D238" s="6" t="s">
        <v>31</v>
      </c>
      <c r="E238" s="6" t="s">
        <v>17</v>
      </c>
      <c r="F238" s="7">
        <v>29221</v>
      </c>
      <c r="G238" s="8">
        <f t="shared" si="3"/>
        <v>29221</v>
      </c>
      <c r="H238" s="6" t="s">
        <v>13</v>
      </c>
      <c r="I238" s="9">
        <f>MAX(original!I238,piwebapi_edit!I238,car_edit!I238)</f>
        <v>15041.0007474216</v>
      </c>
      <c r="J238" s="9">
        <f>MAX(original!J238,piwebapi_edit!J238,car_edit!J238)</f>
        <v>166.55844344840401</v>
      </c>
      <c r="K238" s="17"/>
    </row>
    <row r="239" spans="1:11" x14ac:dyDescent="0.25">
      <c r="A239" s="3" t="s">
        <v>494</v>
      </c>
      <c r="B239" s="4" t="s">
        <v>495</v>
      </c>
      <c r="C239" s="5">
        <v>1808</v>
      </c>
      <c r="D239" s="6" t="s">
        <v>28</v>
      </c>
      <c r="E239" s="6" t="s">
        <v>17</v>
      </c>
      <c r="F239" s="7">
        <v>29221</v>
      </c>
      <c r="G239" s="8">
        <f t="shared" si="3"/>
        <v>29221</v>
      </c>
      <c r="H239" s="6" t="s">
        <v>13</v>
      </c>
      <c r="I239" s="9">
        <f>MAX(original!I239,piwebapi_edit!I239,car_edit!I239)</f>
        <v>49044.522759503299</v>
      </c>
      <c r="J239" s="9">
        <f>MAX(original!J239,piwebapi_edit!J239,car_edit!J239)</f>
        <v>424.36079136949002</v>
      </c>
      <c r="K239" s="17"/>
    </row>
    <row r="240" spans="1:11" x14ac:dyDescent="0.25">
      <c r="A240" s="3" t="s">
        <v>496</v>
      </c>
      <c r="B240" s="4" t="s">
        <v>497</v>
      </c>
      <c r="C240" s="5">
        <v>42001</v>
      </c>
      <c r="D240" s="6" t="s">
        <v>31</v>
      </c>
      <c r="E240" s="6" t="s">
        <v>17</v>
      </c>
      <c r="F240" s="7">
        <v>34774</v>
      </c>
      <c r="G240" s="8">
        <f t="shared" si="3"/>
        <v>34774</v>
      </c>
      <c r="H240" s="6" t="s">
        <v>13</v>
      </c>
      <c r="I240" s="9">
        <f>MAX(original!I240,piwebapi_edit!I240,car_edit!I240)</f>
        <v>14853.392480721001</v>
      </c>
      <c r="J240" s="9">
        <f>MAX(original!J240,piwebapi_edit!J240,car_edit!J240)</f>
        <v>155.201686101127</v>
      </c>
      <c r="K240" s="17"/>
    </row>
    <row r="241" spans="1:11" x14ac:dyDescent="0.25">
      <c r="A241" s="3" t="s">
        <v>498</v>
      </c>
      <c r="B241" s="4" t="s">
        <v>499</v>
      </c>
      <c r="C241" s="5">
        <v>1610</v>
      </c>
      <c r="D241" s="6" t="s">
        <v>31</v>
      </c>
      <c r="E241" s="6" t="s">
        <v>17</v>
      </c>
      <c r="F241" s="7">
        <v>31048</v>
      </c>
      <c r="G241" s="8">
        <f t="shared" si="3"/>
        <v>31048</v>
      </c>
      <c r="H241" s="6" t="s">
        <v>13</v>
      </c>
      <c r="I241" s="9">
        <f>MAX(original!I241,piwebapi_edit!I241,car_edit!I241)</f>
        <v>33332.159004665002</v>
      </c>
      <c r="J241" s="9">
        <f>MAX(original!J241,piwebapi_edit!J241,car_edit!J241)</f>
        <v>282.543650622575</v>
      </c>
      <c r="K241" s="17"/>
    </row>
    <row r="242" spans="1:11" x14ac:dyDescent="0.25">
      <c r="A242" s="3" t="s">
        <v>500</v>
      </c>
      <c r="B242" s="4" t="s">
        <v>501</v>
      </c>
      <c r="C242" s="14">
        <v>1408</v>
      </c>
      <c r="D242" s="6" t="s">
        <v>28</v>
      </c>
      <c r="E242" s="6" t="s">
        <v>17</v>
      </c>
      <c r="F242" s="7">
        <v>40661</v>
      </c>
      <c r="G242" s="8">
        <f t="shared" si="3"/>
        <v>40661</v>
      </c>
      <c r="H242" s="6" t="s">
        <v>13</v>
      </c>
      <c r="I242" s="9">
        <f>MAX(original!I242,piwebapi_edit!I242,car_edit!I242)</f>
        <v>136133.060869623</v>
      </c>
      <c r="J242" s="9">
        <f>MAX(original!J242,piwebapi_edit!J242,car_edit!J242)</f>
        <v>514.26351742964096</v>
      </c>
      <c r="K242" s="17"/>
    </row>
    <row r="243" spans="1:11" x14ac:dyDescent="0.25">
      <c r="A243" s="3" t="s">
        <v>502</v>
      </c>
      <c r="B243" s="4" t="s">
        <v>503</v>
      </c>
      <c r="C243" s="5">
        <v>18892</v>
      </c>
      <c r="D243" s="6" t="s">
        <v>11</v>
      </c>
      <c r="E243" s="6" t="s">
        <v>17</v>
      </c>
      <c r="F243" s="7">
        <v>38358</v>
      </c>
      <c r="G243" s="8">
        <f t="shared" si="3"/>
        <v>38358</v>
      </c>
      <c r="H243" s="6" t="s">
        <v>13</v>
      </c>
      <c r="I243" s="9">
        <f>MAX(original!I243,piwebapi_edit!I243,car_edit!I243)</f>
        <v>37246.321884279096</v>
      </c>
      <c r="J243" s="9">
        <f>MAX(original!J243,piwebapi_edit!J243,car_edit!J243)</f>
        <v>232.24245936518699</v>
      </c>
      <c r="K243" s="17"/>
    </row>
    <row r="244" spans="1:11" x14ac:dyDescent="0.25">
      <c r="A244" s="3" t="s">
        <v>504</v>
      </c>
      <c r="B244" s="4" t="s">
        <v>505</v>
      </c>
      <c r="C244" s="5">
        <v>1625</v>
      </c>
      <c r="D244" s="6" t="s">
        <v>16</v>
      </c>
      <c r="E244" s="6" t="s">
        <v>17</v>
      </c>
      <c r="F244" s="7">
        <v>29221</v>
      </c>
      <c r="G244" s="8">
        <f t="shared" si="3"/>
        <v>29221</v>
      </c>
      <c r="H244" s="6" t="s">
        <v>13</v>
      </c>
      <c r="I244" s="9">
        <f>MAX(original!I244,piwebapi_edit!I244,car_edit!I244)</f>
        <v>27276.4578925024</v>
      </c>
      <c r="J244" s="9">
        <f>MAX(original!J244,piwebapi_edit!J244,car_edit!J244)</f>
        <v>177.69871966096201</v>
      </c>
      <c r="K244" s="17"/>
    </row>
    <row r="245" spans="1:11" x14ac:dyDescent="0.25">
      <c r="A245" s="3" t="s">
        <v>506</v>
      </c>
      <c r="B245" s="4" t="s">
        <v>507</v>
      </c>
      <c r="C245" s="5">
        <v>1262</v>
      </c>
      <c r="D245" s="6" t="s">
        <v>28</v>
      </c>
      <c r="E245" s="6" t="s">
        <v>508</v>
      </c>
      <c r="F245" s="7">
        <v>29221</v>
      </c>
      <c r="G245" s="8">
        <f t="shared" si="3"/>
        <v>29221</v>
      </c>
      <c r="H245" s="6" t="s">
        <v>509</v>
      </c>
      <c r="I245" s="9">
        <f>MAX(original!I245,piwebapi_edit!I245,car_edit!I245)</f>
        <v>36545.259562157495</v>
      </c>
      <c r="J245" s="9">
        <f>MAX(original!J245,piwebapi_edit!J245,car_edit!J245)</f>
        <v>443.92562847838502</v>
      </c>
      <c r="K245" s="17"/>
    </row>
    <row r="246" spans="1:11" x14ac:dyDescent="0.25">
      <c r="A246" s="3" t="s">
        <v>510</v>
      </c>
      <c r="B246" s="4" t="s">
        <v>511</v>
      </c>
      <c r="C246" s="5">
        <v>1119</v>
      </c>
      <c r="D246" s="6" t="s">
        <v>28</v>
      </c>
      <c r="E246" s="6" t="s">
        <v>17</v>
      </c>
      <c r="F246" s="7">
        <v>32874</v>
      </c>
      <c r="G246" s="8">
        <f t="shared" si="3"/>
        <v>32874</v>
      </c>
      <c r="H246" s="6" t="s">
        <v>13</v>
      </c>
      <c r="I246" s="9">
        <f>MAX(original!I246,piwebapi_edit!I246,car_edit!I246)</f>
        <v>26809.379874086801</v>
      </c>
      <c r="J246" s="9">
        <f>MAX(original!J246,piwebapi_edit!J246,car_edit!J246)</f>
        <v>189.29469692612</v>
      </c>
      <c r="K246" s="17"/>
    </row>
    <row r="247" spans="1:11" x14ac:dyDescent="0.25">
      <c r="A247" s="3" t="s">
        <v>512</v>
      </c>
      <c r="B247" s="4" t="s">
        <v>513</v>
      </c>
      <c r="C247" s="14">
        <v>1179</v>
      </c>
      <c r="D247" s="6" t="s">
        <v>31</v>
      </c>
      <c r="E247" s="6" t="s">
        <v>17</v>
      </c>
      <c r="F247" s="7">
        <v>29221</v>
      </c>
      <c r="G247" s="8">
        <f t="shared" si="3"/>
        <v>29221</v>
      </c>
      <c r="H247" s="6" t="s">
        <v>13</v>
      </c>
      <c r="I247" s="9">
        <f>MAX(original!I247,piwebapi_edit!I247,car_edit!I247)</f>
        <v>188577.133019217</v>
      </c>
      <c r="J247" s="9">
        <f>MAX(original!J247,piwebapi_edit!J247,car_edit!J247)</f>
        <v>800</v>
      </c>
      <c r="K247" s="17"/>
    </row>
    <row r="248" spans="1:11" x14ac:dyDescent="0.25">
      <c r="A248" s="3" t="s">
        <v>514</v>
      </c>
      <c r="B248" s="4" t="s">
        <v>515</v>
      </c>
      <c r="C248" s="5">
        <v>1705</v>
      </c>
      <c r="D248" s="6" t="s">
        <v>16</v>
      </c>
      <c r="E248" s="6" t="s">
        <v>17</v>
      </c>
      <c r="F248" s="7">
        <v>18264</v>
      </c>
      <c r="G248" s="8">
        <f t="shared" si="3"/>
        <v>18264</v>
      </c>
      <c r="H248" s="6" t="s">
        <v>13</v>
      </c>
      <c r="I248" s="9">
        <f>MAX(original!I248,piwebapi_edit!I248,car_edit!I248)</f>
        <v>6745.77889389334</v>
      </c>
      <c r="J248" s="9">
        <f>MAX(original!J248,piwebapi_edit!J248,car_edit!J248)</f>
        <v>131.20542850746199</v>
      </c>
      <c r="K248" s="17"/>
    </row>
    <row r="249" spans="1:11" x14ac:dyDescent="0.25">
      <c r="A249" s="3" t="s">
        <v>516</v>
      </c>
      <c r="B249" s="4" t="s">
        <v>517</v>
      </c>
      <c r="C249" s="14">
        <v>47153</v>
      </c>
      <c r="D249" s="6" t="s">
        <v>28</v>
      </c>
      <c r="E249" s="6" t="s">
        <v>17</v>
      </c>
      <c r="F249" s="7">
        <v>38930</v>
      </c>
      <c r="G249" s="8">
        <f t="shared" si="3"/>
        <v>38930</v>
      </c>
      <c r="H249" s="6" t="s">
        <v>13</v>
      </c>
      <c r="I249" s="9">
        <f>MAX(original!I249,piwebapi_edit!I249,car_edit!I249)</f>
        <v>45231.177013638298</v>
      </c>
      <c r="J249" s="9">
        <f>MAX(original!J249,piwebapi_edit!J249,car_edit!J249)</f>
        <v>538.00083277481895</v>
      </c>
      <c r="K249" s="17"/>
    </row>
    <row r="250" spans="1:11" x14ac:dyDescent="0.25">
      <c r="A250" s="3" t="s">
        <v>518</v>
      </c>
      <c r="B250" s="4" t="s">
        <v>519</v>
      </c>
      <c r="C250" s="5">
        <v>9603</v>
      </c>
      <c r="D250" s="6" t="s">
        <v>11</v>
      </c>
      <c r="E250" s="6" t="s">
        <v>17</v>
      </c>
      <c r="F250" s="7">
        <v>37932</v>
      </c>
      <c r="G250" s="8">
        <f t="shared" si="3"/>
        <v>37932</v>
      </c>
      <c r="H250" s="6" t="s">
        <v>13</v>
      </c>
      <c r="I250" s="9">
        <f>MAX(original!I250,piwebapi_edit!I250,car_edit!I250)</f>
        <v>20171.308603217098</v>
      </c>
      <c r="J250" s="9">
        <f>MAX(original!J250,piwebapi_edit!J250,car_edit!J250)</f>
        <v>196.20961303766899</v>
      </c>
      <c r="K250" s="17"/>
    </row>
    <row r="251" spans="1:11" x14ac:dyDescent="0.25">
      <c r="A251" s="3" t="s">
        <v>520</v>
      </c>
      <c r="B251" s="4" t="s">
        <v>521</v>
      </c>
      <c r="C251" s="5">
        <v>1657</v>
      </c>
      <c r="D251" s="6" t="s">
        <v>28</v>
      </c>
      <c r="E251" s="6" t="s">
        <v>17</v>
      </c>
      <c r="F251" s="7">
        <v>29221</v>
      </c>
      <c r="G251" s="8">
        <f t="shared" si="3"/>
        <v>29221</v>
      </c>
      <c r="H251" s="6" t="s">
        <v>13</v>
      </c>
      <c r="I251" s="9">
        <f>MAX(original!I251,piwebapi_edit!I251,car_edit!I251)</f>
        <v>37769.122843197103</v>
      </c>
      <c r="J251" s="9">
        <f>MAX(original!J251,piwebapi_edit!J251,car_edit!J251)</f>
        <v>614.36314700892899</v>
      </c>
      <c r="K251" s="17"/>
    </row>
    <row r="252" spans="1:11" x14ac:dyDescent="0.25">
      <c r="A252" s="3" t="s">
        <v>522</v>
      </c>
      <c r="B252" s="4" t="s">
        <v>523</v>
      </c>
      <c r="C252" s="14">
        <v>52947</v>
      </c>
      <c r="D252" s="6" t="s">
        <v>34</v>
      </c>
      <c r="E252" s="6" t="s">
        <v>17</v>
      </c>
      <c r="F252" s="7">
        <v>39037</v>
      </c>
      <c r="G252" s="8">
        <f t="shared" si="3"/>
        <v>39037</v>
      </c>
      <c r="H252" s="6" t="s">
        <v>13</v>
      </c>
      <c r="I252" s="9">
        <f>MAX(original!I252,piwebapi_edit!I252,car_edit!I252)</f>
        <v>0</v>
      </c>
      <c r="J252" s="9">
        <f>MAX(original!J252,piwebapi_edit!J252,car_edit!J252)</f>
        <v>0</v>
      </c>
      <c r="K252" s="17"/>
    </row>
    <row r="253" spans="1:11" x14ac:dyDescent="0.25">
      <c r="A253" s="26" t="s">
        <v>524</v>
      </c>
      <c r="B253" s="27" t="s">
        <v>525</v>
      </c>
      <c r="C253" s="34">
        <v>1240</v>
      </c>
      <c r="D253" s="28" t="s">
        <v>34</v>
      </c>
      <c r="E253" s="28" t="s">
        <v>17</v>
      </c>
      <c r="F253" s="29">
        <v>29221</v>
      </c>
      <c r="G253" s="30">
        <f t="shared" si="3"/>
        <v>29221</v>
      </c>
      <c r="H253" s="28" t="s">
        <v>13</v>
      </c>
      <c r="I253" s="9">
        <f>MAX(original!I253,piwebapi_edit!I253,car_edit!I253)</f>
        <v>4727.04183356258</v>
      </c>
      <c r="J253" s="9">
        <f>MAX(original!J253,piwebapi_edit!J253,car_edit!J253)</f>
        <v>137.669478845491</v>
      </c>
      <c r="K253" s="33"/>
    </row>
    <row r="254" spans="1:11" x14ac:dyDescent="0.25">
      <c r="A254" s="3" t="s">
        <v>526</v>
      </c>
      <c r="B254" s="4" t="s">
        <v>527</v>
      </c>
      <c r="C254" s="5">
        <v>24337</v>
      </c>
      <c r="D254" s="6" t="s">
        <v>34</v>
      </c>
      <c r="E254" s="6" t="s">
        <v>17</v>
      </c>
      <c r="F254" s="7">
        <v>38608</v>
      </c>
      <c r="G254" s="8">
        <f t="shared" si="3"/>
        <v>38608</v>
      </c>
      <c r="H254" s="6" t="s">
        <v>13</v>
      </c>
      <c r="I254" s="9">
        <f>MAX(original!I254,piwebapi_edit!I254,car_edit!I254)</f>
        <v>35546.025604266099</v>
      </c>
      <c r="J254" s="9">
        <f>MAX(original!J254,piwebapi_edit!J254,car_edit!J254)</f>
        <v>425.20357082391303</v>
      </c>
      <c r="K254" s="17"/>
    </row>
    <row r="255" spans="1:11" x14ac:dyDescent="0.25">
      <c r="A255" s="3" t="s">
        <v>528</v>
      </c>
      <c r="B255" s="4" t="s">
        <v>529</v>
      </c>
      <c r="C255" s="5">
        <v>1805</v>
      </c>
      <c r="D255" s="6" t="s">
        <v>34</v>
      </c>
      <c r="E255" s="6" t="s">
        <v>17</v>
      </c>
      <c r="F255" s="7">
        <v>28369</v>
      </c>
      <c r="G255" s="8">
        <f t="shared" si="3"/>
        <v>28369</v>
      </c>
      <c r="H255" s="6" t="s">
        <v>13</v>
      </c>
      <c r="I255" s="9">
        <f>MAX(original!I255,piwebapi_edit!I255,car_edit!I255)</f>
        <v>40332.065631446705</v>
      </c>
      <c r="J255" s="9">
        <f>MAX(original!J255,piwebapi_edit!J255,car_edit!J255)</f>
        <v>361.34063326355101</v>
      </c>
      <c r="K255" s="17"/>
    </row>
    <row r="256" spans="1:11" x14ac:dyDescent="0.25">
      <c r="A256" s="3" t="s">
        <v>530</v>
      </c>
      <c r="B256" s="4" t="s">
        <v>531</v>
      </c>
      <c r="C256" s="5">
        <v>18566</v>
      </c>
      <c r="D256" s="6" t="s">
        <v>34</v>
      </c>
      <c r="E256" s="6" t="s">
        <v>17</v>
      </c>
      <c r="F256" s="7">
        <v>38197</v>
      </c>
      <c r="G256" s="8">
        <f t="shared" si="3"/>
        <v>38197</v>
      </c>
      <c r="H256" s="6" t="s">
        <v>13</v>
      </c>
      <c r="I256" s="9">
        <f>MAX(original!I256,piwebapi_edit!I256,car_edit!I256)</f>
        <v>31244.594491775799</v>
      </c>
      <c r="J256" s="9">
        <f>MAX(original!J256,piwebapi_edit!J256,car_edit!J256)</f>
        <v>610.39121188458796</v>
      </c>
      <c r="K256" s="17"/>
    </row>
    <row r="257" spans="1:11" x14ac:dyDescent="0.25">
      <c r="A257" s="3" t="s">
        <v>532</v>
      </c>
      <c r="B257" s="4" t="s">
        <v>533</v>
      </c>
      <c r="C257" s="14">
        <v>1359</v>
      </c>
      <c r="D257" s="6" t="s">
        <v>31</v>
      </c>
      <c r="E257" s="6" t="s">
        <v>17</v>
      </c>
      <c r="F257" s="7">
        <v>24108</v>
      </c>
      <c r="G257" s="8">
        <f t="shared" si="3"/>
        <v>24108</v>
      </c>
      <c r="H257" s="6" t="s">
        <v>13</v>
      </c>
      <c r="I257" s="9">
        <f>MAX(original!I257,piwebapi_edit!I257,car_edit!I257)</f>
        <v>0</v>
      </c>
      <c r="J257" s="9">
        <f>MAX(original!J257,piwebapi_edit!J257,car_edit!J257)</f>
        <v>0</v>
      </c>
      <c r="K257" s="17"/>
    </row>
    <row r="258" spans="1:11" x14ac:dyDescent="0.25">
      <c r="A258" s="3" t="s">
        <v>534</v>
      </c>
      <c r="B258" s="4" t="s">
        <v>535</v>
      </c>
      <c r="C258" s="5">
        <v>54507</v>
      </c>
      <c r="D258" s="6" t="s">
        <v>11</v>
      </c>
      <c r="E258" s="6" t="s">
        <v>12</v>
      </c>
      <c r="F258" s="7">
        <v>37494</v>
      </c>
      <c r="G258" s="8">
        <f t="shared" ref="G258:G321" si="4">F258</f>
        <v>37494</v>
      </c>
      <c r="H258" s="6" t="s">
        <v>39</v>
      </c>
      <c r="I258" s="9">
        <f>MAX(original!I258,piwebapi_edit!I258,car_edit!I258)</f>
        <v>31653.051480158301</v>
      </c>
      <c r="J258" s="9">
        <f>MAX(original!J258,piwebapi_edit!J258,car_edit!J258)</f>
        <v>184.945812474467</v>
      </c>
      <c r="K258" s="17"/>
    </row>
    <row r="259" spans="1:11" x14ac:dyDescent="0.25">
      <c r="A259" s="3" t="s">
        <v>536</v>
      </c>
      <c r="B259" s="4" t="s">
        <v>537</v>
      </c>
      <c r="C259" s="14">
        <v>1537</v>
      </c>
      <c r="D259" s="6" t="s">
        <v>34</v>
      </c>
      <c r="E259" s="6" t="s">
        <v>17</v>
      </c>
      <c r="F259" s="7">
        <v>29221</v>
      </c>
      <c r="G259" s="8">
        <f t="shared" si="4"/>
        <v>29221</v>
      </c>
      <c r="H259" s="6" t="s">
        <v>13</v>
      </c>
      <c r="I259" s="9">
        <f>MAX(original!I259,piwebapi_edit!I259,car_edit!I259)</f>
        <v>126157.665515031</v>
      </c>
      <c r="J259" s="9">
        <f>MAX(original!J259,piwebapi_edit!J259,car_edit!J259)</f>
        <v>1142.59398404747</v>
      </c>
      <c r="K259" s="17"/>
    </row>
    <row r="260" spans="1:11" x14ac:dyDescent="0.25">
      <c r="A260" s="3" t="s">
        <v>538</v>
      </c>
      <c r="B260" s="4" t="s">
        <v>539</v>
      </c>
      <c r="C260" s="5">
        <v>1469</v>
      </c>
      <c r="D260" s="6" t="s">
        <v>31</v>
      </c>
      <c r="E260" s="6" t="s">
        <v>17</v>
      </c>
      <c r="F260" s="7">
        <v>36721</v>
      </c>
      <c r="G260" s="8">
        <f t="shared" si="4"/>
        <v>36721</v>
      </c>
      <c r="H260" s="6" t="s">
        <v>13</v>
      </c>
      <c r="I260" s="9">
        <f>MAX(original!I260,piwebapi_edit!I260,car_edit!I260)</f>
        <v>44109.260767448301</v>
      </c>
      <c r="J260" s="9">
        <f>MAX(original!J260,piwebapi_edit!J260,car_edit!J260)</f>
        <v>333.91922955625301</v>
      </c>
      <c r="K260" s="17"/>
    </row>
    <row r="261" spans="1:11" x14ac:dyDescent="0.25">
      <c r="A261" s="3" t="s">
        <v>540</v>
      </c>
      <c r="B261" s="4" t="s">
        <v>541</v>
      </c>
      <c r="C261" s="5">
        <v>21762</v>
      </c>
      <c r="D261" s="6" t="s">
        <v>31</v>
      </c>
      <c r="E261" s="6" t="s">
        <v>17</v>
      </c>
      <c r="F261" s="7">
        <v>36003</v>
      </c>
      <c r="G261" s="8">
        <f t="shared" si="4"/>
        <v>36003</v>
      </c>
      <c r="H261" s="6" t="s">
        <v>13</v>
      </c>
      <c r="I261" s="9">
        <f>MAX(original!I261,piwebapi_edit!I261,car_edit!I261)</f>
        <v>4045.5038836785002</v>
      </c>
      <c r="J261" s="9">
        <f>MAX(original!J261,piwebapi_edit!J261,car_edit!J261)</f>
        <v>149.896185952899</v>
      </c>
      <c r="K261" s="17"/>
    </row>
    <row r="262" spans="1:11" x14ac:dyDescent="0.25">
      <c r="A262" s="3" t="s">
        <v>542</v>
      </c>
      <c r="B262" s="4" t="s">
        <v>543</v>
      </c>
      <c r="C262" s="14">
        <v>1952</v>
      </c>
      <c r="D262" s="6" t="s">
        <v>28</v>
      </c>
      <c r="E262" s="6" t="s">
        <v>17</v>
      </c>
      <c r="F262" s="7">
        <v>37020</v>
      </c>
      <c r="G262" s="8">
        <f t="shared" si="4"/>
        <v>37020</v>
      </c>
      <c r="H262" s="6" t="s">
        <v>13</v>
      </c>
      <c r="I262" s="9">
        <f>MAX(original!I262,piwebapi_edit!I262,car_edit!I262)</f>
        <v>17445.353893173</v>
      </c>
      <c r="J262" s="9">
        <f>MAX(original!J262,piwebapi_edit!J262,car_edit!J262)</f>
        <v>109.576449399512</v>
      </c>
      <c r="K262" s="17"/>
    </row>
    <row r="263" spans="1:11" x14ac:dyDescent="0.25">
      <c r="A263" s="3" t="s">
        <v>544</v>
      </c>
      <c r="B263" s="4" t="s">
        <v>545</v>
      </c>
      <c r="C263" s="14">
        <v>30338</v>
      </c>
      <c r="D263" s="6" t="s">
        <v>34</v>
      </c>
      <c r="E263" s="6" t="s">
        <v>17</v>
      </c>
      <c r="F263" s="7">
        <v>37236</v>
      </c>
      <c r="G263" s="8">
        <f t="shared" si="4"/>
        <v>37236</v>
      </c>
      <c r="H263" s="6" t="s">
        <v>13</v>
      </c>
      <c r="I263" s="9">
        <f>MAX(original!I263,piwebapi_edit!I263,car_edit!I263)</f>
        <v>182131.1</v>
      </c>
      <c r="J263" s="9">
        <f>MAX(original!J263,piwebapi_edit!J263,car_edit!J263)</f>
        <v>1190</v>
      </c>
      <c r="K263" s="17"/>
    </row>
    <row r="264" spans="1:11" x14ac:dyDescent="0.25">
      <c r="A264" s="3" t="s">
        <v>546</v>
      </c>
      <c r="B264" s="4" t="s">
        <v>547</v>
      </c>
      <c r="C264" s="5">
        <v>1446</v>
      </c>
      <c r="D264" s="6" t="s">
        <v>16</v>
      </c>
      <c r="E264" s="6" t="s">
        <v>17</v>
      </c>
      <c r="F264" s="7">
        <v>29952</v>
      </c>
      <c r="G264" s="8">
        <f t="shared" si="4"/>
        <v>29952</v>
      </c>
      <c r="H264" s="6" t="s">
        <v>13</v>
      </c>
      <c r="I264" s="9">
        <f>MAX(original!I264,piwebapi_edit!I264,car_edit!I264)</f>
        <v>50929.9159446048</v>
      </c>
      <c r="J264" s="9">
        <f>MAX(original!J264,piwebapi_edit!J264,car_edit!J264)</f>
        <v>264.24795135502598</v>
      </c>
      <c r="K264" s="17"/>
    </row>
    <row r="265" spans="1:11" x14ac:dyDescent="0.25">
      <c r="A265" s="3" t="s">
        <v>548</v>
      </c>
      <c r="B265" s="4" t="s">
        <v>549</v>
      </c>
      <c r="C265" s="5">
        <v>46481</v>
      </c>
      <c r="D265" s="6" t="s">
        <v>16</v>
      </c>
      <c r="E265" s="6" t="s">
        <v>17</v>
      </c>
      <c r="F265" s="7">
        <v>39399</v>
      </c>
      <c r="G265" s="8">
        <f t="shared" si="4"/>
        <v>39399</v>
      </c>
      <c r="H265" s="6" t="s">
        <v>13</v>
      </c>
      <c r="I265" s="9">
        <f>MAX(original!I265,piwebapi_edit!I265,car_edit!I265)</f>
        <v>5889.9308950702998</v>
      </c>
      <c r="J265" s="9">
        <f>MAX(original!J265,piwebapi_edit!J265,car_edit!J265)</f>
        <v>180.02423714371599</v>
      </c>
      <c r="K265" s="17"/>
    </row>
    <row r="266" spans="1:11" x14ac:dyDescent="0.25">
      <c r="A266" s="3" t="s">
        <v>550</v>
      </c>
      <c r="B266" s="4" t="s">
        <v>551</v>
      </c>
      <c r="C266" s="5">
        <v>8335</v>
      </c>
      <c r="D266" s="6" t="s">
        <v>28</v>
      </c>
      <c r="E266" s="6" t="s">
        <v>17</v>
      </c>
      <c r="F266" s="7">
        <v>32462</v>
      </c>
      <c r="G266" s="8">
        <f t="shared" si="4"/>
        <v>32462</v>
      </c>
      <c r="H266" s="6" t="s">
        <v>13</v>
      </c>
      <c r="I266" s="9">
        <f>MAX(original!I266,piwebapi_edit!I266,car_edit!I266)</f>
        <v>10227.165600131899</v>
      </c>
      <c r="J266" s="9">
        <f>MAX(original!J266,piwebapi_edit!J266,car_edit!J266)</f>
        <v>288.13081170498702</v>
      </c>
      <c r="K266" s="17"/>
    </row>
    <row r="267" spans="1:11" x14ac:dyDescent="0.25">
      <c r="A267" s="3" t="s">
        <v>552</v>
      </c>
      <c r="B267" s="4" t="s">
        <v>553</v>
      </c>
      <c r="C267" s="14">
        <v>8334</v>
      </c>
      <c r="D267" s="6" t="s">
        <v>28</v>
      </c>
      <c r="E267" s="6" t="s">
        <v>17</v>
      </c>
      <c r="F267" s="7">
        <v>31118</v>
      </c>
      <c r="G267" s="8">
        <f t="shared" si="4"/>
        <v>31118</v>
      </c>
      <c r="H267" s="6" t="s">
        <v>13</v>
      </c>
      <c r="I267" s="9">
        <f>MAX(original!I267,piwebapi_edit!I267,car_edit!I267)</f>
        <v>32344.897809483398</v>
      </c>
      <c r="J267" s="9">
        <f>MAX(original!J267,piwebapi_edit!J267,car_edit!J267)</f>
        <v>91.291491835968799</v>
      </c>
      <c r="K267" s="17"/>
    </row>
    <row r="268" spans="1:11" x14ac:dyDescent="0.25">
      <c r="A268" s="3" t="s">
        <v>554</v>
      </c>
      <c r="B268" s="4" t="s">
        <v>555</v>
      </c>
      <c r="C268" s="14">
        <v>8328</v>
      </c>
      <c r="D268" s="6" t="s">
        <v>28</v>
      </c>
      <c r="E268" s="6" t="s">
        <v>17</v>
      </c>
      <c r="F268" s="7">
        <v>32682</v>
      </c>
      <c r="G268" s="8">
        <f t="shared" si="4"/>
        <v>32682</v>
      </c>
      <c r="H268" s="6" t="s">
        <v>13</v>
      </c>
      <c r="I268" s="9">
        <f>MAX(original!I268,piwebapi_edit!I268,car_edit!I268)</f>
        <v>128398.22463396299</v>
      </c>
      <c r="J268" s="9">
        <f>MAX(original!J268,piwebapi_edit!J268,car_edit!J268)</f>
        <v>332.35355052814498</v>
      </c>
      <c r="K268" s="17"/>
    </row>
    <row r="269" spans="1:11" x14ac:dyDescent="0.25">
      <c r="A269" s="3" t="s">
        <v>556</v>
      </c>
      <c r="B269" s="4" t="s">
        <v>557</v>
      </c>
      <c r="C269" s="5">
        <v>52917</v>
      </c>
      <c r="D269" s="6" t="s">
        <v>28</v>
      </c>
      <c r="E269" s="6" t="s">
        <v>17</v>
      </c>
      <c r="F269" s="7">
        <v>38718</v>
      </c>
      <c r="G269" s="8">
        <f t="shared" si="4"/>
        <v>38718</v>
      </c>
      <c r="H269" s="6" t="s">
        <v>13</v>
      </c>
      <c r="I269" s="9">
        <f>MAX(original!I269,piwebapi_edit!I269,car_edit!I269)</f>
        <v>9977.8588523494</v>
      </c>
      <c r="J269" s="9">
        <f>MAX(original!J269,piwebapi_edit!J269,car_edit!J269)</f>
        <v>140.24515552149299</v>
      </c>
      <c r="K269" s="17"/>
    </row>
    <row r="270" spans="1:11" x14ac:dyDescent="0.25">
      <c r="A270" s="3" t="s">
        <v>558</v>
      </c>
      <c r="B270" s="4" t="s">
        <v>559</v>
      </c>
      <c r="C270" s="14">
        <v>1263</v>
      </c>
      <c r="D270" s="6" t="s">
        <v>28</v>
      </c>
      <c r="E270" s="6" t="s">
        <v>17</v>
      </c>
      <c r="F270" s="7">
        <v>36831</v>
      </c>
      <c r="G270" s="8">
        <f t="shared" si="4"/>
        <v>36831</v>
      </c>
      <c r="H270" s="6" t="s">
        <v>13</v>
      </c>
      <c r="I270" s="9">
        <f>MAX(original!I270,piwebapi_edit!I270,car_edit!I270)</f>
        <v>55015.442009719998</v>
      </c>
      <c r="J270" s="9">
        <f>MAX(original!J270,piwebapi_edit!J270,car_edit!J270)</f>
        <v>329.22327118666601</v>
      </c>
      <c r="K270" s="17"/>
    </row>
    <row r="271" spans="1:11" ht="30" x14ac:dyDescent="0.25">
      <c r="A271" s="18" t="s">
        <v>560</v>
      </c>
      <c r="B271" s="19" t="s">
        <v>561</v>
      </c>
      <c r="C271" s="20">
        <v>8331</v>
      </c>
      <c r="D271" s="21" t="s">
        <v>28</v>
      </c>
      <c r="E271" s="21" t="s">
        <v>17</v>
      </c>
      <c r="F271" s="22">
        <v>32752</v>
      </c>
      <c r="G271" s="23">
        <f t="shared" si="4"/>
        <v>32752</v>
      </c>
      <c r="H271" s="21" t="s">
        <v>13</v>
      </c>
      <c r="I271" s="9">
        <f>MAX(original!I271,piwebapi_edit!I271,car_edit!I271)</f>
        <v>13144.546623197301</v>
      </c>
      <c r="J271" s="9">
        <f>MAX(original!J271,piwebapi_edit!J271,car_edit!J271)</f>
        <v>133.84112124895299</v>
      </c>
      <c r="K271" s="25"/>
    </row>
    <row r="272" spans="1:11" x14ac:dyDescent="0.25">
      <c r="A272" s="18" t="s">
        <v>562</v>
      </c>
      <c r="B272" s="19" t="s">
        <v>563</v>
      </c>
      <c r="C272" s="5">
        <v>8332</v>
      </c>
      <c r="D272" s="21" t="s">
        <v>28</v>
      </c>
      <c r="E272" s="21" t="s">
        <v>17</v>
      </c>
      <c r="F272" s="22">
        <v>32752</v>
      </c>
      <c r="G272" s="23">
        <f t="shared" si="4"/>
        <v>32752</v>
      </c>
      <c r="H272" s="21" t="s">
        <v>13</v>
      </c>
      <c r="I272" s="9">
        <f>MAX(original!I272,piwebapi_edit!I272,car_edit!I272)</f>
        <v>30665.130769969801</v>
      </c>
      <c r="J272" s="9">
        <f>MAX(original!J272,piwebapi_edit!J272,car_edit!J272)</f>
        <v>175.384131412389</v>
      </c>
      <c r="K272" s="17"/>
    </row>
    <row r="273" spans="1:11" x14ac:dyDescent="0.25">
      <c r="A273" s="3" t="s">
        <v>564</v>
      </c>
      <c r="B273" s="4" t="s">
        <v>565</v>
      </c>
      <c r="C273" s="5">
        <v>1378</v>
      </c>
      <c r="D273" s="6" t="s">
        <v>28</v>
      </c>
      <c r="E273" s="6" t="s">
        <v>17</v>
      </c>
      <c r="F273" s="7">
        <v>31778</v>
      </c>
      <c r="G273" s="8">
        <f t="shared" si="4"/>
        <v>31778</v>
      </c>
      <c r="H273" s="6" t="s">
        <v>13</v>
      </c>
      <c r="I273" s="9">
        <f>MAX(original!I273,piwebapi_edit!I273,car_edit!I273)</f>
        <v>41281.2693667001</v>
      </c>
      <c r="J273" s="9">
        <f>MAX(original!J273,piwebapi_edit!J273,car_edit!J273)</f>
        <v>155.41393368074301</v>
      </c>
      <c r="K273" s="17"/>
    </row>
    <row r="274" spans="1:11" x14ac:dyDescent="0.25">
      <c r="A274" s="3" t="s">
        <v>566</v>
      </c>
      <c r="B274" s="4" t="s">
        <v>567</v>
      </c>
      <c r="C274" s="5">
        <v>1856</v>
      </c>
      <c r="D274" s="6" t="s">
        <v>16</v>
      </c>
      <c r="E274" s="6" t="s">
        <v>17</v>
      </c>
      <c r="F274" s="7">
        <v>32874</v>
      </c>
      <c r="G274" s="8">
        <f t="shared" si="4"/>
        <v>32874</v>
      </c>
      <c r="H274" s="6" t="s">
        <v>13</v>
      </c>
      <c r="I274" s="9">
        <f>MAX(original!I274,piwebapi_edit!I274,car_edit!I274)</f>
        <v>11725.850216585499</v>
      </c>
      <c r="J274" s="9">
        <f>MAX(original!J274,piwebapi_edit!J274,car_edit!J274)</f>
        <v>581.63145555478502</v>
      </c>
      <c r="K274" s="17"/>
    </row>
    <row r="275" spans="1:11" x14ac:dyDescent="0.25">
      <c r="A275" s="3" t="s">
        <v>568</v>
      </c>
      <c r="B275" s="4" t="s">
        <v>569</v>
      </c>
      <c r="C275" s="5">
        <v>28913</v>
      </c>
      <c r="D275" s="6" t="s">
        <v>37</v>
      </c>
      <c r="E275" s="6" t="s">
        <v>38</v>
      </c>
      <c r="F275" s="7">
        <v>38489</v>
      </c>
      <c r="G275" s="8">
        <f t="shared" si="4"/>
        <v>38489</v>
      </c>
      <c r="H275" s="6" t="s">
        <v>39</v>
      </c>
      <c r="I275" s="9">
        <f>MAX(original!I275,piwebapi_edit!I275,car_edit!I275)</f>
        <v>36460.978209517496</v>
      </c>
      <c r="J275" s="9">
        <f>MAX(original!J275,piwebapi_edit!J275,car_edit!J275)</f>
        <v>312.572300355023</v>
      </c>
      <c r="K275" s="17"/>
    </row>
    <row r="276" spans="1:11" x14ac:dyDescent="0.25">
      <c r="A276" s="3" t="s">
        <v>570</v>
      </c>
      <c r="B276" s="4" t="s">
        <v>571</v>
      </c>
      <c r="C276" s="5">
        <v>1836</v>
      </c>
      <c r="D276" s="6" t="s">
        <v>31</v>
      </c>
      <c r="E276" s="6" t="s">
        <v>17</v>
      </c>
      <c r="F276" s="7">
        <v>29221</v>
      </c>
      <c r="G276" s="8">
        <f t="shared" si="4"/>
        <v>29221</v>
      </c>
      <c r="H276" s="6" t="s">
        <v>13</v>
      </c>
      <c r="I276" s="9">
        <f>MAX(original!I276,piwebapi_edit!I276,car_edit!I276)</f>
        <v>3503.5015872893</v>
      </c>
      <c r="J276" s="9">
        <f>MAX(original!J276,piwebapi_edit!J276,car_edit!J276)</f>
        <v>51.614834530994301</v>
      </c>
      <c r="K276" s="17"/>
    </row>
    <row r="277" spans="1:11" x14ac:dyDescent="0.25">
      <c r="A277" s="3" t="s">
        <v>572</v>
      </c>
      <c r="B277" s="4" t="s">
        <v>573</v>
      </c>
      <c r="C277" s="14">
        <v>15692</v>
      </c>
      <c r="D277" s="6" t="s">
        <v>16</v>
      </c>
      <c r="E277" s="6" t="s">
        <v>17</v>
      </c>
      <c r="F277" s="7">
        <v>27364</v>
      </c>
      <c r="G277" s="8">
        <f t="shared" si="4"/>
        <v>27364</v>
      </c>
      <c r="H277" s="6" t="s">
        <v>13</v>
      </c>
      <c r="I277" s="9">
        <f>MAX(original!I277,piwebapi_edit!I277,car_edit!I277)</f>
        <v>103577.637910462</v>
      </c>
      <c r="J277" s="9">
        <f>MAX(original!J277,piwebapi_edit!J277,car_edit!J277)</f>
        <v>323.131001175824</v>
      </c>
      <c r="K277" s="17"/>
    </row>
    <row r="278" spans="1:11" x14ac:dyDescent="0.25">
      <c r="A278" s="3" t="s">
        <v>574</v>
      </c>
      <c r="B278" s="4" t="s">
        <v>575</v>
      </c>
      <c r="C278" s="5">
        <v>1748</v>
      </c>
      <c r="D278" s="6" t="s">
        <v>34</v>
      </c>
      <c r="E278" s="6" t="s">
        <v>17</v>
      </c>
      <c r="F278" s="7">
        <v>29221</v>
      </c>
      <c r="G278" s="8">
        <f t="shared" si="4"/>
        <v>29221</v>
      </c>
      <c r="H278" s="6" t="s">
        <v>13</v>
      </c>
      <c r="I278" s="9">
        <f>MAX(original!I278,piwebapi_edit!I278,car_edit!I278)</f>
        <v>44125.3186688149</v>
      </c>
      <c r="J278" s="9">
        <f>MAX(original!J278,piwebapi_edit!J278,car_edit!J278)</f>
        <v>136.64777960491401</v>
      </c>
      <c r="K278" s="17"/>
    </row>
    <row r="279" spans="1:11" x14ac:dyDescent="0.25">
      <c r="A279" s="3" t="s">
        <v>576</v>
      </c>
      <c r="B279" s="4" t="s">
        <v>577</v>
      </c>
      <c r="C279" s="5">
        <v>1658</v>
      </c>
      <c r="D279" s="6" t="s">
        <v>28</v>
      </c>
      <c r="E279" s="6" t="s">
        <v>17</v>
      </c>
      <c r="F279" s="7">
        <v>18264</v>
      </c>
      <c r="G279" s="8">
        <f t="shared" si="4"/>
        <v>18264</v>
      </c>
      <c r="H279" s="6" t="s">
        <v>13</v>
      </c>
      <c r="I279" s="9">
        <f>MAX(original!I279,piwebapi_edit!I279,car_edit!I279)</f>
        <v>45380.329571281203</v>
      </c>
      <c r="J279" s="9">
        <f>MAX(original!J279,piwebapi_edit!J279,car_edit!J279)</f>
        <v>635.150729394878</v>
      </c>
      <c r="K279" s="17"/>
    </row>
    <row r="280" spans="1:11" x14ac:dyDescent="0.25">
      <c r="A280" s="3" t="s">
        <v>578</v>
      </c>
      <c r="B280" s="4" t="s">
        <v>579</v>
      </c>
      <c r="C280" s="14">
        <v>1067</v>
      </c>
      <c r="D280" s="6" t="s">
        <v>11</v>
      </c>
      <c r="E280" s="6" t="s">
        <v>17</v>
      </c>
      <c r="F280" s="7">
        <v>31048</v>
      </c>
      <c r="G280" s="8">
        <f t="shared" si="4"/>
        <v>31048</v>
      </c>
      <c r="H280" s="6" t="s">
        <v>13</v>
      </c>
      <c r="I280" s="9">
        <f>MAX(original!I280,piwebapi_edit!I280,car_edit!I280)</f>
        <v>446486.88</v>
      </c>
      <c r="J280" s="9">
        <f>MAX(original!J280,piwebapi_edit!J280,car_edit!J280)</f>
        <v>1890</v>
      </c>
      <c r="K280" s="17"/>
    </row>
    <row r="281" spans="1:11" ht="30" x14ac:dyDescent="0.25">
      <c r="A281" s="18" t="s">
        <v>580</v>
      </c>
      <c r="B281" s="19" t="s">
        <v>581</v>
      </c>
      <c r="C281" s="20">
        <v>1274</v>
      </c>
      <c r="D281" s="21" t="s">
        <v>31</v>
      </c>
      <c r="E281" s="21" t="s">
        <v>17</v>
      </c>
      <c r="F281" s="22">
        <v>29221</v>
      </c>
      <c r="G281" s="23">
        <f t="shared" si="4"/>
        <v>29221</v>
      </c>
      <c r="H281" s="21" t="s">
        <v>13</v>
      </c>
      <c r="I281" s="9">
        <f>MAX(original!I281,piwebapi_edit!I281,car_edit!I281)</f>
        <v>116078.15333324599</v>
      </c>
      <c r="J281" s="9">
        <f>MAX(original!J281,piwebapi_edit!J281,car_edit!J281)</f>
        <v>548.67552888613102</v>
      </c>
      <c r="K281" s="25"/>
    </row>
    <row r="282" spans="1:11" x14ac:dyDescent="0.25">
      <c r="A282" s="3" t="s">
        <v>582</v>
      </c>
      <c r="B282" s="4" t="s">
        <v>583</v>
      </c>
      <c r="C282" s="5">
        <v>1085</v>
      </c>
      <c r="D282" s="6" t="s">
        <v>31</v>
      </c>
      <c r="E282" s="6" t="s">
        <v>17</v>
      </c>
      <c r="F282" s="7">
        <v>25569</v>
      </c>
      <c r="G282" s="8">
        <f t="shared" si="4"/>
        <v>25569</v>
      </c>
      <c r="H282" s="6" t="s">
        <v>13</v>
      </c>
      <c r="I282" s="9">
        <f>MAX(original!I282,piwebapi_edit!I282,car_edit!I282)</f>
        <v>27355.210454220502</v>
      </c>
      <c r="J282" s="9">
        <f>MAX(original!J282,piwebapi_edit!J282,car_edit!J282)</f>
        <v>137.864779306515</v>
      </c>
      <c r="K282" s="17"/>
    </row>
    <row r="283" spans="1:11" x14ac:dyDescent="0.25">
      <c r="A283" s="3" t="s">
        <v>584</v>
      </c>
      <c r="B283" s="4" t="s">
        <v>585</v>
      </c>
      <c r="C283" s="5">
        <v>2000</v>
      </c>
      <c r="D283" s="6" t="s">
        <v>31</v>
      </c>
      <c r="E283" s="6" t="s">
        <v>17</v>
      </c>
      <c r="F283" s="7">
        <v>29221</v>
      </c>
      <c r="G283" s="8">
        <f t="shared" si="4"/>
        <v>29221</v>
      </c>
      <c r="H283" s="6" t="s">
        <v>13</v>
      </c>
      <c r="I283" s="9">
        <f>MAX(original!I283,piwebapi_edit!I283,car_edit!I283)</f>
        <v>37560.200315056594</v>
      </c>
      <c r="J283" s="9">
        <f>MAX(original!J283,piwebapi_edit!J283,car_edit!J283)</f>
        <v>225.03462884885201</v>
      </c>
      <c r="K283" s="17"/>
    </row>
    <row r="284" spans="1:11" x14ac:dyDescent="0.25">
      <c r="A284" s="3" t="s">
        <v>586</v>
      </c>
      <c r="B284" s="4" t="s">
        <v>587</v>
      </c>
      <c r="C284" s="5">
        <v>27906</v>
      </c>
      <c r="D284" s="6" t="s">
        <v>11</v>
      </c>
      <c r="E284" s="6" t="s">
        <v>17</v>
      </c>
      <c r="F284" s="7">
        <v>35908</v>
      </c>
      <c r="G284" s="8">
        <f t="shared" si="4"/>
        <v>35908</v>
      </c>
      <c r="H284" s="6" t="s">
        <v>39</v>
      </c>
      <c r="I284" s="9">
        <f>MAX(original!I284,piwebapi_edit!I284,car_edit!I284)</f>
        <v>59038.305159855001</v>
      </c>
      <c r="J284" s="9">
        <f>MAX(original!J284,piwebapi_edit!J284,car_edit!J284)</f>
        <v>580.87066711909597</v>
      </c>
      <c r="K284" s="17"/>
    </row>
    <row r="285" spans="1:11" x14ac:dyDescent="0.25">
      <c r="A285" s="3" t="s">
        <v>588</v>
      </c>
      <c r="B285" s="4" t="s">
        <v>589</v>
      </c>
      <c r="C285" s="5">
        <v>54510</v>
      </c>
      <c r="D285" s="6" t="s">
        <v>11</v>
      </c>
      <c r="E285" s="6" t="s">
        <v>12</v>
      </c>
      <c r="F285" s="7">
        <v>41801</v>
      </c>
      <c r="G285" s="8">
        <f t="shared" si="4"/>
        <v>41801</v>
      </c>
      <c r="H285" s="6" t="s">
        <v>13</v>
      </c>
      <c r="I285" s="9">
        <f>MAX(original!I285,piwebapi_edit!I285,car_edit!I285)</f>
        <v>4449.2281947396996</v>
      </c>
      <c r="J285" s="9">
        <f>MAX(original!J285,piwebapi_edit!J285,car_edit!J285)</f>
        <v>335.34533841224402</v>
      </c>
      <c r="K285" s="40"/>
    </row>
    <row r="286" spans="1:11" x14ac:dyDescent="0.25">
      <c r="A286" s="3" t="s">
        <v>590</v>
      </c>
      <c r="B286" s="4" t="s">
        <v>591</v>
      </c>
      <c r="C286" s="14">
        <v>9606</v>
      </c>
      <c r="D286" s="6" t="s">
        <v>11</v>
      </c>
      <c r="E286" s="6" t="s">
        <v>12</v>
      </c>
      <c r="F286" s="7">
        <v>32660</v>
      </c>
      <c r="G286" s="8">
        <f t="shared" si="4"/>
        <v>32660</v>
      </c>
      <c r="H286" s="6" t="s">
        <v>13</v>
      </c>
      <c r="I286" s="9">
        <f>MAX(original!I286,piwebapi_edit!I286,car_edit!I286)</f>
        <v>73333.703928982606</v>
      </c>
      <c r="J286" s="9">
        <f>MAX(original!J286,piwebapi_edit!J286,car_edit!J286)</f>
        <v>310.07576445533499</v>
      </c>
      <c r="K286" s="17"/>
    </row>
    <row r="287" spans="1:11" x14ac:dyDescent="0.25">
      <c r="A287" s="3" t="s">
        <v>592</v>
      </c>
      <c r="B287" s="4" t="s">
        <v>593</v>
      </c>
      <c r="C287" s="5">
        <v>1308</v>
      </c>
      <c r="D287" s="6" t="s">
        <v>16</v>
      </c>
      <c r="E287" s="6" t="s">
        <v>17</v>
      </c>
      <c r="F287" s="7">
        <v>28765</v>
      </c>
      <c r="G287" s="8">
        <f t="shared" si="4"/>
        <v>28765</v>
      </c>
      <c r="H287" s="6" t="s">
        <v>13</v>
      </c>
      <c r="I287" s="9">
        <f>MAX(original!I287,piwebapi_edit!I287,car_edit!I287)</f>
        <v>25792.489577863598</v>
      </c>
      <c r="J287" s="9">
        <f>MAX(original!J287,piwebapi_edit!J287,car_edit!J287)</f>
        <v>190.940290774023</v>
      </c>
      <c r="K287" s="17"/>
    </row>
    <row r="288" spans="1:11" x14ac:dyDescent="0.25">
      <c r="A288" s="3" t="s">
        <v>594</v>
      </c>
      <c r="B288" s="4" t="s">
        <v>595</v>
      </c>
      <c r="C288" s="5">
        <v>22402</v>
      </c>
      <c r="D288" s="6" t="s">
        <v>11</v>
      </c>
      <c r="E288" s="6" t="s">
        <v>17</v>
      </c>
      <c r="F288" s="7">
        <v>33463</v>
      </c>
      <c r="G288" s="8">
        <f t="shared" si="4"/>
        <v>33463</v>
      </c>
      <c r="H288" s="6" t="s">
        <v>13</v>
      </c>
      <c r="I288" s="9">
        <f>MAX(original!I288,piwebapi_edit!I288,car_edit!I288)</f>
        <v>13910.6996126269</v>
      </c>
      <c r="J288" s="9">
        <f>MAX(original!J288,piwebapi_edit!J288,car_edit!J288)</f>
        <v>139.228909916817</v>
      </c>
      <c r="K288" s="17"/>
    </row>
    <row r="289" spans="1:11" x14ac:dyDescent="0.25">
      <c r="A289" s="3" t="s">
        <v>596</v>
      </c>
      <c r="B289" s="4" t="s">
        <v>597</v>
      </c>
      <c r="C289" s="14">
        <v>40065</v>
      </c>
      <c r="D289" s="6" t="s">
        <v>34</v>
      </c>
      <c r="E289" s="6" t="s">
        <v>17</v>
      </c>
      <c r="F289" s="7">
        <v>38883</v>
      </c>
      <c r="G289" s="8">
        <f t="shared" si="4"/>
        <v>38883</v>
      </c>
      <c r="H289" s="6" t="s">
        <v>13</v>
      </c>
      <c r="I289" s="9">
        <f>MAX(original!I289,piwebapi_edit!I289,car_edit!I289)</f>
        <v>45366.565703560096</v>
      </c>
      <c r="J289" s="9">
        <f>MAX(original!J289,piwebapi_edit!J289,car_edit!J289)</f>
        <v>431.18223759231398</v>
      </c>
      <c r="K289" s="17"/>
    </row>
    <row r="290" spans="1:11" ht="30" x14ac:dyDescent="0.25">
      <c r="A290" s="18" t="s">
        <v>598</v>
      </c>
      <c r="B290" s="19" t="s">
        <v>599</v>
      </c>
      <c r="C290" s="20">
        <v>20161</v>
      </c>
      <c r="D290" s="21" t="s">
        <v>16</v>
      </c>
      <c r="E290" s="21" t="s">
        <v>17</v>
      </c>
      <c r="F290" s="22">
        <v>32064</v>
      </c>
      <c r="G290" s="23">
        <f t="shared" si="4"/>
        <v>32064</v>
      </c>
      <c r="H290" s="21" t="s">
        <v>13</v>
      </c>
      <c r="I290" s="9">
        <f>MAX(original!I290,piwebapi_edit!I290,car_edit!I290)</f>
        <v>42425.800956643099</v>
      </c>
      <c r="J290" s="9">
        <f>MAX(original!J290,piwebapi_edit!J290,car_edit!J290)</f>
        <v>171.60845605222099</v>
      </c>
      <c r="K290" s="25"/>
    </row>
    <row r="291" spans="1:11" x14ac:dyDescent="0.25">
      <c r="A291" s="3" t="s">
        <v>600</v>
      </c>
      <c r="B291" s="4" t="s">
        <v>601</v>
      </c>
      <c r="C291" s="5">
        <v>39763</v>
      </c>
      <c r="D291" s="6" t="s">
        <v>31</v>
      </c>
      <c r="E291" s="6" t="s">
        <v>17</v>
      </c>
      <c r="F291" s="7">
        <v>26427</v>
      </c>
      <c r="G291" s="8">
        <f t="shared" si="4"/>
        <v>26427</v>
      </c>
      <c r="H291" s="6" t="s">
        <v>13</v>
      </c>
      <c r="I291" s="9">
        <f>MAX(original!I291,piwebapi_edit!I291,car_edit!I291)</f>
        <v>777.87306979517098</v>
      </c>
      <c r="J291" s="9">
        <f>MAX(original!J291,piwebapi_edit!J291,car_edit!J291)</f>
        <v>234.53004435671701</v>
      </c>
      <c r="K291" s="17"/>
    </row>
    <row r="292" spans="1:11" x14ac:dyDescent="0.25">
      <c r="A292" s="3" t="s">
        <v>602</v>
      </c>
      <c r="B292" s="4" t="s">
        <v>603</v>
      </c>
      <c r="C292" s="5">
        <v>1097</v>
      </c>
      <c r="D292" s="6" t="s">
        <v>34</v>
      </c>
      <c r="E292" s="6" t="s">
        <v>17</v>
      </c>
      <c r="F292" s="7">
        <v>37617</v>
      </c>
      <c r="G292" s="8">
        <f t="shared" si="4"/>
        <v>37617</v>
      </c>
      <c r="H292" s="6" t="s">
        <v>13</v>
      </c>
      <c r="I292" s="9">
        <f>MAX(original!I292,piwebapi_edit!I292,car_edit!I292)</f>
        <v>24375.569101521301</v>
      </c>
      <c r="J292" s="9">
        <f>MAX(original!J292,piwebapi_edit!J292,car_edit!J292)</f>
        <v>293.22736666711501</v>
      </c>
      <c r="K292" s="17"/>
    </row>
    <row r="293" spans="1:11" x14ac:dyDescent="0.25">
      <c r="A293" s="3" t="s">
        <v>604</v>
      </c>
      <c r="B293" s="4" t="s">
        <v>605</v>
      </c>
      <c r="C293" s="5">
        <v>36801</v>
      </c>
      <c r="D293" s="6" t="s">
        <v>28</v>
      </c>
      <c r="E293" s="6" t="s">
        <v>17</v>
      </c>
      <c r="F293" s="7">
        <v>31923</v>
      </c>
      <c r="G293" s="8">
        <f t="shared" si="4"/>
        <v>31923</v>
      </c>
      <c r="H293" s="6" t="s">
        <v>13</v>
      </c>
      <c r="I293" s="9">
        <f>MAX(original!I293,piwebapi_edit!I293,car_edit!I293)</f>
        <v>411.92238192460201</v>
      </c>
      <c r="J293" s="9">
        <f>MAX(original!J293,piwebapi_edit!J293,car_edit!J293)</f>
        <v>7.3561859319597396</v>
      </c>
      <c r="K293" s="17"/>
    </row>
    <row r="294" spans="1:11" x14ac:dyDescent="0.25">
      <c r="A294" s="3" t="s">
        <v>606</v>
      </c>
      <c r="B294" s="4" t="s">
        <v>607</v>
      </c>
      <c r="C294" s="5">
        <v>1760</v>
      </c>
      <c r="D294" s="6" t="s">
        <v>31</v>
      </c>
      <c r="E294" s="6" t="s">
        <v>17</v>
      </c>
      <c r="F294" s="7">
        <v>37011</v>
      </c>
      <c r="G294" s="8">
        <f t="shared" si="4"/>
        <v>37011</v>
      </c>
      <c r="H294" s="6" t="s">
        <v>13</v>
      </c>
      <c r="I294" s="9">
        <f>MAX(original!I294,piwebapi_edit!I294,car_edit!I294)</f>
        <v>117241.69963023299</v>
      </c>
      <c r="J294" s="9">
        <f>MAX(original!J294,piwebapi_edit!J294,car_edit!J294)</f>
        <v>344.438363830242</v>
      </c>
      <c r="K294" s="17"/>
    </row>
    <row r="295" spans="1:11" x14ac:dyDescent="0.25">
      <c r="A295" s="3" t="s">
        <v>608</v>
      </c>
      <c r="B295" s="4" t="s">
        <v>609</v>
      </c>
      <c r="C295" s="5">
        <v>1107</v>
      </c>
      <c r="D295" s="6" t="s">
        <v>28</v>
      </c>
      <c r="E295" s="6" t="s">
        <v>17</v>
      </c>
      <c r="F295" s="7">
        <v>29221</v>
      </c>
      <c r="G295" s="8">
        <f t="shared" si="4"/>
        <v>29221</v>
      </c>
      <c r="H295" s="6" t="s">
        <v>13</v>
      </c>
      <c r="I295" s="9">
        <f>MAX(original!I295,piwebapi_edit!I295,car_edit!I295)</f>
        <v>46772.335484489602</v>
      </c>
      <c r="J295" s="9">
        <f>MAX(original!J295,piwebapi_edit!J295,car_edit!J295)</f>
        <v>341.170988452166</v>
      </c>
      <c r="K295" s="11"/>
    </row>
    <row r="296" spans="1:11" x14ac:dyDescent="0.25">
      <c r="A296" s="3" t="s">
        <v>610</v>
      </c>
      <c r="B296" s="4" t="s">
        <v>611</v>
      </c>
      <c r="C296" s="5">
        <v>1855</v>
      </c>
      <c r="D296" s="6" t="s">
        <v>16</v>
      </c>
      <c r="E296" s="6" t="s">
        <v>17</v>
      </c>
      <c r="F296" s="7">
        <v>29221</v>
      </c>
      <c r="G296" s="8">
        <f t="shared" si="4"/>
        <v>29221</v>
      </c>
      <c r="H296" s="6" t="s">
        <v>13</v>
      </c>
      <c r="I296" s="9">
        <f>MAX(original!I296,piwebapi_edit!I296,car_edit!I296)</f>
        <v>7702.85255260339</v>
      </c>
      <c r="J296" s="9">
        <f>MAX(original!J296,piwebapi_edit!J296,car_edit!J296)</f>
        <v>31.151275980511301</v>
      </c>
      <c r="K296" s="17"/>
    </row>
    <row r="297" spans="1:11" x14ac:dyDescent="0.25">
      <c r="A297" s="3" t="s">
        <v>612</v>
      </c>
      <c r="B297" s="4" t="s">
        <v>613</v>
      </c>
      <c r="C297" s="5">
        <v>1261</v>
      </c>
      <c r="D297" s="6" t="s">
        <v>28</v>
      </c>
      <c r="E297" s="6" t="s">
        <v>17</v>
      </c>
      <c r="F297" s="7">
        <v>29221</v>
      </c>
      <c r="G297" s="8">
        <f t="shared" si="4"/>
        <v>29221</v>
      </c>
      <c r="H297" s="6" t="s">
        <v>13</v>
      </c>
      <c r="I297" s="9">
        <f>MAX(original!I297,piwebapi_edit!I297,car_edit!I297)</f>
        <v>16384.879356510701</v>
      </c>
      <c r="J297" s="9">
        <f>MAX(original!J297,piwebapi_edit!J297,car_edit!J297)</f>
        <v>192.26726158414201</v>
      </c>
      <c r="K297" s="17"/>
    </row>
    <row r="298" spans="1:11" x14ac:dyDescent="0.25">
      <c r="A298" s="3" t="s">
        <v>614</v>
      </c>
      <c r="B298" s="4" t="s">
        <v>615</v>
      </c>
      <c r="C298" s="5">
        <v>1569</v>
      </c>
      <c r="D298" s="6" t="s">
        <v>11</v>
      </c>
      <c r="E298" s="6" t="s">
        <v>17</v>
      </c>
      <c r="F298" s="7">
        <v>34335</v>
      </c>
      <c r="G298" s="8">
        <f t="shared" si="4"/>
        <v>34335</v>
      </c>
      <c r="H298" s="6" t="s">
        <v>13</v>
      </c>
      <c r="I298" s="9">
        <f>MAX(original!I298,piwebapi_edit!I298,car_edit!I298)</f>
        <v>29589.1558441454</v>
      </c>
      <c r="J298" s="9">
        <f>MAX(original!J298,piwebapi_edit!J298,car_edit!J298)</f>
        <v>138.433119537344</v>
      </c>
      <c r="K298" s="17"/>
    </row>
    <row r="299" spans="1:11" x14ac:dyDescent="0.25">
      <c r="A299" s="3" t="s">
        <v>616</v>
      </c>
      <c r="B299" s="4" t="s">
        <v>617</v>
      </c>
      <c r="C299" s="5">
        <v>23681</v>
      </c>
      <c r="D299" s="6" t="s">
        <v>11</v>
      </c>
      <c r="E299" s="6" t="s">
        <v>17</v>
      </c>
      <c r="F299" s="7">
        <v>33817</v>
      </c>
      <c r="G299" s="8">
        <f t="shared" si="4"/>
        <v>33817</v>
      </c>
      <c r="H299" s="6" t="s">
        <v>13</v>
      </c>
      <c r="I299" s="9">
        <f>MAX(original!I299,piwebapi_edit!I299,car_edit!I299)</f>
        <v>3767.0028090393098</v>
      </c>
      <c r="J299" s="9">
        <f>MAX(original!J299,piwebapi_edit!J299,car_edit!J299)</f>
        <v>121.508850877282</v>
      </c>
      <c r="K299" s="17"/>
    </row>
    <row r="300" spans="1:11" x14ac:dyDescent="0.25">
      <c r="A300" s="3" t="s">
        <v>618</v>
      </c>
      <c r="B300" s="4" t="s">
        <v>619</v>
      </c>
      <c r="C300" s="5">
        <v>1159</v>
      </c>
      <c r="D300" s="6" t="s">
        <v>31</v>
      </c>
      <c r="E300" s="6" t="s">
        <v>17</v>
      </c>
      <c r="F300" s="7">
        <v>29952</v>
      </c>
      <c r="G300" s="8">
        <f t="shared" si="4"/>
        <v>29952</v>
      </c>
      <c r="H300" s="6" t="s">
        <v>13</v>
      </c>
      <c r="I300" s="9">
        <f>MAX(original!I300,piwebapi_edit!I300,car_edit!I300)</f>
        <v>49410.949678301899</v>
      </c>
      <c r="J300" s="9">
        <f>MAX(original!J300,piwebapi_edit!J300,car_edit!J300)</f>
        <v>268.25214419552702</v>
      </c>
      <c r="K300" s="17"/>
    </row>
    <row r="301" spans="1:11" x14ac:dyDescent="0.25">
      <c r="A301" s="3" t="s">
        <v>620</v>
      </c>
      <c r="B301" s="4" t="s">
        <v>621</v>
      </c>
      <c r="C301" s="5">
        <v>17615</v>
      </c>
      <c r="D301" s="6" t="s">
        <v>16</v>
      </c>
      <c r="E301" s="6" t="s">
        <v>17</v>
      </c>
      <c r="F301" s="7">
        <v>29850</v>
      </c>
      <c r="G301" s="8">
        <f t="shared" si="4"/>
        <v>29850</v>
      </c>
      <c r="H301" s="6" t="s">
        <v>13</v>
      </c>
      <c r="I301" s="9">
        <f>MAX(original!I301,piwebapi_edit!I301,car_edit!I301)</f>
        <v>15977.7754146262</v>
      </c>
      <c r="J301" s="9">
        <f>MAX(original!J301,piwebapi_edit!J301,car_edit!J301)</f>
        <v>261.05736293385502</v>
      </c>
      <c r="K301" s="17"/>
    </row>
    <row r="302" spans="1:11" x14ac:dyDescent="0.25">
      <c r="A302" s="3" t="s">
        <v>622</v>
      </c>
      <c r="B302" s="4" t="s">
        <v>623</v>
      </c>
      <c r="C302" s="5">
        <v>1730</v>
      </c>
      <c r="D302" s="6" t="s">
        <v>16</v>
      </c>
      <c r="E302" s="6" t="s">
        <v>17</v>
      </c>
      <c r="F302" s="7">
        <v>29221</v>
      </c>
      <c r="G302" s="8">
        <f t="shared" si="4"/>
        <v>29221</v>
      </c>
      <c r="H302" s="6" t="s">
        <v>13</v>
      </c>
      <c r="I302" s="9">
        <f>MAX(original!I302,piwebapi_edit!I302,car_edit!I302)</f>
        <v>25619.2573551067</v>
      </c>
      <c r="J302" s="9">
        <f>MAX(original!J302,piwebapi_edit!J302,car_edit!J302)</f>
        <v>160.25344619348101</v>
      </c>
      <c r="K302" s="17"/>
    </row>
    <row r="303" spans="1:11" x14ac:dyDescent="0.25">
      <c r="A303" s="3" t="s">
        <v>624</v>
      </c>
      <c r="B303" s="4" t="s">
        <v>625</v>
      </c>
      <c r="C303" s="14">
        <v>19522</v>
      </c>
      <c r="D303" s="6" t="s">
        <v>34</v>
      </c>
      <c r="E303" s="6" t="s">
        <v>17</v>
      </c>
      <c r="F303" s="7">
        <v>21916</v>
      </c>
      <c r="G303" s="8">
        <f t="shared" si="4"/>
        <v>21916</v>
      </c>
      <c r="H303" s="6" t="s">
        <v>13</v>
      </c>
      <c r="I303" s="9">
        <f>MAX(original!I303,piwebapi_edit!I303,car_edit!I303)</f>
        <v>127788.23426340599</v>
      </c>
      <c r="J303" s="9">
        <f>MAX(original!J303,piwebapi_edit!J303,car_edit!J303)</f>
        <v>566.32931288653504</v>
      </c>
      <c r="K303" s="17"/>
    </row>
    <row r="304" spans="1:11" x14ac:dyDescent="0.25">
      <c r="A304" s="3" t="s">
        <v>626</v>
      </c>
      <c r="B304" s="4" t="s">
        <v>627</v>
      </c>
      <c r="C304" s="5">
        <v>19211</v>
      </c>
      <c r="D304" s="6" t="s">
        <v>34</v>
      </c>
      <c r="E304" s="6" t="s">
        <v>17</v>
      </c>
      <c r="F304" s="7">
        <v>34405</v>
      </c>
      <c r="G304" s="8">
        <f t="shared" si="4"/>
        <v>34405</v>
      </c>
      <c r="H304" s="6" t="s">
        <v>13</v>
      </c>
      <c r="I304" s="9">
        <f>MAX(original!I304,piwebapi_edit!I304,car_edit!I304)</f>
        <v>22823.342035256199</v>
      </c>
      <c r="J304" s="9">
        <f>MAX(original!J304,piwebapi_edit!J304,car_edit!J304)</f>
        <v>122.247925906487</v>
      </c>
      <c r="K304" s="17"/>
    </row>
    <row r="305" spans="1:11" x14ac:dyDescent="0.25">
      <c r="A305" s="3" t="s">
        <v>628</v>
      </c>
      <c r="B305" s="4" t="s">
        <v>629</v>
      </c>
      <c r="C305" s="5">
        <v>38161</v>
      </c>
      <c r="D305" s="6" t="s">
        <v>34</v>
      </c>
      <c r="E305" s="6" t="s">
        <v>17</v>
      </c>
      <c r="F305" s="7">
        <v>18264</v>
      </c>
      <c r="G305" s="8">
        <f t="shared" si="4"/>
        <v>18264</v>
      </c>
      <c r="H305" s="6" t="s">
        <v>13</v>
      </c>
      <c r="I305" s="9">
        <f>MAX(original!I305,piwebapi_edit!I305,car_edit!I305)</f>
        <v>34703.746645347899</v>
      </c>
      <c r="J305" s="9">
        <f>MAX(original!J305,piwebapi_edit!J305,car_edit!J305)</f>
        <v>97.621346943768899</v>
      </c>
      <c r="K305" s="17"/>
    </row>
    <row r="306" spans="1:11" x14ac:dyDescent="0.25">
      <c r="A306" s="3" t="s">
        <v>630</v>
      </c>
      <c r="B306" s="4" t="s">
        <v>631</v>
      </c>
      <c r="C306" s="5">
        <v>1898</v>
      </c>
      <c r="D306" s="6" t="s">
        <v>31</v>
      </c>
      <c r="E306" s="6" t="s">
        <v>17</v>
      </c>
      <c r="F306" s="7">
        <v>19725</v>
      </c>
      <c r="G306" s="8">
        <f t="shared" si="4"/>
        <v>19725</v>
      </c>
      <c r="H306" s="6" t="s">
        <v>13</v>
      </c>
      <c r="I306" s="9">
        <f>MAX(original!I306,piwebapi_edit!I306,car_edit!I306)</f>
        <v>7568.6769837645397</v>
      </c>
      <c r="J306" s="9">
        <f>MAX(original!J306,piwebapi_edit!J306,car_edit!J306)</f>
        <v>124.251553010168</v>
      </c>
      <c r="K306" s="17"/>
    </row>
    <row r="307" spans="1:11" x14ac:dyDescent="0.25">
      <c r="A307" s="3" t="s">
        <v>632</v>
      </c>
      <c r="B307" s="4" t="s">
        <v>633</v>
      </c>
      <c r="C307" s="5">
        <v>1470</v>
      </c>
      <c r="D307" s="6" t="s">
        <v>31</v>
      </c>
      <c r="E307" s="6" t="s">
        <v>17</v>
      </c>
      <c r="F307" s="7">
        <v>25569</v>
      </c>
      <c r="G307" s="8">
        <f t="shared" si="4"/>
        <v>25569</v>
      </c>
      <c r="H307" s="6" t="s">
        <v>13</v>
      </c>
      <c r="I307" s="9">
        <f>MAX(original!I307,piwebapi_edit!I307,car_edit!I307)</f>
        <v>58138.199003135705</v>
      </c>
      <c r="J307" s="9">
        <f>MAX(original!J307,piwebapi_edit!J307,car_edit!J307)</f>
        <v>339.73555134922901</v>
      </c>
      <c r="K307" s="17"/>
    </row>
    <row r="308" spans="1:11" x14ac:dyDescent="0.25">
      <c r="A308" s="3" t="s">
        <v>634</v>
      </c>
      <c r="B308" s="4" t="s">
        <v>635</v>
      </c>
      <c r="C308" s="14">
        <v>30593</v>
      </c>
      <c r="D308" s="6" t="s">
        <v>28</v>
      </c>
      <c r="E308" s="6" t="s">
        <v>17</v>
      </c>
      <c r="F308" s="7">
        <v>38642</v>
      </c>
      <c r="G308" s="8">
        <f t="shared" si="4"/>
        <v>38642</v>
      </c>
      <c r="H308" s="6" t="s">
        <v>13</v>
      </c>
      <c r="I308" s="9">
        <f>MAX(original!I308,piwebapi_edit!I308,car_edit!I308)</f>
        <v>15031.665114310399</v>
      </c>
      <c r="J308" s="9">
        <f>MAX(original!J308,piwebapi_edit!J308,car_edit!J308)</f>
        <v>174.171445397383</v>
      </c>
      <c r="K308" s="17"/>
    </row>
    <row r="309" spans="1:11" x14ac:dyDescent="0.25">
      <c r="A309" s="3" t="s">
        <v>636</v>
      </c>
      <c r="B309" s="4" t="s">
        <v>637</v>
      </c>
      <c r="C309" s="14">
        <v>10881</v>
      </c>
      <c r="D309" s="6" t="s">
        <v>34</v>
      </c>
      <c r="E309" s="6" t="s">
        <v>17</v>
      </c>
      <c r="F309" s="7">
        <v>37006</v>
      </c>
      <c r="G309" s="8">
        <f t="shared" si="4"/>
        <v>37006</v>
      </c>
      <c r="H309" s="6" t="s">
        <v>13</v>
      </c>
      <c r="I309" s="9">
        <f>MAX(original!I309,piwebapi_edit!I309,car_edit!I309)</f>
        <v>37908.651427033197</v>
      </c>
      <c r="J309" s="9">
        <f>MAX(original!J309,piwebapi_edit!J309,car_edit!J309)</f>
        <v>376.16704992279301</v>
      </c>
      <c r="K309" s="17"/>
    </row>
    <row r="310" spans="1:11" x14ac:dyDescent="0.25">
      <c r="A310" s="3" t="s">
        <v>638</v>
      </c>
      <c r="B310" s="4" t="s">
        <v>639</v>
      </c>
      <c r="C310" s="5">
        <v>1759</v>
      </c>
      <c r="D310" s="6" t="s">
        <v>31</v>
      </c>
      <c r="E310" s="6" t="s">
        <v>17</v>
      </c>
      <c r="F310" s="7">
        <v>27395</v>
      </c>
      <c r="G310" s="8">
        <f t="shared" si="4"/>
        <v>27395</v>
      </c>
      <c r="H310" s="6" t="s">
        <v>13</v>
      </c>
      <c r="I310" s="9">
        <f>MAX(original!I310,piwebapi_edit!I310,car_edit!I310)</f>
        <v>13739.993732179701</v>
      </c>
      <c r="J310" s="9">
        <f>MAX(original!J310,piwebapi_edit!J310,car_edit!J310)</f>
        <v>51.962157986332599</v>
      </c>
      <c r="K310" s="17"/>
    </row>
    <row r="311" spans="1:11" x14ac:dyDescent="0.25">
      <c r="A311" s="3" t="s">
        <v>640</v>
      </c>
      <c r="B311" s="4" t="s">
        <v>641</v>
      </c>
      <c r="C311" s="5">
        <v>9605</v>
      </c>
      <c r="D311" s="6" t="s">
        <v>16</v>
      </c>
      <c r="E311" s="6" t="s">
        <v>17</v>
      </c>
      <c r="F311" s="7">
        <v>37361</v>
      </c>
      <c r="G311" s="8">
        <f t="shared" si="4"/>
        <v>37361</v>
      </c>
      <c r="H311" s="6" t="s">
        <v>13</v>
      </c>
      <c r="I311" s="9">
        <f>MAX(original!I311,piwebapi_edit!I311,car_edit!I311)</f>
        <v>12970.5423422697</v>
      </c>
      <c r="J311" s="9">
        <f>MAX(original!J311,piwebapi_edit!J311,car_edit!J311)</f>
        <v>209.70444993513999</v>
      </c>
      <c r="K311" s="17"/>
    </row>
    <row r="312" spans="1:11" x14ac:dyDescent="0.25">
      <c r="A312" s="3" t="s">
        <v>642</v>
      </c>
      <c r="B312" s="4" t="s">
        <v>643</v>
      </c>
      <c r="C312" s="5">
        <v>1052</v>
      </c>
      <c r="D312" s="6" t="s">
        <v>16</v>
      </c>
      <c r="E312" s="6" t="s">
        <v>17</v>
      </c>
      <c r="F312" s="7">
        <v>29221</v>
      </c>
      <c r="G312" s="8">
        <f t="shared" si="4"/>
        <v>29221</v>
      </c>
      <c r="H312" s="6" t="s">
        <v>13</v>
      </c>
      <c r="I312" s="9">
        <f>MAX(original!I312,piwebapi_edit!I312,car_edit!I312)</f>
        <v>83802.691649282904</v>
      </c>
      <c r="J312" s="9">
        <f>MAX(original!J312,piwebapi_edit!J312,car_edit!J312)</f>
        <v>572.45944017690704</v>
      </c>
      <c r="K312" s="17"/>
    </row>
    <row r="313" spans="1:11" x14ac:dyDescent="0.25">
      <c r="A313" s="3" t="s">
        <v>644</v>
      </c>
      <c r="B313" s="4" t="s">
        <v>645</v>
      </c>
      <c r="C313" s="14">
        <v>1192</v>
      </c>
      <c r="D313" s="6" t="s">
        <v>16</v>
      </c>
      <c r="E313" s="6" t="s">
        <v>17</v>
      </c>
      <c r="F313" s="7">
        <v>32874</v>
      </c>
      <c r="G313" s="8">
        <f t="shared" si="4"/>
        <v>32874</v>
      </c>
      <c r="H313" s="6" t="s">
        <v>13</v>
      </c>
      <c r="I313" s="9">
        <f>MAX(original!I313,piwebapi_edit!I313,car_edit!I313)</f>
        <v>138917.22999999998</v>
      </c>
      <c r="J313" s="9">
        <f>MAX(original!J313,piwebapi_edit!J313,car_edit!J313)</f>
        <v>1000</v>
      </c>
      <c r="K313" s="17"/>
    </row>
    <row r="314" spans="1:11" x14ac:dyDescent="0.25">
      <c r="A314" s="3" t="s">
        <v>646</v>
      </c>
      <c r="B314" s="4" t="s">
        <v>647</v>
      </c>
      <c r="C314" s="5">
        <v>1515</v>
      </c>
      <c r="D314" s="6" t="s">
        <v>28</v>
      </c>
      <c r="E314" s="6" t="s">
        <v>508</v>
      </c>
      <c r="F314" s="7">
        <v>32143</v>
      </c>
      <c r="G314" s="8">
        <f t="shared" si="4"/>
        <v>32143</v>
      </c>
      <c r="H314" s="6" t="s">
        <v>509</v>
      </c>
      <c r="I314" s="9">
        <f>MAX(original!I314,piwebapi_edit!I314,car_edit!I314)</f>
        <v>46185.924417634094</v>
      </c>
      <c r="J314" s="9">
        <f>MAX(original!J314,piwebapi_edit!J314,car_edit!J314)</f>
        <v>241.40779458806199</v>
      </c>
      <c r="K314" s="17"/>
    </row>
    <row r="315" spans="1:11" x14ac:dyDescent="0.25">
      <c r="A315" s="3" t="s">
        <v>648</v>
      </c>
      <c r="B315" s="4" t="s">
        <v>649</v>
      </c>
      <c r="C315" s="5">
        <v>1621</v>
      </c>
      <c r="D315" s="6" t="s">
        <v>16</v>
      </c>
      <c r="E315" s="6" t="s">
        <v>17</v>
      </c>
      <c r="F315" s="7">
        <v>29221</v>
      </c>
      <c r="G315" s="8">
        <f t="shared" si="4"/>
        <v>29221</v>
      </c>
      <c r="H315" s="6" t="s">
        <v>13</v>
      </c>
      <c r="I315" s="9">
        <f>MAX(original!I315,piwebapi_edit!I315,car_edit!I315)</f>
        <v>71125.450496549805</v>
      </c>
      <c r="J315" s="9">
        <f>MAX(original!J315,piwebapi_edit!J315,car_edit!J315)</f>
        <v>334.246183313519</v>
      </c>
      <c r="K315" s="17"/>
    </row>
    <row r="316" spans="1:11" x14ac:dyDescent="0.25">
      <c r="A316" s="3" t="s">
        <v>650</v>
      </c>
      <c r="B316" s="4" t="s">
        <v>651</v>
      </c>
      <c r="C316" s="14">
        <v>1716</v>
      </c>
      <c r="D316" s="6" t="s">
        <v>16</v>
      </c>
      <c r="E316" s="6" t="s">
        <v>17</v>
      </c>
      <c r="F316" s="7">
        <v>32509</v>
      </c>
      <c r="G316" s="8">
        <f t="shared" si="4"/>
        <v>32509</v>
      </c>
      <c r="H316" s="6" t="s">
        <v>13</v>
      </c>
      <c r="I316" s="9">
        <f>MAX(original!I316,piwebapi_edit!I316,car_edit!I316)</f>
        <v>55325.785577685798</v>
      </c>
      <c r="J316" s="9">
        <f>MAX(original!J316,piwebapi_edit!J316,car_edit!J316)</f>
        <v>199.01427176177401</v>
      </c>
      <c r="K316" s="17"/>
    </row>
    <row r="317" spans="1:11" x14ac:dyDescent="0.25">
      <c r="A317" s="18" t="s">
        <v>652</v>
      </c>
      <c r="B317" s="19" t="s">
        <v>653</v>
      </c>
      <c r="C317" s="5">
        <v>21775</v>
      </c>
      <c r="D317" s="21" t="s">
        <v>34</v>
      </c>
      <c r="E317" s="21" t="s">
        <v>17</v>
      </c>
      <c r="F317" s="22">
        <v>38639</v>
      </c>
      <c r="G317" s="23">
        <f t="shared" si="4"/>
        <v>38639</v>
      </c>
      <c r="H317" s="21" t="s">
        <v>13</v>
      </c>
      <c r="I317" s="9">
        <f>MAX(original!I317,piwebapi_edit!I317,car_edit!I317)</f>
        <v>43103.528787369098</v>
      </c>
      <c r="J317" s="9">
        <f>MAX(original!J317,piwebapi_edit!J317,car_edit!J317)</f>
        <v>749.12043443537095</v>
      </c>
      <c r="K317" s="41"/>
    </row>
    <row r="318" spans="1:11" x14ac:dyDescent="0.25">
      <c r="A318" s="3" t="s">
        <v>654</v>
      </c>
      <c r="B318" s="4" t="s">
        <v>655</v>
      </c>
      <c r="C318" s="5">
        <v>1305</v>
      </c>
      <c r="D318" s="6" t="s">
        <v>16</v>
      </c>
      <c r="E318" s="6" t="s">
        <v>17</v>
      </c>
      <c r="F318" s="7">
        <v>29221</v>
      </c>
      <c r="G318" s="8">
        <f t="shared" si="4"/>
        <v>29221</v>
      </c>
      <c r="H318" s="6" t="s">
        <v>13</v>
      </c>
      <c r="I318" s="9">
        <f>MAX(original!I318,piwebapi_edit!I318,car_edit!I318)</f>
        <v>11141.582692194901</v>
      </c>
      <c r="J318" s="9">
        <f>MAX(original!J318,piwebapi_edit!J318,car_edit!J318)</f>
        <v>225.55612463087201</v>
      </c>
      <c r="K318" s="17"/>
    </row>
    <row r="319" spans="1:11" x14ac:dyDescent="0.25">
      <c r="A319" s="3" t="s">
        <v>656</v>
      </c>
      <c r="B319" s="4" t="s">
        <v>657</v>
      </c>
      <c r="C319" s="5">
        <v>1055</v>
      </c>
      <c r="D319" s="6" t="s">
        <v>16</v>
      </c>
      <c r="E319" s="6" t="s">
        <v>17</v>
      </c>
      <c r="F319" s="7">
        <v>30682</v>
      </c>
      <c r="G319" s="8">
        <f t="shared" si="4"/>
        <v>30682</v>
      </c>
      <c r="H319" s="6" t="s">
        <v>13</v>
      </c>
      <c r="I319" s="9">
        <f>MAX(original!I319,piwebapi_edit!I319,car_edit!I319)</f>
        <v>10284.7836405694</v>
      </c>
      <c r="J319" s="9">
        <f>MAX(original!J319,piwebapi_edit!J319,car_edit!J319)</f>
        <v>362.43931566683898</v>
      </c>
      <c r="K319" s="17"/>
    </row>
    <row r="320" spans="1:11" x14ac:dyDescent="0.25">
      <c r="A320" s="3" t="s">
        <v>658</v>
      </c>
      <c r="B320" s="4" t="s">
        <v>659</v>
      </c>
      <c r="C320" s="5">
        <v>28225</v>
      </c>
      <c r="D320" s="6" t="s">
        <v>16</v>
      </c>
      <c r="E320" s="6" t="s">
        <v>17</v>
      </c>
      <c r="F320" s="7">
        <v>38754</v>
      </c>
      <c r="G320" s="8">
        <f t="shared" si="4"/>
        <v>38754</v>
      </c>
      <c r="H320" s="6" t="s">
        <v>13</v>
      </c>
      <c r="I320" s="9">
        <f>MAX(original!I320,piwebapi_edit!I320,car_edit!I320)</f>
        <v>25318.796691040698</v>
      </c>
      <c r="J320" s="9">
        <f>MAX(original!J320,piwebapi_edit!J320,car_edit!J320)</f>
        <v>323.269303703871</v>
      </c>
      <c r="K320" s="17"/>
    </row>
    <row r="321" spans="1:11" x14ac:dyDescent="0.25">
      <c r="A321" s="3" t="s">
        <v>660</v>
      </c>
      <c r="B321" s="4" t="s">
        <v>661</v>
      </c>
      <c r="C321" s="5">
        <v>46801</v>
      </c>
      <c r="D321" s="6" t="s">
        <v>31</v>
      </c>
      <c r="E321" s="6" t="s">
        <v>17</v>
      </c>
      <c r="F321" s="7">
        <v>38148</v>
      </c>
      <c r="G321" s="8">
        <f t="shared" si="4"/>
        <v>38148</v>
      </c>
      <c r="H321" s="6" t="s">
        <v>13</v>
      </c>
      <c r="I321" s="9">
        <f>MAX(original!I321,piwebapi_edit!I321,car_edit!I321)</f>
        <v>1514.46738002958</v>
      </c>
      <c r="J321" s="9">
        <f>MAX(original!J321,piwebapi_edit!J321,car_edit!J321)</f>
        <v>21.064380014174699</v>
      </c>
      <c r="K321" s="17"/>
    </row>
    <row r="322" spans="1:11" x14ac:dyDescent="0.25">
      <c r="A322" s="3" t="s">
        <v>662</v>
      </c>
      <c r="B322" s="4" t="s">
        <v>663</v>
      </c>
      <c r="C322" s="5">
        <v>2044</v>
      </c>
      <c r="D322" s="6" t="s">
        <v>34</v>
      </c>
      <c r="E322" s="6" t="s">
        <v>17</v>
      </c>
      <c r="F322" s="7">
        <v>19725</v>
      </c>
      <c r="G322" s="8">
        <f t="shared" ref="G322:G385" si="5">F322</f>
        <v>19725</v>
      </c>
      <c r="H322" s="6" t="s">
        <v>13</v>
      </c>
      <c r="I322" s="9">
        <f>MAX(original!I322,piwebapi_edit!I322,car_edit!I322)</f>
        <v>57857.299775967003</v>
      </c>
      <c r="J322" s="9">
        <f>MAX(original!J322,piwebapi_edit!J322,car_edit!J322)</f>
        <v>243.00430278560299</v>
      </c>
      <c r="K322" s="17"/>
    </row>
    <row r="323" spans="1:11" x14ac:dyDescent="0.25">
      <c r="A323" s="3" t="s">
        <v>664</v>
      </c>
      <c r="B323" s="4" t="s">
        <v>665</v>
      </c>
      <c r="C323" s="5">
        <v>1645</v>
      </c>
      <c r="D323" s="6" t="s">
        <v>28</v>
      </c>
      <c r="E323" s="6" t="s">
        <v>17</v>
      </c>
      <c r="F323" s="7">
        <v>32143</v>
      </c>
      <c r="G323" s="8">
        <f t="shared" si="5"/>
        <v>32143</v>
      </c>
      <c r="H323" s="6" t="s">
        <v>13</v>
      </c>
      <c r="I323" s="9">
        <f>MAX(original!I323,piwebapi_edit!I323,car_edit!I323)</f>
        <v>24592.3671335215</v>
      </c>
      <c r="J323" s="9">
        <f>MAX(original!J323,piwebapi_edit!J323,car_edit!J323)</f>
        <v>113.668817331299</v>
      </c>
      <c r="K323" s="17"/>
    </row>
    <row r="324" spans="1:11" x14ac:dyDescent="0.25">
      <c r="A324" s="26" t="s">
        <v>666</v>
      </c>
      <c r="B324" s="27" t="s">
        <v>667</v>
      </c>
      <c r="C324" s="5">
        <v>18570</v>
      </c>
      <c r="D324" s="28" t="s">
        <v>34</v>
      </c>
      <c r="E324" s="28" t="s">
        <v>17</v>
      </c>
      <c r="F324" s="29">
        <v>38197</v>
      </c>
      <c r="G324" s="30">
        <f t="shared" si="5"/>
        <v>38197</v>
      </c>
      <c r="H324" s="28" t="s">
        <v>13</v>
      </c>
      <c r="I324" s="9">
        <f>MAX(original!I324,piwebapi_edit!I324,car_edit!I324)</f>
        <v>45420.789606692604</v>
      </c>
      <c r="J324" s="9">
        <f>MAX(original!J324,piwebapi_edit!J324,car_edit!J324)</f>
        <v>485.663040130767</v>
      </c>
      <c r="K324" s="33"/>
    </row>
    <row r="325" spans="1:11" x14ac:dyDescent="0.25">
      <c r="A325" s="3" t="s">
        <v>668</v>
      </c>
      <c r="B325" s="4" t="s">
        <v>669</v>
      </c>
      <c r="C325" s="14">
        <v>1523</v>
      </c>
      <c r="D325" s="6" t="s">
        <v>11</v>
      </c>
      <c r="E325" s="6" t="s">
        <v>17</v>
      </c>
      <c r="F325" s="7">
        <v>36486</v>
      </c>
      <c r="G325" s="8">
        <f t="shared" si="5"/>
        <v>36486</v>
      </c>
      <c r="H325" s="6" t="s">
        <v>13</v>
      </c>
      <c r="I325" s="9">
        <f>MAX(original!I325,piwebapi_edit!I325,car_edit!I325)</f>
        <v>60012.449216925503</v>
      </c>
      <c r="J325" s="9">
        <f>MAX(original!J325,piwebapi_edit!J325,car_edit!J325)</f>
        <v>262.93711665857597</v>
      </c>
      <c r="K325" s="17"/>
    </row>
    <row r="326" spans="1:11" x14ac:dyDescent="0.25">
      <c r="A326" s="3" t="s">
        <v>670</v>
      </c>
      <c r="B326" s="4" t="s">
        <v>671</v>
      </c>
      <c r="C326" s="5">
        <v>1128</v>
      </c>
      <c r="D326" s="6" t="s">
        <v>11</v>
      </c>
      <c r="E326" s="6" t="s">
        <v>17</v>
      </c>
      <c r="F326" s="7">
        <v>33970</v>
      </c>
      <c r="G326" s="8">
        <f t="shared" si="5"/>
        <v>33970</v>
      </c>
      <c r="H326" s="6" t="s">
        <v>13</v>
      </c>
      <c r="I326" s="9">
        <f>MAX(original!I326,piwebapi_edit!I326,car_edit!I326)</f>
        <v>11444.5833057778</v>
      </c>
      <c r="J326" s="9">
        <f>MAX(original!J326,piwebapi_edit!J326,car_edit!J326)</f>
        <v>57.082214711121402</v>
      </c>
      <c r="K326" s="17"/>
    </row>
    <row r="327" spans="1:11" x14ac:dyDescent="0.25">
      <c r="A327" s="3" t="s">
        <v>672</v>
      </c>
      <c r="B327" s="4" t="s">
        <v>673</v>
      </c>
      <c r="C327" s="5">
        <v>1574</v>
      </c>
      <c r="D327" s="6" t="s">
        <v>11</v>
      </c>
      <c r="E327" s="6" t="s">
        <v>17</v>
      </c>
      <c r="F327" s="7">
        <v>36581</v>
      </c>
      <c r="G327" s="8">
        <f t="shared" si="5"/>
        <v>36581</v>
      </c>
      <c r="H327" s="6" t="s">
        <v>13</v>
      </c>
      <c r="I327" s="9">
        <f>MAX(original!I327,piwebapi_edit!I327,car_edit!I327)</f>
        <v>6145.1979575537498</v>
      </c>
      <c r="J327" s="9">
        <f>MAX(original!J327,piwebapi_edit!J327,car_edit!J327)</f>
        <v>86.173991304636303</v>
      </c>
      <c r="K327" s="17"/>
    </row>
    <row r="328" spans="1:11" x14ac:dyDescent="0.25">
      <c r="A328" s="3" t="s">
        <v>674</v>
      </c>
      <c r="B328" s="4" t="s">
        <v>675</v>
      </c>
      <c r="C328" s="14">
        <v>1527</v>
      </c>
      <c r="D328" s="6" t="s">
        <v>16</v>
      </c>
      <c r="E328" s="6" t="s">
        <v>17</v>
      </c>
      <c r="F328" s="7">
        <v>29221</v>
      </c>
      <c r="G328" s="8">
        <f t="shared" si="5"/>
        <v>29221</v>
      </c>
      <c r="H328" s="6" t="s">
        <v>13</v>
      </c>
      <c r="I328" s="9">
        <f>MAX(original!I328,piwebapi_edit!I328,car_edit!I328)</f>
        <v>63146.4959993351</v>
      </c>
      <c r="J328" s="9">
        <f>MAX(original!J328,piwebapi_edit!J328,car_edit!J328)</f>
        <v>170.85875872250301</v>
      </c>
      <c r="K328" s="17"/>
    </row>
    <row r="329" spans="1:11" x14ac:dyDescent="0.25">
      <c r="A329" s="3" t="s">
        <v>676</v>
      </c>
      <c r="B329" s="4" t="s">
        <v>677</v>
      </c>
      <c r="C329" s="5">
        <v>29842</v>
      </c>
      <c r="D329" s="6" t="s">
        <v>34</v>
      </c>
      <c r="E329" s="6" t="s">
        <v>17</v>
      </c>
      <c r="F329" s="7">
        <v>38831</v>
      </c>
      <c r="G329" s="8">
        <f t="shared" si="5"/>
        <v>38831</v>
      </c>
      <c r="H329" s="6" t="s">
        <v>13</v>
      </c>
      <c r="I329" s="9">
        <f>MAX(original!I329,piwebapi_edit!I329,car_edit!I329)</f>
        <v>38878.677048393198</v>
      </c>
      <c r="J329" s="9">
        <f>MAX(original!J329,piwebapi_edit!J329,car_edit!J329)</f>
        <v>629.45299560042997</v>
      </c>
      <c r="K329" s="17"/>
    </row>
    <row r="330" spans="1:11" x14ac:dyDescent="0.25">
      <c r="A330" s="3" t="s">
        <v>678</v>
      </c>
      <c r="B330" s="4" t="s">
        <v>679</v>
      </c>
      <c r="C330" s="5">
        <v>11843</v>
      </c>
      <c r="D330" s="6" t="s">
        <v>28</v>
      </c>
      <c r="E330" s="6" t="s">
        <v>17</v>
      </c>
      <c r="F330" s="7">
        <v>37572</v>
      </c>
      <c r="G330" s="8">
        <f t="shared" si="5"/>
        <v>37572</v>
      </c>
      <c r="H330" s="6" t="s">
        <v>13</v>
      </c>
      <c r="I330" s="9">
        <f>MAX(original!I330,piwebapi_edit!I330,car_edit!I330)</f>
        <v>11886.759369487399</v>
      </c>
      <c r="J330" s="9">
        <f>MAX(original!J330,piwebapi_edit!J330,car_edit!J330)</f>
        <v>298.33931599766299</v>
      </c>
      <c r="K330" s="17"/>
    </row>
    <row r="331" spans="1:11" x14ac:dyDescent="0.25">
      <c r="A331" s="3" t="s">
        <v>680</v>
      </c>
      <c r="B331" s="4" t="s">
        <v>681</v>
      </c>
      <c r="C331" s="5">
        <v>17611</v>
      </c>
      <c r="D331" s="6" t="s">
        <v>16</v>
      </c>
      <c r="E331" s="6" t="s">
        <v>17</v>
      </c>
      <c r="F331" s="7">
        <v>28965</v>
      </c>
      <c r="G331" s="8">
        <f t="shared" si="5"/>
        <v>28965</v>
      </c>
      <c r="H331" s="6" t="s">
        <v>13</v>
      </c>
      <c r="I331" s="9">
        <f>MAX(original!I331,piwebapi_edit!I331,car_edit!I331)</f>
        <v>71384.846333167894</v>
      </c>
      <c r="J331" s="9">
        <f>MAX(original!J331,piwebapi_edit!J331,car_edit!J331)</f>
        <v>233.14865663204401</v>
      </c>
      <c r="K331" s="17"/>
    </row>
    <row r="332" spans="1:11" x14ac:dyDescent="0.25">
      <c r="A332" s="3" t="s">
        <v>682</v>
      </c>
      <c r="B332" s="4" t="s">
        <v>683</v>
      </c>
      <c r="C332" s="5">
        <v>54511</v>
      </c>
      <c r="D332" s="6" t="s">
        <v>34</v>
      </c>
      <c r="E332" s="6" t="s">
        <v>17</v>
      </c>
      <c r="F332" s="7">
        <v>39517</v>
      </c>
      <c r="G332" s="8">
        <f t="shared" si="5"/>
        <v>39517</v>
      </c>
      <c r="H332" s="6" t="s">
        <v>13</v>
      </c>
      <c r="I332" s="9">
        <f>MAX(original!I332,piwebapi_edit!I332,car_edit!I332)</f>
        <v>5957.3127288824799</v>
      </c>
      <c r="J332" s="9">
        <f>MAX(original!J332,piwebapi_edit!J332,car_edit!J332)</f>
        <v>69.261392881393405</v>
      </c>
      <c r="K332" s="11"/>
    </row>
    <row r="333" spans="1:11" x14ac:dyDescent="0.25">
      <c r="A333" s="3" t="s">
        <v>684</v>
      </c>
      <c r="B333" s="4" t="s">
        <v>685</v>
      </c>
      <c r="C333" s="5">
        <v>8002</v>
      </c>
      <c r="D333" s="6" t="s">
        <v>28</v>
      </c>
      <c r="E333" s="6" t="s">
        <v>17</v>
      </c>
      <c r="F333" s="7">
        <v>33512</v>
      </c>
      <c r="G333" s="8">
        <f t="shared" si="5"/>
        <v>33512</v>
      </c>
      <c r="H333" s="6" t="s">
        <v>13</v>
      </c>
      <c r="I333" s="9">
        <f>MAX(original!I333,piwebapi_edit!I333,car_edit!I333)</f>
        <v>2992.2764771201196</v>
      </c>
      <c r="J333" s="9">
        <f>MAX(original!J333,piwebapi_edit!J333,car_edit!J333)</f>
        <v>17.091620131299798</v>
      </c>
      <c r="K333" s="17"/>
    </row>
    <row r="334" spans="1:11" x14ac:dyDescent="0.25">
      <c r="A334" s="3" t="s">
        <v>686</v>
      </c>
      <c r="B334" s="4" t="s">
        <v>687</v>
      </c>
      <c r="C334" s="14">
        <v>17926</v>
      </c>
      <c r="D334" s="6" t="s">
        <v>28</v>
      </c>
      <c r="E334" s="6" t="s">
        <v>17</v>
      </c>
      <c r="F334" s="7">
        <v>26420</v>
      </c>
      <c r="G334" s="8">
        <f t="shared" si="5"/>
        <v>26420</v>
      </c>
      <c r="H334" s="6" t="s">
        <v>13</v>
      </c>
      <c r="I334" s="9">
        <f>MAX(original!I334,piwebapi_edit!I334,car_edit!I334)</f>
        <v>51406.333758233501</v>
      </c>
      <c r="J334" s="9">
        <f>MAX(original!J334,piwebapi_edit!J334,car_edit!J334)</f>
        <v>160.04651863273301</v>
      </c>
      <c r="K334" s="17"/>
    </row>
    <row r="335" spans="1:11" x14ac:dyDescent="0.25">
      <c r="A335" s="3" t="s">
        <v>688</v>
      </c>
      <c r="B335" s="4" t="s">
        <v>689</v>
      </c>
      <c r="C335" s="5">
        <v>1076</v>
      </c>
      <c r="D335" s="6" t="s">
        <v>34</v>
      </c>
      <c r="E335" s="6" t="s">
        <v>17</v>
      </c>
      <c r="F335" s="7">
        <v>29952</v>
      </c>
      <c r="G335" s="8">
        <f t="shared" si="5"/>
        <v>29952</v>
      </c>
      <c r="H335" s="6" t="s">
        <v>13</v>
      </c>
      <c r="I335" s="9">
        <f>MAX(original!I335,piwebapi_edit!I335,car_edit!I335)</f>
        <v>216890.07975706598</v>
      </c>
      <c r="J335" s="9">
        <f>MAX(original!J335,piwebapi_edit!J335,car_edit!J335)</f>
        <v>789.331104804446</v>
      </c>
      <c r="K335" s="17"/>
    </row>
    <row r="336" spans="1:11" x14ac:dyDescent="0.25">
      <c r="A336" s="3" t="s">
        <v>690</v>
      </c>
      <c r="B336" s="4" t="s">
        <v>691</v>
      </c>
      <c r="C336" s="5">
        <v>29841</v>
      </c>
      <c r="D336" s="6" t="s">
        <v>34</v>
      </c>
      <c r="E336" s="6" t="s">
        <v>17</v>
      </c>
      <c r="F336" s="7">
        <v>39029</v>
      </c>
      <c r="G336" s="8">
        <f t="shared" si="5"/>
        <v>39029</v>
      </c>
      <c r="H336" s="6" t="s">
        <v>13</v>
      </c>
      <c r="I336" s="9">
        <f>MAX(original!I336,piwebapi_edit!I336,car_edit!I336)</f>
        <v>5089.4882577365797</v>
      </c>
      <c r="J336" s="9">
        <f>MAX(original!J336,piwebapi_edit!J336,car_edit!J336)</f>
        <v>220.02419909363101</v>
      </c>
      <c r="K336" s="17"/>
    </row>
    <row r="337" spans="1:11" x14ac:dyDescent="0.25">
      <c r="A337" s="3" t="s">
        <v>692</v>
      </c>
      <c r="B337" s="4" t="s">
        <v>693</v>
      </c>
      <c r="C337" s="14">
        <v>16641</v>
      </c>
      <c r="D337" s="6" t="s">
        <v>16</v>
      </c>
      <c r="E337" s="6" t="s">
        <v>17</v>
      </c>
      <c r="F337" s="7">
        <v>35142</v>
      </c>
      <c r="G337" s="8">
        <f t="shared" si="5"/>
        <v>35142</v>
      </c>
      <c r="H337" s="6" t="s">
        <v>13</v>
      </c>
      <c r="I337" s="9">
        <f>MAX(original!I337,piwebapi_edit!I337,car_edit!I337)</f>
        <v>64680.660552895606</v>
      </c>
      <c r="J337" s="9">
        <f>MAX(original!J337,piwebapi_edit!J337,car_edit!J337)</f>
        <v>351.42131457090801</v>
      </c>
      <c r="K337" s="17"/>
    </row>
    <row r="338" spans="1:11" x14ac:dyDescent="0.25">
      <c r="A338" s="3" t="s">
        <v>694</v>
      </c>
      <c r="B338" s="4" t="s">
        <v>695</v>
      </c>
      <c r="C338" s="5">
        <v>17287</v>
      </c>
      <c r="D338" s="6" t="s">
        <v>16</v>
      </c>
      <c r="E338" s="6" t="s">
        <v>17</v>
      </c>
      <c r="F338" s="7">
        <v>32325</v>
      </c>
      <c r="G338" s="8">
        <f t="shared" si="5"/>
        <v>32325</v>
      </c>
      <c r="H338" s="6" t="s">
        <v>13</v>
      </c>
      <c r="I338" s="9">
        <f>MAX(original!I338,piwebapi_edit!I338,car_edit!I338)</f>
        <v>81603.4069249608</v>
      </c>
      <c r="J338" s="9">
        <f>MAX(original!J338,piwebapi_edit!J338,car_edit!J338)</f>
        <v>475.74658132625501</v>
      </c>
      <c r="K338" s="17"/>
    </row>
    <row r="339" spans="1:11" x14ac:dyDescent="0.25">
      <c r="A339" s="3" t="s">
        <v>696</v>
      </c>
      <c r="B339" s="4" t="s">
        <v>697</v>
      </c>
      <c r="C339" s="5">
        <v>1662</v>
      </c>
      <c r="D339" s="6" t="s">
        <v>11</v>
      </c>
      <c r="E339" s="6" t="s">
        <v>17</v>
      </c>
      <c r="F339" s="7">
        <v>34700</v>
      </c>
      <c r="G339" s="8">
        <f t="shared" si="5"/>
        <v>34700</v>
      </c>
      <c r="H339" s="6" t="s">
        <v>13</v>
      </c>
      <c r="I339" s="9">
        <f>MAX(original!I339,piwebapi_edit!I339,car_edit!I339)</f>
        <v>59939.205180808298</v>
      </c>
      <c r="J339" s="9">
        <f>MAX(original!J339,piwebapi_edit!J339,car_edit!J339)</f>
        <v>250.08967720369199</v>
      </c>
      <c r="K339" s="17"/>
    </row>
    <row r="340" spans="1:11" x14ac:dyDescent="0.25">
      <c r="A340" s="3" t="s">
        <v>698</v>
      </c>
      <c r="B340" s="4" t="s">
        <v>699</v>
      </c>
      <c r="C340" s="5">
        <v>1797</v>
      </c>
      <c r="D340" s="6" t="s">
        <v>11</v>
      </c>
      <c r="E340" s="6" t="s">
        <v>17</v>
      </c>
      <c r="F340" s="7">
        <v>33970</v>
      </c>
      <c r="G340" s="8">
        <f t="shared" si="5"/>
        <v>33970</v>
      </c>
      <c r="H340" s="6" t="s">
        <v>13</v>
      </c>
      <c r="I340" s="9">
        <f>MAX(original!I340,piwebapi_edit!I340,car_edit!I340)</f>
        <v>6355.0224034276698</v>
      </c>
      <c r="J340" s="9">
        <f>MAX(original!J340,piwebapi_edit!J340,car_edit!J340)</f>
        <v>119.047619448731</v>
      </c>
      <c r="K340" s="17"/>
    </row>
    <row r="341" spans="1:11" x14ac:dyDescent="0.25">
      <c r="A341" s="3" t="s">
        <v>700</v>
      </c>
      <c r="B341" s="4" t="s">
        <v>701</v>
      </c>
      <c r="C341" s="5">
        <v>1136</v>
      </c>
      <c r="D341" s="6" t="s">
        <v>31</v>
      </c>
      <c r="E341" s="6" t="s">
        <v>17</v>
      </c>
      <c r="F341" s="7">
        <v>29221</v>
      </c>
      <c r="G341" s="8">
        <f t="shared" si="5"/>
        <v>29221</v>
      </c>
      <c r="H341" s="6" t="s">
        <v>13</v>
      </c>
      <c r="I341" s="9">
        <f>MAX(original!I341,piwebapi_edit!I341,car_edit!I341)</f>
        <v>9976.7806973695206</v>
      </c>
      <c r="J341" s="9">
        <f>MAX(original!J341,piwebapi_edit!J341,car_edit!J341)</f>
        <v>392.43167999921002</v>
      </c>
      <c r="K341" s="17"/>
    </row>
    <row r="342" spans="1:11" x14ac:dyDescent="0.25">
      <c r="A342" s="3" t="s">
        <v>702</v>
      </c>
      <c r="B342" s="4" t="s">
        <v>703</v>
      </c>
      <c r="C342" s="5">
        <v>1936</v>
      </c>
      <c r="D342" s="6" t="s">
        <v>34</v>
      </c>
      <c r="E342" s="6" t="s">
        <v>17</v>
      </c>
      <c r="F342" s="7">
        <v>36314</v>
      </c>
      <c r="G342" s="8">
        <f t="shared" si="5"/>
        <v>36314</v>
      </c>
      <c r="H342" s="6" t="s">
        <v>13</v>
      </c>
      <c r="I342" s="9">
        <f>MAX(original!I342,piwebapi_edit!I342,car_edit!I342)</f>
        <v>14699.2654919004</v>
      </c>
      <c r="J342" s="9">
        <f>MAX(original!J342,piwebapi_edit!J342,car_edit!J342)</f>
        <v>238.40311254094999</v>
      </c>
      <c r="K342" s="17"/>
    </row>
    <row r="343" spans="1:11" x14ac:dyDescent="0.25">
      <c r="A343" s="3" t="s">
        <v>704</v>
      </c>
      <c r="B343" s="4" t="s">
        <v>705</v>
      </c>
      <c r="C343" s="14">
        <v>1481</v>
      </c>
      <c r="D343" s="6" t="s">
        <v>34</v>
      </c>
      <c r="E343" s="6" t="s">
        <v>17</v>
      </c>
      <c r="F343" s="7">
        <v>37803</v>
      </c>
      <c r="G343" s="8">
        <f t="shared" si="5"/>
        <v>37803</v>
      </c>
      <c r="H343" s="6" t="s">
        <v>13</v>
      </c>
      <c r="I343" s="9">
        <f>MAX(original!I343,piwebapi_edit!I343,car_edit!I343)</f>
        <v>825185.39</v>
      </c>
      <c r="J343" s="9">
        <f>MAX(original!J343,piwebapi_edit!J343,car_edit!J343)</f>
        <v>2300</v>
      </c>
      <c r="K343" s="17"/>
    </row>
    <row r="344" spans="1:11" ht="30" x14ac:dyDescent="0.25">
      <c r="A344" s="18" t="s">
        <v>706</v>
      </c>
      <c r="B344" s="19" t="s">
        <v>707</v>
      </c>
      <c r="C344" s="20">
        <v>8968</v>
      </c>
      <c r="D344" s="21" t="s">
        <v>34</v>
      </c>
      <c r="E344" s="21" t="s">
        <v>17</v>
      </c>
      <c r="F344" s="22">
        <v>37734</v>
      </c>
      <c r="G344" s="23">
        <f t="shared" si="5"/>
        <v>37734</v>
      </c>
      <c r="H344" s="21" t="s">
        <v>13</v>
      </c>
      <c r="I344" s="9">
        <f>MAX(original!I344,piwebapi_edit!I344,car_edit!I344)</f>
        <v>37398.236969550097</v>
      </c>
      <c r="J344" s="9">
        <f>MAX(original!J344,piwebapi_edit!J344,car_edit!J344)</f>
        <v>115.84705451378299</v>
      </c>
      <c r="K344" s="25"/>
    </row>
    <row r="345" spans="1:11" x14ac:dyDescent="0.25">
      <c r="A345" s="3" t="s">
        <v>708</v>
      </c>
      <c r="B345" s="4" t="s">
        <v>709</v>
      </c>
      <c r="C345" s="5">
        <v>47441</v>
      </c>
      <c r="D345" s="6" t="s">
        <v>34</v>
      </c>
      <c r="E345" s="6" t="s">
        <v>17</v>
      </c>
      <c r="F345" s="7">
        <v>38483</v>
      </c>
      <c r="G345" s="8">
        <f t="shared" si="5"/>
        <v>38483</v>
      </c>
      <c r="H345" s="6" t="s">
        <v>13</v>
      </c>
      <c r="I345" s="9">
        <f>MAX(original!I345,piwebapi_edit!I345,car_edit!I345)</f>
        <v>6742.9300345724996</v>
      </c>
      <c r="J345" s="9">
        <f>MAX(original!J345,piwebapi_edit!J345,car_edit!J345)</f>
        <v>150.02947863678301</v>
      </c>
      <c r="K345" s="17"/>
    </row>
    <row r="346" spans="1:11" x14ac:dyDescent="0.25">
      <c r="A346" s="3" t="s">
        <v>710</v>
      </c>
      <c r="B346" s="4" t="s">
        <v>711</v>
      </c>
      <c r="C346" s="5">
        <v>1485</v>
      </c>
      <c r="D346" s="6" t="s">
        <v>34</v>
      </c>
      <c r="E346" s="6" t="s">
        <v>17</v>
      </c>
      <c r="F346" s="7">
        <v>36433</v>
      </c>
      <c r="G346" s="8">
        <f t="shared" si="5"/>
        <v>36433</v>
      </c>
      <c r="H346" s="6" t="s">
        <v>13</v>
      </c>
      <c r="I346" s="9">
        <f>MAX(original!I346,piwebapi_edit!I346,car_edit!I346)</f>
        <v>10795.7246079749</v>
      </c>
      <c r="J346" s="9">
        <f>MAX(original!J346,piwebapi_edit!J346,car_edit!J346)</f>
        <v>168.66540183830901</v>
      </c>
      <c r="K346" s="17"/>
    </row>
    <row r="347" spans="1:11" x14ac:dyDescent="0.25">
      <c r="A347" s="3" t="s">
        <v>712</v>
      </c>
      <c r="B347" s="4" t="s">
        <v>713</v>
      </c>
      <c r="C347" s="5">
        <v>85859</v>
      </c>
      <c r="D347" s="6" t="s">
        <v>28</v>
      </c>
      <c r="E347" s="6" t="s">
        <v>17</v>
      </c>
      <c r="F347" s="7">
        <v>40554</v>
      </c>
      <c r="G347" s="8">
        <f t="shared" si="5"/>
        <v>40554</v>
      </c>
      <c r="H347" s="6" t="s">
        <v>13</v>
      </c>
      <c r="I347" s="9">
        <f>MAX(original!I347,piwebapi_edit!I347,car_edit!I347)</f>
        <v>1517.6998677520098</v>
      </c>
      <c r="J347" s="9">
        <f>MAX(original!J347,piwebapi_edit!J347,car_edit!J347)</f>
        <v>45.385126927708399</v>
      </c>
      <c r="K347" s="17"/>
    </row>
    <row r="348" spans="1:11" ht="30" x14ac:dyDescent="0.25">
      <c r="A348" s="18" t="s">
        <v>714</v>
      </c>
      <c r="B348" s="19" t="s">
        <v>715</v>
      </c>
      <c r="C348" s="5">
        <v>54512</v>
      </c>
      <c r="D348" s="21" t="s">
        <v>11</v>
      </c>
      <c r="E348" s="21" t="s">
        <v>12</v>
      </c>
      <c r="F348" s="22">
        <v>37546</v>
      </c>
      <c r="G348" s="23">
        <f t="shared" si="5"/>
        <v>37546</v>
      </c>
      <c r="H348" s="21" t="s">
        <v>39</v>
      </c>
      <c r="I348" s="9">
        <f>MAX(original!I348,piwebapi_edit!I348,car_edit!I348)</f>
        <v>65984.638798090702</v>
      </c>
      <c r="J348" s="9">
        <f>MAX(original!J348,piwebapi_edit!J348,car_edit!J348)</f>
        <v>476.55592534031501</v>
      </c>
      <c r="K348" s="25"/>
    </row>
    <row r="349" spans="1:11" x14ac:dyDescent="0.25">
      <c r="A349" s="3" t="s">
        <v>716</v>
      </c>
      <c r="B349" s="4" t="s">
        <v>717</v>
      </c>
      <c r="C349" s="5">
        <v>1513</v>
      </c>
      <c r="D349" s="6" t="s">
        <v>28</v>
      </c>
      <c r="E349" s="6" t="s">
        <v>17</v>
      </c>
      <c r="F349" s="7">
        <v>29952</v>
      </c>
      <c r="G349" s="8">
        <f t="shared" si="5"/>
        <v>29952</v>
      </c>
      <c r="H349" s="6" t="s">
        <v>13</v>
      </c>
      <c r="I349" s="9">
        <f>MAX(original!I349,piwebapi_edit!I349,car_edit!I349)</f>
        <v>41262.5987415743</v>
      </c>
      <c r="J349" s="9">
        <f>MAX(original!J349,piwebapi_edit!J349,car_edit!J349)</f>
        <v>247.664879934216</v>
      </c>
      <c r="K349" s="17"/>
    </row>
    <row r="350" spans="1:11" x14ac:dyDescent="0.25">
      <c r="A350" s="3" t="s">
        <v>718</v>
      </c>
      <c r="B350" s="4" t="s">
        <v>719</v>
      </c>
      <c r="C350" s="5">
        <v>14088</v>
      </c>
      <c r="D350" s="6" t="s">
        <v>37</v>
      </c>
      <c r="E350" s="6" t="s">
        <v>38</v>
      </c>
      <c r="F350" s="7">
        <v>37125</v>
      </c>
      <c r="G350" s="8">
        <f t="shared" si="5"/>
        <v>37125</v>
      </c>
      <c r="H350" s="6" t="s">
        <v>39</v>
      </c>
      <c r="I350" s="9">
        <f>MAX(original!I350,piwebapi_edit!I350,car_edit!I350)</f>
        <v>15345.3101686684</v>
      </c>
      <c r="J350" s="9">
        <f>MAX(original!J350,piwebapi_edit!J350,car_edit!J350)</f>
        <v>78.252704297139701</v>
      </c>
      <c r="K350" s="17"/>
    </row>
    <row r="351" spans="1:11" x14ac:dyDescent="0.25">
      <c r="A351" s="3" t="s">
        <v>720</v>
      </c>
      <c r="B351" s="4" t="s">
        <v>721</v>
      </c>
      <c r="C351" s="5">
        <v>2046</v>
      </c>
      <c r="D351" s="6" t="s">
        <v>34</v>
      </c>
      <c r="E351" s="6" t="s">
        <v>17</v>
      </c>
      <c r="F351" s="7">
        <v>35431</v>
      </c>
      <c r="G351" s="8">
        <f t="shared" si="5"/>
        <v>35431</v>
      </c>
      <c r="H351" s="6" t="s">
        <v>13</v>
      </c>
      <c r="I351" s="9">
        <f>MAX(original!I351,piwebapi_edit!I351,car_edit!I351)</f>
        <v>11303.743163844199</v>
      </c>
      <c r="J351" s="9">
        <f>MAX(original!J351,piwebapi_edit!J351,car_edit!J351)</f>
        <v>170.978268384236</v>
      </c>
      <c r="K351" s="17"/>
    </row>
    <row r="352" spans="1:11" x14ac:dyDescent="0.25">
      <c r="A352" s="3" t="s">
        <v>722</v>
      </c>
      <c r="B352" s="4" t="s">
        <v>723</v>
      </c>
      <c r="C352" s="5">
        <v>1703</v>
      </c>
      <c r="D352" s="6" t="s">
        <v>31</v>
      </c>
      <c r="E352" s="6" t="s">
        <v>17</v>
      </c>
      <c r="F352" s="7">
        <v>29221</v>
      </c>
      <c r="G352" s="8">
        <f t="shared" si="5"/>
        <v>29221</v>
      </c>
      <c r="H352" s="6" t="s">
        <v>13</v>
      </c>
      <c r="I352" s="9">
        <f>MAX(original!I352,piwebapi_edit!I352,car_edit!I352)</f>
        <v>4408.7533154165703</v>
      </c>
      <c r="J352" s="9">
        <f>MAX(original!J352,piwebapi_edit!J352,car_edit!J352)</f>
        <v>129.296680993092</v>
      </c>
      <c r="K352" s="17"/>
    </row>
    <row r="353" spans="1:11" x14ac:dyDescent="0.25">
      <c r="A353" s="3" t="s">
        <v>724</v>
      </c>
      <c r="B353" s="4" t="s">
        <v>725</v>
      </c>
      <c r="C353" s="5">
        <v>54529</v>
      </c>
      <c r="D353" s="6" t="s">
        <v>31</v>
      </c>
      <c r="E353" s="6" t="s">
        <v>17</v>
      </c>
      <c r="F353" s="7">
        <v>37167</v>
      </c>
      <c r="G353" s="8">
        <f t="shared" si="5"/>
        <v>37167</v>
      </c>
      <c r="H353" s="6" t="s">
        <v>13</v>
      </c>
      <c r="I353" s="9">
        <f>MAX(original!I353,piwebapi_edit!I353,car_edit!I353)</f>
        <v>23203.336676011801</v>
      </c>
      <c r="J353" s="9">
        <f>MAX(original!J353,piwebapi_edit!J353,car_edit!J353)</f>
        <v>66.448808805289104</v>
      </c>
      <c r="K353" s="17"/>
    </row>
    <row r="354" spans="1:11" x14ac:dyDescent="0.25">
      <c r="A354" s="3" t="s">
        <v>726</v>
      </c>
      <c r="B354" s="4" t="s">
        <v>727</v>
      </c>
      <c r="C354" s="5">
        <v>17288</v>
      </c>
      <c r="D354" s="6" t="s">
        <v>31</v>
      </c>
      <c r="E354" s="6" t="s">
        <v>17</v>
      </c>
      <c r="F354" s="7">
        <v>41361</v>
      </c>
      <c r="G354" s="8">
        <f t="shared" si="5"/>
        <v>41361</v>
      </c>
      <c r="H354" s="6" t="s">
        <v>13</v>
      </c>
      <c r="I354" s="9">
        <f>MAX(original!I354,piwebapi_edit!I354,car_edit!I354)</f>
        <v>388164.89999999997</v>
      </c>
      <c r="J354" s="9">
        <f>MAX(original!J354,piwebapi_edit!J354,car_edit!J354)</f>
        <v>1650</v>
      </c>
      <c r="K354" s="17"/>
    </row>
    <row r="355" spans="1:11" x14ac:dyDescent="0.25">
      <c r="A355" s="3" t="s">
        <v>728</v>
      </c>
      <c r="B355" s="4" t="s">
        <v>729</v>
      </c>
      <c r="C355" s="5">
        <v>12483</v>
      </c>
      <c r="D355" s="6" t="s">
        <v>31</v>
      </c>
      <c r="E355" s="6" t="s">
        <v>17</v>
      </c>
      <c r="F355" s="7">
        <v>32532</v>
      </c>
      <c r="G355" s="8">
        <f t="shared" si="5"/>
        <v>32532</v>
      </c>
      <c r="H355" s="6" t="s">
        <v>13</v>
      </c>
      <c r="I355" s="9">
        <f>MAX(original!I355,piwebapi_edit!I355,car_edit!I355)</f>
        <v>10243.4260811725</v>
      </c>
      <c r="J355" s="9">
        <f>MAX(original!J355,piwebapi_edit!J355,car_edit!J355)</f>
        <v>57.729019057709102</v>
      </c>
      <c r="K355" s="17"/>
    </row>
    <row r="356" spans="1:11" x14ac:dyDescent="0.25">
      <c r="A356" s="3" t="s">
        <v>730</v>
      </c>
      <c r="B356" s="4" t="s">
        <v>731</v>
      </c>
      <c r="C356" s="5">
        <v>19205</v>
      </c>
      <c r="D356" s="6" t="s">
        <v>16</v>
      </c>
      <c r="E356" s="6" t="s">
        <v>17</v>
      </c>
      <c r="F356" s="7">
        <v>38426</v>
      </c>
      <c r="G356" s="8">
        <f t="shared" si="5"/>
        <v>38426</v>
      </c>
      <c r="H356" s="6" t="s">
        <v>13</v>
      </c>
      <c r="I356" s="9">
        <f>MAX(original!I356,piwebapi_edit!I356,car_edit!I356)</f>
        <v>32271.872406002898</v>
      </c>
      <c r="J356" s="9">
        <f>MAX(original!J356,piwebapi_edit!J356,car_edit!J356)</f>
        <v>241.07022018467899</v>
      </c>
      <c r="K356" s="17"/>
    </row>
    <row r="357" spans="1:11" x14ac:dyDescent="0.25">
      <c r="A357" s="3" t="s">
        <v>732</v>
      </c>
      <c r="B357" s="4" t="s">
        <v>733</v>
      </c>
      <c r="C357" s="5">
        <v>72146</v>
      </c>
      <c r="D357" s="6" t="s">
        <v>34</v>
      </c>
      <c r="E357" s="6" t="s">
        <v>17</v>
      </c>
      <c r="F357" s="7">
        <v>39017</v>
      </c>
      <c r="G357" s="8">
        <f t="shared" si="5"/>
        <v>39017</v>
      </c>
      <c r="H357" s="6" t="s">
        <v>13</v>
      </c>
      <c r="I357" s="9">
        <f>MAX(original!I357,piwebapi_edit!I357,car_edit!I357)</f>
        <v>3695.6247705360597</v>
      </c>
      <c r="J357" s="9">
        <f>MAX(original!J357,piwebapi_edit!J357,car_edit!J357)</f>
        <v>160.539952235859</v>
      </c>
      <c r="K357" s="17"/>
    </row>
    <row r="358" spans="1:11" x14ac:dyDescent="0.25">
      <c r="A358" s="3" t="s">
        <v>734</v>
      </c>
      <c r="B358" s="4" t="s">
        <v>735</v>
      </c>
      <c r="C358" s="5">
        <v>1143</v>
      </c>
      <c r="D358" s="6" t="s">
        <v>34</v>
      </c>
      <c r="E358" s="6" t="s">
        <v>17</v>
      </c>
      <c r="F358" s="7">
        <v>34828</v>
      </c>
      <c r="G358" s="8">
        <f t="shared" si="5"/>
        <v>34828</v>
      </c>
      <c r="H358" s="6" t="s">
        <v>13</v>
      </c>
      <c r="I358" s="9">
        <f>MAX(original!I358,piwebapi_edit!I358,car_edit!I358)</f>
        <v>1444.4013172984801</v>
      </c>
      <c r="J358" s="9">
        <f>MAX(original!J358,piwebapi_edit!J358,car_edit!J358)</f>
        <v>227.91013144792899</v>
      </c>
      <c r="K358" s="17"/>
    </row>
    <row r="359" spans="1:11" x14ac:dyDescent="0.25">
      <c r="A359" s="3" t="s">
        <v>736</v>
      </c>
      <c r="B359" s="4" t="s">
        <v>737</v>
      </c>
      <c r="C359" s="5">
        <v>14404</v>
      </c>
      <c r="D359" s="6" t="s">
        <v>11</v>
      </c>
      <c r="E359" s="6" t="s">
        <v>17</v>
      </c>
      <c r="F359" s="7">
        <v>38211</v>
      </c>
      <c r="G359" s="8">
        <f t="shared" si="5"/>
        <v>38211</v>
      </c>
      <c r="H359" s="6" t="s">
        <v>13</v>
      </c>
      <c r="I359" s="9">
        <f>MAX(original!I359,piwebapi_edit!I359,car_edit!I359)</f>
        <v>137432.27722899799</v>
      </c>
      <c r="J359" s="9">
        <f>MAX(original!J359,piwebapi_edit!J359,car_edit!J359)</f>
        <v>428.16869235980198</v>
      </c>
      <c r="K359" s="17"/>
    </row>
    <row r="360" spans="1:11" x14ac:dyDescent="0.25">
      <c r="A360" s="3" t="s">
        <v>738</v>
      </c>
      <c r="B360" s="4" t="s">
        <v>739</v>
      </c>
      <c r="C360" s="14">
        <v>1577</v>
      </c>
      <c r="D360" s="6" t="s">
        <v>31</v>
      </c>
      <c r="E360" s="6" t="s">
        <v>17</v>
      </c>
      <c r="F360" s="7">
        <v>29221</v>
      </c>
      <c r="G360" s="8">
        <f t="shared" si="5"/>
        <v>29221</v>
      </c>
      <c r="H360" s="6" t="s">
        <v>13</v>
      </c>
      <c r="I360" s="9">
        <f>MAX(original!I360,piwebapi_edit!I360,car_edit!I360)</f>
        <v>127144.580837906</v>
      </c>
      <c r="J360" s="9">
        <f>MAX(original!J360,piwebapi_edit!J360,car_edit!J360)</f>
        <v>375.13680252317999</v>
      </c>
      <c r="K360" s="17"/>
    </row>
    <row r="361" spans="1:11" ht="30" x14ac:dyDescent="0.25">
      <c r="A361" s="18" t="s">
        <v>740</v>
      </c>
      <c r="B361" s="19" t="s">
        <v>741</v>
      </c>
      <c r="C361" s="5">
        <v>1492</v>
      </c>
      <c r="D361" s="21" t="s">
        <v>28</v>
      </c>
      <c r="E361" s="21" t="s">
        <v>17</v>
      </c>
      <c r="F361" s="22">
        <v>26549</v>
      </c>
      <c r="G361" s="23">
        <f t="shared" si="5"/>
        <v>26549</v>
      </c>
      <c r="H361" s="21" t="s">
        <v>13</v>
      </c>
      <c r="I361" s="9">
        <f>MAX(original!I361,piwebapi_edit!I361,car_edit!I361)</f>
        <v>403340.85</v>
      </c>
      <c r="J361" s="9">
        <f>MAX(original!J361,piwebapi_edit!J361,car_edit!J361)</f>
        <v>1000</v>
      </c>
      <c r="K361" s="25"/>
    </row>
    <row r="362" spans="1:11" x14ac:dyDescent="0.25">
      <c r="A362" s="3" t="s">
        <v>742</v>
      </c>
      <c r="B362" s="4" t="s">
        <v>743</v>
      </c>
      <c r="C362" s="5">
        <v>1504</v>
      </c>
      <c r="D362" s="6" t="s">
        <v>28</v>
      </c>
      <c r="E362" s="6" t="s">
        <v>17</v>
      </c>
      <c r="F362" s="7">
        <v>29221</v>
      </c>
      <c r="G362" s="8">
        <f t="shared" si="5"/>
        <v>29221</v>
      </c>
      <c r="H362" s="6" t="s">
        <v>13</v>
      </c>
      <c r="I362" s="9">
        <f>MAX(original!I362,piwebapi_edit!I362,car_edit!I362)</f>
        <v>14820.2541751594</v>
      </c>
      <c r="J362" s="9">
        <f>MAX(original!J362,piwebapi_edit!J362,car_edit!J362)</f>
        <v>322.19108953639301</v>
      </c>
      <c r="K362" s="17"/>
    </row>
    <row r="363" spans="1:11" x14ac:dyDescent="0.25">
      <c r="A363" s="3" t="s">
        <v>744</v>
      </c>
      <c r="B363" s="4" t="s">
        <v>745</v>
      </c>
      <c r="C363" s="5">
        <v>1448</v>
      </c>
      <c r="D363" s="6" t="s">
        <v>11</v>
      </c>
      <c r="E363" s="6" t="s">
        <v>17</v>
      </c>
      <c r="F363" s="7">
        <v>35431</v>
      </c>
      <c r="G363" s="8">
        <f t="shared" si="5"/>
        <v>35431</v>
      </c>
      <c r="H363" s="6" t="s">
        <v>13</v>
      </c>
      <c r="I363" s="9">
        <f>MAX(original!I363,piwebapi_edit!I363,car_edit!I363)</f>
        <v>16469.2381398545</v>
      </c>
      <c r="J363" s="9">
        <f>MAX(original!J363,piwebapi_edit!J363,car_edit!J363)</f>
        <v>98.920540721555497</v>
      </c>
      <c r="K363" s="17"/>
    </row>
    <row r="364" spans="1:11" x14ac:dyDescent="0.25">
      <c r="A364" s="3" t="s">
        <v>746</v>
      </c>
      <c r="B364" s="4" t="s">
        <v>747</v>
      </c>
      <c r="C364" s="5">
        <v>12815</v>
      </c>
      <c r="D364" s="6" t="s">
        <v>31</v>
      </c>
      <c r="E364" s="6" t="s">
        <v>17</v>
      </c>
      <c r="F364" s="7">
        <v>34129</v>
      </c>
      <c r="G364" s="8">
        <f t="shared" si="5"/>
        <v>34129</v>
      </c>
      <c r="H364" s="6" t="s">
        <v>13</v>
      </c>
      <c r="I364" s="9">
        <f>MAX(original!I364,piwebapi_edit!I364,car_edit!I364)</f>
        <v>9751.1694344194093</v>
      </c>
      <c r="J364" s="9">
        <f>MAX(original!J364,piwebapi_edit!J364,car_edit!J364)</f>
        <v>252.691058553083</v>
      </c>
      <c r="K364" s="17"/>
    </row>
    <row r="365" spans="1:11" x14ac:dyDescent="0.25">
      <c r="A365" s="3" t="s">
        <v>748</v>
      </c>
      <c r="B365" s="4" t="s">
        <v>749</v>
      </c>
      <c r="C365" s="5">
        <v>1272</v>
      </c>
      <c r="D365" s="6" t="s">
        <v>16</v>
      </c>
      <c r="E365" s="6" t="s">
        <v>17</v>
      </c>
      <c r="F365" s="7">
        <v>29221</v>
      </c>
      <c r="G365" s="8">
        <f t="shared" si="5"/>
        <v>29221</v>
      </c>
      <c r="H365" s="6" t="s">
        <v>13</v>
      </c>
      <c r="I365" s="9">
        <f>MAX(original!I365,piwebapi_edit!I365,car_edit!I365)</f>
        <v>4200.7780551055994</v>
      </c>
      <c r="J365" s="9">
        <f>MAX(original!J365,piwebapi_edit!J365,car_edit!J365)</f>
        <v>119.034277795207</v>
      </c>
      <c r="K365" s="17"/>
    </row>
    <row r="366" spans="1:11" x14ac:dyDescent="0.25">
      <c r="A366" s="3" t="s">
        <v>750</v>
      </c>
      <c r="B366" s="4" t="s">
        <v>751</v>
      </c>
      <c r="C366" s="5">
        <v>1833</v>
      </c>
      <c r="D366" s="6" t="s">
        <v>16</v>
      </c>
      <c r="E366" s="6" t="s">
        <v>17</v>
      </c>
      <c r="F366" s="7">
        <v>29221</v>
      </c>
      <c r="G366" s="8">
        <f t="shared" si="5"/>
        <v>29221</v>
      </c>
      <c r="H366" s="6" t="s">
        <v>13</v>
      </c>
      <c r="I366" s="9">
        <f>MAX(original!I366,piwebapi_edit!I366,car_edit!I366)</f>
        <v>20920.1519309123</v>
      </c>
      <c r="J366" s="9">
        <f>MAX(original!J366,piwebapi_edit!J366,car_edit!J366)</f>
        <v>116.23087537875401</v>
      </c>
      <c r="K366" s="17"/>
    </row>
    <row r="367" spans="1:11" x14ac:dyDescent="0.25">
      <c r="A367" s="3" t="s">
        <v>752</v>
      </c>
      <c r="B367" s="4" t="s">
        <v>753</v>
      </c>
      <c r="C367" s="5">
        <v>29847</v>
      </c>
      <c r="D367" s="6" t="s">
        <v>34</v>
      </c>
      <c r="E367" s="6" t="s">
        <v>17</v>
      </c>
      <c r="F367" s="7">
        <v>33176</v>
      </c>
      <c r="G367" s="8">
        <f t="shared" si="5"/>
        <v>33176</v>
      </c>
      <c r="H367" s="6" t="s">
        <v>13</v>
      </c>
      <c r="I367" s="9">
        <f>MAX(original!I367,piwebapi_edit!I367,car_edit!I367)</f>
        <v>2000</v>
      </c>
      <c r="J367" s="9">
        <f>MAX(original!J367,piwebapi_edit!J367,car_edit!J367)</f>
        <v>770</v>
      </c>
      <c r="K367" s="17"/>
    </row>
    <row r="368" spans="1:11" x14ac:dyDescent="0.25">
      <c r="A368" s="3" t="s">
        <v>754</v>
      </c>
      <c r="B368" s="4" t="s">
        <v>755</v>
      </c>
      <c r="C368" s="5">
        <v>2008</v>
      </c>
      <c r="D368" s="6" t="s">
        <v>16</v>
      </c>
      <c r="E368" s="6" t="s">
        <v>17</v>
      </c>
      <c r="F368" s="7">
        <v>32874</v>
      </c>
      <c r="G368" s="8">
        <f t="shared" si="5"/>
        <v>32874</v>
      </c>
      <c r="H368" s="6" t="s">
        <v>13</v>
      </c>
      <c r="I368" s="9">
        <f>MAX(original!I368,piwebapi_edit!I368,car_edit!I368)</f>
        <v>10104.4138745417</v>
      </c>
      <c r="J368" s="9">
        <f>MAX(original!J368,piwebapi_edit!J368,car_edit!J368)</f>
        <v>195.76960921178099</v>
      </c>
      <c r="K368" s="17"/>
    </row>
    <row r="369" spans="1:11" x14ac:dyDescent="0.25">
      <c r="A369" s="3" t="s">
        <v>756</v>
      </c>
      <c r="B369" s="4" t="s">
        <v>757</v>
      </c>
      <c r="C369" s="5">
        <v>54530</v>
      </c>
      <c r="D369" s="6" t="s">
        <v>28</v>
      </c>
      <c r="E369" s="6" t="s">
        <v>17</v>
      </c>
      <c r="F369" s="7">
        <v>38401</v>
      </c>
      <c r="G369" s="8">
        <f t="shared" si="5"/>
        <v>38401</v>
      </c>
      <c r="H369" s="6" t="s">
        <v>13</v>
      </c>
      <c r="I369" s="9">
        <f>MAX(original!I369,piwebapi_edit!I369,car_edit!I369)</f>
        <v>7514.22500061339</v>
      </c>
      <c r="J369" s="9">
        <f>MAX(original!J369,piwebapi_edit!J369,car_edit!J369)</f>
        <v>54.2293799145177</v>
      </c>
      <c r="K369" s="11"/>
    </row>
    <row r="370" spans="1:11" x14ac:dyDescent="0.25">
      <c r="A370" s="3" t="s">
        <v>758</v>
      </c>
      <c r="B370" s="4" t="s">
        <v>759</v>
      </c>
      <c r="C370" s="5">
        <v>21451</v>
      </c>
      <c r="D370" s="6" t="s">
        <v>28</v>
      </c>
      <c r="E370" s="6" t="s">
        <v>17</v>
      </c>
      <c r="F370" s="7">
        <v>38665</v>
      </c>
      <c r="G370" s="8">
        <f t="shared" si="5"/>
        <v>38665</v>
      </c>
      <c r="H370" s="6" t="s">
        <v>13</v>
      </c>
      <c r="I370" s="9">
        <f>MAX(original!I370,piwebapi_edit!I370,car_edit!I370)</f>
        <v>15867.445214290199</v>
      </c>
      <c r="J370" s="9">
        <f>MAX(original!J370,piwebapi_edit!J370,car_edit!J370)</f>
        <v>299.86221056359199</v>
      </c>
      <c r="K370" s="17"/>
    </row>
    <row r="371" spans="1:11" x14ac:dyDescent="0.25">
      <c r="A371" s="3" t="s">
        <v>760</v>
      </c>
      <c r="B371" s="4" t="s">
        <v>761</v>
      </c>
      <c r="C371" s="5">
        <v>17924</v>
      </c>
      <c r="D371" s="6" t="s">
        <v>28</v>
      </c>
      <c r="E371" s="6" t="s">
        <v>17</v>
      </c>
      <c r="F371" s="7">
        <v>22661</v>
      </c>
      <c r="G371" s="8">
        <f t="shared" si="5"/>
        <v>22661</v>
      </c>
      <c r="H371" s="6" t="s">
        <v>13</v>
      </c>
      <c r="I371" s="9">
        <f>MAX(original!I371,piwebapi_edit!I371,car_edit!I371)</f>
        <v>6371.5105339392003</v>
      </c>
      <c r="J371" s="9">
        <f>MAX(original!J371,piwebapi_edit!J371,car_edit!J371)</f>
        <v>34.446293985642797</v>
      </c>
      <c r="K371" s="17"/>
    </row>
    <row r="372" spans="1:11" x14ac:dyDescent="0.25">
      <c r="A372" s="3" t="s">
        <v>762</v>
      </c>
      <c r="B372" s="4" t="s">
        <v>763</v>
      </c>
      <c r="C372" s="5">
        <v>1646</v>
      </c>
      <c r="D372" s="6" t="s">
        <v>28</v>
      </c>
      <c r="E372" s="6" t="s">
        <v>17</v>
      </c>
      <c r="F372" s="7">
        <v>36990</v>
      </c>
      <c r="G372" s="8">
        <f t="shared" si="5"/>
        <v>36990</v>
      </c>
      <c r="H372" s="6" t="s">
        <v>13</v>
      </c>
      <c r="I372" s="9">
        <f>MAX(original!I372,piwebapi_edit!I372,car_edit!I372)</f>
        <v>46287.4986463608</v>
      </c>
      <c r="J372" s="9">
        <f>MAX(original!J372,piwebapi_edit!J372,car_edit!J372)</f>
        <v>158.09882869302899</v>
      </c>
      <c r="K372" s="17"/>
    </row>
    <row r="373" spans="1:11" x14ac:dyDescent="0.25">
      <c r="A373" s="3" t="s">
        <v>764</v>
      </c>
      <c r="B373" s="4" t="s">
        <v>765</v>
      </c>
      <c r="C373" s="5">
        <v>16961</v>
      </c>
      <c r="D373" s="6" t="s">
        <v>16</v>
      </c>
      <c r="E373" s="6" t="s">
        <v>17</v>
      </c>
      <c r="F373" s="7">
        <v>30687</v>
      </c>
      <c r="G373" s="8">
        <f t="shared" si="5"/>
        <v>30687</v>
      </c>
      <c r="H373" s="6" t="s">
        <v>13</v>
      </c>
      <c r="I373" s="9">
        <f>MAX(original!I373,piwebapi_edit!I373,car_edit!I373)</f>
        <v>10333.933884976499</v>
      </c>
      <c r="J373" s="9">
        <f>MAX(original!J373,piwebapi_edit!J373,car_edit!J373)</f>
        <v>126.418067461874</v>
      </c>
      <c r="K373" s="17"/>
    </row>
    <row r="374" spans="1:11" x14ac:dyDescent="0.25">
      <c r="A374" s="3" t="s">
        <v>766</v>
      </c>
      <c r="B374" s="4" t="s">
        <v>767</v>
      </c>
      <c r="C374" s="5">
        <v>1506</v>
      </c>
      <c r="D374" s="6" t="s">
        <v>28</v>
      </c>
      <c r="E374" s="6" t="s">
        <v>17</v>
      </c>
      <c r="F374" s="7">
        <v>25204</v>
      </c>
      <c r="G374" s="8">
        <f t="shared" si="5"/>
        <v>25204</v>
      </c>
      <c r="H374" s="6" t="s">
        <v>13</v>
      </c>
      <c r="I374" s="9">
        <f>MAX(original!I374,piwebapi_edit!I374,car_edit!I374)</f>
        <v>8521.41737536861</v>
      </c>
      <c r="J374" s="9">
        <f>MAX(original!J374,piwebapi_edit!J374,car_edit!J374)</f>
        <v>176.882652092684</v>
      </c>
      <c r="K374" s="17"/>
    </row>
    <row r="375" spans="1:11" x14ac:dyDescent="0.25">
      <c r="A375" s="26" t="s">
        <v>768</v>
      </c>
      <c r="B375" s="27" t="s">
        <v>769</v>
      </c>
      <c r="C375" s="34">
        <v>1976</v>
      </c>
      <c r="D375" s="28" t="s">
        <v>31</v>
      </c>
      <c r="E375" s="28" t="s">
        <v>17</v>
      </c>
      <c r="F375" s="29">
        <v>29221</v>
      </c>
      <c r="G375" s="30">
        <f t="shared" si="5"/>
        <v>29221</v>
      </c>
      <c r="H375" s="28" t="s">
        <v>13</v>
      </c>
      <c r="I375" s="9">
        <f>MAX(original!I375,piwebapi_edit!I375,car_edit!I375)</f>
        <v>166614.63</v>
      </c>
      <c r="J375" s="9">
        <f>MAX(original!J375,piwebapi_edit!J375,car_edit!J375)</f>
        <v>2000</v>
      </c>
      <c r="K375" s="33"/>
    </row>
    <row r="376" spans="1:11" x14ac:dyDescent="0.25">
      <c r="A376" s="3" t="s">
        <v>770</v>
      </c>
      <c r="B376" s="4" t="s">
        <v>771</v>
      </c>
      <c r="C376" s="14">
        <v>1670</v>
      </c>
      <c r="D376" s="6" t="s">
        <v>31</v>
      </c>
      <c r="E376" s="6" t="s">
        <v>17</v>
      </c>
      <c r="F376" s="7">
        <v>25569</v>
      </c>
      <c r="G376" s="8">
        <f t="shared" si="5"/>
        <v>25569</v>
      </c>
      <c r="H376" s="6" t="s">
        <v>13</v>
      </c>
      <c r="I376" s="9">
        <f>MAX(original!I376,piwebapi_edit!I376,car_edit!I376)</f>
        <v>136335.14637364299</v>
      </c>
      <c r="J376" s="9">
        <f>MAX(original!J376,piwebapi_edit!J376,car_edit!J376)</f>
        <v>511.83824989352303</v>
      </c>
      <c r="K376" s="17"/>
    </row>
    <row r="377" spans="1:11" x14ac:dyDescent="0.25">
      <c r="A377" s="3" t="s">
        <v>772</v>
      </c>
      <c r="B377" s="4" t="s">
        <v>773</v>
      </c>
      <c r="C377" s="5">
        <v>1796</v>
      </c>
      <c r="D377" s="6" t="s">
        <v>16</v>
      </c>
      <c r="E377" s="6" t="s">
        <v>17</v>
      </c>
      <c r="F377" s="7">
        <v>29221</v>
      </c>
      <c r="G377" s="8">
        <f t="shared" si="5"/>
        <v>29221</v>
      </c>
      <c r="H377" s="6" t="s">
        <v>13</v>
      </c>
      <c r="I377" s="9">
        <f>MAX(original!I377,piwebapi_edit!I377,car_edit!I377)</f>
        <v>8888.6602138018206</v>
      </c>
      <c r="J377" s="9">
        <f>MAX(original!J377,piwebapi_edit!J377,car_edit!J377)</f>
        <v>119.506603102789</v>
      </c>
      <c r="K377" s="17"/>
    </row>
    <row r="378" spans="1:11" ht="30" x14ac:dyDescent="0.25">
      <c r="A378" s="3" t="s">
        <v>774</v>
      </c>
      <c r="B378" s="4" t="s">
        <v>775</v>
      </c>
      <c r="C378" s="5">
        <v>36130</v>
      </c>
      <c r="D378" s="6" t="s">
        <v>11</v>
      </c>
      <c r="E378" s="6" t="s">
        <v>12</v>
      </c>
      <c r="F378" s="7">
        <v>35907</v>
      </c>
      <c r="G378" s="8">
        <f t="shared" si="5"/>
        <v>35907</v>
      </c>
      <c r="H378" s="6" t="s">
        <v>776</v>
      </c>
      <c r="I378" s="9">
        <f>MAX(original!I378,piwebapi_edit!I378,car_edit!I378)</f>
        <v>5358.6323380573103</v>
      </c>
      <c r="J378" s="9">
        <f>MAX(original!J378,piwebapi_edit!J378,car_edit!J378)</f>
        <v>140.633631974899</v>
      </c>
      <c r="K378" s="17"/>
    </row>
    <row r="379" spans="1:11" x14ac:dyDescent="0.25">
      <c r="A379" s="3" t="s">
        <v>777</v>
      </c>
      <c r="B379" s="4" t="s">
        <v>778</v>
      </c>
      <c r="C379" s="5">
        <v>53553</v>
      </c>
      <c r="D379" s="6" t="s">
        <v>28</v>
      </c>
      <c r="E379" s="6" t="s">
        <v>17</v>
      </c>
      <c r="F379" s="7">
        <v>39129</v>
      </c>
      <c r="G379" s="8">
        <f t="shared" si="5"/>
        <v>39129</v>
      </c>
      <c r="H379" s="6" t="s">
        <v>13</v>
      </c>
      <c r="I379" s="9">
        <f>MAX(original!I379,piwebapi_edit!I379,car_edit!I379)</f>
        <v>12228.83443001</v>
      </c>
      <c r="J379" s="9">
        <f>MAX(original!J379,piwebapi_edit!J379,car_edit!J379)</f>
        <v>154.46086019017301</v>
      </c>
      <c r="K379" s="17"/>
    </row>
    <row r="380" spans="1:11" x14ac:dyDescent="0.25">
      <c r="A380" s="3" t="s">
        <v>779</v>
      </c>
      <c r="B380" s="4" t="s">
        <v>780</v>
      </c>
      <c r="C380" s="14">
        <v>14086</v>
      </c>
      <c r="D380" s="6" t="s">
        <v>34</v>
      </c>
      <c r="E380" s="6" t="s">
        <v>17</v>
      </c>
      <c r="F380" s="7">
        <v>38251</v>
      </c>
      <c r="G380" s="8">
        <f t="shared" si="5"/>
        <v>38251</v>
      </c>
      <c r="H380" s="6" t="s">
        <v>13</v>
      </c>
      <c r="I380" s="9">
        <f>MAX(original!I380,piwebapi_edit!I380,car_edit!I380)</f>
        <v>80122.691323366002</v>
      </c>
      <c r="J380" s="9">
        <f>MAX(original!J380,piwebapi_edit!J380,car_edit!J380)</f>
        <v>372.78132403466702</v>
      </c>
      <c r="K380" s="11"/>
    </row>
    <row r="381" spans="1:11" x14ac:dyDescent="0.25">
      <c r="A381" s="3" t="s">
        <v>781</v>
      </c>
      <c r="B381" s="4" t="s">
        <v>782</v>
      </c>
      <c r="C381" s="14">
        <v>1547</v>
      </c>
      <c r="D381" s="6" t="s">
        <v>28</v>
      </c>
      <c r="E381" s="6" t="s">
        <v>17</v>
      </c>
      <c r="F381" s="7">
        <v>28185</v>
      </c>
      <c r="G381" s="8">
        <f t="shared" si="5"/>
        <v>28185</v>
      </c>
      <c r="H381" s="6" t="s">
        <v>13</v>
      </c>
      <c r="I381" s="9">
        <f>MAX(original!I381,piwebapi_edit!I381,car_edit!I381)</f>
        <v>160094.527717694</v>
      </c>
      <c r="J381" s="9">
        <f>MAX(original!J381,piwebapi_edit!J381,car_edit!J381)</f>
        <v>2000</v>
      </c>
      <c r="K381" s="17"/>
    </row>
    <row r="382" spans="1:11" x14ac:dyDescent="0.25">
      <c r="A382" s="3" t="s">
        <v>783</v>
      </c>
      <c r="B382" s="4" t="s">
        <v>784</v>
      </c>
      <c r="C382" s="5">
        <v>1407</v>
      </c>
      <c r="D382" s="6" t="s">
        <v>34</v>
      </c>
      <c r="E382" s="6" t="s">
        <v>17</v>
      </c>
      <c r="F382" s="7">
        <v>32143</v>
      </c>
      <c r="G382" s="8">
        <f t="shared" si="5"/>
        <v>32143</v>
      </c>
      <c r="H382" s="6" t="s">
        <v>13</v>
      </c>
      <c r="I382" s="9">
        <f>MAX(original!I382,piwebapi_edit!I382,car_edit!I382)</f>
        <v>14998.6929996246</v>
      </c>
      <c r="J382" s="9">
        <f>MAX(original!J382,piwebapi_edit!J382,car_edit!J382)</f>
        <v>1251.29218026373</v>
      </c>
      <c r="K382" s="17"/>
    </row>
    <row r="383" spans="1:11" x14ac:dyDescent="0.25">
      <c r="A383" s="3" t="s">
        <v>785</v>
      </c>
      <c r="B383" s="4" t="s">
        <v>786</v>
      </c>
      <c r="C383" s="5">
        <v>1599</v>
      </c>
      <c r="D383" s="6" t="s">
        <v>31</v>
      </c>
      <c r="E383" s="6" t="s">
        <v>17</v>
      </c>
      <c r="F383" s="7">
        <v>29221</v>
      </c>
      <c r="G383" s="8">
        <f t="shared" si="5"/>
        <v>29221</v>
      </c>
      <c r="H383" s="6" t="s">
        <v>13</v>
      </c>
      <c r="I383" s="9">
        <f>MAX(original!I383,piwebapi_edit!I383,car_edit!I383)</f>
        <v>49538.385047706099</v>
      </c>
      <c r="J383" s="9">
        <f>MAX(original!J383,piwebapi_edit!J383,car_edit!J383)</f>
        <v>206.590906484415</v>
      </c>
      <c r="K383" s="17"/>
    </row>
    <row r="384" spans="1:11" x14ac:dyDescent="0.25">
      <c r="A384" s="3" t="s">
        <v>787</v>
      </c>
      <c r="B384" s="4" t="s">
        <v>788</v>
      </c>
      <c r="C384" s="5">
        <v>1449</v>
      </c>
      <c r="D384" s="6" t="s">
        <v>11</v>
      </c>
      <c r="E384" s="6" t="s">
        <v>17</v>
      </c>
      <c r="F384" s="7">
        <v>35221</v>
      </c>
      <c r="G384" s="8">
        <f t="shared" si="5"/>
        <v>35221</v>
      </c>
      <c r="H384" s="6" t="s">
        <v>13</v>
      </c>
      <c r="I384" s="9">
        <f>MAX(original!I384,piwebapi_edit!I384,car_edit!I384)</f>
        <v>65283.763933139497</v>
      </c>
      <c r="J384" s="9">
        <f>MAX(original!J384,piwebapi_edit!J384,car_edit!J384)</f>
        <v>236.69775143206601</v>
      </c>
      <c r="K384" s="17"/>
    </row>
    <row r="385" spans="1:11" x14ac:dyDescent="0.25">
      <c r="A385" s="3" t="s">
        <v>789</v>
      </c>
      <c r="B385" s="4" t="s">
        <v>790</v>
      </c>
      <c r="C385" s="5">
        <v>1265</v>
      </c>
      <c r="D385" s="6" t="s">
        <v>11</v>
      </c>
      <c r="E385" s="6" t="s">
        <v>17</v>
      </c>
      <c r="F385" s="7">
        <v>35796</v>
      </c>
      <c r="G385" s="8">
        <f t="shared" si="5"/>
        <v>35796</v>
      </c>
      <c r="H385" s="6" t="s">
        <v>13</v>
      </c>
      <c r="I385" s="9">
        <f>MAX(original!I385,piwebapi_edit!I385,car_edit!I385)</f>
        <v>43724.263914053096</v>
      </c>
      <c r="J385" s="9">
        <f>MAX(original!J385,piwebapi_edit!J385,car_edit!J385)</f>
        <v>288.42909092773698</v>
      </c>
      <c r="K385" s="17"/>
    </row>
    <row r="386" spans="1:11" x14ac:dyDescent="0.25">
      <c r="A386" s="3" t="s">
        <v>791</v>
      </c>
      <c r="B386" s="4" t="s">
        <v>792</v>
      </c>
      <c r="C386" s="14">
        <v>10568</v>
      </c>
      <c r="D386" s="6" t="s">
        <v>11</v>
      </c>
      <c r="E386" s="6" t="s">
        <v>17</v>
      </c>
      <c r="F386" s="7">
        <v>37582</v>
      </c>
      <c r="G386" s="8">
        <f t="shared" ref="G386:G449" si="6">F386</f>
        <v>37582</v>
      </c>
      <c r="H386" s="6" t="s">
        <v>13</v>
      </c>
      <c r="I386" s="9">
        <f>MAX(original!I386,piwebapi_edit!I386,car_edit!I386)</f>
        <v>77285.030761333794</v>
      </c>
      <c r="J386" s="9">
        <f>MAX(original!J386,piwebapi_edit!J386,car_edit!J386)</f>
        <v>327.55868887623598</v>
      </c>
      <c r="K386" s="17"/>
    </row>
    <row r="387" spans="1:11" x14ac:dyDescent="0.25">
      <c r="A387" s="3" t="s">
        <v>793</v>
      </c>
      <c r="B387" s="4" t="s">
        <v>794</v>
      </c>
      <c r="C387" s="5">
        <v>48785</v>
      </c>
      <c r="D387" s="6" t="s">
        <v>37</v>
      </c>
      <c r="E387" s="6" t="s">
        <v>38</v>
      </c>
      <c r="F387" s="7">
        <v>36304</v>
      </c>
      <c r="G387" s="8">
        <f t="shared" si="6"/>
        <v>36304</v>
      </c>
      <c r="H387" s="6" t="s">
        <v>39</v>
      </c>
      <c r="I387" s="9">
        <f>MAX(original!I387,piwebapi_edit!I387,car_edit!I387)</f>
        <v>45365.640572150602</v>
      </c>
      <c r="J387" s="9">
        <f>MAX(original!J387,piwebapi_edit!J387,car_edit!J387)</f>
        <v>169.29174658440499</v>
      </c>
      <c r="K387" s="17"/>
    </row>
    <row r="388" spans="1:11" x14ac:dyDescent="0.25">
      <c r="A388" s="3" t="s">
        <v>795</v>
      </c>
      <c r="B388" s="4" t="s">
        <v>796</v>
      </c>
      <c r="C388" s="5">
        <v>1144</v>
      </c>
      <c r="D388" s="6" t="s">
        <v>34</v>
      </c>
      <c r="E388" s="6" t="s">
        <v>17</v>
      </c>
      <c r="F388" s="7">
        <v>25569</v>
      </c>
      <c r="G388" s="8">
        <f t="shared" si="6"/>
        <v>25569</v>
      </c>
      <c r="H388" s="6" t="s">
        <v>13</v>
      </c>
      <c r="I388" s="9">
        <f>MAX(original!I388,piwebapi_edit!I388,car_edit!I388)</f>
        <v>2811.8080555256302</v>
      </c>
      <c r="J388" s="9">
        <f>MAX(original!J388,piwebapi_edit!J388,car_edit!J388)</f>
        <v>61.949336545782302</v>
      </c>
      <c r="K388" s="17"/>
    </row>
    <row r="389" spans="1:11" x14ac:dyDescent="0.25">
      <c r="A389" s="3" t="s">
        <v>797</v>
      </c>
      <c r="B389" s="4" t="s">
        <v>798</v>
      </c>
      <c r="C389" s="5">
        <v>1620</v>
      </c>
      <c r="D389" s="6" t="s">
        <v>16</v>
      </c>
      <c r="E389" s="6" t="s">
        <v>17</v>
      </c>
      <c r="F389" s="7">
        <v>29354</v>
      </c>
      <c r="G389" s="8">
        <f t="shared" si="6"/>
        <v>29354</v>
      </c>
      <c r="H389" s="6" t="s">
        <v>13</v>
      </c>
      <c r="I389" s="9">
        <f>MAX(original!I389,piwebapi_edit!I389,car_edit!I389)</f>
        <v>34473.512402494998</v>
      </c>
      <c r="J389" s="9">
        <f>MAX(original!J389,piwebapi_edit!J389,car_edit!J389)</f>
        <v>193.61261080156299</v>
      </c>
      <c r="K389" s="17"/>
    </row>
    <row r="390" spans="1:11" x14ac:dyDescent="0.25">
      <c r="A390" s="3" t="s">
        <v>799</v>
      </c>
      <c r="B390" s="4" t="s">
        <v>800</v>
      </c>
      <c r="C390" s="5">
        <v>1320</v>
      </c>
      <c r="D390" s="6" t="s">
        <v>16</v>
      </c>
      <c r="E390" s="6" t="s">
        <v>17</v>
      </c>
      <c r="F390" s="7">
        <v>32385</v>
      </c>
      <c r="G390" s="8">
        <f t="shared" si="6"/>
        <v>32385</v>
      </c>
      <c r="H390" s="6" t="s">
        <v>13</v>
      </c>
      <c r="I390" s="9">
        <f>MAX(original!I390,piwebapi_edit!I390,car_edit!I390)</f>
        <v>3420.2554251888901</v>
      </c>
      <c r="J390" s="9">
        <f>MAX(original!J390,piwebapi_edit!J390,car_edit!J390)</f>
        <v>61.769285604564701</v>
      </c>
      <c r="K390" s="17"/>
    </row>
    <row r="391" spans="1:11" x14ac:dyDescent="0.25">
      <c r="A391" s="3" t="s">
        <v>801</v>
      </c>
      <c r="B391" s="4" t="s">
        <v>802</v>
      </c>
      <c r="C391" s="5">
        <v>21454</v>
      </c>
      <c r="D391" s="6" t="s">
        <v>31</v>
      </c>
      <c r="E391" s="6" t="s">
        <v>17</v>
      </c>
      <c r="F391" s="7">
        <v>36004</v>
      </c>
      <c r="G391" s="8">
        <f t="shared" si="6"/>
        <v>36004</v>
      </c>
      <c r="H391" s="6" t="s">
        <v>13</v>
      </c>
      <c r="I391" s="9">
        <f>MAX(original!I391,piwebapi_edit!I391,car_edit!I391)</f>
        <v>21810.695504628398</v>
      </c>
      <c r="J391" s="9">
        <f>MAX(original!J391,piwebapi_edit!J391,car_edit!J391)</f>
        <v>184.58801072098601</v>
      </c>
      <c r="K391" s="17"/>
    </row>
    <row r="392" spans="1:11" x14ac:dyDescent="0.25">
      <c r="A392" s="3" t="s">
        <v>803</v>
      </c>
      <c r="B392" s="4" t="s">
        <v>804</v>
      </c>
      <c r="C392" s="5">
        <v>12481</v>
      </c>
      <c r="D392" s="6" t="s">
        <v>34</v>
      </c>
      <c r="E392" s="6" t="s">
        <v>17</v>
      </c>
      <c r="F392" s="7">
        <v>34145</v>
      </c>
      <c r="G392" s="8">
        <f t="shared" si="6"/>
        <v>34145</v>
      </c>
      <c r="H392" s="6" t="s">
        <v>13</v>
      </c>
      <c r="I392" s="9">
        <f>MAX(original!I392,piwebapi_edit!I392,car_edit!I392)</f>
        <v>50726.4411505467</v>
      </c>
      <c r="J392" s="9">
        <f>MAX(original!J392,piwebapi_edit!J392,car_edit!J392)</f>
        <v>262.09393743249899</v>
      </c>
      <c r="K392" s="17"/>
    </row>
    <row r="393" spans="1:11" x14ac:dyDescent="0.25">
      <c r="A393" s="3" t="s">
        <v>805</v>
      </c>
      <c r="B393" s="4" t="s">
        <v>806</v>
      </c>
      <c r="C393" s="5">
        <v>1945</v>
      </c>
      <c r="D393" s="6" t="s">
        <v>28</v>
      </c>
      <c r="E393" s="6" t="s">
        <v>17</v>
      </c>
      <c r="F393" s="7">
        <v>25569</v>
      </c>
      <c r="G393" s="8">
        <f t="shared" si="6"/>
        <v>25569</v>
      </c>
      <c r="H393" s="6" t="s">
        <v>13</v>
      </c>
      <c r="I393" s="9">
        <f>MAX(original!I393,piwebapi_edit!I393,car_edit!I393)</f>
        <v>29207.5937404996</v>
      </c>
      <c r="J393" s="9">
        <f>MAX(original!J393,piwebapi_edit!J393,car_edit!J393)</f>
        <v>147.57700283506301</v>
      </c>
      <c r="K393" s="17"/>
    </row>
    <row r="394" spans="1:11" x14ac:dyDescent="0.25">
      <c r="A394" s="3" t="s">
        <v>807</v>
      </c>
      <c r="B394" s="4" t="s">
        <v>808</v>
      </c>
      <c r="C394" s="5">
        <v>13449</v>
      </c>
      <c r="D394" s="6" t="s">
        <v>28</v>
      </c>
      <c r="E394" s="6" t="s">
        <v>17</v>
      </c>
      <c r="F394" s="7">
        <v>38020</v>
      </c>
      <c r="G394" s="8">
        <f t="shared" si="6"/>
        <v>38020</v>
      </c>
      <c r="H394" s="6" t="s">
        <v>13</v>
      </c>
      <c r="I394" s="9">
        <f>MAX(original!I394,piwebapi_edit!I394,car_edit!I394)</f>
        <v>8752.9442161647603</v>
      </c>
      <c r="J394" s="9">
        <f>MAX(original!J394,piwebapi_edit!J394,car_edit!J394)</f>
        <v>45.1645183660087</v>
      </c>
      <c r="K394" s="17"/>
    </row>
    <row r="395" spans="1:11" x14ac:dyDescent="0.25">
      <c r="A395" s="3" t="s">
        <v>809</v>
      </c>
      <c r="B395" s="4" t="s">
        <v>810</v>
      </c>
      <c r="C395" s="14">
        <v>19214</v>
      </c>
      <c r="D395" s="6" t="s">
        <v>16</v>
      </c>
      <c r="E395" s="6" t="s">
        <v>17</v>
      </c>
      <c r="F395" s="7">
        <v>33641</v>
      </c>
      <c r="G395" s="8">
        <f t="shared" si="6"/>
        <v>33641</v>
      </c>
      <c r="H395" s="6" t="s">
        <v>13</v>
      </c>
      <c r="I395" s="9">
        <f>MAX(original!I395,piwebapi_edit!I395,car_edit!I395)</f>
        <v>46488.889309023099</v>
      </c>
      <c r="J395" s="9">
        <f>MAX(original!J395,piwebapi_edit!J395,car_edit!J395)</f>
        <v>179.90892765400901</v>
      </c>
      <c r="K395" s="17"/>
    </row>
    <row r="396" spans="1:11" x14ac:dyDescent="0.25">
      <c r="A396" s="3" t="s">
        <v>811</v>
      </c>
      <c r="B396" s="4" t="s">
        <v>812</v>
      </c>
      <c r="C396" s="5">
        <v>18891</v>
      </c>
      <c r="D396" s="6" t="s">
        <v>28</v>
      </c>
      <c r="E396" s="6" t="s">
        <v>17</v>
      </c>
      <c r="F396" s="7">
        <v>38482</v>
      </c>
      <c r="G396" s="8">
        <f t="shared" si="6"/>
        <v>38482</v>
      </c>
      <c r="H396" s="6" t="s">
        <v>13</v>
      </c>
      <c r="I396" s="9">
        <f>MAX(original!I396,piwebapi_edit!I396,car_edit!I396)</f>
        <v>4115.7547021646005</v>
      </c>
      <c r="J396" s="9">
        <f>MAX(original!J396,piwebapi_edit!J396,car_edit!J396)</f>
        <v>204.381525120719</v>
      </c>
      <c r="K396" s="17"/>
    </row>
    <row r="397" spans="1:11" x14ac:dyDescent="0.25">
      <c r="A397" s="3" t="s">
        <v>813</v>
      </c>
      <c r="B397" s="4" t="s">
        <v>814</v>
      </c>
      <c r="C397" s="5">
        <v>1904</v>
      </c>
      <c r="D397" s="6" t="s">
        <v>34</v>
      </c>
      <c r="E397" s="6" t="s">
        <v>17</v>
      </c>
      <c r="F397" s="7">
        <v>23874</v>
      </c>
      <c r="G397" s="8">
        <f t="shared" si="6"/>
        <v>23874</v>
      </c>
      <c r="H397" s="6" t="s">
        <v>13</v>
      </c>
      <c r="I397" s="9">
        <f>MAX(original!I397,piwebapi_edit!I397,car_edit!I397)</f>
        <v>2906.1930231064903</v>
      </c>
      <c r="J397" s="9">
        <f>MAX(original!J397,piwebapi_edit!J397,car_edit!J397)</f>
        <v>43.135875300595998</v>
      </c>
      <c r="K397" s="17"/>
    </row>
    <row r="398" spans="1:11" x14ac:dyDescent="0.25">
      <c r="A398" s="3" t="s">
        <v>815</v>
      </c>
      <c r="B398" s="4" t="s">
        <v>816</v>
      </c>
      <c r="C398" s="14">
        <v>18561</v>
      </c>
      <c r="D398" s="6" t="s">
        <v>16</v>
      </c>
      <c r="E398" s="6" t="s">
        <v>17</v>
      </c>
      <c r="F398" s="7">
        <v>32188</v>
      </c>
      <c r="G398" s="8">
        <f t="shared" si="6"/>
        <v>32188</v>
      </c>
      <c r="H398" s="6" t="s">
        <v>13</v>
      </c>
      <c r="I398" s="9">
        <f>MAX(original!I398,piwebapi_edit!I398,car_edit!I398)</f>
        <v>50398.438001394898</v>
      </c>
      <c r="J398" s="9">
        <f>MAX(original!J398,piwebapi_edit!J398,car_edit!J398)</f>
        <v>308.16245991157899</v>
      </c>
      <c r="K398" s="17"/>
    </row>
    <row r="399" spans="1:11" x14ac:dyDescent="0.25">
      <c r="A399" s="3" t="s">
        <v>817</v>
      </c>
      <c r="B399" s="4" t="s">
        <v>818</v>
      </c>
      <c r="C399" s="14">
        <v>17612</v>
      </c>
      <c r="D399" s="6" t="s">
        <v>16</v>
      </c>
      <c r="E399" s="6" t="s">
        <v>17</v>
      </c>
      <c r="F399" s="7">
        <v>32318</v>
      </c>
      <c r="G399" s="8">
        <f t="shared" si="6"/>
        <v>32318</v>
      </c>
      <c r="H399" s="6" t="s">
        <v>13</v>
      </c>
      <c r="I399" s="9">
        <f>MAX(original!I399,piwebapi_edit!I399,car_edit!I399)</f>
        <v>11364.2270462254</v>
      </c>
      <c r="J399" s="9">
        <f>MAX(original!J399,piwebapi_edit!J399,car_edit!J399)</f>
        <v>147.299206932988</v>
      </c>
      <c r="K399" s="17"/>
    </row>
    <row r="400" spans="1:11" x14ac:dyDescent="0.25">
      <c r="A400" s="3" t="s">
        <v>819</v>
      </c>
      <c r="B400" s="4" t="s">
        <v>820</v>
      </c>
      <c r="C400" s="5">
        <v>72119</v>
      </c>
      <c r="D400" s="6" t="s">
        <v>31</v>
      </c>
      <c r="E400" s="6" t="s">
        <v>17</v>
      </c>
      <c r="F400" s="7">
        <v>38873</v>
      </c>
      <c r="G400" s="8">
        <f t="shared" si="6"/>
        <v>38873</v>
      </c>
      <c r="H400" s="6" t="s">
        <v>13</v>
      </c>
      <c r="I400" s="9">
        <f>MAX(original!I400,piwebapi_edit!I400,car_edit!I400)</f>
        <v>3543.1721177374097</v>
      </c>
      <c r="J400" s="9">
        <f>MAX(original!J400,piwebapi_edit!J400,car_edit!J400)</f>
        <v>67.484748948402299</v>
      </c>
      <c r="K400" s="17"/>
    </row>
    <row r="401" spans="1:11" x14ac:dyDescent="0.25">
      <c r="A401" s="3" t="s">
        <v>821</v>
      </c>
      <c r="B401" s="4" t="s">
        <v>822</v>
      </c>
      <c r="C401" s="14">
        <v>1802</v>
      </c>
      <c r="D401" s="6" t="s">
        <v>31</v>
      </c>
      <c r="E401" s="6" t="s">
        <v>17</v>
      </c>
      <c r="F401" s="7">
        <v>29952</v>
      </c>
      <c r="G401" s="8">
        <f t="shared" si="6"/>
        <v>29952</v>
      </c>
      <c r="H401" s="6" t="s">
        <v>13</v>
      </c>
      <c r="I401" s="9">
        <f>MAX(original!I401,piwebapi_edit!I401,car_edit!I401)</f>
        <v>218361.98978286699</v>
      </c>
      <c r="J401" s="9">
        <f>MAX(original!J401,piwebapi_edit!J401,car_edit!J401)</f>
        <v>649.30133333210597</v>
      </c>
      <c r="K401" s="17"/>
    </row>
    <row r="402" spans="1:11" x14ac:dyDescent="0.25">
      <c r="A402" s="3" t="s">
        <v>823</v>
      </c>
      <c r="B402" s="4" t="s">
        <v>824</v>
      </c>
      <c r="C402" s="5">
        <v>17294</v>
      </c>
      <c r="D402" s="6" t="s">
        <v>31</v>
      </c>
      <c r="E402" s="6" t="s">
        <v>17</v>
      </c>
      <c r="F402" s="7">
        <v>32154</v>
      </c>
      <c r="G402" s="8">
        <f t="shared" si="6"/>
        <v>32154</v>
      </c>
      <c r="H402" s="6" t="s">
        <v>13</v>
      </c>
      <c r="I402" s="9">
        <f>MAX(original!I402,piwebapi_edit!I402,car_edit!I402)</f>
        <v>38083.0940307204</v>
      </c>
      <c r="J402" s="9">
        <f>MAX(original!J402,piwebapi_edit!J402,car_edit!J402)</f>
        <v>300.05643801679298</v>
      </c>
      <c r="K402" s="17"/>
    </row>
    <row r="403" spans="1:11" ht="30" x14ac:dyDescent="0.25">
      <c r="A403" s="18" t="s">
        <v>825</v>
      </c>
      <c r="B403" s="19" t="s">
        <v>826</v>
      </c>
      <c r="C403" s="5">
        <v>45857</v>
      </c>
      <c r="D403" s="21" t="s">
        <v>31</v>
      </c>
      <c r="E403" s="21" t="s">
        <v>17</v>
      </c>
      <c r="F403" s="22">
        <v>31786</v>
      </c>
      <c r="G403" s="23">
        <f t="shared" si="6"/>
        <v>31786</v>
      </c>
      <c r="H403" s="21" t="s">
        <v>13</v>
      </c>
      <c r="I403" s="9">
        <f>MAX(original!I403,piwebapi_edit!I403,car_edit!I403)</f>
        <v>1259000</v>
      </c>
      <c r="J403" s="9">
        <f>MAX(original!J403,piwebapi_edit!J403,car_edit!J403)</f>
        <v>2500</v>
      </c>
      <c r="K403" s="25"/>
    </row>
    <row r="404" spans="1:11" x14ac:dyDescent="0.25">
      <c r="A404" s="3" t="s">
        <v>827</v>
      </c>
      <c r="B404" s="4" t="s">
        <v>828</v>
      </c>
      <c r="C404" s="5">
        <v>20484</v>
      </c>
      <c r="D404" s="6" t="s">
        <v>31</v>
      </c>
      <c r="E404" s="6" t="s">
        <v>17</v>
      </c>
      <c r="F404" s="7">
        <v>31653</v>
      </c>
      <c r="G404" s="8">
        <f t="shared" si="6"/>
        <v>31653</v>
      </c>
      <c r="H404" s="6" t="s">
        <v>13</v>
      </c>
      <c r="I404" s="9">
        <f>MAX(original!I404,piwebapi_edit!I404,car_edit!I404)</f>
        <v>29056.074430161501</v>
      </c>
      <c r="J404" s="9">
        <f>MAX(original!J404,piwebapi_edit!J404,car_edit!J404)</f>
        <v>104.68970288292201</v>
      </c>
      <c r="K404" s="17"/>
    </row>
    <row r="405" spans="1:11" x14ac:dyDescent="0.25">
      <c r="A405" s="3" t="s">
        <v>829</v>
      </c>
      <c r="B405" s="4" t="s">
        <v>830</v>
      </c>
      <c r="C405" s="5">
        <v>14724</v>
      </c>
      <c r="D405" s="6" t="s">
        <v>31</v>
      </c>
      <c r="E405" s="6" t="s">
        <v>17</v>
      </c>
      <c r="F405" s="7">
        <v>32954</v>
      </c>
      <c r="G405" s="8">
        <f t="shared" si="6"/>
        <v>32954</v>
      </c>
      <c r="H405" s="6" t="s">
        <v>13</v>
      </c>
      <c r="I405" s="9">
        <f>MAX(original!I405,piwebapi_edit!I405,car_edit!I405)</f>
        <v>8545.5653120015395</v>
      </c>
      <c r="J405" s="9">
        <f>MAX(original!J405,piwebapi_edit!J405,car_edit!J405)</f>
        <v>129.559720874319</v>
      </c>
      <c r="K405" s="17"/>
    </row>
    <row r="406" spans="1:11" x14ac:dyDescent="0.25">
      <c r="A406" s="3" t="s">
        <v>831</v>
      </c>
      <c r="B406" s="4" t="s">
        <v>832</v>
      </c>
      <c r="C406" s="5">
        <v>1978</v>
      </c>
      <c r="D406" s="6" t="s">
        <v>31</v>
      </c>
      <c r="E406" s="6" t="s">
        <v>17</v>
      </c>
      <c r="F406" s="7">
        <v>29221</v>
      </c>
      <c r="G406" s="8">
        <f t="shared" si="6"/>
        <v>29221</v>
      </c>
      <c r="H406" s="6" t="s">
        <v>13</v>
      </c>
      <c r="I406" s="9">
        <f>MAX(original!I406,piwebapi_edit!I406,car_edit!I406)</f>
        <v>20945.305634902903</v>
      </c>
      <c r="J406" s="9">
        <f>MAX(original!J406,piwebapi_edit!J406,car_edit!J406)</f>
        <v>60.227367460591999</v>
      </c>
      <c r="K406" s="17"/>
    </row>
    <row r="407" spans="1:11" x14ac:dyDescent="0.25">
      <c r="A407" s="3" t="s">
        <v>833</v>
      </c>
      <c r="B407" s="4" t="s">
        <v>834</v>
      </c>
      <c r="C407" s="5">
        <v>54545</v>
      </c>
      <c r="D407" s="6" t="s">
        <v>31</v>
      </c>
      <c r="E407" s="6" t="s">
        <v>17</v>
      </c>
      <c r="F407" s="7">
        <v>39143</v>
      </c>
      <c r="G407" s="8">
        <f t="shared" si="6"/>
        <v>39143</v>
      </c>
      <c r="H407" s="6" t="s">
        <v>13</v>
      </c>
      <c r="I407" s="9">
        <f>MAX(original!I407,piwebapi_edit!I407,car_edit!I407)</f>
        <v>695.53207663138289</v>
      </c>
      <c r="J407" s="9">
        <f>MAX(original!J407,piwebapi_edit!J407,car_edit!J407)</f>
        <v>8.4371067249928196</v>
      </c>
      <c r="K407" s="17"/>
    </row>
    <row r="408" spans="1:11" x14ac:dyDescent="0.25">
      <c r="A408" s="3" t="s">
        <v>835</v>
      </c>
      <c r="B408" s="4" t="s">
        <v>836</v>
      </c>
      <c r="C408" s="5">
        <v>14727</v>
      </c>
      <c r="D408" s="6" t="s">
        <v>31</v>
      </c>
      <c r="E408" s="6" t="s">
        <v>17</v>
      </c>
      <c r="F408" s="7">
        <v>33695</v>
      </c>
      <c r="G408" s="8">
        <f t="shared" si="6"/>
        <v>33695</v>
      </c>
      <c r="H408" s="6" t="s">
        <v>13</v>
      </c>
      <c r="I408" s="9">
        <f>MAX(original!I408,piwebapi_edit!I408,car_edit!I408)</f>
        <v>12362.8821780568</v>
      </c>
      <c r="J408" s="9">
        <f>MAX(original!J408,piwebapi_edit!J408,car_edit!J408)</f>
        <v>87.538795810470106</v>
      </c>
      <c r="K408" s="17"/>
    </row>
    <row r="409" spans="1:11" x14ac:dyDescent="0.25">
      <c r="A409" s="12" t="s">
        <v>837</v>
      </c>
      <c r="B409" s="4" t="s">
        <v>838</v>
      </c>
      <c r="C409" s="5">
        <v>1260</v>
      </c>
      <c r="D409" s="6" t="s">
        <v>28</v>
      </c>
      <c r="E409" s="6" t="s">
        <v>17</v>
      </c>
      <c r="F409" s="7">
        <v>39639</v>
      </c>
      <c r="G409" s="8">
        <f t="shared" si="6"/>
        <v>39639</v>
      </c>
      <c r="H409" s="6" t="s">
        <v>13</v>
      </c>
      <c r="I409" s="9">
        <f>MAX(original!I409,piwebapi_edit!I409,car_edit!I409)</f>
        <v>1710842.0799999998</v>
      </c>
      <c r="J409" s="9">
        <f>MAX(original!J409,piwebapi_edit!J409,car_edit!J409)</f>
        <v>4600</v>
      </c>
      <c r="K409" s="17"/>
    </row>
    <row r="410" spans="1:11" x14ac:dyDescent="0.25">
      <c r="A410" s="3" t="s">
        <v>839</v>
      </c>
      <c r="B410" s="4" t="s">
        <v>840</v>
      </c>
      <c r="C410" s="5">
        <v>1900</v>
      </c>
      <c r="D410" s="6" t="s">
        <v>31</v>
      </c>
      <c r="E410" s="6" t="s">
        <v>17</v>
      </c>
      <c r="F410" s="7">
        <v>35065</v>
      </c>
      <c r="G410" s="8">
        <f t="shared" si="6"/>
        <v>35065</v>
      </c>
      <c r="H410" s="6" t="s">
        <v>13</v>
      </c>
      <c r="I410" s="9">
        <f>MAX(original!I410,piwebapi_edit!I410,car_edit!I410)</f>
        <v>4572.6355400808907</v>
      </c>
      <c r="J410" s="9">
        <f>MAX(original!J410,piwebapi_edit!J410,car_edit!J410)</f>
        <v>350.41308254291198</v>
      </c>
      <c r="K410" s="17"/>
    </row>
    <row r="411" spans="1:11" x14ac:dyDescent="0.25">
      <c r="A411" s="3" t="s">
        <v>841</v>
      </c>
      <c r="B411" s="4" t="s">
        <v>842</v>
      </c>
      <c r="C411" s="14">
        <v>26897</v>
      </c>
      <c r="D411" s="6" t="s">
        <v>11</v>
      </c>
      <c r="E411" s="6" t="s">
        <v>12</v>
      </c>
      <c r="F411" s="7">
        <v>41313</v>
      </c>
      <c r="G411" s="8">
        <f t="shared" si="6"/>
        <v>41313</v>
      </c>
      <c r="H411" s="6" t="s">
        <v>39</v>
      </c>
      <c r="I411" s="9">
        <f>MAX(original!I411,piwebapi_edit!I411,car_edit!I411)</f>
        <v>65307.745831051303</v>
      </c>
      <c r="J411" s="9">
        <f>MAX(original!J411,piwebapi_edit!J411,car_edit!J411)</f>
        <v>133.86948914765</v>
      </c>
      <c r="K411" s="17"/>
    </row>
    <row r="412" spans="1:11" x14ac:dyDescent="0.25">
      <c r="A412" s="3" t="s">
        <v>843</v>
      </c>
      <c r="B412" s="4" t="s">
        <v>844</v>
      </c>
      <c r="C412" s="14">
        <v>1307</v>
      </c>
      <c r="D412" s="6" t="s">
        <v>16</v>
      </c>
      <c r="E412" s="6" t="s">
        <v>17</v>
      </c>
      <c r="F412" s="7">
        <v>29221</v>
      </c>
      <c r="G412" s="8">
        <f t="shared" si="6"/>
        <v>29221</v>
      </c>
      <c r="H412" s="6" t="s">
        <v>13</v>
      </c>
      <c r="I412" s="9">
        <f>MAX(original!I412,piwebapi_edit!I412,car_edit!I412)</f>
        <v>109641.219023789</v>
      </c>
      <c r="J412" s="9">
        <f>MAX(original!J412,piwebapi_edit!J412,car_edit!J412)</f>
        <v>486.35181643854798</v>
      </c>
      <c r="K412" s="17"/>
    </row>
    <row r="413" spans="1:11" x14ac:dyDescent="0.25">
      <c r="A413" s="3" t="s">
        <v>845</v>
      </c>
      <c r="B413" s="4" t="s">
        <v>846</v>
      </c>
      <c r="C413" s="14">
        <v>16653</v>
      </c>
      <c r="D413" s="6" t="s">
        <v>16</v>
      </c>
      <c r="E413" s="6" t="s">
        <v>17</v>
      </c>
      <c r="F413" s="7">
        <v>38133</v>
      </c>
      <c r="G413" s="8">
        <f t="shared" si="6"/>
        <v>38133</v>
      </c>
      <c r="H413" s="6" t="s">
        <v>13</v>
      </c>
      <c r="I413" s="9">
        <f>MAX(original!I413,piwebapi_edit!I413,car_edit!I413)</f>
        <v>487768.39999999997</v>
      </c>
      <c r="J413" s="9">
        <f>MAX(original!J413,piwebapi_edit!J413,car_edit!J413)</f>
        <v>2000</v>
      </c>
      <c r="K413" s="17"/>
    </row>
    <row r="414" spans="1:11" x14ac:dyDescent="0.25">
      <c r="A414" s="3" t="s">
        <v>847</v>
      </c>
      <c r="B414" s="4" t="s">
        <v>848</v>
      </c>
      <c r="C414" s="5">
        <v>17296</v>
      </c>
      <c r="D414" s="6" t="s">
        <v>16</v>
      </c>
      <c r="E414" s="6" t="s">
        <v>17</v>
      </c>
      <c r="F414" s="7">
        <v>38363</v>
      </c>
      <c r="G414" s="8">
        <f t="shared" si="6"/>
        <v>38363</v>
      </c>
      <c r="H414" s="6" t="s">
        <v>13</v>
      </c>
      <c r="I414" s="9">
        <f>MAX(original!I414,piwebapi_edit!I414,car_edit!I414)</f>
        <v>28028.9196655265</v>
      </c>
      <c r="J414" s="9">
        <f>MAX(original!J414,piwebapi_edit!J414,car_edit!J414)</f>
        <v>252.45260573932299</v>
      </c>
      <c r="K414" s="17"/>
    </row>
    <row r="415" spans="1:11" x14ac:dyDescent="0.25">
      <c r="A415" s="3" t="s">
        <v>849</v>
      </c>
      <c r="B415" s="4" t="s">
        <v>850</v>
      </c>
      <c r="C415" s="5">
        <v>54547</v>
      </c>
      <c r="D415" s="6" t="s">
        <v>16</v>
      </c>
      <c r="E415" s="6" t="s">
        <v>17</v>
      </c>
      <c r="F415" s="7">
        <v>38287</v>
      </c>
      <c r="G415" s="8">
        <f t="shared" si="6"/>
        <v>38287</v>
      </c>
      <c r="H415" s="6" t="s">
        <v>13</v>
      </c>
      <c r="I415" s="9">
        <f>MAX(original!I415,piwebapi_edit!I415,car_edit!I415)</f>
        <v>67917.745487606793</v>
      </c>
      <c r="J415" s="9">
        <f>MAX(original!J415,piwebapi_edit!J415,car_edit!J415)</f>
        <v>607.59470690973399</v>
      </c>
      <c r="K415" s="17"/>
    </row>
    <row r="416" spans="1:11" x14ac:dyDescent="0.25">
      <c r="A416" s="3" t="s">
        <v>851</v>
      </c>
      <c r="B416" s="4" t="s">
        <v>852</v>
      </c>
      <c r="C416" s="5">
        <v>1421</v>
      </c>
      <c r="D416" s="6" t="s">
        <v>31</v>
      </c>
      <c r="E416" s="6" t="s">
        <v>17</v>
      </c>
      <c r="F416" s="7">
        <v>25569</v>
      </c>
      <c r="G416" s="8">
        <f t="shared" si="6"/>
        <v>25569</v>
      </c>
      <c r="H416" s="6" t="s">
        <v>13</v>
      </c>
      <c r="I416" s="9">
        <f>MAX(original!I416,piwebapi_edit!I416,car_edit!I416)</f>
        <v>32898.6062350992</v>
      </c>
      <c r="J416" s="9">
        <f>MAX(original!J416,piwebapi_edit!J416,car_edit!J416)</f>
        <v>233.61553035733499</v>
      </c>
      <c r="K416" s="17"/>
    </row>
    <row r="417" spans="1:11" x14ac:dyDescent="0.25">
      <c r="A417" s="3" t="s">
        <v>853</v>
      </c>
      <c r="B417" s="4" t="s">
        <v>854</v>
      </c>
      <c r="C417" s="5">
        <v>54546</v>
      </c>
      <c r="D417" s="6" t="s">
        <v>31</v>
      </c>
      <c r="E417" s="6" t="s">
        <v>17</v>
      </c>
      <c r="F417" s="7">
        <v>38898</v>
      </c>
      <c r="G417" s="8">
        <f t="shared" si="6"/>
        <v>38898</v>
      </c>
      <c r="H417" s="6" t="s">
        <v>13</v>
      </c>
      <c r="I417" s="9">
        <f>MAX(original!I417,piwebapi_edit!I417,car_edit!I417)</f>
        <v>2802.6822358581298</v>
      </c>
      <c r="J417" s="9">
        <f>MAX(original!J417,piwebapi_edit!J417,car_edit!J417)</f>
        <v>29.640283018788701</v>
      </c>
      <c r="K417" s="17"/>
    </row>
    <row r="418" spans="1:11" x14ac:dyDescent="0.25">
      <c r="A418" s="3" t="s">
        <v>855</v>
      </c>
      <c r="B418" s="4" t="s">
        <v>856</v>
      </c>
      <c r="C418" s="5">
        <v>18567</v>
      </c>
      <c r="D418" s="6" t="s">
        <v>34</v>
      </c>
      <c r="E418" s="6" t="s">
        <v>17</v>
      </c>
      <c r="F418" s="7">
        <v>38894</v>
      </c>
      <c r="G418" s="8">
        <f t="shared" si="6"/>
        <v>38894</v>
      </c>
      <c r="H418" s="6" t="s">
        <v>13</v>
      </c>
      <c r="I418" s="9">
        <f>MAX(original!I418,piwebapi_edit!I418,car_edit!I418)</f>
        <v>5731.3723426295101</v>
      </c>
      <c r="J418" s="9">
        <f>MAX(original!J418,piwebapi_edit!J418,car_edit!J418)</f>
        <v>143.74878435641099</v>
      </c>
      <c r="K418" s="17"/>
    </row>
    <row r="419" spans="1:11" x14ac:dyDescent="0.25">
      <c r="A419" s="3" t="s">
        <v>857</v>
      </c>
      <c r="B419" s="4" t="s">
        <v>858</v>
      </c>
      <c r="C419" s="5">
        <v>1282</v>
      </c>
      <c r="D419" s="6" t="s">
        <v>34</v>
      </c>
      <c r="E419" s="6" t="s">
        <v>17</v>
      </c>
      <c r="F419" s="7">
        <v>29221</v>
      </c>
      <c r="G419" s="8">
        <f t="shared" si="6"/>
        <v>29221</v>
      </c>
      <c r="H419" s="6" t="s">
        <v>13</v>
      </c>
      <c r="I419" s="9">
        <f>MAX(original!I419,piwebapi_edit!I419,car_edit!I419)</f>
        <v>15555.197823046299</v>
      </c>
      <c r="J419" s="9">
        <f>MAX(original!J419,piwebapi_edit!J419,car_edit!J419)</f>
        <v>84.753689585093497</v>
      </c>
      <c r="K419" s="17"/>
    </row>
    <row r="420" spans="1:11" x14ac:dyDescent="0.25">
      <c r="A420" s="3" t="s">
        <v>859</v>
      </c>
      <c r="B420" s="4" t="s">
        <v>860</v>
      </c>
      <c r="C420" s="5">
        <v>54548</v>
      </c>
      <c r="D420" s="6" t="s">
        <v>16</v>
      </c>
      <c r="E420" s="6" t="s">
        <v>17</v>
      </c>
      <c r="F420" s="7">
        <v>32953</v>
      </c>
      <c r="G420" s="8">
        <f t="shared" si="6"/>
        <v>32953</v>
      </c>
      <c r="H420" s="6" t="s">
        <v>13</v>
      </c>
      <c r="I420" s="9">
        <f>MAX(original!I420,piwebapi_edit!I420,car_edit!I420)</f>
        <v>1284.7889264174598</v>
      </c>
      <c r="J420" s="9">
        <f>MAX(original!J420,piwebapi_edit!J420,car_edit!J420)</f>
        <v>73.691896505617706</v>
      </c>
      <c r="K420" s="17"/>
    </row>
    <row r="421" spans="1:11" x14ac:dyDescent="0.25">
      <c r="A421" s="3" t="s">
        <v>861</v>
      </c>
      <c r="B421" s="4" t="s">
        <v>862</v>
      </c>
      <c r="C421" s="5">
        <v>37489</v>
      </c>
      <c r="D421" s="6" t="s">
        <v>37</v>
      </c>
      <c r="E421" s="6" t="s">
        <v>38</v>
      </c>
      <c r="F421" s="7">
        <v>29074</v>
      </c>
      <c r="G421" s="8">
        <f t="shared" si="6"/>
        <v>29074</v>
      </c>
      <c r="H421" s="6" t="s">
        <v>39</v>
      </c>
      <c r="I421" s="9">
        <f>MAX(original!I421,piwebapi_edit!I421,car_edit!I421)</f>
        <v>5245.8365059585794</v>
      </c>
      <c r="J421" s="9">
        <f>MAX(original!J421,piwebapi_edit!J421,car_edit!J421)</f>
        <v>174.29121895823499</v>
      </c>
      <c r="K421" s="17"/>
    </row>
    <row r="422" spans="1:11" x14ac:dyDescent="0.25">
      <c r="A422" s="3" t="s">
        <v>863</v>
      </c>
      <c r="B422" s="4" t="s">
        <v>864</v>
      </c>
      <c r="C422" s="5">
        <v>72127</v>
      </c>
      <c r="D422" s="6" t="s">
        <v>28</v>
      </c>
      <c r="E422" s="6" t="s">
        <v>17</v>
      </c>
      <c r="F422" s="7">
        <v>39209</v>
      </c>
      <c r="G422" s="8">
        <f t="shared" si="6"/>
        <v>39209</v>
      </c>
      <c r="H422" s="6" t="s">
        <v>13</v>
      </c>
      <c r="I422" s="9">
        <f>MAX(original!I422,piwebapi_edit!I422,car_edit!I422)</f>
        <v>2864.5917721535898</v>
      </c>
      <c r="J422" s="9">
        <f>MAX(original!J422,piwebapi_edit!J422,car_edit!J422)</f>
        <v>244.49698638979899</v>
      </c>
      <c r="K422" s="17"/>
    </row>
    <row r="423" spans="1:11" x14ac:dyDescent="0.25">
      <c r="A423" s="3" t="s">
        <v>865</v>
      </c>
      <c r="B423" s="4" t="s">
        <v>866</v>
      </c>
      <c r="C423" s="5">
        <v>1345</v>
      </c>
      <c r="D423" s="6" t="s">
        <v>31</v>
      </c>
      <c r="E423" s="6" t="s">
        <v>17</v>
      </c>
      <c r="F423" s="7">
        <v>29615</v>
      </c>
      <c r="G423" s="8">
        <f t="shared" si="6"/>
        <v>29615</v>
      </c>
      <c r="H423" s="6" t="s">
        <v>13</v>
      </c>
      <c r="I423" s="9">
        <f>MAX(original!I423,piwebapi_edit!I423,car_edit!I423)</f>
        <v>23317.029503052003</v>
      </c>
      <c r="J423" s="9">
        <f>MAX(original!J423,piwebapi_edit!J423,car_edit!J423)</f>
        <v>308.18694303184401</v>
      </c>
      <c r="K423" s="17"/>
    </row>
    <row r="424" spans="1:11" x14ac:dyDescent="0.25">
      <c r="A424" s="3" t="s">
        <v>867</v>
      </c>
      <c r="B424" s="4" t="s">
        <v>868</v>
      </c>
      <c r="C424" s="5">
        <v>1488</v>
      </c>
      <c r="D424" s="6" t="s">
        <v>34</v>
      </c>
      <c r="E424" s="6" t="s">
        <v>17</v>
      </c>
      <c r="F424" s="7">
        <v>35431</v>
      </c>
      <c r="G424" s="8">
        <f t="shared" si="6"/>
        <v>35431</v>
      </c>
      <c r="H424" s="6" t="s">
        <v>13</v>
      </c>
      <c r="I424" s="9">
        <f>MAX(original!I424,piwebapi_edit!I424,car_edit!I424)</f>
        <v>2668.7552566858099</v>
      </c>
      <c r="J424" s="9">
        <f>MAX(original!J424,piwebapi_edit!J424,car_edit!J424)</f>
        <v>76.677554598288097</v>
      </c>
      <c r="K424" s="17"/>
    </row>
    <row r="425" spans="1:11" x14ac:dyDescent="0.25">
      <c r="A425" s="3" t="s">
        <v>869</v>
      </c>
      <c r="B425" s="4" t="s">
        <v>870</v>
      </c>
      <c r="C425" s="14">
        <v>13442</v>
      </c>
      <c r="D425" s="6" t="s">
        <v>11</v>
      </c>
      <c r="E425" s="6" t="s">
        <v>17</v>
      </c>
      <c r="F425" s="7">
        <v>37945</v>
      </c>
      <c r="G425" s="8">
        <f t="shared" si="6"/>
        <v>37945</v>
      </c>
      <c r="H425" s="6" t="s">
        <v>13</v>
      </c>
      <c r="I425" s="9">
        <f>MAX(original!I425,piwebapi_edit!I425,car_edit!I425)</f>
        <v>278469.85000000003</v>
      </c>
      <c r="J425" s="9">
        <f>MAX(original!J425,piwebapi_edit!J425,car_edit!J425)</f>
        <v>1100</v>
      </c>
      <c r="K425" s="17"/>
    </row>
    <row r="426" spans="1:11" x14ac:dyDescent="0.25">
      <c r="A426" s="3" t="s">
        <v>871</v>
      </c>
      <c r="B426" s="4" t="s">
        <v>872</v>
      </c>
      <c r="C426" s="5">
        <v>34177</v>
      </c>
      <c r="D426" s="6" t="s">
        <v>31</v>
      </c>
      <c r="E426" s="6" t="s">
        <v>17</v>
      </c>
      <c r="F426" s="7">
        <v>31199</v>
      </c>
      <c r="G426" s="8">
        <f t="shared" si="6"/>
        <v>31199</v>
      </c>
      <c r="H426" s="6" t="s">
        <v>13</v>
      </c>
      <c r="I426" s="9">
        <f>MAX(original!I426,piwebapi_edit!I426,car_edit!I426)</f>
        <v>9756.3545364089896</v>
      </c>
      <c r="J426" s="9">
        <f>MAX(original!J426,piwebapi_edit!J426,car_edit!J426)</f>
        <v>105.34489541961</v>
      </c>
      <c r="K426" s="17"/>
    </row>
    <row r="427" spans="1:11" x14ac:dyDescent="0.25">
      <c r="A427" s="3" t="s">
        <v>873</v>
      </c>
      <c r="B427" s="4" t="s">
        <v>874</v>
      </c>
      <c r="C427" s="5">
        <v>1633</v>
      </c>
      <c r="D427" s="6" t="s">
        <v>31</v>
      </c>
      <c r="E427" s="6" t="s">
        <v>17</v>
      </c>
      <c r="F427" s="7">
        <v>29221</v>
      </c>
      <c r="G427" s="8">
        <f t="shared" si="6"/>
        <v>29221</v>
      </c>
      <c r="H427" s="6" t="s">
        <v>13</v>
      </c>
      <c r="I427" s="9">
        <f>MAX(original!I427,piwebapi_edit!I427,car_edit!I427)</f>
        <v>3870.2286649308403</v>
      </c>
      <c r="J427" s="9">
        <f>MAX(original!J427,piwebapi_edit!J427,car_edit!J427)</f>
        <v>117.543691322575</v>
      </c>
      <c r="K427" s="17"/>
    </row>
    <row r="428" spans="1:11" x14ac:dyDescent="0.25">
      <c r="A428" s="3" t="s">
        <v>875</v>
      </c>
      <c r="B428" s="4" t="s">
        <v>876</v>
      </c>
      <c r="C428" s="5">
        <v>10573</v>
      </c>
      <c r="D428" s="6" t="s">
        <v>34</v>
      </c>
      <c r="E428" s="6" t="s">
        <v>17</v>
      </c>
      <c r="F428" s="7">
        <v>37468</v>
      </c>
      <c r="G428" s="8">
        <f t="shared" si="6"/>
        <v>37468</v>
      </c>
      <c r="H428" s="6" t="s">
        <v>13</v>
      </c>
      <c r="I428" s="9">
        <f>MAX(original!I428,piwebapi_edit!I428,car_edit!I428)</f>
        <v>30699.1287090277</v>
      </c>
      <c r="J428" s="9">
        <f>MAX(original!J428,piwebapi_edit!J428,car_edit!J428)</f>
        <v>55.717991590778801</v>
      </c>
      <c r="K428" s="17"/>
    </row>
    <row r="429" spans="1:11" x14ac:dyDescent="0.25">
      <c r="A429" s="3" t="s">
        <v>877</v>
      </c>
      <c r="B429" s="4" t="s">
        <v>878</v>
      </c>
      <c r="C429" s="5">
        <v>1609</v>
      </c>
      <c r="D429" s="6" t="s">
        <v>31</v>
      </c>
      <c r="E429" s="6" t="s">
        <v>17</v>
      </c>
      <c r="F429" s="7">
        <v>29952</v>
      </c>
      <c r="G429" s="8">
        <f t="shared" si="6"/>
        <v>29952</v>
      </c>
      <c r="H429" s="6" t="s">
        <v>13</v>
      </c>
      <c r="I429" s="9">
        <f>MAX(original!I429,piwebapi_edit!I429,car_edit!I429)</f>
        <v>137389.08814986201</v>
      </c>
      <c r="J429" s="9">
        <f>MAX(original!J429,piwebapi_edit!J429,car_edit!J429)</f>
        <v>1200</v>
      </c>
      <c r="K429" s="17"/>
    </row>
    <row r="430" spans="1:11" x14ac:dyDescent="0.25">
      <c r="A430" s="3" t="s">
        <v>879</v>
      </c>
      <c r="B430" s="4" t="s">
        <v>880</v>
      </c>
      <c r="C430" s="5">
        <v>41649</v>
      </c>
      <c r="D430" s="6" t="s">
        <v>28</v>
      </c>
      <c r="E430" s="6" t="s">
        <v>17</v>
      </c>
      <c r="F430" s="7">
        <v>38422</v>
      </c>
      <c r="G430" s="8">
        <f t="shared" si="6"/>
        <v>38422</v>
      </c>
      <c r="H430" s="6" t="s">
        <v>13</v>
      </c>
      <c r="I430" s="9">
        <f>MAX(original!I430,piwebapi_edit!I430,car_edit!I430)</f>
        <v>5506.2601579251605</v>
      </c>
      <c r="J430" s="9">
        <f>MAX(original!J430,piwebapi_edit!J430,car_edit!J430)</f>
        <v>49.080070018999898</v>
      </c>
      <c r="K430" s="17"/>
    </row>
    <row r="431" spans="1:11" x14ac:dyDescent="0.25">
      <c r="A431" s="3" t="s">
        <v>881</v>
      </c>
      <c r="B431" s="4" t="s">
        <v>882</v>
      </c>
      <c r="C431" s="5">
        <v>19204</v>
      </c>
      <c r="D431" s="6" t="s">
        <v>31</v>
      </c>
      <c r="E431" s="6" t="s">
        <v>17</v>
      </c>
      <c r="F431" s="7">
        <v>38509</v>
      </c>
      <c r="G431" s="8">
        <f t="shared" si="6"/>
        <v>38509</v>
      </c>
      <c r="H431" s="6" t="s">
        <v>13</v>
      </c>
      <c r="I431" s="9">
        <f>MAX(original!I431,piwebapi_edit!I431,car_edit!I431)</f>
        <v>27026.720977246299</v>
      </c>
      <c r="J431" s="9">
        <f>MAX(original!J431,piwebapi_edit!J431,car_edit!J431)</f>
        <v>253.674203336267</v>
      </c>
      <c r="K431" s="17"/>
    </row>
    <row r="432" spans="1:11" x14ac:dyDescent="0.25">
      <c r="A432" s="3" t="s">
        <v>883</v>
      </c>
      <c r="B432" s="4" t="s">
        <v>884</v>
      </c>
      <c r="C432" s="14">
        <v>20171</v>
      </c>
      <c r="D432" s="6" t="s">
        <v>31</v>
      </c>
      <c r="E432" s="6" t="s">
        <v>17</v>
      </c>
      <c r="F432" s="7">
        <v>38568</v>
      </c>
      <c r="G432" s="8">
        <f t="shared" si="6"/>
        <v>38568</v>
      </c>
      <c r="H432" s="6" t="s">
        <v>13</v>
      </c>
      <c r="I432" s="9">
        <f>MAX(original!I432,piwebapi_edit!I432,car_edit!I432)</f>
        <v>62336.878806067602</v>
      </c>
      <c r="J432" s="9">
        <f>MAX(original!J432,piwebapi_edit!J432,car_edit!J432)</f>
        <v>818.24790426867003</v>
      </c>
      <c r="K432" s="17"/>
    </row>
    <row r="433" spans="1:11" x14ac:dyDescent="0.25">
      <c r="A433" s="3" t="s">
        <v>885</v>
      </c>
      <c r="B433" s="4" t="s">
        <v>886</v>
      </c>
      <c r="C433" s="5">
        <v>55185</v>
      </c>
      <c r="D433" s="6" t="s">
        <v>28</v>
      </c>
      <c r="E433" s="6" t="s">
        <v>17</v>
      </c>
      <c r="F433" s="7">
        <v>38917</v>
      </c>
      <c r="G433" s="8">
        <f t="shared" si="6"/>
        <v>38917</v>
      </c>
      <c r="H433" s="6" t="s">
        <v>13</v>
      </c>
      <c r="I433" s="9">
        <f>MAX(original!I433,piwebapi_edit!I433,car_edit!I433)</f>
        <v>29755.3843287253</v>
      </c>
      <c r="J433" s="9">
        <f>MAX(original!J433,piwebapi_edit!J433,car_edit!J433)</f>
        <v>564.76995802704801</v>
      </c>
      <c r="K433" s="17"/>
    </row>
    <row r="434" spans="1:11" x14ac:dyDescent="0.25">
      <c r="A434" s="3" t="s">
        <v>887</v>
      </c>
      <c r="B434" s="4" t="s">
        <v>888</v>
      </c>
      <c r="C434" s="5">
        <v>1208</v>
      </c>
      <c r="D434" s="6" t="s">
        <v>31</v>
      </c>
      <c r="E434" s="6" t="s">
        <v>17</v>
      </c>
      <c r="F434" s="7">
        <v>24108</v>
      </c>
      <c r="G434" s="8">
        <f t="shared" si="6"/>
        <v>24108</v>
      </c>
      <c r="H434" s="6" t="s">
        <v>13</v>
      </c>
      <c r="I434" s="9">
        <f>MAX(original!I434,piwebapi_edit!I434,car_edit!I434)</f>
        <v>9999.9344496136891</v>
      </c>
      <c r="J434" s="9">
        <f>MAX(original!J434,piwebapi_edit!J434,car_edit!J434)</f>
        <v>332.19222194310498</v>
      </c>
      <c r="K434" s="17"/>
    </row>
    <row r="435" spans="1:11" x14ac:dyDescent="0.25">
      <c r="A435" s="3" t="s">
        <v>889</v>
      </c>
      <c r="B435" s="4" t="s">
        <v>890</v>
      </c>
      <c r="C435" s="14">
        <v>17289</v>
      </c>
      <c r="D435" s="6" t="s">
        <v>31</v>
      </c>
      <c r="E435" s="6" t="s">
        <v>17</v>
      </c>
      <c r="F435" s="7">
        <v>40542</v>
      </c>
      <c r="G435" s="8">
        <f t="shared" si="6"/>
        <v>40542</v>
      </c>
      <c r="H435" s="6" t="s">
        <v>13</v>
      </c>
      <c r="I435" s="9">
        <f>MAX(original!I435,piwebapi_edit!I435,car_edit!I435)</f>
        <v>32124.7787872228</v>
      </c>
      <c r="J435" s="9">
        <f>MAX(original!J435,piwebapi_edit!J435,car_edit!J435)</f>
        <v>90.699237239008397</v>
      </c>
      <c r="K435" s="17"/>
    </row>
    <row r="436" spans="1:11" x14ac:dyDescent="0.25">
      <c r="A436" s="3" t="s">
        <v>891</v>
      </c>
      <c r="B436" s="4" t="s">
        <v>892</v>
      </c>
      <c r="C436" s="5">
        <v>1034</v>
      </c>
      <c r="D436" s="6" t="s">
        <v>31</v>
      </c>
      <c r="E436" s="6" t="s">
        <v>17</v>
      </c>
      <c r="F436" s="7">
        <v>29221</v>
      </c>
      <c r="G436" s="8">
        <f t="shared" si="6"/>
        <v>29221</v>
      </c>
      <c r="H436" s="6" t="s">
        <v>13</v>
      </c>
      <c r="I436" s="9">
        <f>MAX(original!I436,piwebapi_edit!I436,car_edit!I436)</f>
        <v>58243.289866031504</v>
      </c>
      <c r="J436" s="9">
        <f>MAX(original!J436,piwebapi_edit!J436,car_edit!J436)</f>
        <v>335.04308363347798</v>
      </c>
      <c r="K436" s="17"/>
    </row>
    <row r="437" spans="1:11" ht="30" x14ac:dyDescent="0.25">
      <c r="A437" s="18" t="s">
        <v>893</v>
      </c>
      <c r="B437" s="19" t="s">
        <v>894</v>
      </c>
      <c r="C437" s="20">
        <v>1540</v>
      </c>
      <c r="D437" s="21" t="s">
        <v>28</v>
      </c>
      <c r="E437" s="21" t="s">
        <v>17</v>
      </c>
      <c r="F437" s="22">
        <v>29952</v>
      </c>
      <c r="G437" s="23">
        <f t="shared" si="6"/>
        <v>29952</v>
      </c>
      <c r="H437" s="21" t="s">
        <v>13</v>
      </c>
      <c r="I437" s="9">
        <f>MAX(original!I437,piwebapi_edit!I437,car_edit!I437)</f>
        <v>247101.20580190301</v>
      </c>
      <c r="J437" s="9">
        <f>MAX(original!J437,piwebapi_edit!J437,car_edit!J437)</f>
        <v>531.94544724664001</v>
      </c>
      <c r="K437" s="25"/>
    </row>
    <row r="438" spans="1:11" x14ac:dyDescent="0.25">
      <c r="A438" s="3" t="s">
        <v>895</v>
      </c>
      <c r="B438" s="4" t="s">
        <v>896</v>
      </c>
      <c r="C438" s="5">
        <v>2029</v>
      </c>
      <c r="D438" s="6" t="s">
        <v>11</v>
      </c>
      <c r="E438" s="6" t="s">
        <v>17</v>
      </c>
      <c r="F438" s="7">
        <v>29221</v>
      </c>
      <c r="G438" s="8">
        <f t="shared" si="6"/>
        <v>29221</v>
      </c>
      <c r="H438" s="6" t="s">
        <v>13</v>
      </c>
      <c r="I438" s="9">
        <f>MAX(original!I438,piwebapi_edit!I438,car_edit!I438)</f>
        <v>303818.84000162804</v>
      </c>
      <c r="J438" s="9">
        <f>MAX(original!J438,piwebapi_edit!J438,car_edit!J438)</f>
        <v>950.36053142957405</v>
      </c>
      <c r="K438" s="17"/>
    </row>
    <row r="439" spans="1:11" x14ac:dyDescent="0.25">
      <c r="A439" s="3" t="s">
        <v>897</v>
      </c>
      <c r="B439" s="4" t="s">
        <v>898</v>
      </c>
      <c r="C439" s="5">
        <v>52273</v>
      </c>
      <c r="D439" s="6" t="s">
        <v>37</v>
      </c>
      <c r="E439" s="6" t="s">
        <v>38</v>
      </c>
      <c r="F439" s="7">
        <v>39090</v>
      </c>
      <c r="G439" s="8">
        <f t="shared" si="6"/>
        <v>39090</v>
      </c>
      <c r="H439" s="6" t="s">
        <v>39</v>
      </c>
      <c r="I439" s="9">
        <f>MAX(original!I439,piwebapi_edit!I439,car_edit!I439)</f>
        <v>6434.9827562156797</v>
      </c>
      <c r="J439" s="9">
        <f>MAX(original!J439,piwebapi_edit!J439,car_edit!J439)</f>
        <v>56.300252086790003</v>
      </c>
      <c r="K439" s="17"/>
    </row>
    <row r="440" spans="1:11" x14ac:dyDescent="0.25">
      <c r="A440" s="3" t="s">
        <v>899</v>
      </c>
      <c r="B440" s="4" t="s">
        <v>900</v>
      </c>
      <c r="C440" s="14">
        <v>1516</v>
      </c>
      <c r="D440" s="6" t="s">
        <v>31</v>
      </c>
      <c r="E440" s="6" t="s">
        <v>17</v>
      </c>
      <c r="F440" s="7">
        <v>29952</v>
      </c>
      <c r="G440" s="8">
        <f t="shared" si="6"/>
        <v>29952</v>
      </c>
      <c r="H440" s="6" t="s">
        <v>13</v>
      </c>
      <c r="I440" s="9">
        <f>MAX(original!I440,piwebapi_edit!I440,car_edit!I440)</f>
        <v>18855.254174907499</v>
      </c>
      <c r="J440" s="9">
        <f>MAX(original!J440,piwebapi_edit!J440,car_edit!J440)</f>
        <v>397.74144303886197</v>
      </c>
      <c r="K440" s="17"/>
    </row>
    <row r="441" spans="1:11" x14ac:dyDescent="0.25">
      <c r="A441" s="3" t="s">
        <v>901</v>
      </c>
      <c r="B441" s="4" t="s">
        <v>902</v>
      </c>
      <c r="C441" s="14">
        <v>1984</v>
      </c>
      <c r="D441" s="6" t="s">
        <v>28</v>
      </c>
      <c r="E441" s="6" t="s">
        <v>17</v>
      </c>
      <c r="F441" s="7">
        <v>29587</v>
      </c>
      <c r="G441" s="8">
        <f t="shared" si="6"/>
        <v>29587</v>
      </c>
      <c r="H441" s="6" t="s">
        <v>13</v>
      </c>
      <c r="I441" s="9">
        <f>MAX(original!I441,piwebapi_edit!I441,car_edit!I441)</f>
        <v>18594.8355916498</v>
      </c>
      <c r="J441" s="9">
        <f>MAX(original!J441,piwebapi_edit!J441,car_edit!J441)</f>
        <v>75.086577906572799</v>
      </c>
      <c r="K441" s="17"/>
    </row>
    <row r="442" spans="1:11" x14ac:dyDescent="0.25">
      <c r="A442" s="3" t="s">
        <v>903</v>
      </c>
      <c r="B442" s="4" t="s">
        <v>904</v>
      </c>
      <c r="C442" s="5">
        <v>54549</v>
      </c>
      <c r="D442" s="6" t="s">
        <v>28</v>
      </c>
      <c r="E442" s="6" t="s">
        <v>17</v>
      </c>
      <c r="F442" s="7">
        <v>38353</v>
      </c>
      <c r="G442" s="8">
        <f t="shared" si="6"/>
        <v>38353</v>
      </c>
      <c r="H442" s="6" t="s">
        <v>13</v>
      </c>
      <c r="I442" s="9">
        <f>MAX(original!I442,piwebapi_edit!I442,car_edit!I442)</f>
        <v>126088.185390742</v>
      </c>
      <c r="J442" s="9">
        <f>MAX(original!J442,piwebapi_edit!J442,car_edit!J442)</f>
        <v>626.79588977292497</v>
      </c>
      <c r="K442" s="17"/>
    </row>
    <row r="443" spans="1:11" x14ac:dyDescent="0.25">
      <c r="A443" s="3" t="s">
        <v>905</v>
      </c>
      <c r="B443" s="4" t="s">
        <v>906</v>
      </c>
      <c r="C443" s="5">
        <v>1590</v>
      </c>
      <c r="D443" s="6" t="s">
        <v>28</v>
      </c>
      <c r="E443" s="6" t="s">
        <v>17</v>
      </c>
      <c r="F443" s="7">
        <v>37361</v>
      </c>
      <c r="G443" s="8">
        <f t="shared" si="6"/>
        <v>37361</v>
      </c>
      <c r="H443" s="6" t="s">
        <v>13</v>
      </c>
      <c r="I443" s="9">
        <f>MAX(original!I443,piwebapi_edit!I443,car_edit!I443)</f>
        <v>5909.8738820112103</v>
      </c>
      <c r="J443" s="9">
        <f>MAX(original!J443,piwebapi_edit!J443,car_edit!J443)</f>
        <v>55.087546640050903</v>
      </c>
      <c r="K443" s="17"/>
    </row>
    <row r="444" spans="1:11" x14ac:dyDescent="0.25">
      <c r="A444" s="3" t="s">
        <v>907</v>
      </c>
      <c r="B444" s="4" t="s">
        <v>908</v>
      </c>
      <c r="C444" s="14">
        <v>18893</v>
      </c>
      <c r="D444" s="6" t="s">
        <v>11</v>
      </c>
      <c r="E444" s="6" t="s">
        <v>17</v>
      </c>
      <c r="F444" s="7">
        <v>38422</v>
      </c>
      <c r="G444" s="8">
        <f t="shared" si="6"/>
        <v>38422</v>
      </c>
      <c r="H444" s="6" t="s">
        <v>13</v>
      </c>
      <c r="I444" s="9">
        <f>MAX(original!I444,piwebapi_edit!I444,car_edit!I444)</f>
        <v>107557.302903256</v>
      </c>
      <c r="J444" s="9">
        <f>MAX(original!J444,piwebapi_edit!J444,car_edit!J444)</f>
        <v>639.53227801556795</v>
      </c>
      <c r="K444" s="17"/>
    </row>
    <row r="445" spans="1:11" x14ac:dyDescent="0.25">
      <c r="A445" s="3" t="s">
        <v>909</v>
      </c>
      <c r="B445" s="4" t="s">
        <v>910</v>
      </c>
      <c r="C445" s="5">
        <v>36129</v>
      </c>
      <c r="D445" s="6" t="s">
        <v>11</v>
      </c>
      <c r="E445" s="6" t="s">
        <v>12</v>
      </c>
      <c r="F445" s="7">
        <v>37097</v>
      </c>
      <c r="G445" s="8">
        <f t="shared" si="6"/>
        <v>37097</v>
      </c>
      <c r="H445" s="6" t="s">
        <v>39</v>
      </c>
      <c r="I445" s="9">
        <f>MAX(original!I445,piwebapi_edit!I445,car_edit!I445)</f>
        <v>14629.276682180602</v>
      </c>
      <c r="J445" s="9">
        <f>MAX(original!J445,piwebapi_edit!J445,car_edit!J445)</f>
        <v>60.3363750806434</v>
      </c>
      <c r="K445" s="17"/>
    </row>
    <row r="446" spans="1:11" x14ac:dyDescent="0.25">
      <c r="A446" s="3" t="s">
        <v>911</v>
      </c>
      <c r="B446" s="4" t="s">
        <v>912</v>
      </c>
      <c r="C446" s="5">
        <v>12488</v>
      </c>
      <c r="D446" s="6" t="s">
        <v>11</v>
      </c>
      <c r="E446" s="6" t="s">
        <v>17</v>
      </c>
      <c r="F446" s="7">
        <v>37819</v>
      </c>
      <c r="G446" s="8">
        <f t="shared" si="6"/>
        <v>37819</v>
      </c>
      <c r="H446" s="6" t="s">
        <v>13</v>
      </c>
      <c r="I446" s="9">
        <f>MAX(original!I446,piwebapi_edit!I446,car_edit!I446)</f>
        <v>12912.6359782502</v>
      </c>
      <c r="J446" s="9">
        <f>MAX(original!J446,piwebapi_edit!J446,car_edit!J446)</f>
        <v>297.27897196696898</v>
      </c>
      <c r="K446" s="17"/>
    </row>
    <row r="447" spans="1:11" x14ac:dyDescent="0.25">
      <c r="A447" s="3" t="s">
        <v>913</v>
      </c>
      <c r="B447" s="4" t="s">
        <v>914</v>
      </c>
      <c r="C447" s="5">
        <v>30536</v>
      </c>
      <c r="D447" s="6" t="s">
        <v>16</v>
      </c>
      <c r="E447" s="6" t="s">
        <v>17</v>
      </c>
      <c r="F447" s="7">
        <v>38540</v>
      </c>
      <c r="G447" s="8">
        <f t="shared" si="6"/>
        <v>38540</v>
      </c>
      <c r="H447" s="6" t="s">
        <v>13</v>
      </c>
      <c r="I447" s="9">
        <f>MAX(original!I447,piwebapi_edit!I447,car_edit!I447)</f>
        <v>45739.323238802695</v>
      </c>
      <c r="J447" s="9">
        <f>MAX(original!J447,piwebapi_edit!J447,car_edit!J447)</f>
        <v>208.85454565164201</v>
      </c>
      <c r="K447" s="17"/>
    </row>
    <row r="448" spans="1:11" x14ac:dyDescent="0.25">
      <c r="A448" s="3" t="s">
        <v>915</v>
      </c>
      <c r="B448" s="4" t="s">
        <v>916</v>
      </c>
      <c r="C448" s="5">
        <v>1324</v>
      </c>
      <c r="D448" s="6" t="s">
        <v>16</v>
      </c>
      <c r="E448" s="6" t="s">
        <v>17</v>
      </c>
      <c r="F448" s="7">
        <v>25569</v>
      </c>
      <c r="G448" s="8">
        <f t="shared" si="6"/>
        <v>25569</v>
      </c>
      <c r="H448" s="6" t="s">
        <v>13</v>
      </c>
      <c r="I448" s="9">
        <f>MAX(original!I448,piwebapi_edit!I448,car_edit!I448)</f>
        <v>21121.7096936708</v>
      </c>
      <c r="J448" s="9">
        <f>MAX(original!J448,piwebapi_edit!J448,car_edit!J448)</f>
        <v>264.85051143257999</v>
      </c>
      <c r="K448" s="17"/>
    </row>
    <row r="449" spans="1:11" x14ac:dyDescent="0.25">
      <c r="A449" s="3" t="s">
        <v>917</v>
      </c>
      <c r="B449" s="4" t="s">
        <v>918</v>
      </c>
      <c r="C449" s="5">
        <v>1444</v>
      </c>
      <c r="D449" s="6" t="s">
        <v>16</v>
      </c>
      <c r="E449" s="6" t="s">
        <v>17</v>
      </c>
      <c r="F449" s="7">
        <v>32874</v>
      </c>
      <c r="G449" s="8">
        <f t="shared" si="6"/>
        <v>32874</v>
      </c>
      <c r="H449" s="6" t="s">
        <v>13</v>
      </c>
      <c r="I449" s="9">
        <f>MAX(original!I449,piwebapi_edit!I449,car_edit!I449)</f>
        <v>82185.432513581007</v>
      </c>
      <c r="J449" s="9">
        <f>MAX(original!J449,piwebapi_edit!J449,car_edit!J449)</f>
        <v>344.40727684251101</v>
      </c>
      <c r="K449" s="17"/>
    </row>
    <row r="450" spans="1:11" x14ac:dyDescent="0.25">
      <c r="A450" s="3" t="s">
        <v>919</v>
      </c>
      <c r="B450" s="4" t="s">
        <v>920</v>
      </c>
      <c r="C450" s="5">
        <v>30535</v>
      </c>
      <c r="D450" s="6" t="s">
        <v>16</v>
      </c>
      <c r="E450" s="6" t="s">
        <v>17</v>
      </c>
      <c r="F450" s="7">
        <v>39534</v>
      </c>
      <c r="G450" s="8">
        <f t="shared" ref="G450:G513" si="7">F450</f>
        <v>39534</v>
      </c>
      <c r="H450" s="6" t="s">
        <v>13</v>
      </c>
      <c r="I450" s="9">
        <f>MAX(original!I450,piwebapi_edit!I450,car_edit!I450)</f>
        <v>21666.191507268501</v>
      </c>
      <c r="J450" s="9">
        <f>MAX(original!J450,piwebapi_edit!J450,car_edit!J450)</f>
        <v>336.82574533867898</v>
      </c>
      <c r="K450" s="17"/>
    </row>
    <row r="451" spans="1:11" x14ac:dyDescent="0.25">
      <c r="A451" s="3" t="s">
        <v>921</v>
      </c>
      <c r="B451" s="4" t="s">
        <v>922</v>
      </c>
      <c r="C451" s="14">
        <v>1857</v>
      </c>
      <c r="D451" s="6" t="s">
        <v>16</v>
      </c>
      <c r="E451" s="6" t="s">
        <v>17</v>
      </c>
      <c r="F451" s="7">
        <v>32874</v>
      </c>
      <c r="G451" s="8">
        <f t="shared" si="7"/>
        <v>32874</v>
      </c>
      <c r="H451" s="6" t="s">
        <v>13</v>
      </c>
      <c r="I451" s="9">
        <f>MAX(original!I451,piwebapi_edit!I451,car_edit!I451)</f>
        <v>0</v>
      </c>
      <c r="J451" s="9">
        <f>MAX(original!J451,piwebapi_edit!J451,car_edit!J451)</f>
        <v>0</v>
      </c>
      <c r="K451" s="17"/>
    </row>
    <row r="452" spans="1:11" x14ac:dyDescent="0.25">
      <c r="A452" s="42" t="s">
        <v>923</v>
      </c>
      <c r="B452" s="43" t="s">
        <v>924</v>
      </c>
      <c r="C452" s="5">
        <v>1108</v>
      </c>
      <c r="D452" s="44" t="s">
        <v>28</v>
      </c>
      <c r="E452" s="44" t="s">
        <v>17</v>
      </c>
      <c r="F452" s="45">
        <v>38026</v>
      </c>
      <c r="G452" s="30">
        <f t="shared" si="7"/>
        <v>38026</v>
      </c>
      <c r="H452" s="44" t="s">
        <v>13</v>
      </c>
      <c r="I452" s="9">
        <f>MAX(original!I452,piwebapi_edit!I452,car_edit!I452)</f>
        <v>24460.553421725399</v>
      </c>
      <c r="J452" s="9">
        <f>MAX(original!J452,piwebapi_edit!J452,car_edit!J452)</f>
        <v>134.72800278076301</v>
      </c>
      <c r="K452" s="33"/>
    </row>
    <row r="453" spans="1:11" x14ac:dyDescent="0.25">
      <c r="A453" s="3" t="s">
        <v>925</v>
      </c>
      <c r="B453" s="4" t="s">
        <v>926</v>
      </c>
      <c r="C453" s="5">
        <v>15362</v>
      </c>
      <c r="D453" s="6" t="s">
        <v>28</v>
      </c>
      <c r="E453" s="6" t="s">
        <v>17</v>
      </c>
      <c r="F453" s="7">
        <v>32325</v>
      </c>
      <c r="G453" s="8">
        <f t="shared" si="7"/>
        <v>32325</v>
      </c>
      <c r="H453" s="6" t="s">
        <v>13</v>
      </c>
      <c r="I453" s="9">
        <f>MAX(original!I453,piwebapi_edit!I453,car_edit!I453)</f>
        <v>59577.871486595395</v>
      </c>
      <c r="J453" s="9">
        <f>MAX(original!J453,piwebapi_edit!J453,car_edit!J453)</f>
        <v>342.98765698864901</v>
      </c>
      <c r="K453" s="17"/>
    </row>
    <row r="454" spans="1:11" x14ac:dyDescent="0.25">
      <c r="A454" s="26" t="s">
        <v>927</v>
      </c>
      <c r="B454" s="27" t="s">
        <v>928</v>
      </c>
      <c r="C454" s="34">
        <v>28209</v>
      </c>
      <c r="D454" s="28" t="s">
        <v>28</v>
      </c>
      <c r="E454" s="28" t="s">
        <v>17</v>
      </c>
      <c r="F454" s="29">
        <v>26573</v>
      </c>
      <c r="G454" s="30">
        <f t="shared" si="7"/>
        <v>26573</v>
      </c>
      <c r="H454" s="28" t="s">
        <v>13</v>
      </c>
      <c r="I454" s="9">
        <f>MAX(original!I454,piwebapi_edit!I454,car_edit!I454)</f>
        <v>29887.537445561498</v>
      </c>
      <c r="J454" s="9">
        <f>MAX(original!J454,piwebapi_edit!J454,car_edit!J454)</f>
        <v>84.663916041074799</v>
      </c>
      <c r="K454" s="33"/>
    </row>
    <row r="455" spans="1:11" x14ac:dyDescent="0.25">
      <c r="A455" s="3" t="s">
        <v>929</v>
      </c>
      <c r="B455" s="4" t="s">
        <v>930</v>
      </c>
      <c r="C455" s="5">
        <v>54550</v>
      </c>
      <c r="D455" s="6" t="s">
        <v>31</v>
      </c>
      <c r="E455" s="6" t="s">
        <v>17</v>
      </c>
      <c r="F455" s="7">
        <v>33067</v>
      </c>
      <c r="G455" s="8">
        <f t="shared" si="7"/>
        <v>33067</v>
      </c>
      <c r="H455" s="6" t="s">
        <v>13</v>
      </c>
      <c r="I455" s="9">
        <f>MAX(original!I455,piwebapi_edit!I455,car_edit!I455)</f>
        <v>3238.1266501198002</v>
      </c>
      <c r="J455" s="9">
        <f>MAX(original!J455,piwebapi_edit!J455,car_edit!J455)</f>
        <v>77.289602804509002</v>
      </c>
      <c r="K455" s="17"/>
    </row>
    <row r="456" spans="1:11" x14ac:dyDescent="0.25">
      <c r="A456" s="3" t="s">
        <v>931</v>
      </c>
      <c r="B456" s="4" t="s">
        <v>932</v>
      </c>
      <c r="C456" s="5">
        <v>1347</v>
      </c>
      <c r="D456" s="6" t="s">
        <v>31</v>
      </c>
      <c r="E456" s="6" t="s">
        <v>17</v>
      </c>
      <c r="F456" s="7">
        <v>27227</v>
      </c>
      <c r="G456" s="8">
        <f t="shared" si="7"/>
        <v>27227</v>
      </c>
      <c r="H456" s="6" t="s">
        <v>13</v>
      </c>
      <c r="I456" s="9">
        <f>MAX(original!I456,piwebapi_edit!I456,car_edit!I456)</f>
        <v>582167.16593731695</v>
      </c>
      <c r="J456" s="9">
        <f>MAX(original!J456,piwebapi_edit!J456,car_edit!J456)</f>
        <v>1400</v>
      </c>
      <c r="K456" s="17"/>
    </row>
    <row r="457" spans="1:11" x14ac:dyDescent="0.25">
      <c r="A457" s="3" t="s">
        <v>933</v>
      </c>
      <c r="B457" s="4" t="s">
        <v>934</v>
      </c>
      <c r="C457" s="5">
        <v>9601</v>
      </c>
      <c r="D457" s="6" t="s">
        <v>28</v>
      </c>
      <c r="E457" s="6" t="s">
        <v>17</v>
      </c>
      <c r="F457" s="7">
        <v>37635</v>
      </c>
      <c r="G457" s="8">
        <f t="shared" si="7"/>
        <v>37635</v>
      </c>
      <c r="H457" s="6" t="s">
        <v>13</v>
      </c>
      <c r="I457" s="9">
        <f>MAX(original!I457,piwebapi_edit!I457,car_edit!I457)</f>
        <v>73525.377284010698</v>
      </c>
      <c r="J457" s="9">
        <f>MAX(original!J457,piwebapi_edit!J457,car_edit!J457)</f>
        <v>571.321841095183</v>
      </c>
      <c r="K457" s="17"/>
    </row>
    <row r="458" spans="1:11" x14ac:dyDescent="0.25">
      <c r="A458" s="3" t="s">
        <v>935</v>
      </c>
      <c r="B458" s="4" t="s">
        <v>936</v>
      </c>
      <c r="C458" s="5">
        <v>1436</v>
      </c>
      <c r="D458" s="6" t="s">
        <v>16</v>
      </c>
      <c r="E458" s="6" t="s">
        <v>17</v>
      </c>
      <c r="F458" s="7">
        <v>29221</v>
      </c>
      <c r="G458" s="8">
        <f t="shared" si="7"/>
        <v>29221</v>
      </c>
      <c r="H458" s="6" t="s">
        <v>13</v>
      </c>
      <c r="I458" s="9">
        <f>MAX(original!I458,piwebapi_edit!I458,car_edit!I458)</f>
        <v>1623.72204580108</v>
      </c>
      <c r="J458" s="9">
        <f>MAX(original!J458,piwebapi_edit!J458,car_edit!J458)</f>
        <v>276.04190537615602</v>
      </c>
      <c r="K458" s="17"/>
    </row>
    <row r="459" spans="1:11" x14ac:dyDescent="0.25">
      <c r="A459" s="3" t="s">
        <v>937</v>
      </c>
      <c r="B459" s="4" t="s">
        <v>938</v>
      </c>
      <c r="C459" s="5">
        <v>1848</v>
      </c>
      <c r="D459" s="6" t="s">
        <v>16</v>
      </c>
      <c r="E459" s="6" t="s">
        <v>17</v>
      </c>
      <c r="F459" s="7">
        <v>31048</v>
      </c>
      <c r="G459" s="8">
        <f t="shared" si="7"/>
        <v>31048</v>
      </c>
      <c r="H459" s="6" t="s">
        <v>13</v>
      </c>
      <c r="I459" s="9">
        <f>MAX(original!I459,piwebapi_edit!I459,car_edit!I459)</f>
        <v>28347.387819370098</v>
      </c>
      <c r="J459" s="9">
        <f>MAX(original!J459,piwebapi_edit!J459,car_edit!J459)</f>
        <v>435.82004488685902</v>
      </c>
      <c r="K459" s="17"/>
    </row>
    <row r="460" spans="1:11" x14ac:dyDescent="0.25">
      <c r="A460" s="3" t="s">
        <v>939</v>
      </c>
      <c r="B460" s="4" t="s">
        <v>940</v>
      </c>
      <c r="C460" s="5">
        <v>21448</v>
      </c>
      <c r="D460" s="6" t="s">
        <v>28</v>
      </c>
      <c r="E460" s="6" t="s">
        <v>17</v>
      </c>
      <c r="F460" s="7">
        <v>38415</v>
      </c>
      <c r="G460" s="8">
        <f t="shared" si="7"/>
        <v>38415</v>
      </c>
      <c r="H460" s="6" t="s">
        <v>13</v>
      </c>
      <c r="I460" s="9">
        <f>MAX(original!I460,piwebapi_edit!I460,car_edit!I460)</f>
        <v>7031.2684195971706</v>
      </c>
      <c r="J460" s="9">
        <f>MAX(original!J460,piwebapi_edit!J460,car_edit!J460)</f>
        <v>201.73490422548701</v>
      </c>
      <c r="K460" s="17"/>
    </row>
    <row r="461" spans="1:11" x14ac:dyDescent="0.25">
      <c r="A461" s="3" t="s">
        <v>941</v>
      </c>
      <c r="B461" s="4" t="s">
        <v>942</v>
      </c>
      <c r="C461" s="5">
        <v>1647</v>
      </c>
      <c r="D461" s="6" t="s">
        <v>28</v>
      </c>
      <c r="E461" s="6" t="s">
        <v>17</v>
      </c>
      <c r="F461" s="7">
        <v>35065</v>
      </c>
      <c r="G461" s="8">
        <f t="shared" si="7"/>
        <v>35065</v>
      </c>
      <c r="H461" s="6" t="s">
        <v>13</v>
      </c>
      <c r="I461" s="9">
        <f>MAX(original!I461,piwebapi_edit!I461,car_edit!I461)</f>
        <v>18296.714483867301</v>
      </c>
      <c r="J461" s="9">
        <f>MAX(original!J461,piwebapi_edit!J461,car_edit!J461)</f>
        <v>119.330284526032</v>
      </c>
      <c r="K461" s="17"/>
    </row>
    <row r="462" spans="1:11" x14ac:dyDescent="0.25">
      <c r="A462" s="3" t="s">
        <v>943</v>
      </c>
      <c r="B462" s="4" t="s">
        <v>944</v>
      </c>
      <c r="C462" s="5">
        <v>1367</v>
      </c>
      <c r="D462" s="6" t="s">
        <v>28</v>
      </c>
      <c r="E462" s="6" t="s">
        <v>17</v>
      </c>
      <c r="F462" s="7">
        <v>31413</v>
      </c>
      <c r="G462" s="8">
        <f t="shared" si="7"/>
        <v>31413</v>
      </c>
      <c r="H462" s="6" t="s">
        <v>13</v>
      </c>
      <c r="I462" s="9">
        <f>MAX(original!I462,piwebapi_edit!I462,car_edit!I462)</f>
        <v>69305.574757294293</v>
      </c>
      <c r="J462" s="9">
        <f>MAX(original!J462,piwebapi_edit!J462,car_edit!J462)</f>
        <v>389.87969765548002</v>
      </c>
      <c r="K462" s="17"/>
    </row>
    <row r="463" spans="1:11" x14ac:dyDescent="0.25">
      <c r="A463" s="3" t="s">
        <v>945</v>
      </c>
      <c r="B463" s="4" t="s">
        <v>946</v>
      </c>
      <c r="C463" s="5">
        <v>2025</v>
      </c>
      <c r="D463" s="6" t="s">
        <v>16</v>
      </c>
      <c r="E463" s="6" t="s">
        <v>17</v>
      </c>
      <c r="F463" s="7">
        <v>29221</v>
      </c>
      <c r="G463" s="8">
        <f t="shared" si="7"/>
        <v>29221</v>
      </c>
      <c r="H463" s="6" t="s">
        <v>13</v>
      </c>
      <c r="I463" s="9">
        <f>MAX(original!I463,piwebapi_edit!I463,car_edit!I463)</f>
        <v>59912.408215927499</v>
      </c>
      <c r="J463" s="9">
        <f>MAX(original!J463,piwebapi_edit!J463,car_edit!J463)</f>
        <v>352.959942596112</v>
      </c>
      <c r="K463" s="17"/>
    </row>
    <row r="464" spans="1:11" x14ac:dyDescent="0.25">
      <c r="A464" s="3" t="s">
        <v>947</v>
      </c>
      <c r="B464" s="4" t="s">
        <v>948</v>
      </c>
      <c r="C464" s="5">
        <v>52276</v>
      </c>
      <c r="D464" s="6" t="s">
        <v>37</v>
      </c>
      <c r="E464" s="6" t="s">
        <v>38</v>
      </c>
      <c r="F464" s="7">
        <v>37467</v>
      </c>
      <c r="G464" s="8">
        <f t="shared" si="7"/>
        <v>37467</v>
      </c>
      <c r="H464" s="6" t="s">
        <v>39</v>
      </c>
      <c r="I464" s="9">
        <f>MAX(original!I464,piwebapi_edit!I464,car_edit!I464)</f>
        <v>37115.0719330145</v>
      </c>
      <c r="J464" s="9">
        <f>MAX(original!J464,piwebapi_edit!J464,car_edit!J464)</f>
        <v>181.734686195476</v>
      </c>
      <c r="K464" s="17"/>
    </row>
    <row r="465" spans="1:11" x14ac:dyDescent="0.25">
      <c r="A465" s="26" t="s">
        <v>949</v>
      </c>
      <c r="B465" s="27" t="s">
        <v>950</v>
      </c>
      <c r="C465" s="34">
        <v>14087</v>
      </c>
      <c r="D465" s="28" t="s">
        <v>37</v>
      </c>
      <c r="E465" s="28" t="s">
        <v>38</v>
      </c>
      <c r="F465" s="29">
        <v>37125</v>
      </c>
      <c r="G465" s="30">
        <f t="shared" si="7"/>
        <v>37125</v>
      </c>
      <c r="H465" s="28" t="s">
        <v>39</v>
      </c>
      <c r="I465" s="9">
        <f>MAX(original!I465,piwebapi_edit!I465,car_edit!I465)</f>
        <v>39762.386480077403</v>
      </c>
      <c r="J465" s="9">
        <f>MAX(original!J465,piwebapi_edit!J465,car_edit!J465)</f>
        <v>462.20481730204602</v>
      </c>
      <c r="K465" s="33"/>
    </row>
    <row r="466" spans="1:11" x14ac:dyDescent="0.25">
      <c r="A466" s="3" t="s">
        <v>951</v>
      </c>
      <c r="B466" s="4" t="s">
        <v>952</v>
      </c>
      <c r="C466" s="5">
        <v>24961</v>
      </c>
      <c r="D466" s="6" t="s">
        <v>37</v>
      </c>
      <c r="E466" s="6" t="s">
        <v>38</v>
      </c>
      <c r="F466" s="7">
        <v>38384</v>
      </c>
      <c r="G466" s="8">
        <f t="shared" si="7"/>
        <v>38384</v>
      </c>
      <c r="H466" s="6" t="s">
        <v>39</v>
      </c>
      <c r="I466" s="9">
        <f>MAX(original!I466,piwebapi_edit!I466,car_edit!I466)</f>
        <v>10562.648601288</v>
      </c>
      <c r="J466" s="9">
        <f>MAX(original!J466,piwebapi_edit!J466,car_edit!J466)</f>
        <v>93.319514910439196</v>
      </c>
      <c r="K466" s="17"/>
    </row>
    <row r="467" spans="1:11" x14ac:dyDescent="0.25">
      <c r="A467" s="3" t="s">
        <v>953</v>
      </c>
      <c r="B467" s="4" t="s">
        <v>954</v>
      </c>
      <c r="C467" s="5">
        <v>2027</v>
      </c>
      <c r="D467" s="6" t="s">
        <v>16</v>
      </c>
      <c r="E467" s="6" t="s">
        <v>17</v>
      </c>
      <c r="F467" s="7">
        <v>37019</v>
      </c>
      <c r="G467" s="8">
        <f t="shared" si="7"/>
        <v>37019</v>
      </c>
      <c r="H467" s="6" t="s">
        <v>13</v>
      </c>
      <c r="I467" s="9">
        <f>MAX(original!I467,piwebapi_edit!I467,car_edit!I467)</f>
        <v>51555.023170617096</v>
      </c>
      <c r="J467" s="9">
        <f>MAX(original!J467,piwebapi_edit!J467,car_edit!J467)</f>
        <v>354.051899022398</v>
      </c>
      <c r="K467" s="17"/>
    </row>
    <row r="468" spans="1:11" x14ac:dyDescent="0.25">
      <c r="A468" s="3" t="s">
        <v>955</v>
      </c>
      <c r="B468" s="4" t="s">
        <v>956</v>
      </c>
      <c r="C468" s="5">
        <v>1627</v>
      </c>
      <c r="D468" s="6" t="s">
        <v>16</v>
      </c>
      <c r="E468" s="6" t="s">
        <v>17</v>
      </c>
      <c r="F468" s="7">
        <v>35608</v>
      </c>
      <c r="G468" s="8">
        <f t="shared" si="7"/>
        <v>35608</v>
      </c>
      <c r="H468" s="6" t="s">
        <v>13</v>
      </c>
      <c r="I468" s="9">
        <f>MAX(original!I468,piwebapi_edit!I468,car_edit!I468)</f>
        <v>77752.77492516971</v>
      </c>
      <c r="J468" s="9">
        <f>MAX(original!J468,piwebapi_edit!J468,car_edit!J468)</f>
        <v>432.34394999471698</v>
      </c>
      <c r="K468" s="17"/>
    </row>
    <row r="469" spans="1:11" x14ac:dyDescent="0.25">
      <c r="A469" s="26" t="s">
        <v>957</v>
      </c>
      <c r="B469" s="27" t="s">
        <v>958</v>
      </c>
      <c r="C469" s="34">
        <v>27860</v>
      </c>
      <c r="D469" s="28" t="s">
        <v>28</v>
      </c>
      <c r="E469" s="28" t="s">
        <v>17</v>
      </c>
      <c r="F469" s="29">
        <v>32534</v>
      </c>
      <c r="G469" s="30">
        <f t="shared" si="7"/>
        <v>32534</v>
      </c>
      <c r="H469" s="28" t="s">
        <v>13</v>
      </c>
      <c r="I469" s="9">
        <f>MAX(original!I469,piwebapi_edit!I469,car_edit!I469)</f>
        <v>71030.488418863402</v>
      </c>
      <c r="J469" s="9">
        <f>MAX(original!J469,piwebapi_edit!J469,car_edit!J469)</f>
        <v>380.12048316952303</v>
      </c>
      <c r="K469" s="33"/>
    </row>
    <row r="470" spans="1:11" x14ac:dyDescent="0.25">
      <c r="A470" s="3" t="s">
        <v>959</v>
      </c>
      <c r="B470" s="4" t="s">
        <v>960</v>
      </c>
      <c r="C470" s="5">
        <v>16005</v>
      </c>
      <c r="D470" s="6" t="s">
        <v>31</v>
      </c>
      <c r="E470" s="6" t="s">
        <v>17</v>
      </c>
      <c r="F470" s="7">
        <v>33394</v>
      </c>
      <c r="G470" s="8">
        <f t="shared" si="7"/>
        <v>33394</v>
      </c>
      <c r="H470" s="6" t="s">
        <v>13</v>
      </c>
      <c r="I470" s="9">
        <f>MAX(original!I470,piwebapi_edit!I470,car_edit!I470)</f>
        <v>1804.78965398014</v>
      </c>
      <c r="J470" s="9">
        <f>MAX(original!J470,piwebapi_edit!J470,car_edit!J470)</f>
        <v>63.9035707818405</v>
      </c>
      <c r="K470" s="17"/>
    </row>
    <row r="471" spans="1:11" ht="30" x14ac:dyDescent="0.25">
      <c r="A471" s="18" t="s">
        <v>961</v>
      </c>
      <c r="B471" s="19" t="s">
        <v>962</v>
      </c>
      <c r="C471" s="20">
        <v>1544</v>
      </c>
      <c r="D471" s="21" t="s">
        <v>34</v>
      </c>
      <c r="E471" s="21" t="s">
        <v>17</v>
      </c>
      <c r="F471" s="22">
        <v>20992</v>
      </c>
      <c r="G471" s="23">
        <f t="shared" si="7"/>
        <v>20992</v>
      </c>
      <c r="H471" s="21" t="s">
        <v>13</v>
      </c>
      <c r="I471" s="9">
        <f>MAX(original!I471,piwebapi_edit!I471,car_edit!I471)</f>
        <v>25430.722648553899</v>
      </c>
      <c r="J471" s="9">
        <f>MAX(original!J471,piwebapi_edit!J471,car_edit!J471)</f>
        <v>222.78564775887</v>
      </c>
      <c r="K471" s="25"/>
    </row>
    <row r="472" spans="1:11" x14ac:dyDescent="0.25">
      <c r="A472" s="3" t="s">
        <v>963</v>
      </c>
      <c r="B472" s="4" t="s">
        <v>964</v>
      </c>
      <c r="C472" s="5">
        <v>15682</v>
      </c>
      <c r="D472" s="6" t="s">
        <v>31</v>
      </c>
      <c r="E472" s="6" t="s">
        <v>17</v>
      </c>
      <c r="F472" s="7">
        <v>31155</v>
      </c>
      <c r="G472" s="8">
        <f t="shared" si="7"/>
        <v>31155</v>
      </c>
      <c r="H472" s="6" t="s">
        <v>13</v>
      </c>
      <c r="I472" s="9">
        <f>MAX(original!I472,piwebapi_edit!I472,car_edit!I472)</f>
        <v>6993.2310580612893</v>
      </c>
      <c r="J472" s="9">
        <f>MAX(original!J472,piwebapi_edit!J472,car_edit!J472)</f>
        <v>144.39480116957299</v>
      </c>
      <c r="K472" s="17"/>
    </row>
    <row r="473" spans="1:11" x14ac:dyDescent="0.25">
      <c r="A473" s="3" t="s">
        <v>965</v>
      </c>
      <c r="B473" s="4" t="s">
        <v>966</v>
      </c>
      <c r="C473" s="5">
        <v>1411</v>
      </c>
      <c r="D473" s="6" t="s">
        <v>28</v>
      </c>
      <c r="E473" s="6" t="s">
        <v>17</v>
      </c>
      <c r="F473" s="7">
        <v>19725</v>
      </c>
      <c r="G473" s="8">
        <f t="shared" si="7"/>
        <v>19725</v>
      </c>
      <c r="H473" s="6" t="s">
        <v>13</v>
      </c>
      <c r="I473" s="9">
        <f>MAX(original!I473,piwebapi_edit!I473,car_edit!I473)</f>
        <v>467955.73204547702</v>
      </c>
      <c r="J473" s="9">
        <f>MAX(original!J473,piwebapi_edit!J473,car_edit!J473)</f>
        <v>1063.1488756086501</v>
      </c>
      <c r="K473" s="17"/>
    </row>
    <row r="474" spans="1:11" x14ac:dyDescent="0.25">
      <c r="A474" s="3" t="s">
        <v>967</v>
      </c>
      <c r="B474" s="4" t="s">
        <v>968</v>
      </c>
      <c r="C474" s="5">
        <v>41665</v>
      </c>
      <c r="D474" s="6" t="s">
        <v>31</v>
      </c>
      <c r="E474" s="6" t="s">
        <v>17</v>
      </c>
      <c r="F474" s="7">
        <v>34225</v>
      </c>
      <c r="G474" s="8">
        <f t="shared" si="7"/>
        <v>34225</v>
      </c>
      <c r="H474" s="6" t="s">
        <v>13</v>
      </c>
      <c r="I474" s="9">
        <f>MAX(original!I474,piwebapi_edit!I474,car_edit!I474)</f>
        <v>70837.550471068593</v>
      </c>
      <c r="J474" s="9">
        <f>MAX(original!J474,piwebapi_edit!J474,car_edit!J474)</f>
        <v>298.34832233692998</v>
      </c>
      <c r="K474" s="17"/>
    </row>
    <row r="475" spans="1:11" x14ac:dyDescent="0.25">
      <c r="A475" s="3" t="s">
        <v>969</v>
      </c>
      <c r="B475" s="4" t="s">
        <v>970</v>
      </c>
      <c r="C475" s="5">
        <v>1437</v>
      </c>
      <c r="D475" s="6" t="s">
        <v>16</v>
      </c>
      <c r="E475" s="6" t="s">
        <v>17</v>
      </c>
      <c r="F475" s="7">
        <v>31048</v>
      </c>
      <c r="G475" s="8">
        <f t="shared" si="7"/>
        <v>31048</v>
      </c>
      <c r="H475" s="6" t="s">
        <v>13</v>
      </c>
      <c r="I475" s="9">
        <f>MAX(original!I475,piwebapi_edit!I475,car_edit!I475)</f>
        <v>22751.0884060565</v>
      </c>
      <c r="J475" s="9">
        <f>MAX(original!J475,piwebapi_edit!J475,car_edit!J475)</f>
        <v>347.061772295884</v>
      </c>
      <c r="K475" s="17"/>
    </row>
    <row r="476" spans="1:11" x14ac:dyDescent="0.25">
      <c r="A476" s="3" t="s">
        <v>971</v>
      </c>
      <c r="B476" s="4" t="s">
        <v>972</v>
      </c>
      <c r="C476" s="14">
        <v>1435</v>
      </c>
      <c r="D476" s="6" t="s">
        <v>16</v>
      </c>
      <c r="E476" s="6" t="s">
        <v>17</v>
      </c>
      <c r="F476" s="7">
        <v>27282</v>
      </c>
      <c r="G476" s="8">
        <f t="shared" si="7"/>
        <v>27282</v>
      </c>
      <c r="H476" s="6" t="s">
        <v>13</v>
      </c>
      <c r="I476" s="9">
        <f>MAX(original!I476,piwebapi_edit!I476,car_edit!I476)</f>
        <v>61745.298428130198</v>
      </c>
      <c r="J476" s="9">
        <f>MAX(original!J476,piwebapi_edit!J476,car_edit!J476)</f>
        <v>502.07674972374099</v>
      </c>
      <c r="K476" s="17"/>
    </row>
    <row r="477" spans="1:11" x14ac:dyDescent="0.25">
      <c r="A477" s="3" t="s">
        <v>973</v>
      </c>
      <c r="B477" s="4" t="s">
        <v>974</v>
      </c>
      <c r="C477" s="14">
        <v>1077</v>
      </c>
      <c r="D477" s="6" t="s">
        <v>34</v>
      </c>
      <c r="E477" s="6" t="s">
        <v>17</v>
      </c>
      <c r="F477" s="7">
        <v>29952</v>
      </c>
      <c r="G477" s="8">
        <f t="shared" si="7"/>
        <v>29952</v>
      </c>
      <c r="H477" s="6" t="s">
        <v>13</v>
      </c>
      <c r="I477" s="9">
        <f>MAX(original!I477,piwebapi_edit!I477,car_edit!I477)</f>
        <v>144693.66008115001</v>
      </c>
      <c r="J477" s="9">
        <f>MAX(original!J477,piwebapi_edit!J477,car_edit!J477)</f>
        <v>640.08322290054605</v>
      </c>
      <c r="K477" s="17"/>
    </row>
    <row r="478" spans="1:11" x14ac:dyDescent="0.25">
      <c r="A478" s="12" t="s">
        <v>975</v>
      </c>
      <c r="B478" s="4" t="s">
        <v>976</v>
      </c>
      <c r="C478" s="5">
        <v>1881</v>
      </c>
      <c r="D478" s="6" t="s">
        <v>34</v>
      </c>
      <c r="E478" s="6" t="s">
        <v>17</v>
      </c>
      <c r="F478" s="7">
        <v>29221</v>
      </c>
      <c r="G478" s="8">
        <f t="shared" si="7"/>
        <v>29221</v>
      </c>
      <c r="H478" s="6" t="s">
        <v>13</v>
      </c>
      <c r="I478" s="9">
        <f>MAX(original!I478,piwebapi_edit!I478,car_edit!I478)</f>
        <v>3482629.2199999997</v>
      </c>
      <c r="J478" s="9">
        <f>MAX(original!J478,piwebapi_edit!J478,car_edit!J478)</f>
        <v>4190</v>
      </c>
      <c r="K478" s="17"/>
    </row>
    <row r="479" spans="1:11" x14ac:dyDescent="0.25">
      <c r="A479" s="3" t="s">
        <v>977</v>
      </c>
      <c r="B479" s="4" t="s">
        <v>978</v>
      </c>
      <c r="C479" s="5">
        <v>1343</v>
      </c>
      <c r="D479" s="6" t="s">
        <v>34</v>
      </c>
      <c r="E479" s="6" t="s">
        <v>17</v>
      </c>
      <c r="F479" s="7">
        <v>37012</v>
      </c>
      <c r="G479" s="8">
        <f t="shared" si="7"/>
        <v>37012</v>
      </c>
      <c r="H479" s="6" t="s">
        <v>13</v>
      </c>
      <c r="I479" s="9">
        <f>MAX(original!I479,piwebapi_edit!I479,car_edit!I479)</f>
        <v>23639.086299726499</v>
      </c>
      <c r="J479" s="9">
        <f>MAX(original!J479,piwebapi_edit!J479,car_edit!J479)</f>
        <v>383.81872655057202</v>
      </c>
      <c r="K479" s="17"/>
    </row>
    <row r="480" spans="1:11" x14ac:dyDescent="0.25">
      <c r="A480" s="3" t="s">
        <v>979</v>
      </c>
      <c r="B480" s="12" t="s">
        <v>980</v>
      </c>
      <c r="C480" s="14">
        <v>1578</v>
      </c>
      <c r="D480" s="6" t="s">
        <v>16</v>
      </c>
      <c r="E480" s="6" t="s">
        <v>17</v>
      </c>
      <c r="F480" s="7">
        <v>29221</v>
      </c>
      <c r="G480" s="8">
        <f t="shared" si="7"/>
        <v>29221</v>
      </c>
      <c r="H480" s="6" t="s">
        <v>13</v>
      </c>
      <c r="I480" s="9">
        <f>MAX(original!I480,piwebapi_edit!I480,car_edit!I480)</f>
        <v>175634.54061237301</v>
      </c>
      <c r="J480" s="9">
        <f>MAX(original!J480,piwebapi_edit!J480,car_edit!J480)</f>
        <v>442.62023812441203</v>
      </c>
      <c r="K480" s="17"/>
    </row>
    <row r="481" spans="1:11" x14ac:dyDescent="0.25">
      <c r="A481" s="3" t="s">
        <v>981</v>
      </c>
      <c r="B481" s="4" t="s">
        <v>982</v>
      </c>
      <c r="C481" s="5">
        <v>1733</v>
      </c>
      <c r="D481" s="6" t="s">
        <v>16</v>
      </c>
      <c r="E481" s="6" t="s">
        <v>17</v>
      </c>
      <c r="F481" s="7">
        <v>29221</v>
      </c>
      <c r="G481" s="8">
        <f t="shared" si="7"/>
        <v>29221</v>
      </c>
      <c r="H481" s="6" t="s">
        <v>13</v>
      </c>
      <c r="I481" s="9">
        <f>MAX(original!I481,piwebapi_edit!I481,car_edit!I481)</f>
        <v>70285.5496831747</v>
      </c>
      <c r="J481" s="9">
        <f>MAX(original!J481,piwebapi_edit!J481,car_edit!J481)</f>
        <v>431.862905768948</v>
      </c>
      <c r="K481" s="17"/>
    </row>
    <row r="482" spans="1:11" x14ac:dyDescent="0.25">
      <c r="A482" s="3" t="s">
        <v>983</v>
      </c>
      <c r="B482" s="4" t="s">
        <v>984</v>
      </c>
      <c r="C482" s="5">
        <v>54552</v>
      </c>
      <c r="D482" s="6" t="s">
        <v>28</v>
      </c>
      <c r="E482" s="6" t="s">
        <v>17</v>
      </c>
      <c r="F482" s="7">
        <v>38758</v>
      </c>
      <c r="G482" s="8">
        <f t="shared" si="7"/>
        <v>38758</v>
      </c>
      <c r="H482" s="6" t="s">
        <v>13</v>
      </c>
      <c r="I482" s="9">
        <f>MAX(original!I482,piwebapi_edit!I482,car_edit!I482)</f>
        <v>20155.278379695497</v>
      </c>
      <c r="J482" s="9">
        <f>MAX(original!J482,piwebapi_edit!J482,car_edit!J482)</f>
        <v>115.445713062351</v>
      </c>
      <c r="K482" s="17"/>
    </row>
    <row r="483" spans="1:11" x14ac:dyDescent="0.25">
      <c r="A483" s="3" t="s">
        <v>985</v>
      </c>
      <c r="B483" s="4" t="s">
        <v>986</v>
      </c>
      <c r="C483" s="14">
        <v>1891</v>
      </c>
      <c r="D483" s="6" t="s">
        <v>31</v>
      </c>
      <c r="E483" s="6" t="s">
        <v>17</v>
      </c>
      <c r="F483" s="7">
        <v>36019</v>
      </c>
      <c r="G483" s="8">
        <f t="shared" si="7"/>
        <v>36019</v>
      </c>
      <c r="H483" s="6" t="s">
        <v>13</v>
      </c>
      <c r="I483" s="9">
        <f>MAX(original!I483,piwebapi_edit!I483,car_edit!I483)</f>
        <v>61143.858400696205</v>
      </c>
      <c r="J483" s="9">
        <f>MAX(original!J483,piwebapi_edit!J483,car_edit!J483)</f>
        <v>487.18476871314999</v>
      </c>
      <c r="K483" s="17"/>
    </row>
    <row r="484" spans="1:11" x14ac:dyDescent="0.25">
      <c r="A484" s="3" t="s">
        <v>987</v>
      </c>
      <c r="B484" s="4" t="s">
        <v>988</v>
      </c>
      <c r="C484" s="5">
        <v>11521</v>
      </c>
      <c r="D484" s="6" t="s">
        <v>28</v>
      </c>
      <c r="E484" s="6" t="s">
        <v>17</v>
      </c>
      <c r="F484" s="7">
        <v>37859</v>
      </c>
      <c r="G484" s="8">
        <f t="shared" si="7"/>
        <v>37859</v>
      </c>
      <c r="H484" s="6" t="s">
        <v>13</v>
      </c>
      <c r="I484" s="9">
        <f>MAX(original!I484,piwebapi_edit!I484,car_edit!I484)</f>
        <v>41083.605082205999</v>
      </c>
      <c r="J484" s="9">
        <f>MAX(original!J484,piwebapi_edit!J484,car_edit!J484)</f>
        <v>587.15409001742398</v>
      </c>
      <c r="K484" s="17"/>
    </row>
    <row r="485" spans="1:11" x14ac:dyDescent="0.25">
      <c r="A485" s="3" t="s">
        <v>989</v>
      </c>
      <c r="B485" s="4" t="s">
        <v>990</v>
      </c>
      <c r="C485" s="5">
        <v>72157</v>
      </c>
      <c r="D485" s="6" t="s">
        <v>28</v>
      </c>
      <c r="E485" s="6" t="s">
        <v>508</v>
      </c>
      <c r="F485" s="7">
        <v>38398</v>
      </c>
      <c r="G485" s="8">
        <f t="shared" si="7"/>
        <v>38398</v>
      </c>
      <c r="H485" s="6" t="s">
        <v>509</v>
      </c>
      <c r="I485" s="9">
        <f>MAX(original!I485,piwebapi_edit!I485,car_edit!I485)</f>
        <v>98115.597704475498</v>
      </c>
      <c r="J485" s="9">
        <f>MAX(original!J485,piwebapi_edit!J485,car_edit!J485)</f>
        <v>343.38500210018202</v>
      </c>
      <c r="K485" s="17"/>
    </row>
    <row r="486" spans="1:11" x14ac:dyDescent="0.25">
      <c r="A486" s="3" t="s">
        <v>991</v>
      </c>
      <c r="B486" s="4" t="s">
        <v>992</v>
      </c>
      <c r="C486" s="5">
        <v>1950</v>
      </c>
      <c r="D486" s="6" t="s">
        <v>28</v>
      </c>
      <c r="E486" s="6" t="s">
        <v>17</v>
      </c>
      <c r="F486" s="7">
        <v>32509</v>
      </c>
      <c r="G486" s="8">
        <f t="shared" si="7"/>
        <v>32509</v>
      </c>
      <c r="H486" s="6" t="s">
        <v>13</v>
      </c>
      <c r="I486" s="9">
        <f>MAX(original!I486,piwebapi_edit!I486,car_edit!I486)</f>
        <v>19177.749838329197</v>
      </c>
      <c r="J486" s="9">
        <f>MAX(original!J486,piwebapi_edit!J486,car_edit!J486)</f>
        <v>110.880791103177</v>
      </c>
      <c r="K486" s="17"/>
    </row>
    <row r="487" spans="1:11" x14ac:dyDescent="0.25">
      <c r="A487" s="3" t="s">
        <v>993</v>
      </c>
      <c r="B487" s="4" t="s">
        <v>994</v>
      </c>
      <c r="C487" s="5">
        <v>1125</v>
      </c>
      <c r="D487" s="6" t="s">
        <v>16</v>
      </c>
      <c r="E487" s="6" t="s">
        <v>17</v>
      </c>
      <c r="F487" s="7">
        <v>25569</v>
      </c>
      <c r="G487" s="8">
        <f t="shared" si="7"/>
        <v>25569</v>
      </c>
      <c r="H487" s="6" t="s">
        <v>13</v>
      </c>
      <c r="I487" s="9">
        <f>MAX(original!I487,piwebapi_edit!I487,car_edit!I487)</f>
        <v>32017.650597712702</v>
      </c>
      <c r="J487" s="9">
        <f>MAX(original!J487,piwebapi_edit!J487,car_edit!J487)</f>
        <v>233.505382366427</v>
      </c>
      <c r="K487" s="17"/>
    </row>
    <row r="488" spans="1:11" x14ac:dyDescent="0.25">
      <c r="A488" s="3" t="s">
        <v>995</v>
      </c>
      <c r="B488" s="4" t="s">
        <v>996</v>
      </c>
      <c r="C488" s="5">
        <v>1794</v>
      </c>
      <c r="D488" s="6" t="s">
        <v>31</v>
      </c>
      <c r="E488" s="6" t="s">
        <v>17</v>
      </c>
      <c r="F488" s="7">
        <v>29221</v>
      </c>
      <c r="G488" s="8">
        <f t="shared" si="7"/>
        <v>29221</v>
      </c>
      <c r="H488" s="6" t="s">
        <v>13</v>
      </c>
      <c r="I488" s="9">
        <f>MAX(original!I488,piwebapi_edit!I488,car_edit!I488)</f>
        <v>5258.1708728040103</v>
      </c>
      <c r="J488" s="9">
        <f>MAX(original!J488,piwebapi_edit!J488,car_edit!J488)</f>
        <v>31.711859829039799</v>
      </c>
      <c r="K488" s="17"/>
    </row>
    <row r="489" spans="1:11" x14ac:dyDescent="0.25">
      <c r="A489" s="3" t="s">
        <v>997</v>
      </c>
      <c r="B489" s="4" t="s">
        <v>998</v>
      </c>
      <c r="C489" s="5">
        <v>1531</v>
      </c>
      <c r="D489" s="6" t="s">
        <v>31</v>
      </c>
      <c r="E489" s="6" t="s">
        <v>17</v>
      </c>
      <c r="F489" s="7">
        <v>27395</v>
      </c>
      <c r="G489" s="8">
        <f t="shared" si="7"/>
        <v>27395</v>
      </c>
      <c r="H489" s="6" t="s">
        <v>13</v>
      </c>
      <c r="I489" s="9">
        <f>MAX(original!I489,piwebapi_edit!I489,car_edit!I489)</f>
        <v>2686.0399997916697</v>
      </c>
      <c r="J489" s="9">
        <f>MAX(original!J489,piwebapi_edit!J489,car_edit!J489)</f>
        <v>73.889494312467903</v>
      </c>
      <c r="K489" s="17"/>
    </row>
    <row r="490" spans="1:11" x14ac:dyDescent="0.25">
      <c r="A490" s="3" t="s">
        <v>999</v>
      </c>
      <c r="B490" s="4" t="s">
        <v>1000</v>
      </c>
      <c r="C490" s="5">
        <v>1977</v>
      </c>
      <c r="D490" s="6" t="s">
        <v>31</v>
      </c>
      <c r="E490" s="6" t="s">
        <v>17</v>
      </c>
      <c r="F490" s="7">
        <v>18264</v>
      </c>
      <c r="G490" s="8">
        <f t="shared" si="7"/>
        <v>18264</v>
      </c>
      <c r="H490" s="6" t="s">
        <v>13</v>
      </c>
      <c r="I490" s="9">
        <f>MAX(original!I490,piwebapi_edit!I490,car_edit!I490)</f>
        <v>6698.8641156751801</v>
      </c>
      <c r="J490" s="9">
        <f>MAX(original!J490,piwebapi_edit!J490,car_edit!J490)</f>
        <v>76.144149219456494</v>
      </c>
      <c r="K490" s="17"/>
    </row>
    <row r="491" spans="1:11" x14ac:dyDescent="0.25">
      <c r="A491" s="3" t="s">
        <v>1001</v>
      </c>
      <c r="B491" s="4" t="s">
        <v>1002</v>
      </c>
      <c r="C491" s="14">
        <v>17616</v>
      </c>
      <c r="D491" s="6" t="s">
        <v>16</v>
      </c>
      <c r="E491" s="6" t="s">
        <v>17</v>
      </c>
      <c r="F491" s="7">
        <v>29132</v>
      </c>
      <c r="G491" s="8">
        <f t="shared" si="7"/>
        <v>29132</v>
      </c>
      <c r="H491" s="6" t="s">
        <v>13</v>
      </c>
      <c r="I491" s="9">
        <f>MAX(original!I491,piwebapi_edit!I491,car_edit!I491)</f>
        <v>184821.80860769402</v>
      </c>
      <c r="J491" s="9">
        <f>MAX(original!J491,piwebapi_edit!J491,car_edit!J491)</f>
        <v>616.41936668276799</v>
      </c>
      <c r="K491" s="17"/>
    </row>
    <row r="492" spans="1:11" x14ac:dyDescent="0.25">
      <c r="A492" s="3" t="s">
        <v>1003</v>
      </c>
      <c r="B492" s="4" t="s">
        <v>1004</v>
      </c>
      <c r="C492" s="5">
        <v>28929</v>
      </c>
      <c r="D492" s="6" t="s">
        <v>37</v>
      </c>
      <c r="E492" s="6" t="s">
        <v>38</v>
      </c>
      <c r="F492" s="7">
        <v>38489</v>
      </c>
      <c r="G492" s="8">
        <f t="shared" si="7"/>
        <v>38489</v>
      </c>
      <c r="H492" s="6" t="s">
        <v>39</v>
      </c>
      <c r="I492" s="9">
        <f>MAX(original!I492,piwebapi_edit!I492,car_edit!I492)</f>
        <v>101529.95351300199</v>
      </c>
      <c r="J492" s="9">
        <f>MAX(original!J492,piwebapi_edit!J492,car_edit!J492)</f>
        <v>520.62483743062705</v>
      </c>
      <c r="K492" s="17"/>
    </row>
    <row r="493" spans="1:11" x14ac:dyDescent="0.25">
      <c r="A493" s="3" t="s">
        <v>1005</v>
      </c>
      <c r="B493" s="4" t="s">
        <v>1006</v>
      </c>
      <c r="C493" s="14">
        <v>1953</v>
      </c>
      <c r="D493" s="6" t="s">
        <v>28</v>
      </c>
      <c r="E493" s="6" t="s">
        <v>17</v>
      </c>
      <c r="F493" s="7">
        <v>38653</v>
      </c>
      <c r="G493" s="8">
        <f t="shared" si="7"/>
        <v>38653</v>
      </c>
      <c r="H493" s="6" t="s">
        <v>13</v>
      </c>
      <c r="I493" s="9">
        <f>MAX(original!I493,piwebapi_edit!I493,car_edit!I493)</f>
        <v>426151.07</v>
      </c>
      <c r="J493" s="9">
        <f>MAX(original!J493,piwebapi_edit!J493,car_edit!J493)</f>
        <v>3800</v>
      </c>
      <c r="K493" s="17"/>
    </row>
    <row r="494" spans="1:11" x14ac:dyDescent="0.25">
      <c r="A494" s="26" t="s">
        <v>1007</v>
      </c>
      <c r="B494" s="27" t="s">
        <v>1008</v>
      </c>
      <c r="C494" s="34">
        <v>1598</v>
      </c>
      <c r="D494" s="28" t="s">
        <v>31</v>
      </c>
      <c r="E494" s="28" t="s">
        <v>17</v>
      </c>
      <c r="F494" s="29">
        <v>25569</v>
      </c>
      <c r="G494" s="30">
        <f t="shared" si="7"/>
        <v>25569</v>
      </c>
      <c r="H494" s="28" t="s">
        <v>13</v>
      </c>
      <c r="I494" s="9">
        <f>MAX(original!I494,piwebapi_edit!I494,car_edit!I494)</f>
        <v>36410.4642030877</v>
      </c>
      <c r="J494" s="9">
        <f>MAX(original!J494,piwebapi_edit!J494,car_edit!J494)</f>
        <v>285.01264543736602</v>
      </c>
      <c r="K494" s="33"/>
    </row>
    <row r="495" spans="1:11" x14ac:dyDescent="0.25">
      <c r="A495" s="26" t="s">
        <v>1009</v>
      </c>
      <c r="B495" s="27" t="s">
        <v>1010</v>
      </c>
      <c r="C495" s="5">
        <v>1296</v>
      </c>
      <c r="D495" s="28" t="s">
        <v>31</v>
      </c>
      <c r="E495" s="28" t="s">
        <v>17</v>
      </c>
      <c r="F495" s="29">
        <v>29952</v>
      </c>
      <c r="G495" s="30">
        <f t="shared" si="7"/>
        <v>29952</v>
      </c>
      <c r="H495" s="28" t="s">
        <v>13</v>
      </c>
      <c r="I495" s="9">
        <f>MAX(original!I495,piwebapi_edit!I495,car_edit!I495)</f>
        <v>118182.831616774</v>
      </c>
      <c r="J495" s="9">
        <f>MAX(original!J495,piwebapi_edit!J495,car_edit!J495)</f>
        <v>534.20404773717803</v>
      </c>
      <c r="K495" s="33"/>
    </row>
    <row r="496" spans="1:11" x14ac:dyDescent="0.25">
      <c r="A496" s="26" t="s">
        <v>1011</v>
      </c>
      <c r="B496" s="27" t="s">
        <v>1012</v>
      </c>
      <c r="C496" s="34">
        <v>1501</v>
      </c>
      <c r="D496" s="28" t="s">
        <v>28</v>
      </c>
      <c r="E496" s="28" t="s">
        <v>17</v>
      </c>
      <c r="F496" s="29">
        <v>28491</v>
      </c>
      <c r="G496" s="30">
        <f t="shared" si="7"/>
        <v>28491</v>
      </c>
      <c r="H496" s="28" t="s">
        <v>13</v>
      </c>
      <c r="I496" s="9">
        <f>MAX(original!I496,piwebapi_edit!I496,car_edit!I496)</f>
        <v>265788.53396591899</v>
      </c>
      <c r="J496" s="9">
        <f>MAX(original!J496,piwebapi_edit!J496,car_edit!J496)</f>
        <v>1318.5132979975599</v>
      </c>
      <c r="K496" s="33"/>
    </row>
    <row r="497" spans="1:11" x14ac:dyDescent="0.25">
      <c r="A497" s="3" t="s">
        <v>1013</v>
      </c>
      <c r="B497" s="4" t="s">
        <v>1014</v>
      </c>
      <c r="C497" s="5">
        <v>12496</v>
      </c>
      <c r="D497" s="6" t="s">
        <v>37</v>
      </c>
      <c r="E497" s="6" t="s">
        <v>38</v>
      </c>
      <c r="F497" s="7">
        <v>34463</v>
      </c>
      <c r="G497" s="8">
        <f t="shared" si="7"/>
        <v>34463</v>
      </c>
      <c r="H497" s="6" t="s">
        <v>39</v>
      </c>
      <c r="I497" s="9">
        <f>MAX(original!I497,piwebapi_edit!I497,car_edit!I497)</f>
        <v>15870.053746961499</v>
      </c>
      <c r="J497" s="9">
        <f>MAX(original!J497,piwebapi_edit!J497,car_edit!J497)</f>
        <v>496.04348577208401</v>
      </c>
      <c r="K497" s="17"/>
    </row>
    <row r="498" spans="1:11" x14ac:dyDescent="0.25">
      <c r="A498" s="3" t="s">
        <v>1015</v>
      </c>
      <c r="B498" s="4" t="s">
        <v>1016</v>
      </c>
      <c r="C498" s="5">
        <v>1800</v>
      </c>
      <c r="D498" s="6" t="s">
        <v>31</v>
      </c>
      <c r="E498" s="6" t="s">
        <v>17</v>
      </c>
      <c r="F498" s="7">
        <v>34759</v>
      </c>
      <c r="G498" s="8">
        <f t="shared" si="7"/>
        <v>34759</v>
      </c>
      <c r="H498" s="6" t="s">
        <v>13</v>
      </c>
      <c r="I498" s="9">
        <f>MAX(original!I498,piwebapi_edit!I498,car_edit!I498)</f>
        <v>52536.9791510859</v>
      </c>
      <c r="J498" s="9">
        <f>MAX(original!J498,piwebapi_edit!J498,car_edit!J498)</f>
        <v>165.78164062070999</v>
      </c>
      <c r="K498" s="17"/>
    </row>
    <row r="499" spans="1:11" x14ac:dyDescent="0.25">
      <c r="A499" s="3" t="s">
        <v>1017</v>
      </c>
      <c r="B499" s="4" t="s">
        <v>1018</v>
      </c>
      <c r="C499" s="5">
        <v>15685</v>
      </c>
      <c r="D499" s="6" t="s">
        <v>31</v>
      </c>
      <c r="E499" s="6" t="s">
        <v>17</v>
      </c>
      <c r="F499" s="7">
        <v>30235</v>
      </c>
      <c r="G499" s="8">
        <f t="shared" si="7"/>
        <v>30235</v>
      </c>
      <c r="H499" s="6" t="s">
        <v>13</v>
      </c>
      <c r="I499" s="9">
        <f>MAX(original!I499,piwebapi_edit!I499,car_edit!I499)</f>
        <v>41971.346544731605</v>
      </c>
      <c r="J499" s="9">
        <f>MAX(original!J499,piwebapi_edit!J499,car_edit!J499)</f>
        <v>187.69002271197201</v>
      </c>
      <c r="K499" s="11"/>
    </row>
    <row r="500" spans="1:11" x14ac:dyDescent="0.25">
      <c r="A500" s="3" t="s">
        <v>1019</v>
      </c>
      <c r="B500" s="4" t="s">
        <v>1020</v>
      </c>
      <c r="C500" s="5">
        <v>54553</v>
      </c>
      <c r="D500" s="6" t="s">
        <v>16</v>
      </c>
      <c r="E500" s="6" t="s">
        <v>17</v>
      </c>
      <c r="F500" s="7">
        <v>38504</v>
      </c>
      <c r="G500" s="8">
        <f t="shared" si="7"/>
        <v>38504</v>
      </c>
      <c r="H500" s="6" t="s">
        <v>13</v>
      </c>
      <c r="I500" s="9">
        <f>MAX(original!I500,piwebapi_edit!I500,car_edit!I500)</f>
        <v>40107.171104757595</v>
      </c>
      <c r="J500" s="9">
        <f>MAX(original!J500,piwebapi_edit!J500,car_edit!J500)</f>
        <v>441.25588367967902</v>
      </c>
      <c r="K500" s="17"/>
    </row>
    <row r="501" spans="1:11" x14ac:dyDescent="0.25">
      <c r="A501" s="3" t="s">
        <v>1021</v>
      </c>
      <c r="B501" s="4" t="s">
        <v>1022</v>
      </c>
      <c r="C501" s="5">
        <v>1048</v>
      </c>
      <c r="D501" s="6" t="s">
        <v>16</v>
      </c>
      <c r="E501" s="6" t="s">
        <v>17</v>
      </c>
      <c r="F501" s="7">
        <v>25569</v>
      </c>
      <c r="G501" s="8">
        <f t="shared" si="7"/>
        <v>25569</v>
      </c>
      <c r="H501" s="6" t="s">
        <v>13</v>
      </c>
      <c r="I501" s="9">
        <f>MAX(original!I501,piwebapi_edit!I501,car_edit!I501)</f>
        <v>22336.150788029499</v>
      </c>
      <c r="J501" s="9">
        <f>MAX(original!J501,piwebapi_edit!J501,car_edit!J501)</f>
        <v>136.24988135830699</v>
      </c>
      <c r="K501" s="17"/>
    </row>
    <row r="502" spans="1:11" x14ac:dyDescent="0.25">
      <c r="A502" s="3" t="s">
        <v>1023</v>
      </c>
      <c r="B502" s="4" t="s">
        <v>1024</v>
      </c>
      <c r="C502" s="5">
        <v>1293</v>
      </c>
      <c r="D502" s="6" t="s">
        <v>31</v>
      </c>
      <c r="E502" s="6" t="s">
        <v>17</v>
      </c>
      <c r="F502" s="7">
        <v>29221</v>
      </c>
      <c r="G502" s="8">
        <f t="shared" si="7"/>
        <v>29221</v>
      </c>
      <c r="H502" s="6" t="s">
        <v>13</v>
      </c>
      <c r="I502" s="9">
        <f>MAX(original!I502,piwebapi_edit!I502,car_edit!I502)</f>
        <v>948168.13</v>
      </c>
      <c r="J502" s="9">
        <f>MAX(original!J502,piwebapi_edit!J502,car_edit!J502)</f>
        <v>3200</v>
      </c>
      <c r="K502" s="17"/>
    </row>
    <row r="503" spans="1:11" x14ac:dyDescent="0.25">
      <c r="A503" s="3" t="s">
        <v>1025</v>
      </c>
      <c r="B503" s="4" t="s">
        <v>1026</v>
      </c>
      <c r="C503" s="5">
        <v>1700</v>
      </c>
      <c r="D503" s="6" t="s">
        <v>31</v>
      </c>
      <c r="E503" s="6" t="s">
        <v>17</v>
      </c>
      <c r="F503" s="7">
        <v>29221</v>
      </c>
      <c r="G503" s="8">
        <f t="shared" si="7"/>
        <v>29221</v>
      </c>
      <c r="H503" s="6" t="s">
        <v>13</v>
      </c>
      <c r="I503" s="9">
        <f>MAX(original!I503,piwebapi_edit!I503,car_edit!I503)</f>
        <v>23893.029419459497</v>
      </c>
      <c r="J503" s="9">
        <f>MAX(original!J503,piwebapi_edit!J503,car_edit!J503)</f>
        <v>303.79584058819802</v>
      </c>
      <c r="K503" s="17"/>
    </row>
    <row r="504" spans="1:11" x14ac:dyDescent="0.25">
      <c r="A504" s="3" t="s">
        <v>1027</v>
      </c>
      <c r="B504" s="4" t="s">
        <v>1028</v>
      </c>
      <c r="C504" s="5">
        <v>1270</v>
      </c>
      <c r="D504" s="6" t="s">
        <v>16</v>
      </c>
      <c r="E504" s="6" t="s">
        <v>17</v>
      </c>
      <c r="F504" s="7">
        <v>25569</v>
      </c>
      <c r="G504" s="8">
        <f t="shared" si="7"/>
        <v>25569</v>
      </c>
      <c r="H504" s="6" t="s">
        <v>13</v>
      </c>
      <c r="I504" s="9">
        <f>MAX(original!I504,piwebapi_edit!I504,car_edit!I504)</f>
        <v>34765.552787004504</v>
      </c>
      <c r="J504" s="9">
        <f>MAX(original!J504,piwebapi_edit!J504,car_edit!J504)</f>
        <v>97.786792558085295</v>
      </c>
      <c r="K504" s="17"/>
    </row>
    <row r="505" spans="1:11" ht="30" x14ac:dyDescent="0.25">
      <c r="A505" s="18" t="s">
        <v>1029</v>
      </c>
      <c r="B505" s="19" t="s">
        <v>1030</v>
      </c>
      <c r="C505" s="5">
        <v>1395</v>
      </c>
      <c r="D505" s="21" t="s">
        <v>31</v>
      </c>
      <c r="E505" s="21" t="s">
        <v>17</v>
      </c>
      <c r="F505" s="22">
        <v>29830</v>
      </c>
      <c r="G505" s="23">
        <f t="shared" si="7"/>
        <v>29830</v>
      </c>
      <c r="H505" s="21" t="s">
        <v>13</v>
      </c>
      <c r="I505" s="9">
        <f>MAX(original!I505,piwebapi_edit!I505,car_edit!I505)</f>
        <v>1484562.44</v>
      </c>
      <c r="J505" s="9">
        <f>MAX(original!J505,piwebapi_edit!J505,car_edit!J505)</f>
        <v>2800</v>
      </c>
      <c r="K505" s="25"/>
    </row>
    <row r="506" spans="1:11" x14ac:dyDescent="0.25">
      <c r="A506" s="3" t="s">
        <v>1031</v>
      </c>
      <c r="B506" s="4" t="s">
        <v>1032</v>
      </c>
      <c r="C506" s="5">
        <v>17291</v>
      </c>
      <c r="D506" s="6" t="s">
        <v>16</v>
      </c>
      <c r="E506" s="6" t="s">
        <v>17</v>
      </c>
      <c r="F506" s="7">
        <v>33161</v>
      </c>
      <c r="G506" s="8">
        <f t="shared" si="7"/>
        <v>33161</v>
      </c>
      <c r="H506" s="6" t="s">
        <v>13</v>
      </c>
      <c r="I506" s="9">
        <f>MAX(original!I506,piwebapi_edit!I506,car_edit!I506)</f>
        <v>6783.1955442503004</v>
      </c>
      <c r="J506" s="9">
        <f>MAX(original!J506,piwebapi_edit!J506,car_edit!J506)</f>
        <v>185.30320398420201</v>
      </c>
      <c r="K506" s="17"/>
    </row>
    <row r="507" spans="1:11" x14ac:dyDescent="0.25">
      <c r="A507" s="3" t="s">
        <v>1033</v>
      </c>
      <c r="B507" s="4" t="s">
        <v>1034</v>
      </c>
      <c r="C507" s="5">
        <v>21121</v>
      </c>
      <c r="D507" s="6" t="s">
        <v>31</v>
      </c>
      <c r="E507" s="6" t="s">
        <v>17</v>
      </c>
      <c r="F507" s="7">
        <v>35142</v>
      </c>
      <c r="G507" s="8">
        <f t="shared" si="7"/>
        <v>35142</v>
      </c>
      <c r="H507" s="6" t="s">
        <v>13</v>
      </c>
      <c r="I507" s="9">
        <f>MAX(original!I507,piwebapi_edit!I507,car_edit!I507)</f>
        <v>186300.278817774</v>
      </c>
      <c r="J507" s="9">
        <f>MAX(original!J507,piwebapi_edit!J507,car_edit!J507)</f>
        <v>466.98566739450001</v>
      </c>
      <c r="K507" s="17"/>
    </row>
    <row r="508" spans="1:11" x14ac:dyDescent="0.25">
      <c r="A508" s="3" t="s">
        <v>1035</v>
      </c>
      <c r="B508" s="4" t="s">
        <v>1036</v>
      </c>
      <c r="C508" s="5">
        <v>18244</v>
      </c>
      <c r="D508" s="6" t="s">
        <v>31</v>
      </c>
      <c r="E508" s="6" t="s">
        <v>17</v>
      </c>
      <c r="F508" s="7">
        <v>24400</v>
      </c>
      <c r="G508" s="8">
        <f t="shared" si="7"/>
        <v>24400</v>
      </c>
      <c r="H508" s="6" t="s">
        <v>13</v>
      </c>
      <c r="I508" s="9">
        <f>MAX(original!I508,piwebapi_edit!I508,car_edit!I508)</f>
        <v>30959.195498349101</v>
      </c>
      <c r="J508" s="9">
        <f>MAX(original!J508,piwebapi_edit!J508,car_edit!J508)</f>
        <v>463.57627303049702</v>
      </c>
      <c r="K508" s="17"/>
    </row>
    <row r="509" spans="1:11" x14ac:dyDescent="0.25">
      <c r="A509" s="3" t="s">
        <v>1037</v>
      </c>
      <c r="B509" s="4" t="s">
        <v>1038</v>
      </c>
      <c r="C509" s="5">
        <v>77554</v>
      </c>
      <c r="D509" s="6" t="s">
        <v>11</v>
      </c>
      <c r="E509" s="6" t="s">
        <v>12</v>
      </c>
      <c r="F509" s="7">
        <v>38378</v>
      </c>
      <c r="G509" s="8">
        <f t="shared" si="7"/>
        <v>38378</v>
      </c>
      <c r="H509" s="6" t="s">
        <v>39</v>
      </c>
      <c r="I509" s="9">
        <f>MAX(original!I509,piwebapi_edit!I509,car_edit!I509)</f>
        <v>5952.4795538977696</v>
      </c>
      <c r="J509" s="9">
        <f>MAX(original!J509,piwebapi_edit!J509,car_edit!J509)</f>
        <v>77.634358741314898</v>
      </c>
      <c r="K509" s="17"/>
    </row>
    <row r="510" spans="1:11" x14ac:dyDescent="0.25">
      <c r="A510" s="12" t="s">
        <v>1039</v>
      </c>
      <c r="B510" s="4" t="s">
        <v>1040</v>
      </c>
      <c r="C510" s="14">
        <v>1684</v>
      </c>
      <c r="D510" s="6" t="s">
        <v>34</v>
      </c>
      <c r="E510" s="6" t="s">
        <v>17</v>
      </c>
      <c r="F510" s="7">
        <v>24108</v>
      </c>
      <c r="G510" s="8">
        <f t="shared" si="7"/>
        <v>24108</v>
      </c>
      <c r="H510" s="6" t="s">
        <v>13</v>
      </c>
      <c r="I510" s="9">
        <f>MAX(original!I510,piwebapi_edit!I510,car_edit!I510)</f>
        <v>2306228.23</v>
      </c>
      <c r="J510" s="9">
        <f>MAX(original!J510,piwebapi_edit!J510,car_edit!J510)</f>
        <v>11250</v>
      </c>
      <c r="K510" s="17"/>
    </row>
    <row r="511" spans="1:11" x14ac:dyDescent="0.25">
      <c r="A511" s="3" t="s">
        <v>1041</v>
      </c>
      <c r="B511" s="4" t="s">
        <v>1042</v>
      </c>
      <c r="C511" s="5">
        <v>1178</v>
      </c>
      <c r="D511" s="6" t="s">
        <v>16</v>
      </c>
      <c r="E511" s="6" t="s">
        <v>17</v>
      </c>
      <c r="F511" s="7">
        <v>42005</v>
      </c>
      <c r="G511" s="8">
        <f t="shared" si="7"/>
        <v>42005</v>
      </c>
      <c r="H511" s="6" t="s">
        <v>13</v>
      </c>
      <c r="I511" s="9">
        <f>MAX(original!I511,piwebapi_edit!I511,car_edit!I511)</f>
        <v>26930.703975314402</v>
      </c>
      <c r="J511" s="9">
        <f>MAX(original!J511,piwebapi_edit!J511,car_edit!J511)</f>
        <v>76.641532724673795</v>
      </c>
      <c r="K511" s="17"/>
    </row>
    <row r="512" spans="1:11" x14ac:dyDescent="0.25">
      <c r="A512" s="3" t="s">
        <v>1043</v>
      </c>
      <c r="B512" s="4" t="s">
        <v>1044</v>
      </c>
      <c r="C512" s="5">
        <v>27553</v>
      </c>
      <c r="D512" s="6" t="s">
        <v>31</v>
      </c>
      <c r="E512" s="6" t="s">
        <v>17</v>
      </c>
      <c r="F512" s="7">
        <v>33023</v>
      </c>
      <c r="G512" s="8">
        <f t="shared" si="7"/>
        <v>33023</v>
      </c>
      <c r="H512" s="6" t="s">
        <v>13</v>
      </c>
      <c r="I512" s="9">
        <f>MAX(original!I512,piwebapi_edit!I512,car_edit!I512)</f>
        <v>28122.515745565899</v>
      </c>
      <c r="J512" s="9">
        <f>MAX(original!J512,piwebapi_edit!J512,car_edit!J512)</f>
        <v>343.89838884578199</v>
      </c>
      <c r="K512" s="17"/>
    </row>
    <row r="513" spans="1:11" x14ac:dyDescent="0.25">
      <c r="A513" s="3" t="s">
        <v>1045</v>
      </c>
      <c r="B513" s="4" t="s">
        <v>1046</v>
      </c>
      <c r="C513" s="5">
        <v>159476</v>
      </c>
      <c r="D513" s="6" t="s">
        <v>31</v>
      </c>
      <c r="E513" s="6" t="s">
        <v>17</v>
      </c>
      <c r="F513" s="7">
        <v>41134</v>
      </c>
      <c r="G513" s="8">
        <f t="shared" si="7"/>
        <v>41134</v>
      </c>
      <c r="H513" s="6" t="s">
        <v>13</v>
      </c>
      <c r="I513" s="9">
        <f>MAX(original!I513,piwebapi_edit!I513,car_edit!I513)</f>
        <v>1828.9983079267899</v>
      </c>
      <c r="J513" s="9">
        <f>MAX(original!J513,piwebapi_edit!J513,car_edit!J513)</f>
        <v>30.599425568632601</v>
      </c>
      <c r="K513" s="17"/>
    </row>
    <row r="514" spans="1:11" x14ac:dyDescent="0.25">
      <c r="A514" s="3" t="s">
        <v>1047</v>
      </c>
      <c r="B514" s="4" t="s">
        <v>1048</v>
      </c>
      <c r="C514" s="5">
        <v>199844</v>
      </c>
      <c r="D514" s="6" t="s">
        <v>16</v>
      </c>
      <c r="E514" s="6" t="s">
        <v>17</v>
      </c>
      <c r="F514" s="7">
        <v>32874</v>
      </c>
      <c r="G514" s="8">
        <f t="shared" ref="G514:G577" si="8">F514</f>
        <v>32874</v>
      </c>
      <c r="H514" s="6" t="s">
        <v>13</v>
      </c>
      <c r="I514" s="9">
        <f>MAX(original!I514,piwebapi_edit!I514,car_edit!I514)</f>
        <v>0</v>
      </c>
      <c r="J514" s="9">
        <f>MAX(original!J514,piwebapi_edit!J514,car_edit!J514)</f>
        <v>0</v>
      </c>
      <c r="K514" s="17"/>
    </row>
    <row r="515" spans="1:11" x14ac:dyDescent="0.25">
      <c r="A515" s="3" t="s">
        <v>1049</v>
      </c>
      <c r="B515" s="4" t="s">
        <v>1050</v>
      </c>
      <c r="C515" s="5">
        <v>1200</v>
      </c>
      <c r="D515" s="6" t="s">
        <v>16</v>
      </c>
      <c r="E515" s="6" t="s">
        <v>17</v>
      </c>
      <c r="F515" s="7">
        <v>29221</v>
      </c>
      <c r="G515" s="8">
        <f t="shared" si="8"/>
        <v>29221</v>
      </c>
      <c r="H515" s="6" t="s">
        <v>13</v>
      </c>
      <c r="I515" s="9">
        <f>MAX(original!I515,piwebapi_edit!I515,car_edit!I515)</f>
        <v>57483.257522186796</v>
      </c>
      <c r="J515" s="9">
        <f>MAX(original!J515,piwebapi_edit!J515,car_edit!J515)</f>
        <v>259.49805766200097</v>
      </c>
      <c r="K515" s="17"/>
    </row>
    <row r="516" spans="1:11" x14ac:dyDescent="0.25">
      <c r="A516" s="3" t="s">
        <v>1051</v>
      </c>
      <c r="B516" s="4" t="s">
        <v>1052</v>
      </c>
      <c r="C516" s="5">
        <v>1064</v>
      </c>
      <c r="D516" s="6" t="s">
        <v>16</v>
      </c>
      <c r="E516" s="6" t="s">
        <v>17</v>
      </c>
      <c r="F516" s="7">
        <v>31048</v>
      </c>
      <c r="G516" s="8">
        <f t="shared" si="8"/>
        <v>31048</v>
      </c>
      <c r="H516" s="6" t="s">
        <v>13</v>
      </c>
      <c r="I516" s="9">
        <f>MAX(original!I516,piwebapi_edit!I516,car_edit!I516)</f>
        <v>25729.894505399097</v>
      </c>
      <c r="J516" s="9">
        <f>MAX(original!J516,piwebapi_edit!J516,car_edit!J516)</f>
        <v>216.612703250735</v>
      </c>
      <c r="K516" s="17"/>
    </row>
    <row r="517" spans="1:11" x14ac:dyDescent="0.25">
      <c r="A517" s="3" t="s">
        <v>1053</v>
      </c>
      <c r="B517" s="4" t="s">
        <v>1054</v>
      </c>
      <c r="C517" s="14">
        <v>1999</v>
      </c>
      <c r="D517" s="6" t="s">
        <v>31</v>
      </c>
      <c r="E517" s="6" t="s">
        <v>17</v>
      </c>
      <c r="F517" s="7">
        <v>29952</v>
      </c>
      <c r="G517" s="8">
        <f t="shared" si="8"/>
        <v>29952</v>
      </c>
      <c r="H517" s="6" t="s">
        <v>13</v>
      </c>
      <c r="I517" s="9">
        <f>MAX(original!I517,piwebapi_edit!I517,car_edit!I517)</f>
        <v>49834.591643349595</v>
      </c>
      <c r="J517" s="9">
        <f>MAX(original!J517,piwebapi_edit!J517,car_edit!J517)</f>
        <v>396.32320763040201</v>
      </c>
      <c r="K517" s="17"/>
    </row>
    <row r="518" spans="1:11" x14ac:dyDescent="0.25">
      <c r="A518" s="3" t="s">
        <v>1055</v>
      </c>
      <c r="B518" s="4" t="s">
        <v>1056</v>
      </c>
      <c r="C518" s="5">
        <v>52369</v>
      </c>
      <c r="D518" s="6" t="s">
        <v>34</v>
      </c>
      <c r="E518" s="6" t="s">
        <v>17</v>
      </c>
      <c r="F518" s="7">
        <v>38814</v>
      </c>
      <c r="G518" s="8">
        <f t="shared" si="8"/>
        <v>38814</v>
      </c>
      <c r="H518" s="6" t="s">
        <v>13</v>
      </c>
      <c r="I518" s="9">
        <f>MAX(original!I518,piwebapi_edit!I518,car_edit!I518)</f>
        <v>17295.721975160199</v>
      </c>
      <c r="J518" s="9">
        <f>MAX(original!J518,piwebapi_edit!J518,car_edit!J518)</f>
        <v>208.84575737650599</v>
      </c>
      <c r="K518" s="17"/>
    </row>
    <row r="519" spans="1:11" x14ac:dyDescent="0.25">
      <c r="A519" s="3" t="s">
        <v>1057</v>
      </c>
      <c r="B519" s="4" t="s">
        <v>1058</v>
      </c>
      <c r="C519" s="5">
        <v>54554</v>
      </c>
      <c r="D519" s="6" t="s">
        <v>31</v>
      </c>
      <c r="E519" s="6" t="s">
        <v>17</v>
      </c>
      <c r="F519" s="7">
        <v>37082</v>
      </c>
      <c r="G519" s="8">
        <f t="shared" si="8"/>
        <v>37082</v>
      </c>
      <c r="H519" s="6" t="s">
        <v>13</v>
      </c>
      <c r="I519" s="9">
        <f>MAX(original!I519,piwebapi_edit!I519,car_edit!I519)</f>
        <v>3838.4512330703001</v>
      </c>
      <c r="J519" s="9">
        <f>MAX(original!J519,piwebapi_edit!J519,car_edit!J519)</f>
        <v>130.54662775737901</v>
      </c>
      <c r="K519" s="17"/>
    </row>
    <row r="520" spans="1:11" x14ac:dyDescent="0.25">
      <c r="A520" s="12" t="s">
        <v>1059</v>
      </c>
      <c r="B520" s="4" t="s">
        <v>1060</v>
      </c>
      <c r="C520" s="5">
        <v>1457</v>
      </c>
      <c r="D520" s="6" t="s">
        <v>31</v>
      </c>
      <c r="E520" s="6" t="s">
        <v>17</v>
      </c>
      <c r="F520" s="7">
        <v>29952</v>
      </c>
      <c r="G520" s="8">
        <f t="shared" si="8"/>
        <v>29952</v>
      </c>
      <c r="H520" s="6" t="s">
        <v>13</v>
      </c>
      <c r="I520" s="9">
        <f>MAX(original!I520,piwebapi_edit!I520,car_edit!I520)</f>
        <v>3465989.72</v>
      </c>
      <c r="J520" s="9">
        <f>MAX(original!J520,piwebapi_edit!J520,car_edit!J520)</f>
        <v>7000</v>
      </c>
      <c r="K520" s="17"/>
    </row>
    <row r="521" spans="1:11" ht="30" x14ac:dyDescent="0.25">
      <c r="A521" s="18" t="s">
        <v>1061</v>
      </c>
      <c r="B521" s="19" t="s">
        <v>1062</v>
      </c>
      <c r="C521" s="5">
        <v>1874</v>
      </c>
      <c r="D521" s="21" t="s">
        <v>31</v>
      </c>
      <c r="E521" s="21" t="s">
        <v>17</v>
      </c>
      <c r="F521" s="22">
        <v>29221</v>
      </c>
      <c r="G521" s="23">
        <f t="shared" si="8"/>
        <v>29221</v>
      </c>
      <c r="H521" s="21" t="s">
        <v>13</v>
      </c>
      <c r="I521" s="9">
        <f>MAX(original!I521,piwebapi_edit!I521,car_edit!I521)</f>
        <v>1817.3502986194601</v>
      </c>
      <c r="J521" s="9">
        <f>MAX(original!J521,piwebapi_edit!J521,car_edit!J521)</f>
        <v>32.747794366342298</v>
      </c>
      <c r="K521" s="25"/>
    </row>
    <row r="522" spans="1:11" x14ac:dyDescent="0.25">
      <c r="A522" s="3" t="s">
        <v>1063</v>
      </c>
      <c r="B522" s="4" t="s">
        <v>1064</v>
      </c>
      <c r="C522" s="14">
        <v>1539</v>
      </c>
      <c r="D522" s="6" t="s">
        <v>28</v>
      </c>
      <c r="E522" s="6" t="s">
        <v>17</v>
      </c>
      <c r="F522" s="7">
        <v>37928</v>
      </c>
      <c r="G522" s="8">
        <f t="shared" si="8"/>
        <v>37928</v>
      </c>
      <c r="H522" s="6" t="s">
        <v>13</v>
      </c>
      <c r="I522" s="9">
        <f>MAX(original!I522,piwebapi_edit!I522,car_edit!I522)</f>
        <v>320827.83178320603</v>
      </c>
      <c r="J522" s="9">
        <f>MAX(original!J522,piwebapi_edit!J522,car_edit!J522)</f>
        <v>981.746556137688</v>
      </c>
      <c r="K522" s="17"/>
    </row>
    <row r="523" spans="1:11" x14ac:dyDescent="0.25">
      <c r="A523" s="3" t="s">
        <v>1065</v>
      </c>
      <c r="B523" s="4" t="s">
        <v>1066</v>
      </c>
      <c r="C523" s="5">
        <v>1849</v>
      </c>
      <c r="D523" s="6" t="s">
        <v>16</v>
      </c>
      <c r="E523" s="6" t="s">
        <v>17</v>
      </c>
      <c r="F523" s="7">
        <v>36354</v>
      </c>
      <c r="G523" s="8">
        <f t="shared" si="8"/>
        <v>36354</v>
      </c>
      <c r="H523" s="6" t="s">
        <v>13</v>
      </c>
      <c r="I523" s="9">
        <f>MAX(original!I523,piwebapi_edit!I523,car_edit!I523)</f>
        <v>223582.22547772102</v>
      </c>
      <c r="J523" s="9">
        <f>MAX(original!J523,piwebapi_edit!J523,car_edit!J523)</f>
        <v>668.80818126909401</v>
      </c>
      <c r="K523" s="17"/>
    </row>
    <row r="524" spans="1:11" x14ac:dyDescent="0.25">
      <c r="A524" s="3" t="s">
        <v>1067</v>
      </c>
      <c r="B524" s="4" t="s">
        <v>1068</v>
      </c>
      <c r="C524" s="14">
        <v>185412</v>
      </c>
      <c r="D524" s="6" t="s">
        <v>11</v>
      </c>
      <c r="E524" s="6" t="s">
        <v>17</v>
      </c>
      <c r="F524" s="7">
        <v>36982</v>
      </c>
      <c r="G524" s="8">
        <f t="shared" si="8"/>
        <v>36982</v>
      </c>
      <c r="H524" s="6" t="s">
        <v>13</v>
      </c>
      <c r="I524" s="9">
        <f>MAX(original!I524,piwebapi_edit!I524,car_edit!I524)</f>
        <v>12330.7344468629</v>
      </c>
      <c r="J524" s="9">
        <f>MAX(original!J524,piwebapi_edit!J524,car_edit!J524)</f>
        <v>163.67489271488299</v>
      </c>
      <c r="K524" s="17"/>
    </row>
    <row r="525" spans="1:11" x14ac:dyDescent="0.25">
      <c r="A525" s="3" t="s">
        <v>1069</v>
      </c>
      <c r="B525" s="4" t="s">
        <v>1070</v>
      </c>
      <c r="C525" s="5">
        <v>54556</v>
      </c>
      <c r="D525" s="6" t="s">
        <v>11</v>
      </c>
      <c r="E525" s="6" t="s">
        <v>12</v>
      </c>
      <c r="F525" s="7">
        <v>39518</v>
      </c>
      <c r="G525" s="8">
        <f t="shared" si="8"/>
        <v>39518</v>
      </c>
      <c r="H525" s="6" t="s">
        <v>13</v>
      </c>
      <c r="I525" s="9">
        <f>MAX(original!I525,piwebapi_edit!I525,car_edit!I525)</f>
        <v>7544.7668298706003</v>
      </c>
      <c r="J525" s="9">
        <f>MAX(original!J525,piwebapi_edit!J525,car_edit!J525)</f>
        <v>105.00707885493399</v>
      </c>
      <c r="K525" s="17"/>
    </row>
    <row r="526" spans="1:11" x14ac:dyDescent="0.25">
      <c r="A526" s="3" t="s">
        <v>1071</v>
      </c>
      <c r="B526" s="4" t="s">
        <v>1072</v>
      </c>
      <c r="C526" s="5">
        <v>1354</v>
      </c>
      <c r="D526" s="6" t="s">
        <v>31</v>
      </c>
      <c r="E526" s="6" t="s">
        <v>17</v>
      </c>
      <c r="F526" s="7">
        <v>29221</v>
      </c>
      <c r="G526" s="8">
        <f t="shared" si="8"/>
        <v>29221</v>
      </c>
      <c r="H526" s="6" t="s">
        <v>13</v>
      </c>
      <c r="I526" s="9">
        <f>MAX(original!I526,piwebapi_edit!I526,car_edit!I526)</f>
        <v>12917.560241303199</v>
      </c>
      <c r="J526" s="9">
        <f>MAX(original!J526,piwebapi_edit!J526,car_edit!J526)</f>
        <v>91.707669740583398</v>
      </c>
      <c r="K526" s="17"/>
    </row>
    <row r="527" spans="1:11" x14ac:dyDescent="0.25">
      <c r="A527" s="3" t="s">
        <v>1073</v>
      </c>
      <c r="B527" s="4" t="s">
        <v>1074</v>
      </c>
      <c r="C527" s="14">
        <v>1244</v>
      </c>
      <c r="D527" s="6" t="s">
        <v>28</v>
      </c>
      <c r="E527" s="6" t="s">
        <v>17</v>
      </c>
      <c r="F527" s="7">
        <v>33604</v>
      </c>
      <c r="G527" s="8">
        <f t="shared" si="8"/>
        <v>33604</v>
      </c>
      <c r="H527" s="6" t="s">
        <v>13</v>
      </c>
      <c r="I527" s="9">
        <f>MAX(original!I527,piwebapi_edit!I527,car_edit!I527)</f>
        <v>21392.085201018202</v>
      </c>
      <c r="J527" s="9">
        <f>MAX(original!J527,piwebapi_edit!J527,car_edit!J527)</f>
        <v>890.72050862349204</v>
      </c>
      <c r="K527" s="17"/>
    </row>
    <row r="528" spans="1:11" x14ac:dyDescent="0.25">
      <c r="A528" s="26" t="s">
        <v>1075</v>
      </c>
      <c r="B528" s="27" t="s">
        <v>1076</v>
      </c>
      <c r="C528" s="34">
        <v>9602</v>
      </c>
      <c r="D528" s="28" t="s">
        <v>11</v>
      </c>
      <c r="E528" s="28" t="s">
        <v>17</v>
      </c>
      <c r="F528" s="29">
        <v>35642</v>
      </c>
      <c r="G528" s="30">
        <f t="shared" si="8"/>
        <v>35642</v>
      </c>
      <c r="H528" s="28" t="s">
        <v>13</v>
      </c>
      <c r="I528" s="9">
        <f>MAX(original!I528,piwebapi_edit!I528,car_edit!I528)</f>
        <v>28815.4185187898</v>
      </c>
      <c r="J528" s="9">
        <f>MAX(original!J528,piwebapi_edit!J528,car_edit!J528)</f>
        <v>203.40509067288201</v>
      </c>
      <c r="K528" s="33"/>
    </row>
    <row r="529" spans="1:11" x14ac:dyDescent="0.25">
      <c r="A529" s="3" t="s">
        <v>1077</v>
      </c>
      <c r="B529" s="4" t="s">
        <v>1078</v>
      </c>
      <c r="C529" s="5">
        <v>1699</v>
      </c>
      <c r="D529" s="6" t="s">
        <v>31</v>
      </c>
      <c r="E529" s="6" t="s">
        <v>17</v>
      </c>
      <c r="F529" s="7">
        <v>29221</v>
      </c>
      <c r="G529" s="8">
        <f t="shared" si="8"/>
        <v>29221</v>
      </c>
      <c r="H529" s="6" t="s">
        <v>13</v>
      </c>
      <c r="I529" s="9">
        <f>MAX(original!I529,piwebapi_edit!I529,car_edit!I529)</f>
        <v>239527.14519956501</v>
      </c>
      <c r="J529" s="9">
        <f>MAX(original!J529,piwebapi_edit!J529,car_edit!J529)</f>
        <v>1311.1426293064001</v>
      </c>
      <c r="K529" s="17"/>
    </row>
    <row r="530" spans="1:11" x14ac:dyDescent="0.25">
      <c r="A530" s="3" t="s">
        <v>1079</v>
      </c>
      <c r="B530" s="4" t="s">
        <v>1080</v>
      </c>
      <c r="C530" s="14">
        <v>2018</v>
      </c>
      <c r="D530" s="6" t="s">
        <v>16</v>
      </c>
      <c r="E530" s="6" t="s">
        <v>17</v>
      </c>
      <c r="F530" s="7">
        <v>29221</v>
      </c>
      <c r="G530" s="8">
        <f t="shared" si="8"/>
        <v>29221</v>
      </c>
      <c r="H530" s="6" t="s">
        <v>13</v>
      </c>
      <c r="I530" s="9">
        <f>MAX(original!I530,piwebapi_edit!I530,car_edit!I530)</f>
        <v>175462.191941019</v>
      </c>
      <c r="J530" s="9">
        <f>MAX(original!J530,piwebapi_edit!J530,car_edit!J530)</f>
        <v>803.86791232186397</v>
      </c>
      <c r="K530" s="17"/>
    </row>
    <row r="531" spans="1:11" x14ac:dyDescent="0.25">
      <c r="A531" s="26" t="s">
        <v>1081</v>
      </c>
      <c r="B531" s="27" t="s">
        <v>1082</v>
      </c>
      <c r="C531" s="34">
        <v>12801</v>
      </c>
      <c r="D531" s="28" t="s">
        <v>31</v>
      </c>
      <c r="E531" s="28" t="s">
        <v>17</v>
      </c>
      <c r="F531" s="29">
        <v>36614</v>
      </c>
      <c r="G531" s="30">
        <f t="shared" si="8"/>
        <v>36614</v>
      </c>
      <c r="H531" s="28" t="s">
        <v>13</v>
      </c>
      <c r="I531" s="9">
        <f>MAX(original!I531,piwebapi_edit!I531,car_edit!I531)</f>
        <v>31497.102209979701</v>
      </c>
      <c r="J531" s="9">
        <f>MAX(original!J531,piwebapi_edit!J531,car_edit!J531)</f>
        <v>279.24395801438902</v>
      </c>
      <c r="K531" s="33"/>
    </row>
    <row r="532" spans="1:11" x14ac:dyDescent="0.25">
      <c r="A532" s="3" t="s">
        <v>1083</v>
      </c>
      <c r="B532" s="4" t="s">
        <v>1084</v>
      </c>
      <c r="C532" s="5">
        <v>23043</v>
      </c>
      <c r="D532" s="6" t="s">
        <v>31</v>
      </c>
      <c r="E532" s="6" t="s">
        <v>17</v>
      </c>
      <c r="F532" s="7">
        <v>32357</v>
      </c>
      <c r="G532" s="8">
        <f t="shared" si="8"/>
        <v>32357</v>
      </c>
      <c r="H532" s="6" t="s">
        <v>13</v>
      </c>
      <c r="I532" s="9">
        <f>MAX(original!I532,piwebapi_edit!I532,car_edit!I532)</f>
        <v>12938.7059742782</v>
      </c>
      <c r="J532" s="9">
        <f>MAX(original!J532,piwebapi_edit!J532,car_edit!J532)</f>
        <v>69.536541377046902</v>
      </c>
      <c r="K532" s="17"/>
    </row>
    <row r="533" spans="1:11" x14ac:dyDescent="0.25">
      <c r="A533" s="3" t="s">
        <v>1085</v>
      </c>
      <c r="B533" s="4" t="s">
        <v>1086</v>
      </c>
      <c r="C533" s="5">
        <v>1116</v>
      </c>
      <c r="D533" s="6" t="s">
        <v>28</v>
      </c>
      <c r="E533" s="6" t="s">
        <v>17</v>
      </c>
      <c r="F533" s="7">
        <v>34335</v>
      </c>
      <c r="G533" s="8">
        <f t="shared" si="8"/>
        <v>34335</v>
      </c>
      <c r="H533" s="6" t="s">
        <v>13</v>
      </c>
      <c r="I533" s="9">
        <f>MAX(original!I533,piwebapi_edit!I533,car_edit!I533)</f>
        <v>24774.818611375998</v>
      </c>
      <c r="J533" s="9">
        <f>MAX(original!J533,piwebapi_edit!J533,car_edit!J533)</f>
        <v>181.48445600872799</v>
      </c>
      <c r="K533" s="17"/>
    </row>
    <row r="534" spans="1:11" x14ac:dyDescent="0.25">
      <c r="A534" s="3" t="s">
        <v>1087</v>
      </c>
      <c r="B534" s="4" t="s">
        <v>1088</v>
      </c>
      <c r="C534" s="5">
        <v>2062</v>
      </c>
      <c r="D534" s="6" t="s">
        <v>34</v>
      </c>
      <c r="E534" s="6" t="s">
        <v>17</v>
      </c>
      <c r="F534" s="7">
        <v>29221</v>
      </c>
      <c r="G534" s="8">
        <f t="shared" si="8"/>
        <v>29221</v>
      </c>
      <c r="H534" s="6" t="s">
        <v>13</v>
      </c>
      <c r="I534" s="9">
        <f>MAX(original!I534,piwebapi_edit!I534,car_edit!I534)</f>
        <v>22148.1709855226</v>
      </c>
      <c r="J534" s="9">
        <f>MAX(original!J534,piwebapi_edit!J534,car_edit!J534)</f>
        <v>71.296983815856905</v>
      </c>
      <c r="K534" s="17"/>
    </row>
    <row r="535" spans="1:11" x14ac:dyDescent="0.25">
      <c r="A535" s="3" t="s">
        <v>1089</v>
      </c>
      <c r="B535" s="4" t="s">
        <v>1090</v>
      </c>
      <c r="C535" s="5">
        <v>52937</v>
      </c>
      <c r="D535" s="6" t="s">
        <v>34</v>
      </c>
      <c r="E535" s="6" t="s">
        <v>17</v>
      </c>
      <c r="F535" s="7">
        <v>38950</v>
      </c>
      <c r="G535" s="8">
        <f t="shared" si="8"/>
        <v>38950</v>
      </c>
      <c r="H535" s="6" t="s">
        <v>13</v>
      </c>
      <c r="I535" s="9">
        <f>MAX(original!I535,piwebapi_edit!I535,car_edit!I535)</f>
        <v>19245.661158688799</v>
      </c>
      <c r="J535" s="9">
        <f>MAX(original!J535,piwebapi_edit!J535,car_edit!J535)</f>
        <v>523.09267367068401</v>
      </c>
      <c r="K535" s="17"/>
    </row>
    <row r="536" spans="1:11" x14ac:dyDescent="0.25">
      <c r="A536" s="3" t="s">
        <v>1091</v>
      </c>
      <c r="B536" s="4" t="s">
        <v>1092</v>
      </c>
      <c r="C536" s="14">
        <v>72175</v>
      </c>
      <c r="D536" s="6" t="s">
        <v>11</v>
      </c>
      <c r="E536" s="6" t="s">
        <v>17</v>
      </c>
      <c r="F536" s="7">
        <v>39133</v>
      </c>
      <c r="G536" s="8">
        <f t="shared" si="8"/>
        <v>39133</v>
      </c>
      <c r="H536" s="6" t="s">
        <v>13</v>
      </c>
      <c r="I536" s="9">
        <f>MAX(original!I536,piwebapi_edit!I536,car_edit!I536)</f>
        <v>243859.41243127498</v>
      </c>
      <c r="J536" s="9">
        <f>MAX(original!J536,piwebapi_edit!J536,car_edit!J536)</f>
        <v>1339.57564956637</v>
      </c>
      <c r="K536" s="17"/>
    </row>
    <row r="537" spans="1:11" x14ac:dyDescent="0.25">
      <c r="A537" s="3" t="s">
        <v>1093</v>
      </c>
      <c r="B537" s="4" t="s">
        <v>1094</v>
      </c>
      <c r="C537" s="5">
        <v>72174</v>
      </c>
      <c r="D537" s="6" t="s">
        <v>11</v>
      </c>
      <c r="E537" s="6" t="s">
        <v>12</v>
      </c>
      <c r="F537" s="7">
        <v>37915</v>
      </c>
      <c r="G537" s="8">
        <f t="shared" si="8"/>
        <v>37915</v>
      </c>
      <c r="H537" s="6" t="s">
        <v>39</v>
      </c>
      <c r="I537" s="9">
        <f>MAX(original!I537,piwebapi_edit!I537,car_edit!I537)</f>
        <v>69705.792903809197</v>
      </c>
      <c r="J537" s="9">
        <f>MAX(original!J537,piwebapi_edit!J537,car_edit!J537)</f>
        <v>174.138892071849</v>
      </c>
      <c r="K537" s="17"/>
    </row>
    <row r="538" spans="1:11" x14ac:dyDescent="0.25">
      <c r="A538" s="3" t="s">
        <v>1095</v>
      </c>
      <c r="B538" s="4" t="s">
        <v>1096</v>
      </c>
      <c r="C538" s="14">
        <v>1301</v>
      </c>
      <c r="D538" s="6" t="s">
        <v>16</v>
      </c>
      <c r="E538" s="6" t="s">
        <v>17</v>
      </c>
      <c r="F538" s="7">
        <v>19725</v>
      </c>
      <c r="G538" s="8">
        <f t="shared" si="8"/>
        <v>19725</v>
      </c>
      <c r="H538" s="6" t="s">
        <v>13</v>
      </c>
      <c r="I538" s="9">
        <f>MAX(original!I538,piwebapi_edit!I538,car_edit!I538)</f>
        <v>467227.455871235</v>
      </c>
      <c r="J538" s="9">
        <f>MAX(original!J538,piwebapi_edit!J538,car_edit!J538)</f>
        <v>2000</v>
      </c>
      <c r="K538" s="17"/>
    </row>
    <row r="539" spans="1:11" x14ac:dyDescent="0.25">
      <c r="A539" s="3" t="s">
        <v>1097</v>
      </c>
      <c r="B539" s="4" t="s">
        <v>1098</v>
      </c>
      <c r="C539" s="5">
        <v>54557</v>
      </c>
      <c r="D539" s="6" t="s">
        <v>28</v>
      </c>
      <c r="E539" s="6" t="s">
        <v>17</v>
      </c>
      <c r="F539" s="7">
        <v>39518</v>
      </c>
      <c r="G539" s="8">
        <f t="shared" si="8"/>
        <v>39518</v>
      </c>
      <c r="H539" s="6" t="s">
        <v>13</v>
      </c>
      <c r="I539" s="9">
        <f>MAX(original!I539,piwebapi_edit!I539,car_edit!I539)</f>
        <v>26423.081380915501</v>
      </c>
      <c r="J539" s="9">
        <f>MAX(original!J539,piwebapi_edit!J539,car_edit!J539)</f>
        <v>135.829213427029</v>
      </c>
      <c r="K539" s="11"/>
    </row>
    <row r="540" spans="1:11" x14ac:dyDescent="0.25">
      <c r="A540" s="3" t="s">
        <v>1099</v>
      </c>
      <c r="B540" s="4" t="s">
        <v>1100</v>
      </c>
      <c r="C540" s="14">
        <v>1652</v>
      </c>
      <c r="D540" s="6" t="s">
        <v>28</v>
      </c>
      <c r="E540" s="6" t="s">
        <v>17</v>
      </c>
      <c r="F540" s="7">
        <v>36446</v>
      </c>
      <c r="G540" s="8">
        <f t="shared" si="8"/>
        <v>36446</v>
      </c>
      <c r="H540" s="6" t="s">
        <v>13</v>
      </c>
      <c r="I540" s="9">
        <f>MAX(original!I540,piwebapi_edit!I540,car_edit!I540)</f>
        <v>39250.8127019842</v>
      </c>
      <c r="J540" s="9">
        <f>MAX(original!J540,piwebapi_edit!J540,car_edit!J540)</f>
        <v>109.73989002064501</v>
      </c>
      <c r="K540" s="17"/>
    </row>
    <row r="541" spans="1:11" x14ac:dyDescent="0.25">
      <c r="A541" s="3" t="s">
        <v>1101</v>
      </c>
      <c r="B541" s="4" t="s">
        <v>1102</v>
      </c>
      <c r="C541" s="5">
        <v>1374</v>
      </c>
      <c r="D541" s="6" t="s">
        <v>28</v>
      </c>
      <c r="E541" s="6" t="s">
        <v>17</v>
      </c>
      <c r="F541" s="7">
        <v>32509</v>
      </c>
      <c r="G541" s="8">
        <f t="shared" si="8"/>
        <v>32509</v>
      </c>
      <c r="H541" s="6" t="s">
        <v>13</v>
      </c>
      <c r="I541" s="9">
        <f>MAX(original!I541,piwebapi_edit!I541,car_edit!I541)</f>
        <v>62795.299294773104</v>
      </c>
      <c r="J541" s="9">
        <f>MAX(original!J541,piwebapi_edit!J541,car_edit!J541)</f>
        <v>170.998176125886</v>
      </c>
      <c r="K541" s="17"/>
    </row>
    <row r="542" spans="1:11" x14ac:dyDescent="0.25">
      <c r="A542" s="3" t="s">
        <v>1103</v>
      </c>
      <c r="B542" s="4" t="s">
        <v>1104</v>
      </c>
      <c r="C542" s="5">
        <v>10891</v>
      </c>
      <c r="D542" s="6" t="s">
        <v>28</v>
      </c>
      <c r="E542" s="6" t="s">
        <v>17</v>
      </c>
      <c r="F542" s="7">
        <v>37804</v>
      </c>
      <c r="G542" s="8">
        <f t="shared" si="8"/>
        <v>37804</v>
      </c>
      <c r="H542" s="6" t="s">
        <v>13</v>
      </c>
      <c r="I542" s="9">
        <f>MAX(original!I542,piwebapi_edit!I542,car_edit!I542)</f>
        <v>19082.3164076475</v>
      </c>
      <c r="J542" s="9">
        <f>MAX(original!J542,piwebapi_edit!J542,car_edit!J542)</f>
        <v>89.494162088861998</v>
      </c>
      <c r="K542" s="17"/>
    </row>
    <row r="543" spans="1:11" x14ac:dyDescent="0.25">
      <c r="A543" s="3" t="s">
        <v>1105</v>
      </c>
      <c r="B543" s="4" t="s">
        <v>1106</v>
      </c>
      <c r="C543" s="5">
        <v>12811</v>
      </c>
      <c r="D543" s="6" t="s">
        <v>34</v>
      </c>
      <c r="E543" s="6" t="s">
        <v>17</v>
      </c>
      <c r="F543" s="7">
        <v>38153</v>
      </c>
      <c r="G543" s="8">
        <f t="shared" si="8"/>
        <v>38153</v>
      </c>
      <c r="H543" s="6" t="s">
        <v>13</v>
      </c>
      <c r="I543" s="9">
        <f>MAX(original!I543,piwebapi_edit!I543,car_edit!I543)</f>
        <v>39871.363937466595</v>
      </c>
      <c r="J543" s="9">
        <f>MAX(original!J543,piwebapi_edit!J543,car_edit!J543)</f>
        <v>298.16691269921199</v>
      </c>
      <c r="K543" s="17"/>
    </row>
    <row r="544" spans="1:11" x14ac:dyDescent="0.25">
      <c r="A544" s="3" t="s">
        <v>1107</v>
      </c>
      <c r="B544" s="4" t="s">
        <v>1108</v>
      </c>
      <c r="C544" s="5">
        <v>1779</v>
      </c>
      <c r="D544" s="6" t="s">
        <v>28</v>
      </c>
      <c r="E544" s="6" t="s">
        <v>17</v>
      </c>
      <c r="F544" s="7">
        <v>35796</v>
      </c>
      <c r="G544" s="8">
        <f t="shared" si="8"/>
        <v>35796</v>
      </c>
      <c r="H544" s="6" t="s">
        <v>13</v>
      </c>
      <c r="I544" s="9">
        <f>MAX(original!I544,piwebapi_edit!I544,car_edit!I544)</f>
        <v>5681.5572482971302</v>
      </c>
      <c r="J544" s="9">
        <f>MAX(original!J544,piwebapi_edit!J544,car_edit!J544)</f>
        <v>253.80163732037201</v>
      </c>
      <c r="K544" s="17"/>
    </row>
    <row r="545" spans="1:11" x14ac:dyDescent="0.25">
      <c r="A545" s="3" t="s">
        <v>1109</v>
      </c>
      <c r="B545" s="4" t="s">
        <v>1110</v>
      </c>
      <c r="C545" s="5">
        <v>1998</v>
      </c>
      <c r="D545" s="6" t="s">
        <v>31</v>
      </c>
      <c r="E545" s="6" t="s">
        <v>17</v>
      </c>
      <c r="F545" s="7">
        <v>29221</v>
      </c>
      <c r="G545" s="8">
        <f t="shared" si="8"/>
        <v>29221</v>
      </c>
      <c r="H545" s="6" t="s">
        <v>13</v>
      </c>
      <c r="I545" s="9">
        <f>MAX(original!I545,piwebapi_edit!I545,car_edit!I545)</f>
        <v>75870.917260051792</v>
      </c>
      <c r="J545" s="9">
        <f>MAX(original!J545,piwebapi_edit!J545,car_edit!J545)</f>
        <v>520.50946104864602</v>
      </c>
      <c r="K545" s="17"/>
    </row>
    <row r="546" spans="1:11" x14ac:dyDescent="0.25">
      <c r="A546" s="3" t="s">
        <v>1111</v>
      </c>
      <c r="B546" s="4" t="s">
        <v>1112</v>
      </c>
      <c r="C546" s="5">
        <v>1070</v>
      </c>
      <c r="D546" s="6" t="s">
        <v>31</v>
      </c>
      <c r="E546" s="6" t="s">
        <v>17</v>
      </c>
      <c r="F546" s="7">
        <v>29221</v>
      </c>
      <c r="G546" s="8">
        <f t="shared" si="8"/>
        <v>29221</v>
      </c>
      <c r="H546" s="6" t="s">
        <v>13</v>
      </c>
      <c r="I546" s="9">
        <f>MAX(original!I546,piwebapi_edit!I546,car_edit!I546)</f>
        <v>32851.466191498999</v>
      </c>
      <c r="J546" s="9">
        <f>MAX(original!J546,piwebapi_edit!J546,car_edit!J546)</f>
        <v>204.84116973178601</v>
      </c>
      <c r="K546" s="17"/>
    </row>
    <row r="547" spans="1:11" x14ac:dyDescent="0.25">
      <c r="A547" s="3" t="s">
        <v>1113</v>
      </c>
      <c r="B547" s="4" t="s">
        <v>1114</v>
      </c>
      <c r="C547" s="14">
        <v>54559</v>
      </c>
      <c r="D547" s="6" t="s">
        <v>11</v>
      </c>
      <c r="E547" s="6" t="s">
        <v>12</v>
      </c>
      <c r="F547" s="7">
        <v>38022</v>
      </c>
      <c r="G547" s="8">
        <f t="shared" si="8"/>
        <v>38022</v>
      </c>
      <c r="H547" s="6" t="s">
        <v>39</v>
      </c>
      <c r="I547" s="9">
        <f>MAX(original!I547,piwebapi_edit!I547,car_edit!I547)</f>
        <v>35273.704368061997</v>
      </c>
      <c r="J547" s="9">
        <f>MAX(original!J547,piwebapi_edit!J547,car_edit!J547)</f>
        <v>344.03226373143201</v>
      </c>
      <c r="K547" s="17"/>
    </row>
    <row r="548" spans="1:11" x14ac:dyDescent="0.25">
      <c r="A548" s="3" t="s">
        <v>1115</v>
      </c>
      <c r="B548" s="4" t="s">
        <v>1116</v>
      </c>
      <c r="C548" s="5">
        <v>54558</v>
      </c>
      <c r="D548" s="6" t="s">
        <v>11</v>
      </c>
      <c r="E548" s="6" t="s">
        <v>12</v>
      </c>
      <c r="F548" s="7">
        <v>38022</v>
      </c>
      <c r="G548" s="8">
        <f t="shared" si="8"/>
        <v>38022</v>
      </c>
      <c r="H548" s="6" t="s">
        <v>39</v>
      </c>
      <c r="I548" s="9">
        <f>MAX(original!I548,piwebapi_edit!I548,car_edit!I548)</f>
        <v>70135.000734479399</v>
      </c>
      <c r="J548" s="9">
        <f>MAX(original!J548,piwebapi_edit!J548,car_edit!J548)</f>
        <v>290.33483563854799</v>
      </c>
      <c r="K548" s="17"/>
    </row>
    <row r="549" spans="1:11" x14ac:dyDescent="0.25">
      <c r="A549" s="3" t="s">
        <v>1117</v>
      </c>
      <c r="B549" s="4" t="s">
        <v>1118</v>
      </c>
      <c r="C549" s="5">
        <v>1782</v>
      </c>
      <c r="D549" s="6" t="s">
        <v>28</v>
      </c>
      <c r="E549" s="6" t="s">
        <v>17</v>
      </c>
      <c r="F549" s="7">
        <v>32143</v>
      </c>
      <c r="G549" s="8">
        <f t="shared" si="8"/>
        <v>32143</v>
      </c>
      <c r="H549" s="6" t="s">
        <v>13</v>
      </c>
      <c r="I549" s="9">
        <f>MAX(original!I549,piwebapi_edit!I549,car_edit!I549)</f>
        <v>63956.4107723501</v>
      </c>
      <c r="J549" s="9">
        <f>MAX(original!J549,piwebapi_edit!J549,car_edit!J549)</f>
        <v>333.056930492633</v>
      </c>
      <c r="K549" s="17"/>
    </row>
    <row r="550" spans="1:11" x14ac:dyDescent="0.25">
      <c r="A550" s="3" t="s">
        <v>1119</v>
      </c>
      <c r="B550" s="4" t="s">
        <v>1120</v>
      </c>
      <c r="C550" s="5">
        <v>24017</v>
      </c>
      <c r="D550" s="6" t="s">
        <v>31</v>
      </c>
      <c r="E550" s="6" t="s">
        <v>17</v>
      </c>
      <c r="F550" s="7">
        <v>36369</v>
      </c>
      <c r="G550" s="8">
        <f t="shared" si="8"/>
        <v>36369</v>
      </c>
      <c r="H550" s="6" t="s">
        <v>13</v>
      </c>
      <c r="I550" s="9">
        <f>MAX(original!I550,piwebapi_edit!I550,car_edit!I550)</f>
        <v>6075.3723635119104</v>
      </c>
      <c r="J550" s="9">
        <f>MAX(original!J550,piwebapi_edit!J550,car_edit!J550)</f>
        <v>134.74545611652599</v>
      </c>
      <c r="K550" s="17"/>
    </row>
    <row r="551" spans="1:11" x14ac:dyDescent="0.25">
      <c r="A551" s="3" t="s">
        <v>1121</v>
      </c>
      <c r="B551" s="4" t="s">
        <v>1122</v>
      </c>
      <c r="C551" s="14">
        <v>1606</v>
      </c>
      <c r="D551" s="6" t="s">
        <v>16</v>
      </c>
      <c r="E551" s="6" t="s">
        <v>17</v>
      </c>
      <c r="F551" s="7">
        <v>32813</v>
      </c>
      <c r="G551" s="8">
        <f t="shared" si="8"/>
        <v>32813</v>
      </c>
      <c r="H551" s="6" t="s">
        <v>13</v>
      </c>
      <c r="I551" s="9">
        <f>MAX(original!I551,piwebapi_edit!I551,car_edit!I551)</f>
        <v>17589.106418135401</v>
      </c>
      <c r="J551" s="9">
        <f>MAX(original!J551,piwebapi_edit!J551,car_edit!J551)</f>
        <v>130.00449900814101</v>
      </c>
      <c r="K551" s="17"/>
    </row>
    <row r="552" spans="1:11" x14ac:dyDescent="0.25">
      <c r="A552" s="3" t="s">
        <v>1123</v>
      </c>
      <c r="B552" s="4" t="s">
        <v>1124</v>
      </c>
      <c r="C552" s="14">
        <v>21765</v>
      </c>
      <c r="D552" s="6" t="s">
        <v>31</v>
      </c>
      <c r="E552" s="6" t="s">
        <v>17</v>
      </c>
      <c r="F552" s="7">
        <v>31748</v>
      </c>
      <c r="G552" s="8">
        <f t="shared" si="8"/>
        <v>31748</v>
      </c>
      <c r="H552" s="6" t="s">
        <v>13</v>
      </c>
      <c r="I552" s="9">
        <f>MAX(original!I552,piwebapi_edit!I552,car_edit!I552)</f>
        <v>59013.017623862601</v>
      </c>
      <c r="J552" s="9">
        <f>MAX(original!J552,piwebapi_edit!J552,car_edit!J552)</f>
        <v>282.80701755198902</v>
      </c>
      <c r="K552" s="17"/>
    </row>
    <row r="553" spans="1:11" x14ac:dyDescent="0.25">
      <c r="A553" s="3" t="s">
        <v>1125</v>
      </c>
      <c r="B553" s="4" t="s">
        <v>1126</v>
      </c>
      <c r="C553" s="5">
        <v>12809</v>
      </c>
      <c r="D553" s="6" t="s">
        <v>28</v>
      </c>
      <c r="E553" s="6" t="s">
        <v>17</v>
      </c>
      <c r="F553" s="7">
        <v>37761</v>
      </c>
      <c r="G553" s="8">
        <f t="shared" si="8"/>
        <v>37761</v>
      </c>
      <c r="H553" s="6" t="s">
        <v>13</v>
      </c>
      <c r="I553" s="9">
        <f>MAX(original!I553,piwebapi_edit!I553,car_edit!I553)</f>
        <v>38554.230927586097</v>
      </c>
      <c r="J553" s="9">
        <f>MAX(original!J553,piwebapi_edit!J553,car_edit!J553)</f>
        <v>267.06284809286399</v>
      </c>
      <c r="K553" s="17"/>
    </row>
    <row r="554" spans="1:11" x14ac:dyDescent="0.25">
      <c r="A554" s="3" t="s">
        <v>1127</v>
      </c>
      <c r="B554" s="4" t="s">
        <v>1128</v>
      </c>
      <c r="C554" s="5">
        <v>2036</v>
      </c>
      <c r="D554" s="6" t="s">
        <v>31</v>
      </c>
      <c r="E554" s="6" t="s">
        <v>17</v>
      </c>
      <c r="F554" s="7">
        <v>25569</v>
      </c>
      <c r="G554" s="8">
        <f t="shared" si="8"/>
        <v>25569</v>
      </c>
      <c r="H554" s="6" t="s">
        <v>13</v>
      </c>
      <c r="I554" s="9">
        <f>MAX(original!I554,piwebapi_edit!I554,car_edit!I554)</f>
        <v>3887.17717938652</v>
      </c>
      <c r="J554" s="9">
        <f>MAX(original!J554,piwebapi_edit!J554,car_edit!J554)</f>
        <v>561.12466086995198</v>
      </c>
      <c r="K554" s="17"/>
    </row>
    <row r="555" spans="1:11" x14ac:dyDescent="0.25">
      <c r="A555" s="3" t="s">
        <v>1129</v>
      </c>
      <c r="B555" s="4" t="s">
        <v>1130</v>
      </c>
      <c r="C555" s="5">
        <v>2028</v>
      </c>
      <c r="D555" s="6" t="s">
        <v>16</v>
      </c>
      <c r="E555" s="6" t="s">
        <v>17</v>
      </c>
      <c r="F555" s="7">
        <v>29221</v>
      </c>
      <c r="G555" s="8">
        <f t="shared" si="8"/>
        <v>29221</v>
      </c>
      <c r="H555" s="6" t="s">
        <v>13</v>
      </c>
      <c r="I555" s="9">
        <f>MAX(original!I555,piwebapi_edit!I555,car_edit!I555)</f>
        <v>44463.6928884761</v>
      </c>
      <c r="J555" s="9">
        <f>MAX(original!J555,piwebapi_edit!J555,car_edit!J555)</f>
        <v>172.07323770216499</v>
      </c>
      <c r="K555" s="17"/>
    </row>
    <row r="556" spans="1:11" x14ac:dyDescent="0.25">
      <c r="A556" s="3" t="s">
        <v>1131</v>
      </c>
      <c r="B556" s="4" t="s">
        <v>1132</v>
      </c>
      <c r="C556" s="14">
        <v>1487</v>
      </c>
      <c r="D556" s="6" t="s">
        <v>34</v>
      </c>
      <c r="E556" s="6" t="s">
        <v>17</v>
      </c>
      <c r="F556" s="7">
        <v>29221</v>
      </c>
      <c r="G556" s="8">
        <f t="shared" si="8"/>
        <v>29221</v>
      </c>
      <c r="H556" s="6" t="s">
        <v>13</v>
      </c>
      <c r="I556" s="9">
        <f>MAX(original!I556,piwebapi_edit!I556,car_edit!I556)</f>
        <v>97196.746366930704</v>
      </c>
      <c r="J556" s="9">
        <f>MAX(original!J556,piwebapi_edit!J556,car_edit!J556)</f>
        <v>349.468849389458</v>
      </c>
      <c r="K556" s="17"/>
    </row>
    <row r="557" spans="1:11" x14ac:dyDescent="0.25">
      <c r="A557" s="3" t="s">
        <v>1133</v>
      </c>
      <c r="B557" s="4" t="s">
        <v>1134</v>
      </c>
      <c r="C557" s="5">
        <v>20801</v>
      </c>
      <c r="D557" s="6" t="s">
        <v>31</v>
      </c>
      <c r="E557" s="6" t="s">
        <v>17</v>
      </c>
      <c r="F557" s="7">
        <v>38504</v>
      </c>
      <c r="G557" s="8">
        <f t="shared" si="8"/>
        <v>38504</v>
      </c>
      <c r="H557" s="6" t="s">
        <v>13</v>
      </c>
      <c r="I557" s="9">
        <f>MAX(original!I557,piwebapi_edit!I557,car_edit!I557)</f>
        <v>57635.856852938901</v>
      </c>
      <c r="J557" s="9">
        <f>MAX(original!J557,piwebapi_edit!J557,car_edit!J557)</f>
        <v>337.97508041131402</v>
      </c>
      <c r="K557" s="17"/>
    </row>
    <row r="558" spans="1:11" x14ac:dyDescent="0.25">
      <c r="A558" s="3" t="s">
        <v>1135</v>
      </c>
      <c r="B558" s="4" t="s">
        <v>1136</v>
      </c>
      <c r="C558" s="5">
        <v>16963</v>
      </c>
      <c r="D558" s="6" t="s">
        <v>31</v>
      </c>
      <c r="E558" s="6" t="s">
        <v>17</v>
      </c>
      <c r="F558" s="7">
        <v>21100</v>
      </c>
      <c r="G558" s="8">
        <f t="shared" si="8"/>
        <v>21100</v>
      </c>
      <c r="H558" s="6" t="s">
        <v>13</v>
      </c>
      <c r="I558" s="9">
        <f>MAX(original!I558,piwebapi_edit!I558,car_edit!I558)</f>
        <v>71447.193917860102</v>
      </c>
      <c r="J558" s="9">
        <f>MAX(original!J558,piwebapi_edit!J558,car_edit!J558)</f>
        <v>180.354327524833</v>
      </c>
      <c r="K558" s="17"/>
    </row>
    <row r="559" spans="1:11" x14ac:dyDescent="0.25">
      <c r="A559" s="3" t="s">
        <v>1137</v>
      </c>
      <c r="B559" s="4" t="s">
        <v>1138</v>
      </c>
      <c r="C559" s="14">
        <v>1573</v>
      </c>
      <c r="D559" s="6" t="s">
        <v>16</v>
      </c>
      <c r="E559" s="6" t="s">
        <v>17</v>
      </c>
      <c r="F559" s="7">
        <v>33521</v>
      </c>
      <c r="G559" s="8">
        <f t="shared" si="8"/>
        <v>33521</v>
      </c>
      <c r="H559" s="6" t="s">
        <v>13</v>
      </c>
      <c r="I559" s="9">
        <f>MAX(original!I559,piwebapi_edit!I559,car_edit!I559)</f>
        <v>328643.36</v>
      </c>
      <c r="J559" s="9">
        <f>MAX(original!J559,piwebapi_edit!J559,car_edit!J559)</f>
        <v>1500</v>
      </c>
      <c r="K559" s="17"/>
    </row>
    <row r="560" spans="1:11" x14ac:dyDescent="0.25">
      <c r="A560" s="3" t="s">
        <v>1139</v>
      </c>
      <c r="B560" s="4" t="s">
        <v>1140</v>
      </c>
      <c r="C560" s="5">
        <v>1698</v>
      </c>
      <c r="D560" s="6" t="s">
        <v>31</v>
      </c>
      <c r="E560" s="6" t="s">
        <v>17</v>
      </c>
      <c r="F560" s="7">
        <v>29221</v>
      </c>
      <c r="G560" s="8">
        <f t="shared" si="8"/>
        <v>29221</v>
      </c>
      <c r="H560" s="6" t="s">
        <v>13</v>
      </c>
      <c r="I560" s="9">
        <f>MAX(original!I560,piwebapi_edit!I560,car_edit!I560)</f>
        <v>80887.439473087696</v>
      </c>
      <c r="J560" s="9">
        <f>MAX(original!J560,piwebapi_edit!J560,car_edit!J560)</f>
        <v>370.588042589937</v>
      </c>
      <c r="K560" s="17"/>
    </row>
    <row r="561" spans="1:11" x14ac:dyDescent="0.25">
      <c r="A561" s="3" t="s">
        <v>1141</v>
      </c>
      <c r="B561" s="4" t="s">
        <v>1142</v>
      </c>
      <c r="C561" s="14">
        <v>52354</v>
      </c>
      <c r="D561" s="6" t="s">
        <v>31</v>
      </c>
      <c r="E561" s="6" t="s">
        <v>17</v>
      </c>
      <c r="F561" s="7">
        <v>36301</v>
      </c>
      <c r="G561" s="8">
        <f t="shared" si="8"/>
        <v>36301</v>
      </c>
      <c r="H561" s="6" t="s">
        <v>13</v>
      </c>
      <c r="I561" s="9">
        <f>MAX(original!I561,piwebapi_edit!I561,car_edit!I561)</f>
        <v>26081.789310078002</v>
      </c>
      <c r="J561" s="9">
        <f>MAX(original!J561,piwebapi_edit!J561,car_edit!J561)</f>
        <v>74.328188109359502</v>
      </c>
      <c r="K561" s="17"/>
    </row>
    <row r="562" spans="1:11" x14ac:dyDescent="0.25">
      <c r="A562" s="3" t="s">
        <v>1143</v>
      </c>
      <c r="B562" s="4" t="s">
        <v>1144</v>
      </c>
      <c r="C562" s="14">
        <v>1919</v>
      </c>
      <c r="D562" s="6" t="s">
        <v>31</v>
      </c>
      <c r="E562" s="6" t="s">
        <v>17</v>
      </c>
      <c r="F562" s="7">
        <v>29221</v>
      </c>
      <c r="G562" s="8">
        <f t="shared" si="8"/>
        <v>29221</v>
      </c>
      <c r="H562" s="6" t="s">
        <v>13</v>
      </c>
      <c r="I562" s="9">
        <f>MAX(original!I562,piwebapi_edit!I562,car_edit!I562)</f>
        <v>468616.26070710202</v>
      </c>
      <c r="J562" s="9">
        <f>MAX(original!J562,piwebapi_edit!J562,car_edit!J562)</f>
        <v>1547.9593227294199</v>
      </c>
      <c r="K562" s="17"/>
    </row>
    <row r="563" spans="1:11" x14ac:dyDescent="0.25">
      <c r="A563" s="3" t="s">
        <v>1145</v>
      </c>
      <c r="B563" s="4" t="s">
        <v>1146</v>
      </c>
      <c r="C563" s="5">
        <v>52385</v>
      </c>
      <c r="D563" s="6" t="s">
        <v>31</v>
      </c>
      <c r="E563" s="6" t="s">
        <v>17</v>
      </c>
      <c r="F563" s="7">
        <v>37378</v>
      </c>
      <c r="G563" s="8">
        <f t="shared" si="8"/>
        <v>37378</v>
      </c>
      <c r="H563" s="6" t="s">
        <v>13</v>
      </c>
      <c r="I563" s="9">
        <f>MAX(original!I563,piwebapi_edit!I563,car_edit!I563)</f>
        <v>38041.4801172921</v>
      </c>
      <c r="J563" s="9">
        <f>MAX(original!J563,piwebapi_edit!J563,car_edit!J563)</f>
        <v>795.03986529576002</v>
      </c>
      <c r="K563" s="17"/>
    </row>
    <row r="564" spans="1:11" x14ac:dyDescent="0.25">
      <c r="A564" s="3" t="s">
        <v>1147</v>
      </c>
      <c r="B564" s="4" t="s">
        <v>1148</v>
      </c>
      <c r="C564" s="5">
        <v>1056</v>
      </c>
      <c r="D564" s="6" t="s">
        <v>31</v>
      </c>
      <c r="E564" s="6" t="s">
        <v>17</v>
      </c>
      <c r="F564" s="7">
        <v>36858</v>
      </c>
      <c r="G564" s="8">
        <f t="shared" si="8"/>
        <v>36858</v>
      </c>
      <c r="H564" s="6" t="s">
        <v>13</v>
      </c>
      <c r="I564" s="9">
        <f>MAX(original!I564,piwebapi_edit!I564,car_edit!I564)</f>
        <v>74572.030975579488</v>
      </c>
      <c r="J564" s="9">
        <f>MAX(original!J564,piwebapi_edit!J564,car_edit!J564)</f>
        <v>497.69927010139997</v>
      </c>
      <c r="K564" s="17"/>
    </row>
    <row r="565" spans="1:11" x14ac:dyDescent="0.25">
      <c r="A565" s="3" t="s">
        <v>1149</v>
      </c>
      <c r="B565" s="4" t="s">
        <v>1150</v>
      </c>
      <c r="C565" s="5">
        <v>10888</v>
      </c>
      <c r="D565" s="6" t="s">
        <v>31</v>
      </c>
      <c r="E565" s="6" t="s">
        <v>17</v>
      </c>
      <c r="F565" s="7">
        <v>37819</v>
      </c>
      <c r="G565" s="8">
        <f t="shared" si="8"/>
        <v>37819</v>
      </c>
      <c r="H565" s="6" t="s">
        <v>13</v>
      </c>
      <c r="I565" s="9">
        <f>MAX(original!I565,piwebapi_edit!I565,car_edit!I565)</f>
        <v>51680.824348315102</v>
      </c>
      <c r="J565" s="9">
        <f>MAX(original!J565,piwebapi_edit!J565,car_edit!J565)</f>
        <v>467.86335942691801</v>
      </c>
      <c r="K565" s="17"/>
    </row>
    <row r="566" spans="1:11" x14ac:dyDescent="0.25">
      <c r="A566" s="3" t="s">
        <v>1151</v>
      </c>
      <c r="B566" s="4" t="s">
        <v>1152</v>
      </c>
      <c r="C566" s="46">
        <v>399645</v>
      </c>
      <c r="D566" s="6" t="s">
        <v>34</v>
      </c>
      <c r="E566" s="6" t="s">
        <v>17</v>
      </c>
      <c r="F566" s="7">
        <v>45721</v>
      </c>
      <c r="G566" s="8">
        <f t="shared" si="8"/>
        <v>45721</v>
      </c>
      <c r="H566" s="6" t="s">
        <v>13</v>
      </c>
      <c r="I566" s="9">
        <f>MAX(original!I566,piwebapi_edit!I566,car_edit!I566)</f>
        <v>624541.06999999995</v>
      </c>
      <c r="J566" s="9">
        <f>MAX(original!J566,piwebapi_edit!J566,car_edit!J566)</f>
        <v>1090</v>
      </c>
      <c r="K566" s="17"/>
    </row>
    <row r="567" spans="1:11" x14ac:dyDescent="0.25">
      <c r="A567" s="3" t="s">
        <v>1153</v>
      </c>
      <c r="B567" s="4" t="s">
        <v>1154</v>
      </c>
      <c r="C567" s="14">
        <v>8327</v>
      </c>
      <c r="D567" s="6" t="s">
        <v>28</v>
      </c>
      <c r="E567" s="6" t="s">
        <v>17</v>
      </c>
      <c r="F567" s="7">
        <v>34607</v>
      </c>
      <c r="G567" s="8">
        <f t="shared" si="8"/>
        <v>34607</v>
      </c>
      <c r="H567" s="6" t="s">
        <v>13</v>
      </c>
      <c r="I567" s="9">
        <f>MAX(original!I567,piwebapi_edit!I567,car_edit!I567)</f>
        <v>18324.329429275898</v>
      </c>
      <c r="J567" s="9">
        <f>MAX(original!J567,piwebapi_edit!J567,car_edit!J567)</f>
        <v>492.76130188613001</v>
      </c>
      <c r="K567" s="17"/>
    </row>
    <row r="568" spans="1:11" x14ac:dyDescent="0.25">
      <c r="A568" s="3" t="s">
        <v>1155</v>
      </c>
      <c r="B568" s="4" t="s">
        <v>1156</v>
      </c>
      <c r="C568" s="14">
        <v>1154</v>
      </c>
      <c r="D568" s="6" t="s">
        <v>28</v>
      </c>
      <c r="E568" s="6" t="s">
        <v>17</v>
      </c>
      <c r="F568" s="7">
        <v>41190</v>
      </c>
      <c r="G568" s="8">
        <f t="shared" si="8"/>
        <v>41190</v>
      </c>
      <c r="H568" s="6" t="s">
        <v>13</v>
      </c>
      <c r="I568" s="9">
        <f>MAX(original!I568,piwebapi_edit!I568,car_edit!I568)</f>
        <v>1043219.7200000001</v>
      </c>
      <c r="J568" s="9">
        <f>MAX(original!J568,piwebapi_edit!J568,car_edit!J568)</f>
        <v>5400</v>
      </c>
      <c r="K568" s="17"/>
    </row>
    <row r="569" spans="1:11" x14ac:dyDescent="0.25">
      <c r="A569" s="3" t="s">
        <v>1157</v>
      </c>
      <c r="B569" s="4" t="s">
        <v>1158</v>
      </c>
      <c r="C569" s="5">
        <v>21763</v>
      </c>
      <c r="D569" s="6" t="s">
        <v>11</v>
      </c>
      <c r="E569" s="6" t="s">
        <v>12</v>
      </c>
      <c r="F569" s="7">
        <v>32143</v>
      </c>
      <c r="G569" s="8">
        <f t="shared" si="8"/>
        <v>32143</v>
      </c>
      <c r="H569" s="6" t="s">
        <v>39</v>
      </c>
      <c r="I569" s="9">
        <f>MAX(original!I569,piwebapi_edit!I569,car_edit!I569)</f>
        <v>11287.840326968</v>
      </c>
      <c r="J569" s="9">
        <f>MAX(original!J569,piwebapi_edit!J569,car_edit!J569)</f>
        <v>225.32713505195301</v>
      </c>
      <c r="K569" s="17"/>
    </row>
    <row r="570" spans="1:11" x14ac:dyDescent="0.25">
      <c r="A570" s="3" t="s">
        <v>1159</v>
      </c>
      <c r="B570" s="4" t="s">
        <v>1160</v>
      </c>
      <c r="C570" s="14">
        <v>1279</v>
      </c>
      <c r="D570" s="6" t="s">
        <v>34</v>
      </c>
      <c r="E570" s="6" t="s">
        <v>17</v>
      </c>
      <c r="F570" s="7">
        <v>34957</v>
      </c>
      <c r="G570" s="8">
        <f t="shared" si="8"/>
        <v>34957</v>
      </c>
      <c r="H570" s="6" t="s">
        <v>13</v>
      </c>
      <c r="I570" s="9">
        <f>MAX(original!I570,piwebapi_edit!I570,car_edit!I570)</f>
        <v>197701.63</v>
      </c>
      <c r="J570" s="9">
        <f>MAX(original!J570,piwebapi_edit!J570,car_edit!J570)</f>
        <v>1450</v>
      </c>
      <c r="K570" s="17"/>
    </row>
    <row r="571" spans="1:11" x14ac:dyDescent="0.25">
      <c r="A571" s="3" t="s">
        <v>1161</v>
      </c>
      <c r="B571" s="4" t="s">
        <v>1162</v>
      </c>
      <c r="C571" s="5">
        <v>72142</v>
      </c>
      <c r="D571" s="6" t="s">
        <v>28</v>
      </c>
      <c r="E571" s="6" t="s">
        <v>17</v>
      </c>
      <c r="F571" s="7">
        <v>39341</v>
      </c>
      <c r="G571" s="8">
        <f t="shared" si="8"/>
        <v>39341</v>
      </c>
      <c r="H571" s="6" t="s">
        <v>13</v>
      </c>
      <c r="I571" s="9">
        <f>MAX(original!I571,piwebapi_edit!I571,car_edit!I571)</f>
        <v>24964.758455471099</v>
      </c>
      <c r="J571" s="9">
        <f>MAX(original!J571,piwebapi_edit!J571,car_edit!J571)</f>
        <v>341.38338047112302</v>
      </c>
      <c r="K571" s="17"/>
    </row>
    <row r="572" spans="1:11" x14ac:dyDescent="0.25">
      <c r="A572" s="3" t="s">
        <v>1163</v>
      </c>
      <c r="B572" s="4" t="s">
        <v>1164</v>
      </c>
      <c r="C572" s="5">
        <v>54560</v>
      </c>
      <c r="D572" s="6" t="s">
        <v>31</v>
      </c>
      <c r="E572" s="6" t="s">
        <v>17</v>
      </c>
      <c r="F572" s="7">
        <v>29768</v>
      </c>
      <c r="G572" s="8">
        <f t="shared" si="8"/>
        <v>29768</v>
      </c>
      <c r="H572" s="6" t="s">
        <v>13</v>
      </c>
      <c r="I572" s="9">
        <f>MAX(original!I572,piwebapi_edit!I572,car_edit!I572)</f>
        <v>3658.1304270017799</v>
      </c>
      <c r="J572" s="9">
        <f>MAX(original!J572,piwebapi_edit!J572,car_edit!J572)</f>
        <v>27.768405489607499</v>
      </c>
      <c r="K572" s="17"/>
    </row>
    <row r="573" spans="1:11" ht="30" x14ac:dyDescent="0.25">
      <c r="A573" s="18" t="s">
        <v>1165</v>
      </c>
      <c r="B573" s="19" t="s">
        <v>1166</v>
      </c>
      <c r="C573" s="20">
        <v>1284</v>
      </c>
      <c r="D573" s="21" t="s">
        <v>28</v>
      </c>
      <c r="E573" s="21" t="s">
        <v>17</v>
      </c>
      <c r="F573" s="22">
        <v>18264</v>
      </c>
      <c r="G573" s="23">
        <f t="shared" si="8"/>
        <v>18264</v>
      </c>
      <c r="H573" s="21" t="s">
        <v>13</v>
      </c>
      <c r="I573" s="9">
        <f>MAX(original!I573,piwebapi_edit!I573,car_edit!I573)</f>
        <v>10126.7557854198</v>
      </c>
      <c r="J573" s="9">
        <f>MAX(original!J573,piwebapi_edit!J573,car_edit!J573)</f>
        <v>29.554862325597998</v>
      </c>
      <c r="K573" s="25"/>
    </row>
    <row r="574" spans="1:11" x14ac:dyDescent="0.25">
      <c r="A574" s="3" t="s">
        <v>1167</v>
      </c>
      <c r="B574" s="4" t="s">
        <v>1168</v>
      </c>
      <c r="C574" s="5">
        <v>1850</v>
      </c>
      <c r="D574" s="6" t="s">
        <v>16</v>
      </c>
      <c r="E574" s="6" t="s">
        <v>17</v>
      </c>
      <c r="F574" s="7">
        <v>29221</v>
      </c>
      <c r="G574" s="8">
        <f t="shared" si="8"/>
        <v>29221</v>
      </c>
      <c r="H574" s="6" t="s">
        <v>13</v>
      </c>
      <c r="I574" s="9">
        <f>MAX(original!I574,piwebapi_edit!I574,car_edit!I574)</f>
        <v>21257.8277835974</v>
      </c>
      <c r="J574" s="9">
        <f>MAX(original!J574,piwebapi_edit!J574,car_edit!J574)</f>
        <v>207.277470519811</v>
      </c>
      <c r="K574" s="17"/>
    </row>
    <row r="575" spans="1:11" x14ac:dyDescent="0.25">
      <c r="A575" s="3" t="s">
        <v>1169</v>
      </c>
      <c r="B575" s="4" t="s">
        <v>1170</v>
      </c>
      <c r="C575" s="5">
        <v>1330</v>
      </c>
      <c r="D575" s="6" t="s">
        <v>31</v>
      </c>
      <c r="E575" s="6" t="s">
        <v>17</v>
      </c>
      <c r="F575" s="7">
        <v>25569</v>
      </c>
      <c r="G575" s="8">
        <f t="shared" si="8"/>
        <v>25569</v>
      </c>
      <c r="H575" s="6" t="s">
        <v>13</v>
      </c>
      <c r="I575" s="9">
        <f>MAX(original!I575,piwebapi_edit!I575,car_edit!I575)</f>
        <v>43848.593191178203</v>
      </c>
      <c r="J575" s="9">
        <f>MAX(original!J575,piwebapi_edit!J575,car_edit!J575)</f>
        <v>232.39936414226401</v>
      </c>
      <c r="K575" s="11"/>
    </row>
    <row r="576" spans="1:11" ht="30" x14ac:dyDescent="0.25">
      <c r="A576" s="18" t="s">
        <v>1171</v>
      </c>
      <c r="B576" s="19" t="s">
        <v>1172</v>
      </c>
      <c r="C576" s="5">
        <v>1376</v>
      </c>
      <c r="D576" s="21" t="s">
        <v>28</v>
      </c>
      <c r="E576" s="21" t="s">
        <v>17</v>
      </c>
      <c r="F576" s="22">
        <v>38091</v>
      </c>
      <c r="G576" s="23">
        <f t="shared" si="8"/>
        <v>38091</v>
      </c>
      <c r="H576" s="21" t="s">
        <v>13</v>
      </c>
      <c r="I576" s="9">
        <f>MAX(original!I576,piwebapi_edit!I576,car_edit!I576)</f>
        <v>47119.721145843105</v>
      </c>
      <c r="J576" s="9">
        <f>MAX(original!J576,piwebapi_edit!J576,car_edit!J576)</f>
        <v>130.47396598854701</v>
      </c>
      <c r="K576" s="25"/>
    </row>
    <row r="577" spans="1:11" x14ac:dyDescent="0.25">
      <c r="A577" s="3" t="s">
        <v>1173</v>
      </c>
      <c r="B577" s="4" t="s">
        <v>1174</v>
      </c>
      <c r="C577" s="5">
        <v>17285</v>
      </c>
      <c r="D577" s="6" t="s">
        <v>16</v>
      </c>
      <c r="E577" s="6" t="s">
        <v>17</v>
      </c>
      <c r="F577" s="7">
        <v>32316</v>
      </c>
      <c r="G577" s="8">
        <f t="shared" si="8"/>
        <v>32316</v>
      </c>
      <c r="H577" s="6" t="s">
        <v>13</v>
      </c>
      <c r="I577" s="9">
        <f>MAX(original!I577,piwebapi_edit!I577,car_edit!I577)</f>
        <v>5629.9371184741394</v>
      </c>
      <c r="J577" s="9">
        <f>MAX(original!J577,piwebapi_edit!J577,car_edit!J577)</f>
        <v>292.44211471691</v>
      </c>
      <c r="K577" s="17"/>
    </row>
    <row r="578" spans="1:11" x14ac:dyDescent="0.25">
      <c r="A578" s="3" t="s">
        <v>1175</v>
      </c>
      <c r="B578" s="4" t="s">
        <v>1176</v>
      </c>
      <c r="C578" s="14">
        <v>16648</v>
      </c>
      <c r="D578" s="6" t="s">
        <v>16</v>
      </c>
      <c r="E578" s="6" t="s">
        <v>17</v>
      </c>
      <c r="F578" s="7">
        <v>31027</v>
      </c>
      <c r="G578" s="8">
        <f t="shared" ref="G578:G641" si="9">F578</f>
        <v>31027</v>
      </c>
      <c r="H578" s="6" t="s">
        <v>13</v>
      </c>
      <c r="I578" s="9">
        <f>MAX(original!I578,piwebapi_edit!I578,car_edit!I578)</f>
        <v>298784.01695907599</v>
      </c>
      <c r="J578" s="9">
        <f>MAX(original!J578,piwebapi_edit!J578,car_edit!J578)</f>
        <v>1048.37839806377</v>
      </c>
      <c r="K578" s="17"/>
    </row>
    <row r="579" spans="1:11" x14ac:dyDescent="0.25">
      <c r="A579" s="3" t="s">
        <v>1177</v>
      </c>
      <c r="B579" s="4" t="s">
        <v>1178</v>
      </c>
      <c r="C579" s="5">
        <v>12492</v>
      </c>
      <c r="D579" s="6" t="s">
        <v>34</v>
      </c>
      <c r="E579" s="6" t="s">
        <v>17</v>
      </c>
      <c r="F579" s="7">
        <v>38113</v>
      </c>
      <c r="G579" s="8">
        <f t="shared" si="9"/>
        <v>38113</v>
      </c>
      <c r="H579" s="6" t="s">
        <v>13</v>
      </c>
      <c r="I579" s="9">
        <f>MAX(original!I579,piwebapi_edit!I579,car_edit!I579)</f>
        <v>42258.531217391101</v>
      </c>
      <c r="J579" s="9">
        <f>MAX(original!J579,piwebapi_edit!J579,car_edit!J579)</f>
        <v>521.98381929627806</v>
      </c>
      <c r="K579" s="17"/>
    </row>
    <row r="580" spans="1:11" x14ac:dyDescent="0.25">
      <c r="A580" s="3" t="s">
        <v>1179</v>
      </c>
      <c r="B580" s="4" t="s">
        <v>1180</v>
      </c>
      <c r="C580" s="5">
        <v>72169</v>
      </c>
      <c r="D580" s="6" t="s">
        <v>37</v>
      </c>
      <c r="E580" s="6" t="s">
        <v>38</v>
      </c>
      <c r="F580" s="7">
        <v>39184</v>
      </c>
      <c r="G580" s="8">
        <f t="shared" si="9"/>
        <v>39184</v>
      </c>
      <c r="H580" s="6" t="s">
        <v>39</v>
      </c>
      <c r="I580" s="9">
        <f>MAX(original!I580,piwebapi_edit!I580,car_edit!I580)</f>
        <v>14591.6548355839</v>
      </c>
      <c r="J580" s="9">
        <f>MAX(original!J580,piwebapi_edit!J580,car_edit!J580)</f>
        <v>252.06576913205299</v>
      </c>
      <c r="K580" s="17"/>
    </row>
    <row r="581" spans="1:11" x14ac:dyDescent="0.25">
      <c r="A581" s="3" t="s">
        <v>1181</v>
      </c>
      <c r="B581" s="4" t="s">
        <v>1182</v>
      </c>
      <c r="C581" s="5">
        <v>29185</v>
      </c>
      <c r="D581" s="6" t="s">
        <v>34</v>
      </c>
      <c r="E581" s="6" t="s">
        <v>17</v>
      </c>
      <c r="F581" s="7">
        <v>38275</v>
      </c>
      <c r="G581" s="8">
        <f t="shared" si="9"/>
        <v>38275</v>
      </c>
      <c r="H581" s="6" t="s">
        <v>13</v>
      </c>
      <c r="I581" s="9">
        <f>MAX(original!I581,piwebapi_edit!I581,car_edit!I581)</f>
        <v>12374.970689661001</v>
      </c>
      <c r="J581" s="9">
        <f>MAX(original!J581,piwebapi_edit!J581,car_edit!J581)</f>
        <v>277.74218759822202</v>
      </c>
      <c r="K581" s="17"/>
    </row>
    <row r="582" spans="1:11" x14ac:dyDescent="0.25">
      <c r="A582" s="3" t="s">
        <v>1183</v>
      </c>
      <c r="B582" s="4" t="s">
        <v>1184</v>
      </c>
      <c r="C582" s="5">
        <v>32273</v>
      </c>
      <c r="D582" s="6" t="s">
        <v>28</v>
      </c>
      <c r="E582" s="6" t="s">
        <v>17</v>
      </c>
      <c r="F582" s="7">
        <v>38474</v>
      </c>
      <c r="G582" s="8">
        <f t="shared" si="9"/>
        <v>38474</v>
      </c>
      <c r="H582" s="6" t="s">
        <v>13</v>
      </c>
      <c r="I582" s="9">
        <f>MAX(original!I582,piwebapi_edit!I582,car_edit!I582)</f>
        <v>8819.0810057565304</v>
      </c>
      <c r="J582" s="9">
        <f>MAX(original!J582,piwebapi_edit!J582,car_edit!J582)</f>
        <v>528.93077282205797</v>
      </c>
      <c r="K582" s="17"/>
    </row>
    <row r="583" spans="1:11" x14ac:dyDescent="0.25">
      <c r="A583" s="3" t="s">
        <v>1185</v>
      </c>
      <c r="B583" s="4" t="s">
        <v>1186</v>
      </c>
      <c r="C583" s="5">
        <v>10572</v>
      </c>
      <c r="D583" s="6" t="s">
        <v>16</v>
      </c>
      <c r="E583" s="6" t="s">
        <v>17</v>
      </c>
      <c r="F583" s="7">
        <v>37148</v>
      </c>
      <c r="G583" s="8">
        <f t="shared" si="9"/>
        <v>37148</v>
      </c>
      <c r="H583" s="6" t="s">
        <v>13</v>
      </c>
      <c r="I583" s="9">
        <f>MAX(original!I583,piwebapi_edit!I583,car_edit!I583)</f>
        <v>13804.3727881056</v>
      </c>
      <c r="J583" s="9">
        <f>MAX(original!J583,piwebapi_edit!J583,car_edit!J583)</f>
        <v>238.04908844654099</v>
      </c>
      <c r="K583" s="17"/>
    </row>
    <row r="584" spans="1:11" x14ac:dyDescent="0.25">
      <c r="A584" s="3" t="s">
        <v>1187</v>
      </c>
      <c r="B584" s="4" t="s">
        <v>1188</v>
      </c>
      <c r="C584" s="5">
        <v>2243</v>
      </c>
      <c r="D584" s="6" t="s">
        <v>28</v>
      </c>
      <c r="E584" s="6" t="s">
        <v>17</v>
      </c>
      <c r="F584" s="7">
        <v>31958</v>
      </c>
      <c r="G584" s="8">
        <f t="shared" si="9"/>
        <v>31958</v>
      </c>
      <c r="H584" s="6" t="s">
        <v>13</v>
      </c>
      <c r="I584" s="9">
        <f>MAX(original!I584,piwebapi_edit!I584,car_edit!I584)</f>
        <v>16767.167867623102</v>
      </c>
      <c r="J584" s="9">
        <f>MAX(original!J584,piwebapi_edit!J584,car_edit!J584)</f>
        <v>281.74865175738103</v>
      </c>
      <c r="K584" s="17"/>
    </row>
    <row r="585" spans="1:11" x14ac:dyDescent="0.25">
      <c r="A585" s="3" t="s">
        <v>1189</v>
      </c>
      <c r="B585" s="4" t="s">
        <v>1190</v>
      </c>
      <c r="C585" s="14">
        <v>19207</v>
      </c>
      <c r="D585" s="6" t="s">
        <v>16</v>
      </c>
      <c r="E585" s="6" t="s">
        <v>17</v>
      </c>
      <c r="F585" s="7">
        <v>24737</v>
      </c>
      <c r="G585" s="8">
        <f t="shared" si="9"/>
        <v>24737</v>
      </c>
      <c r="H585" s="6" t="s">
        <v>13</v>
      </c>
      <c r="I585" s="9">
        <f>MAX(original!I585,piwebapi_edit!I585,car_edit!I585)</f>
        <v>152383.14023759999</v>
      </c>
      <c r="J585" s="9">
        <f>MAX(original!J585,piwebapi_edit!J585,car_edit!J585)</f>
        <v>388.851706747138</v>
      </c>
      <c r="K585" s="17"/>
    </row>
    <row r="586" spans="1:11" x14ac:dyDescent="0.25">
      <c r="A586" s="3" t="s">
        <v>1191</v>
      </c>
      <c r="B586" s="4" t="s">
        <v>1192</v>
      </c>
      <c r="C586" s="14">
        <v>1722</v>
      </c>
      <c r="D586" s="6" t="s">
        <v>16</v>
      </c>
      <c r="E586" s="6" t="s">
        <v>17</v>
      </c>
      <c r="F586" s="7">
        <v>25569</v>
      </c>
      <c r="G586" s="8">
        <f t="shared" si="9"/>
        <v>25569</v>
      </c>
      <c r="H586" s="6" t="s">
        <v>13</v>
      </c>
      <c r="I586" s="9">
        <f>MAX(original!I586,piwebapi_edit!I586,car_edit!I586)</f>
        <v>133957.067781777</v>
      </c>
      <c r="J586" s="9">
        <f>MAX(original!J586,piwebapi_edit!J586,car_edit!J586)</f>
        <v>1014.22174426905</v>
      </c>
      <c r="K586" s="17"/>
    </row>
    <row r="587" spans="1:11" x14ac:dyDescent="0.25">
      <c r="A587" s="3" t="s">
        <v>1193</v>
      </c>
      <c r="B587" s="4" t="s">
        <v>1194</v>
      </c>
      <c r="C587" s="14">
        <v>1745</v>
      </c>
      <c r="D587" s="6" t="s">
        <v>34</v>
      </c>
      <c r="E587" s="6" t="s">
        <v>17</v>
      </c>
      <c r="F587" s="7">
        <v>36850</v>
      </c>
      <c r="G587" s="8">
        <f t="shared" si="9"/>
        <v>36850</v>
      </c>
      <c r="H587" s="6" t="s">
        <v>13</v>
      </c>
      <c r="I587" s="9">
        <f>MAX(original!I587,piwebapi_edit!I587,car_edit!I587)</f>
        <v>46323.566172022198</v>
      </c>
      <c r="J587" s="9">
        <f>MAX(original!J587,piwebapi_edit!J587,car_edit!J587)</f>
        <v>128.388995346467</v>
      </c>
      <c r="K587" s="17"/>
    </row>
    <row r="588" spans="1:11" x14ac:dyDescent="0.25">
      <c r="A588" s="3" t="s">
        <v>1195</v>
      </c>
      <c r="B588" s="4" t="s">
        <v>1196</v>
      </c>
      <c r="C588" s="5">
        <v>14081</v>
      </c>
      <c r="D588" s="6" t="s">
        <v>34</v>
      </c>
      <c r="E588" s="6" t="s">
        <v>17</v>
      </c>
      <c r="F588" s="7">
        <v>38049</v>
      </c>
      <c r="G588" s="8">
        <f t="shared" si="9"/>
        <v>38049</v>
      </c>
      <c r="H588" s="6" t="s">
        <v>13</v>
      </c>
      <c r="I588" s="9">
        <f>MAX(original!I588,piwebapi_edit!I588,car_edit!I588)</f>
        <v>25579.8742630163</v>
      </c>
      <c r="J588" s="9">
        <f>MAX(original!J588,piwebapi_edit!J588,car_edit!J588)</f>
        <v>252.01419793188001</v>
      </c>
      <c r="K588" s="17"/>
    </row>
    <row r="589" spans="1:11" x14ac:dyDescent="0.25">
      <c r="A589" s="3" t="s">
        <v>1197</v>
      </c>
      <c r="B589" s="4" t="s">
        <v>1198</v>
      </c>
      <c r="C589" s="14">
        <v>1110</v>
      </c>
      <c r="D589" s="6" t="s">
        <v>28</v>
      </c>
      <c r="E589" s="6" t="s">
        <v>17</v>
      </c>
      <c r="F589" s="7">
        <v>36901</v>
      </c>
      <c r="G589" s="8">
        <f t="shared" si="9"/>
        <v>36901</v>
      </c>
      <c r="H589" s="6" t="s">
        <v>13</v>
      </c>
      <c r="I589" s="9">
        <f>MAX(original!I589,piwebapi_edit!I589,car_edit!I589)</f>
        <v>244870.242968084</v>
      </c>
      <c r="J589" s="9">
        <f>MAX(original!J589,piwebapi_edit!J589,car_edit!J589)</f>
        <v>2244.64748225024</v>
      </c>
      <c r="K589" s="17"/>
    </row>
    <row r="590" spans="1:11" x14ac:dyDescent="0.25">
      <c r="A590" s="3" t="s">
        <v>1199</v>
      </c>
      <c r="B590" s="4" t="s">
        <v>1200</v>
      </c>
      <c r="C590" s="5">
        <v>1371</v>
      </c>
      <c r="D590" s="6" t="s">
        <v>28</v>
      </c>
      <c r="E590" s="6" t="s">
        <v>17</v>
      </c>
      <c r="F590" s="7">
        <v>29952</v>
      </c>
      <c r="G590" s="8">
        <f t="shared" si="9"/>
        <v>29952</v>
      </c>
      <c r="H590" s="6" t="s">
        <v>13</v>
      </c>
      <c r="I590" s="9">
        <f>MAX(original!I590,piwebapi_edit!I590,car_edit!I590)</f>
        <v>68621.747685706898</v>
      </c>
      <c r="J590" s="9">
        <f>MAX(original!J590,piwebapi_edit!J590,car_edit!J590)</f>
        <v>535.04874226498998</v>
      </c>
      <c r="K590" s="17"/>
    </row>
    <row r="591" spans="1:11" x14ac:dyDescent="0.25">
      <c r="A591" s="26" t="s">
        <v>1201</v>
      </c>
      <c r="B591" s="27" t="s">
        <v>1202</v>
      </c>
      <c r="C591" s="5">
        <v>1255</v>
      </c>
      <c r="D591" s="28" t="s">
        <v>28</v>
      </c>
      <c r="E591" s="28" t="s">
        <v>17</v>
      </c>
      <c r="F591" s="29">
        <v>28491</v>
      </c>
      <c r="G591" s="30">
        <f t="shared" si="9"/>
        <v>28491</v>
      </c>
      <c r="H591" s="28" t="s">
        <v>13</v>
      </c>
      <c r="I591" s="9">
        <f>MAX(original!I591,piwebapi_edit!I591,car_edit!I591)</f>
        <v>40149.147224330198</v>
      </c>
      <c r="J591" s="9">
        <f>MAX(original!J591,piwebapi_edit!J591,car_edit!J591)</f>
        <v>241.218603017817</v>
      </c>
      <c r="K591" s="33"/>
    </row>
    <row r="592" spans="1:11" x14ac:dyDescent="0.25">
      <c r="A592" s="3" t="s">
        <v>1203</v>
      </c>
      <c r="B592" s="4" t="s">
        <v>1204</v>
      </c>
      <c r="C592" s="14">
        <v>9922</v>
      </c>
      <c r="D592" s="6" t="s">
        <v>34</v>
      </c>
      <c r="E592" s="6" t="s">
        <v>17</v>
      </c>
      <c r="F592" s="7">
        <v>37575</v>
      </c>
      <c r="G592" s="8">
        <f t="shared" si="9"/>
        <v>37575</v>
      </c>
      <c r="H592" s="6" t="s">
        <v>13</v>
      </c>
      <c r="I592" s="9">
        <f>MAX(original!I592,piwebapi_edit!I592,car_edit!I592)</f>
        <v>113587.22505343601</v>
      </c>
      <c r="J592" s="9">
        <f>MAX(original!J592,piwebapi_edit!J592,car_edit!J592)</f>
        <v>1322.7556649888299</v>
      </c>
      <c r="K592" s="17"/>
    </row>
    <row r="593" spans="1:11" x14ac:dyDescent="0.25">
      <c r="A593" s="3" t="s">
        <v>1205</v>
      </c>
      <c r="B593" s="4" t="s">
        <v>1206</v>
      </c>
      <c r="C593" s="5">
        <v>1683</v>
      </c>
      <c r="D593" s="6" t="s">
        <v>28</v>
      </c>
      <c r="E593" s="6" t="s">
        <v>17</v>
      </c>
      <c r="F593" s="7">
        <v>33239</v>
      </c>
      <c r="G593" s="8">
        <f t="shared" si="9"/>
        <v>33239</v>
      </c>
      <c r="H593" s="6" t="s">
        <v>13</v>
      </c>
      <c r="I593" s="9">
        <f>MAX(original!I593,piwebapi_edit!I593,car_edit!I593)</f>
        <v>60044.074926136505</v>
      </c>
      <c r="J593" s="9">
        <f>MAX(original!J593,piwebapi_edit!J593,car_edit!J593)</f>
        <v>584.98293480688801</v>
      </c>
      <c r="K593" s="17"/>
    </row>
    <row r="594" spans="1:11" x14ac:dyDescent="0.25">
      <c r="A594" s="3" t="s">
        <v>1207</v>
      </c>
      <c r="B594" s="4" t="s">
        <v>1208</v>
      </c>
      <c r="C594" s="5">
        <v>54563</v>
      </c>
      <c r="D594" s="6" t="s">
        <v>28</v>
      </c>
      <c r="E594" s="6" t="s">
        <v>17</v>
      </c>
      <c r="F594" s="7">
        <v>37138</v>
      </c>
      <c r="G594" s="8">
        <f t="shared" si="9"/>
        <v>37138</v>
      </c>
      <c r="H594" s="6" t="s">
        <v>13</v>
      </c>
      <c r="I594" s="9">
        <f>MAX(original!I594,piwebapi_edit!I594,car_edit!I594)</f>
        <v>4380.8290080648394</v>
      </c>
      <c r="J594" s="9">
        <f>MAX(original!J594,piwebapi_edit!J594,car_edit!J594)</f>
        <v>77.082807633651498</v>
      </c>
      <c r="K594" s="17"/>
    </row>
    <row r="595" spans="1:11" x14ac:dyDescent="0.25">
      <c r="A595" s="3" t="s">
        <v>1209</v>
      </c>
      <c r="B595" s="4" t="s">
        <v>1210</v>
      </c>
      <c r="C595" s="5">
        <v>89409</v>
      </c>
      <c r="D595" s="6" t="s">
        <v>16</v>
      </c>
      <c r="E595" s="6" t="s">
        <v>17</v>
      </c>
      <c r="F595" s="7">
        <v>39295</v>
      </c>
      <c r="G595" s="8">
        <f t="shared" si="9"/>
        <v>39295</v>
      </c>
      <c r="H595" s="6" t="s">
        <v>13</v>
      </c>
      <c r="I595" s="9">
        <f>MAX(original!I595,piwebapi_edit!I595,car_edit!I595)</f>
        <v>10201.3603040939</v>
      </c>
      <c r="J595" s="9">
        <f>MAX(original!J595,piwebapi_edit!J595,car_edit!J595)</f>
        <v>252.122852216306</v>
      </c>
      <c r="K595" s="17"/>
    </row>
    <row r="596" spans="1:11" x14ac:dyDescent="0.25">
      <c r="A596" s="3" t="s">
        <v>1211</v>
      </c>
      <c r="B596" s="4" t="s">
        <v>1212</v>
      </c>
      <c r="C596" s="5">
        <v>1909</v>
      </c>
      <c r="D596" s="6" t="s">
        <v>34</v>
      </c>
      <c r="E596" s="6" t="s">
        <v>17</v>
      </c>
      <c r="F596" s="7">
        <v>25569</v>
      </c>
      <c r="G596" s="8">
        <f t="shared" si="9"/>
        <v>25569</v>
      </c>
      <c r="H596" s="6" t="s">
        <v>13</v>
      </c>
      <c r="I596" s="9">
        <f>MAX(original!I596,piwebapi_edit!I596,car_edit!I596)</f>
        <v>2137.8276174515299</v>
      </c>
      <c r="J596" s="9">
        <f>MAX(original!J596,piwebapi_edit!J596,car_edit!J596)</f>
        <v>104.265002108593</v>
      </c>
      <c r="K596" s="17"/>
    </row>
    <row r="597" spans="1:11" x14ac:dyDescent="0.25">
      <c r="A597" s="3" t="s">
        <v>1213</v>
      </c>
      <c r="B597" s="4" t="s">
        <v>1214</v>
      </c>
      <c r="C597" s="5">
        <v>54562</v>
      </c>
      <c r="D597" s="6" t="s">
        <v>31</v>
      </c>
      <c r="E597" s="6" t="s">
        <v>17</v>
      </c>
      <c r="F597" s="7">
        <v>39518</v>
      </c>
      <c r="G597" s="8">
        <f t="shared" si="9"/>
        <v>39518</v>
      </c>
      <c r="H597" s="6" t="s">
        <v>13</v>
      </c>
      <c r="I597" s="9">
        <f>MAX(original!I597,piwebapi_edit!I597,car_edit!I597)</f>
        <v>5980.7519436891098</v>
      </c>
      <c r="J597" s="9">
        <f>MAX(original!J597,piwebapi_edit!J597,car_edit!J597)</f>
        <v>91.969005685106694</v>
      </c>
      <c r="K597" s="17"/>
    </row>
    <row r="598" spans="1:11" x14ac:dyDescent="0.25">
      <c r="A598" s="26" t="s">
        <v>1215</v>
      </c>
      <c r="B598" s="27" t="s">
        <v>1216</v>
      </c>
      <c r="C598" s="34">
        <v>1138</v>
      </c>
      <c r="D598" s="28" t="s">
        <v>31</v>
      </c>
      <c r="E598" s="28" t="s">
        <v>17</v>
      </c>
      <c r="F598" s="29">
        <v>29221</v>
      </c>
      <c r="G598" s="30">
        <f t="shared" si="9"/>
        <v>29221</v>
      </c>
      <c r="H598" s="28" t="s">
        <v>13</v>
      </c>
      <c r="I598" s="9">
        <f>MAX(original!I598,piwebapi_edit!I598,car_edit!I598)</f>
        <v>16307.025647206601</v>
      </c>
      <c r="J598" s="9">
        <f>MAX(original!J598,piwebapi_edit!J598,car_edit!J598)</f>
        <v>47.325009611164397</v>
      </c>
      <c r="K598" s="33"/>
    </row>
    <row r="599" spans="1:11" ht="30" x14ac:dyDescent="0.25">
      <c r="A599" s="18" t="s">
        <v>1217</v>
      </c>
      <c r="B599" s="19" t="s">
        <v>1218</v>
      </c>
      <c r="C599" s="5">
        <v>20173</v>
      </c>
      <c r="D599" s="21" t="s">
        <v>34</v>
      </c>
      <c r="E599" s="21" t="s">
        <v>17</v>
      </c>
      <c r="F599" s="22">
        <v>20821</v>
      </c>
      <c r="G599" s="23">
        <f t="shared" si="9"/>
        <v>20821</v>
      </c>
      <c r="H599" s="21" t="s">
        <v>13</v>
      </c>
      <c r="I599" s="9">
        <f>MAX(original!I599,piwebapi_edit!I599,car_edit!I599)</f>
        <v>64303.795840717998</v>
      </c>
      <c r="J599" s="9">
        <f>MAX(original!J599,piwebapi_edit!J599,car_edit!J599)</f>
        <v>387.65681283088298</v>
      </c>
      <c r="K599" s="25"/>
    </row>
    <row r="600" spans="1:11" x14ac:dyDescent="0.25">
      <c r="A600" s="3" t="s">
        <v>1219</v>
      </c>
      <c r="B600" s="4" t="s">
        <v>1220</v>
      </c>
      <c r="C600" s="14">
        <v>1204</v>
      </c>
      <c r="D600" s="6" t="s">
        <v>31</v>
      </c>
      <c r="E600" s="6" t="s">
        <v>17</v>
      </c>
      <c r="F600" s="7">
        <v>29221</v>
      </c>
      <c r="G600" s="8">
        <f t="shared" si="9"/>
        <v>29221</v>
      </c>
      <c r="H600" s="6" t="s">
        <v>13</v>
      </c>
      <c r="I600" s="9">
        <f>MAX(original!I600,piwebapi_edit!I600,car_edit!I600)</f>
        <v>55073.0743129646</v>
      </c>
      <c r="J600" s="9">
        <f>MAX(original!J600,piwebapi_edit!J600,car_edit!J600)</f>
        <v>495.13877202995297</v>
      </c>
      <c r="K600" s="17"/>
    </row>
    <row r="601" spans="1:11" x14ac:dyDescent="0.25">
      <c r="A601" s="3" t="s">
        <v>1221</v>
      </c>
      <c r="B601" s="4" t="s">
        <v>1222</v>
      </c>
      <c r="C601" s="5">
        <v>16654</v>
      </c>
      <c r="D601" s="6" t="s">
        <v>16</v>
      </c>
      <c r="E601" s="6" t="s">
        <v>17</v>
      </c>
      <c r="F601" s="7">
        <v>26276</v>
      </c>
      <c r="G601" s="8">
        <f t="shared" si="9"/>
        <v>26276</v>
      </c>
      <c r="H601" s="6" t="s">
        <v>13</v>
      </c>
      <c r="I601" s="9">
        <f>MAX(original!I601,piwebapi_edit!I601,car_edit!I601)</f>
        <v>23776.302383406102</v>
      </c>
      <c r="J601" s="9">
        <f>MAX(original!J601,piwebapi_edit!J601,car_edit!J601)</f>
        <v>68.021706624193797</v>
      </c>
      <c r="K601" s="17"/>
    </row>
    <row r="602" spans="1:11" x14ac:dyDescent="0.25">
      <c r="A602" s="3" t="s">
        <v>1223</v>
      </c>
      <c r="B602" s="4" t="s">
        <v>1224</v>
      </c>
      <c r="C602" s="5">
        <v>33889</v>
      </c>
      <c r="D602" s="6" t="s">
        <v>31</v>
      </c>
      <c r="E602" s="6" t="s">
        <v>17</v>
      </c>
      <c r="F602" s="7">
        <v>39983</v>
      </c>
      <c r="G602" s="8">
        <f t="shared" si="9"/>
        <v>39983</v>
      </c>
      <c r="H602" s="6" t="s">
        <v>13</v>
      </c>
      <c r="I602" s="9">
        <f>MAX(original!I602,piwebapi_edit!I602,car_edit!I602)</f>
        <v>183880.432793557</v>
      </c>
      <c r="J602" s="9">
        <f>MAX(original!J602,piwebapi_edit!J602,car_edit!J602)</f>
        <v>306.16800871411903</v>
      </c>
      <c r="K602" s="17"/>
    </row>
    <row r="603" spans="1:11" x14ac:dyDescent="0.25">
      <c r="A603" s="3" t="s">
        <v>1225</v>
      </c>
      <c r="B603" s="4" t="s">
        <v>1226</v>
      </c>
      <c r="C603" s="5">
        <v>1315</v>
      </c>
      <c r="D603" s="6" t="s">
        <v>16</v>
      </c>
      <c r="E603" s="6" t="s">
        <v>17</v>
      </c>
      <c r="F603" s="7">
        <v>29221</v>
      </c>
      <c r="G603" s="8">
        <f t="shared" si="9"/>
        <v>29221</v>
      </c>
      <c r="H603" s="6" t="s">
        <v>13</v>
      </c>
      <c r="I603" s="9">
        <f>MAX(original!I603,piwebapi_edit!I603,car_edit!I603)</f>
        <v>126748.50356418799</v>
      </c>
      <c r="J603" s="9">
        <f>MAX(original!J603,piwebapi_edit!J603,car_edit!J603)</f>
        <v>647.01746226714397</v>
      </c>
      <c r="K603" s="17"/>
    </row>
    <row r="604" spans="1:11" ht="30" x14ac:dyDescent="0.25">
      <c r="A604" s="3" t="s">
        <v>1227</v>
      </c>
      <c r="B604" s="4" t="s">
        <v>1228</v>
      </c>
      <c r="C604" s="14">
        <v>35489</v>
      </c>
      <c r="D604" s="6" t="s">
        <v>11</v>
      </c>
      <c r="E604" s="6" t="s">
        <v>12</v>
      </c>
      <c r="F604" s="7">
        <v>28843</v>
      </c>
      <c r="G604" s="8">
        <f t="shared" si="9"/>
        <v>28843</v>
      </c>
      <c r="H604" s="6" t="s">
        <v>776</v>
      </c>
      <c r="I604" s="9">
        <f>MAX(original!I604,piwebapi_edit!I604,car_edit!I604)</f>
        <v>0</v>
      </c>
      <c r="J604" s="9">
        <f>MAX(original!J604,piwebapi_edit!J604,car_edit!J604)</f>
        <v>0</v>
      </c>
      <c r="K604" s="11"/>
    </row>
    <row r="605" spans="1:11" x14ac:dyDescent="0.25">
      <c r="A605" s="3" t="s">
        <v>1229</v>
      </c>
      <c r="B605" s="4" t="s">
        <v>1230</v>
      </c>
      <c r="C605" s="14">
        <v>1944</v>
      </c>
      <c r="D605" s="6" t="s">
        <v>34</v>
      </c>
      <c r="E605" s="6" t="s">
        <v>17</v>
      </c>
      <c r="F605" s="7">
        <v>18264</v>
      </c>
      <c r="G605" s="8">
        <f t="shared" si="9"/>
        <v>18264</v>
      </c>
      <c r="H605" s="6" t="s">
        <v>13</v>
      </c>
      <c r="I605" s="9">
        <f>MAX(original!I605,piwebapi_edit!I605,car_edit!I605)</f>
        <v>451144.14</v>
      </c>
      <c r="J605" s="9">
        <f>MAX(original!J605,piwebapi_edit!J605,car_edit!J605)</f>
        <v>4000</v>
      </c>
      <c r="K605" s="17"/>
    </row>
    <row r="606" spans="1:11" x14ac:dyDescent="0.25">
      <c r="A606" s="26" t="s">
        <v>1231</v>
      </c>
      <c r="B606" s="27" t="s">
        <v>1232</v>
      </c>
      <c r="C606" s="34">
        <v>1917</v>
      </c>
      <c r="D606" s="28" t="s">
        <v>31</v>
      </c>
      <c r="E606" s="28" t="s">
        <v>17</v>
      </c>
      <c r="F606" s="29">
        <v>27011</v>
      </c>
      <c r="G606" s="30">
        <f t="shared" si="9"/>
        <v>27011</v>
      </c>
      <c r="H606" s="28" t="s">
        <v>13</v>
      </c>
      <c r="I606" s="9">
        <f>MAX(original!I606,piwebapi_edit!I606,car_edit!I606)</f>
        <v>31423.111771801297</v>
      </c>
      <c r="J606" s="9">
        <f>MAX(original!J606,piwebapi_edit!J606,car_edit!J606)</f>
        <v>128.52051568479001</v>
      </c>
      <c r="K606" s="33"/>
    </row>
    <row r="607" spans="1:11" x14ac:dyDescent="0.25">
      <c r="A607" s="26" t="s">
        <v>1233</v>
      </c>
      <c r="B607" s="27" t="s">
        <v>1234</v>
      </c>
      <c r="C607" s="34">
        <v>1860</v>
      </c>
      <c r="D607" s="28" t="s">
        <v>31</v>
      </c>
      <c r="E607" s="28" t="s">
        <v>17</v>
      </c>
      <c r="F607" s="29">
        <v>38029</v>
      </c>
      <c r="G607" s="30">
        <f t="shared" si="9"/>
        <v>38029</v>
      </c>
      <c r="H607" s="28" t="s">
        <v>13</v>
      </c>
      <c r="I607" s="9">
        <f>MAX(original!I607,piwebapi_edit!I607,car_edit!I607)</f>
        <v>54680.156879131304</v>
      </c>
      <c r="J607" s="9">
        <f>MAX(original!J607,piwebapi_edit!J607,car_edit!J607)</f>
        <v>150.13966671331099</v>
      </c>
      <c r="K607" s="33"/>
    </row>
    <row r="608" spans="1:11" ht="30" x14ac:dyDescent="0.25">
      <c r="A608" s="3" t="s">
        <v>1235</v>
      </c>
      <c r="B608" s="4" t="s">
        <v>1236</v>
      </c>
      <c r="C608" s="14">
        <v>37169</v>
      </c>
      <c r="D608" s="6" t="s">
        <v>11</v>
      </c>
      <c r="E608" s="6" t="s">
        <v>12</v>
      </c>
      <c r="F608" s="7">
        <v>27046</v>
      </c>
      <c r="G608" s="8">
        <f t="shared" si="9"/>
        <v>27046</v>
      </c>
      <c r="H608" s="6" t="s">
        <v>776</v>
      </c>
      <c r="I608" s="9">
        <f>MAX(original!I608,piwebapi_edit!I608,car_edit!I608)</f>
        <v>144324.20887506002</v>
      </c>
      <c r="J608" s="9">
        <f>MAX(original!J608,piwebapi_edit!J608,car_edit!J608)</f>
        <v>880.68367353666304</v>
      </c>
      <c r="K608" s="17"/>
    </row>
    <row r="609" spans="1:11" x14ac:dyDescent="0.25">
      <c r="A609" s="3" t="s">
        <v>1237</v>
      </c>
      <c r="B609" s="4" t="s">
        <v>1238</v>
      </c>
      <c r="C609" s="5">
        <v>2245</v>
      </c>
      <c r="D609" s="6" t="s">
        <v>16</v>
      </c>
      <c r="E609" s="6" t="s">
        <v>17</v>
      </c>
      <c r="F609" s="7">
        <v>37084</v>
      </c>
      <c r="G609" s="8">
        <f t="shared" si="9"/>
        <v>37084</v>
      </c>
      <c r="H609" s="6" t="s">
        <v>13</v>
      </c>
      <c r="I609" s="9">
        <f>MAX(original!I609,piwebapi_edit!I609,car_edit!I609)</f>
        <v>11115.0880045432</v>
      </c>
      <c r="J609" s="9">
        <f>MAX(original!J609,piwebapi_edit!J609,car_edit!J609)</f>
        <v>69.340806756397996</v>
      </c>
      <c r="K609" s="17"/>
    </row>
    <row r="610" spans="1:11" x14ac:dyDescent="0.25">
      <c r="A610" s="3" t="s">
        <v>1239</v>
      </c>
      <c r="B610" s="4" t="s">
        <v>1240</v>
      </c>
      <c r="C610" s="5">
        <v>2001</v>
      </c>
      <c r="D610" s="6" t="s">
        <v>31</v>
      </c>
      <c r="E610" s="6" t="s">
        <v>17</v>
      </c>
      <c r="F610" s="7">
        <v>29952</v>
      </c>
      <c r="G610" s="8">
        <f t="shared" si="9"/>
        <v>29952</v>
      </c>
      <c r="H610" s="6" t="s">
        <v>13</v>
      </c>
      <c r="I610" s="9">
        <f>MAX(original!I610,piwebapi_edit!I610,car_edit!I610)</f>
        <v>27933.380507892402</v>
      </c>
      <c r="J610" s="9">
        <f>MAX(original!J610,piwebapi_edit!J610,car_edit!J610)</f>
        <v>60.819999182337398</v>
      </c>
      <c r="K610" s="17"/>
    </row>
    <row r="611" spans="1:11" x14ac:dyDescent="0.25">
      <c r="A611" s="3" t="s">
        <v>1241</v>
      </c>
      <c r="B611" s="4" t="s">
        <v>1242</v>
      </c>
      <c r="C611" s="5">
        <v>1141</v>
      </c>
      <c r="D611" s="6" t="s">
        <v>31</v>
      </c>
      <c r="E611" s="6" t="s">
        <v>17</v>
      </c>
      <c r="F611" s="7">
        <v>40998</v>
      </c>
      <c r="G611" s="8">
        <f t="shared" si="9"/>
        <v>40998</v>
      </c>
      <c r="H611" s="6" t="s">
        <v>13</v>
      </c>
      <c r="I611" s="9">
        <f>MAX(original!I611,piwebapi_edit!I611,car_edit!I611)</f>
        <v>31188.387148552898</v>
      </c>
      <c r="J611" s="9">
        <f>MAX(original!J611,piwebapi_edit!J611,car_edit!J611)</f>
        <v>205.27990276208999</v>
      </c>
      <c r="K611" s="17"/>
    </row>
    <row r="612" spans="1:11" x14ac:dyDescent="0.25">
      <c r="A612" s="26" t="s">
        <v>1243</v>
      </c>
      <c r="B612" s="27" t="s">
        <v>1244</v>
      </c>
      <c r="C612" s="34">
        <v>1458</v>
      </c>
      <c r="D612" s="28" t="s">
        <v>34</v>
      </c>
      <c r="E612" s="28" t="s">
        <v>17</v>
      </c>
      <c r="F612" s="29">
        <v>29221</v>
      </c>
      <c r="G612" s="30">
        <f t="shared" si="9"/>
        <v>29221</v>
      </c>
      <c r="H612" s="28" t="s">
        <v>13</v>
      </c>
      <c r="I612" s="9">
        <f>MAX(original!I612,piwebapi_edit!I612,car_edit!I612)</f>
        <v>9989.7412496238212</v>
      </c>
      <c r="J612" s="9">
        <f>MAX(original!J612,piwebapi_edit!J612,car_edit!J612)</f>
        <v>202.06107016488701</v>
      </c>
      <c r="K612" s="33"/>
    </row>
    <row r="613" spans="1:11" x14ac:dyDescent="0.25">
      <c r="A613" s="3" t="s">
        <v>1245</v>
      </c>
      <c r="B613" s="4" t="s">
        <v>1246</v>
      </c>
      <c r="C613" s="5">
        <v>29844</v>
      </c>
      <c r="D613" s="6" t="s">
        <v>34</v>
      </c>
      <c r="E613" s="6" t="s">
        <v>17</v>
      </c>
      <c r="F613" s="7">
        <v>35584</v>
      </c>
      <c r="G613" s="8">
        <f t="shared" si="9"/>
        <v>35584</v>
      </c>
      <c r="H613" s="6" t="s">
        <v>13</v>
      </c>
      <c r="I613" s="9">
        <f>MAX(original!I613,piwebapi_edit!I613,car_edit!I613)</f>
        <v>3667.2503492565597</v>
      </c>
      <c r="J613" s="9">
        <f>MAX(original!J613,piwebapi_edit!J613,car_edit!J613)</f>
        <v>141.469344140945</v>
      </c>
      <c r="K613" s="17"/>
    </row>
    <row r="614" spans="1:11" ht="30" x14ac:dyDescent="0.25">
      <c r="A614" s="18" t="s">
        <v>1247</v>
      </c>
      <c r="B614" s="19" t="s">
        <v>1248</v>
      </c>
      <c r="C614" s="5">
        <v>1987</v>
      </c>
      <c r="D614" s="21" t="s">
        <v>28</v>
      </c>
      <c r="E614" s="21" t="s">
        <v>17</v>
      </c>
      <c r="F614" s="22">
        <v>18264</v>
      </c>
      <c r="G614" s="23">
        <f t="shared" si="9"/>
        <v>18264</v>
      </c>
      <c r="H614" s="21" t="s">
        <v>13</v>
      </c>
      <c r="I614" s="9">
        <f>MAX(original!I614,piwebapi_edit!I614,car_edit!I614)</f>
        <v>1246091.49</v>
      </c>
      <c r="J614" s="9">
        <f>MAX(original!J614,piwebapi_edit!J614,car_edit!J614)</f>
        <v>4050</v>
      </c>
      <c r="K614" s="25"/>
    </row>
    <row r="615" spans="1:11" x14ac:dyDescent="0.25">
      <c r="A615" s="3" t="s">
        <v>1249</v>
      </c>
      <c r="B615" s="4" t="s">
        <v>1250</v>
      </c>
      <c r="C615" s="5">
        <v>72097</v>
      </c>
      <c r="D615" s="6" t="s">
        <v>37</v>
      </c>
      <c r="E615" s="6" t="s">
        <v>38</v>
      </c>
      <c r="F615" s="7">
        <v>38491</v>
      </c>
      <c r="G615" s="8">
        <f t="shared" si="9"/>
        <v>38491</v>
      </c>
      <c r="H615" s="6" t="s">
        <v>39</v>
      </c>
      <c r="I615" s="9">
        <f>MAX(original!I615,piwebapi_edit!I615,car_edit!I615)</f>
        <v>21201.968001311401</v>
      </c>
      <c r="J615" s="9">
        <f>MAX(original!J615,piwebapi_edit!J615,car_edit!J615)</f>
        <v>218.78073592947999</v>
      </c>
      <c r="K615" s="17"/>
    </row>
    <row r="616" spans="1:11" x14ac:dyDescent="0.25">
      <c r="A616" s="26" t="s">
        <v>1251</v>
      </c>
      <c r="B616" s="27" t="s">
        <v>1252</v>
      </c>
      <c r="C616" s="34">
        <v>30546</v>
      </c>
      <c r="D616" s="28" t="s">
        <v>11</v>
      </c>
      <c r="E616" s="28" t="s">
        <v>12</v>
      </c>
      <c r="F616" s="29">
        <v>39294</v>
      </c>
      <c r="G616" s="30">
        <f t="shared" si="9"/>
        <v>39294</v>
      </c>
      <c r="H616" s="28" t="s">
        <v>39</v>
      </c>
      <c r="I616" s="9">
        <f>MAX(original!I616,piwebapi_edit!I616,car_edit!I616)</f>
        <v>75338.233517149303</v>
      </c>
      <c r="J616" s="9">
        <f>MAX(original!J616,piwebapi_edit!J616,car_edit!J616)</f>
        <v>367.51534300138201</v>
      </c>
      <c r="K616" s="33"/>
    </row>
    <row r="617" spans="1:11" x14ac:dyDescent="0.25">
      <c r="A617" s="3" t="s">
        <v>1253</v>
      </c>
      <c r="B617" s="4" t="s">
        <v>1254</v>
      </c>
      <c r="C617" s="14">
        <v>54564</v>
      </c>
      <c r="D617" s="6" t="s">
        <v>11</v>
      </c>
      <c r="E617" s="6" t="s">
        <v>12</v>
      </c>
      <c r="F617" s="7">
        <v>37386</v>
      </c>
      <c r="G617" s="8">
        <f t="shared" si="9"/>
        <v>37386</v>
      </c>
      <c r="H617" s="6" t="s">
        <v>39</v>
      </c>
      <c r="I617" s="9">
        <f>MAX(original!I617,piwebapi_edit!I617,car_edit!I617)</f>
        <v>58190.9002622193</v>
      </c>
      <c r="J617" s="9">
        <f>MAX(original!J617,piwebapi_edit!J617,car_edit!J617)</f>
        <v>432.77095009882299</v>
      </c>
      <c r="K617" s="17"/>
    </row>
    <row r="618" spans="1:11" x14ac:dyDescent="0.25">
      <c r="A618" s="3" t="s">
        <v>1255</v>
      </c>
      <c r="B618" s="4" t="s">
        <v>1256</v>
      </c>
      <c r="C618" s="5">
        <v>1939</v>
      </c>
      <c r="D618" s="6" t="s">
        <v>34</v>
      </c>
      <c r="E618" s="6" t="s">
        <v>17</v>
      </c>
      <c r="F618" s="7">
        <v>29221</v>
      </c>
      <c r="G618" s="8">
        <f t="shared" si="9"/>
        <v>29221</v>
      </c>
      <c r="H618" s="6" t="s">
        <v>13</v>
      </c>
      <c r="I618" s="9">
        <f>MAX(original!I618,piwebapi_edit!I618,car_edit!I618)</f>
        <v>7538.6301620322301</v>
      </c>
      <c r="J618" s="9">
        <f>MAX(original!J618,piwebapi_edit!J618,car_edit!J618)</f>
        <v>260.54653651964298</v>
      </c>
      <c r="K618" s="17"/>
    </row>
    <row r="619" spans="1:11" x14ac:dyDescent="0.25">
      <c r="A619" s="3" t="s">
        <v>1257</v>
      </c>
      <c r="B619" s="4" t="s">
        <v>1258</v>
      </c>
      <c r="C619" s="5">
        <v>1546</v>
      </c>
      <c r="D619" s="6" t="s">
        <v>28</v>
      </c>
      <c r="E619" s="6" t="s">
        <v>17</v>
      </c>
      <c r="F619" s="7">
        <v>25569</v>
      </c>
      <c r="G619" s="8">
        <f t="shared" si="9"/>
        <v>25569</v>
      </c>
      <c r="H619" s="6" t="s">
        <v>13</v>
      </c>
      <c r="I619" s="9">
        <f>MAX(original!I619,piwebapi_edit!I619,car_edit!I619)</f>
        <v>57632.599328993696</v>
      </c>
      <c r="J619" s="9">
        <f>MAX(original!J619,piwebapi_edit!J619,car_edit!J619)</f>
        <v>114.81132106550901</v>
      </c>
      <c r="K619" s="17"/>
    </row>
    <row r="620" spans="1:11" x14ac:dyDescent="0.25">
      <c r="A620" s="3" t="s">
        <v>1259</v>
      </c>
      <c r="B620" s="4" t="s">
        <v>1260</v>
      </c>
      <c r="C620" s="5">
        <v>12807</v>
      </c>
      <c r="D620" s="6" t="s">
        <v>37</v>
      </c>
      <c r="E620" s="6" t="s">
        <v>38</v>
      </c>
      <c r="F620" s="7">
        <v>37818</v>
      </c>
      <c r="G620" s="8">
        <f t="shared" si="9"/>
        <v>37818</v>
      </c>
      <c r="H620" s="6" t="s">
        <v>39</v>
      </c>
      <c r="I620" s="9">
        <f>MAX(original!I620,piwebapi_edit!I620,car_edit!I620)</f>
        <v>9179.8066653262886</v>
      </c>
      <c r="J620" s="9">
        <f>MAX(original!J620,piwebapi_edit!J620,car_edit!J620)</f>
        <v>204.41630838820799</v>
      </c>
      <c r="K620" s="17"/>
    </row>
    <row r="621" spans="1:11" x14ac:dyDescent="0.25">
      <c r="A621" s="3" t="s">
        <v>1261</v>
      </c>
      <c r="B621" s="4" t="s">
        <v>1262</v>
      </c>
      <c r="C621" s="5">
        <v>48801</v>
      </c>
      <c r="D621" s="6" t="s">
        <v>37</v>
      </c>
      <c r="E621" s="6" t="s">
        <v>38</v>
      </c>
      <c r="F621" s="7">
        <v>37873</v>
      </c>
      <c r="G621" s="8">
        <f t="shared" si="9"/>
        <v>37873</v>
      </c>
      <c r="H621" s="6" t="s">
        <v>39</v>
      </c>
      <c r="I621" s="9">
        <f>MAX(original!I621,piwebapi_edit!I621,car_edit!I621)</f>
        <v>11205.9709378058</v>
      </c>
      <c r="J621" s="9">
        <f>MAX(original!J621,piwebapi_edit!J621,car_edit!J621)</f>
        <v>200.81207220386</v>
      </c>
      <c r="K621" s="17"/>
    </row>
    <row r="622" spans="1:11" ht="30" x14ac:dyDescent="0.25">
      <c r="A622" s="18" t="s">
        <v>1263</v>
      </c>
      <c r="B622" s="19" t="s">
        <v>1264</v>
      </c>
      <c r="C622" s="20">
        <v>1840</v>
      </c>
      <c r="D622" s="21" t="s">
        <v>16</v>
      </c>
      <c r="E622" s="21" t="s">
        <v>17</v>
      </c>
      <c r="F622" s="22">
        <v>18264</v>
      </c>
      <c r="G622" s="23">
        <f t="shared" si="9"/>
        <v>18264</v>
      </c>
      <c r="H622" s="21" t="s">
        <v>13</v>
      </c>
      <c r="I622" s="9">
        <f>MAX(original!I622,piwebapi_edit!I622,car_edit!I622)</f>
        <v>61485.844617430703</v>
      </c>
      <c r="J622" s="9">
        <f>MAX(original!J622,piwebapi_edit!J622,car_edit!J622)</f>
        <v>167.648945040428</v>
      </c>
      <c r="K622" s="25"/>
    </row>
    <row r="623" spans="1:11" x14ac:dyDescent="0.25">
      <c r="A623" s="3" t="s">
        <v>1265</v>
      </c>
      <c r="B623" s="4" t="s">
        <v>1266</v>
      </c>
      <c r="C623" s="5">
        <v>1579</v>
      </c>
      <c r="D623" s="6" t="s">
        <v>16</v>
      </c>
      <c r="E623" s="6" t="s">
        <v>17</v>
      </c>
      <c r="F623" s="7">
        <v>29221</v>
      </c>
      <c r="G623" s="8">
        <f t="shared" si="9"/>
        <v>29221</v>
      </c>
      <c r="H623" s="6" t="s">
        <v>13</v>
      </c>
      <c r="I623" s="9">
        <f>MAX(original!I623,piwebapi_edit!I623,car_edit!I623)</f>
        <v>310867.90999999997</v>
      </c>
      <c r="J623" s="9">
        <f>MAX(original!J623,piwebapi_edit!J623,car_edit!J623)</f>
        <v>1800</v>
      </c>
      <c r="K623" s="17"/>
    </row>
    <row r="624" spans="1:11" x14ac:dyDescent="0.25">
      <c r="A624" s="3" t="s">
        <v>1267</v>
      </c>
      <c r="B624" s="4" t="s">
        <v>1268</v>
      </c>
      <c r="C624" s="5">
        <v>54565</v>
      </c>
      <c r="D624" s="6" t="s">
        <v>16</v>
      </c>
      <c r="E624" s="6" t="s">
        <v>17</v>
      </c>
      <c r="F624" s="7">
        <v>37312</v>
      </c>
      <c r="G624" s="8">
        <f t="shared" si="9"/>
        <v>37312</v>
      </c>
      <c r="H624" s="6" t="s">
        <v>13</v>
      </c>
      <c r="I624" s="9">
        <f>MAX(original!I624,piwebapi_edit!I624,car_edit!I624)</f>
        <v>21544.7887150922</v>
      </c>
      <c r="J624" s="9">
        <f>MAX(original!J624,piwebapi_edit!J624,car_edit!J624)</f>
        <v>116.57211411449801</v>
      </c>
      <c r="K624" s="17"/>
    </row>
    <row r="625" spans="1:11" x14ac:dyDescent="0.25">
      <c r="A625" s="3" t="s">
        <v>1269</v>
      </c>
      <c r="B625" s="4" t="s">
        <v>1270</v>
      </c>
      <c r="C625" s="5">
        <v>18887</v>
      </c>
      <c r="D625" s="6" t="s">
        <v>31</v>
      </c>
      <c r="E625" s="6" t="s">
        <v>17</v>
      </c>
      <c r="F625" s="7">
        <v>32646</v>
      </c>
      <c r="G625" s="8">
        <f t="shared" si="9"/>
        <v>32646</v>
      </c>
      <c r="H625" s="6" t="s">
        <v>13</v>
      </c>
      <c r="I625" s="9">
        <f>MAX(original!I625,piwebapi_edit!I625,car_edit!I625)</f>
        <v>7023.40029826507</v>
      </c>
      <c r="J625" s="9">
        <f>MAX(original!J625,piwebapi_edit!J625,car_edit!J625)</f>
        <v>117.40987244342099</v>
      </c>
      <c r="K625" s="17"/>
    </row>
    <row r="626" spans="1:11" x14ac:dyDescent="0.25">
      <c r="A626" s="3" t="s">
        <v>1271</v>
      </c>
      <c r="B626" s="4" t="s">
        <v>1272</v>
      </c>
      <c r="C626" s="14">
        <v>1509</v>
      </c>
      <c r="D626" s="6" t="s">
        <v>28</v>
      </c>
      <c r="E626" s="6" t="s">
        <v>17</v>
      </c>
      <c r="F626" s="7">
        <v>18264</v>
      </c>
      <c r="G626" s="8">
        <f t="shared" si="9"/>
        <v>18264</v>
      </c>
      <c r="H626" s="6" t="s">
        <v>13</v>
      </c>
      <c r="I626" s="9">
        <f>MAX(original!I626,piwebapi_edit!I626,car_edit!I626)</f>
        <v>94353.649333848502</v>
      </c>
      <c r="J626" s="9">
        <f>MAX(original!J626,piwebapi_edit!J626,car_edit!J626)</f>
        <v>670.25785107889703</v>
      </c>
      <c r="K626" s="17"/>
    </row>
    <row r="627" spans="1:11" x14ac:dyDescent="0.25">
      <c r="A627" s="3" t="s">
        <v>1273</v>
      </c>
      <c r="B627" s="4" t="s">
        <v>1274</v>
      </c>
      <c r="C627" s="14">
        <v>1147</v>
      </c>
      <c r="D627" s="6" t="s">
        <v>34</v>
      </c>
      <c r="E627" s="6" t="s">
        <v>17</v>
      </c>
      <c r="F627" s="7">
        <v>37697</v>
      </c>
      <c r="G627" s="8">
        <f t="shared" si="9"/>
        <v>37697</v>
      </c>
      <c r="H627" s="6" t="s">
        <v>13</v>
      </c>
      <c r="I627" s="9">
        <f>MAX(original!I627,piwebapi_edit!I627,car_edit!I627)</f>
        <v>35278.795351770495</v>
      </c>
      <c r="J627" s="9">
        <f>MAX(original!J627,piwebapi_edit!J627,car_edit!J627)</f>
        <v>292.66249440224999</v>
      </c>
      <c r="K627" s="17"/>
    </row>
    <row r="628" spans="1:11" x14ac:dyDescent="0.25">
      <c r="A628" s="3" t="s">
        <v>1275</v>
      </c>
      <c r="B628" s="4" t="s">
        <v>1276</v>
      </c>
      <c r="C628" s="5">
        <v>1879</v>
      </c>
      <c r="D628" s="6" t="s">
        <v>34</v>
      </c>
      <c r="E628" s="6" t="s">
        <v>17</v>
      </c>
      <c r="F628" s="7">
        <v>32617</v>
      </c>
      <c r="G628" s="8">
        <f t="shared" si="9"/>
        <v>32617</v>
      </c>
      <c r="H628" s="6" t="s">
        <v>13</v>
      </c>
      <c r="I628" s="9">
        <f>MAX(original!I628,piwebapi_edit!I628,car_edit!I628)</f>
        <v>9306.3039182326593</v>
      </c>
      <c r="J628" s="9">
        <f>MAX(original!J628,piwebapi_edit!J628,car_edit!J628)</f>
        <v>95.355306616005194</v>
      </c>
      <c r="K628" s="17"/>
    </row>
    <row r="629" spans="1:11" x14ac:dyDescent="0.25">
      <c r="A629" s="3" t="s">
        <v>1277</v>
      </c>
      <c r="B629" s="4" t="s">
        <v>1278</v>
      </c>
      <c r="C629" s="5">
        <v>10562</v>
      </c>
      <c r="D629" s="6" t="s">
        <v>11</v>
      </c>
      <c r="E629" s="6" t="s">
        <v>17</v>
      </c>
      <c r="F629" s="7">
        <v>37231</v>
      </c>
      <c r="G629" s="8">
        <f t="shared" si="9"/>
        <v>37231</v>
      </c>
      <c r="H629" s="6" t="s">
        <v>13</v>
      </c>
      <c r="I629" s="9">
        <f>MAX(original!I629,piwebapi_edit!I629,car_edit!I629)</f>
        <v>30100.410349657199</v>
      </c>
      <c r="J629" s="9">
        <f>MAX(original!J629,piwebapi_edit!J629,car_edit!J629)</f>
        <v>208.60083313095899</v>
      </c>
      <c r="K629" s="17"/>
    </row>
    <row r="630" spans="1:11" x14ac:dyDescent="0.25">
      <c r="A630" s="3" t="s">
        <v>1279</v>
      </c>
      <c r="B630" s="4" t="s">
        <v>1280</v>
      </c>
      <c r="C630" s="5">
        <v>1533</v>
      </c>
      <c r="D630" s="6" t="s">
        <v>34</v>
      </c>
      <c r="E630" s="6" t="s">
        <v>17</v>
      </c>
      <c r="F630" s="7">
        <v>19725</v>
      </c>
      <c r="G630" s="8">
        <f t="shared" si="9"/>
        <v>19725</v>
      </c>
      <c r="H630" s="6" t="s">
        <v>13</v>
      </c>
      <c r="I630" s="9">
        <f>MAX(original!I630,piwebapi_edit!I630,car_edit!I630)</f>
        <v>2640.1556553074502</v>
      </c>
      <c r="J630" s="9">
        <f>MAX(original!J630,piwebapi_edit!J630,car_edit!J630)</f>
        <v>35.345766891290801</v>
      </c>
      <c r="K630" s="17"/>
    </row>
    <row r="631" spans="1:11" x14ac:dyDescent="0.25">
      <c r="A631" s="3" t="s">
        <v>1281</v>
      </c>
      <c r="B631" s="4" t="s">
        <v>1282</v>
      </c>
      <c r="C631" s="5">
        <v>12802</v>
      </c>
      <c r="D631" s="6" t="s">
        <v>34</v>
      </c>
      <c r="E631" s="6" t="s">
        <v>17</v>
      </c>
      <c r="F631" s="7">
        <v>38110</v>
      </c>
      <c r="G631" s="8">
        <f t="shared" si="9"/>
        <v>38110</v>
      </c>
      <c r="H631" s="6" t="s">
        <v>13</v>
      </c>
      <c r="I631" s="9">
        <f>MAX(original!I631,piwebapi_edit!I631,car_edit!I631)</f>
        <v>56203.770350626801</v>
      </c>
      <c r="J631" s="9">
        <f>MAX(original!J631,piwebapi_edit!J631,car_edit!J631)</f>
        <v>447.11611740328601</v>
      </c>
      <c r="K631" s="17"/>
    </row>
    <row r="632" spans="1:11" x14ac:dyDescent="0.25">
      <c r="A632" s="3" t="s">
        <v>1283</v>
      </c>
      <c r="B632" s="4" t="s">
        <v>1284</v>
      </c>
      <c r="C632" s="5">
        <v>1196</v>
      </c>
      <c r="D632" s="6" t="s">
        <v>16</v>
      </c>
      <c r="E632" s="6" t="s">
        <v>17</v>
      </c>
      <c r="F632" s="7">
        <v>29221</v>
      </c>
      <c r="G632" s="8">
        <f t="shared" si="9"/>
        <v>29221</v>
      </c>
      <c r="H632" s="6" t="s">
        <v>13</v>
      </c>
      <c r="I632" s="9">
        <f>MAX(original!I632,piwebapi_edit!I632,car_edit!I632)</f>
        <v>8954.0907625539203</v>
      </c>
      <c r="J632" s="9">
        <f>MAX(original!J632,piwebapi_edit!J632,car_edit!J632)</f>
        <v>89.195674164057195</v>
      </c>
      <c r="K632" s="17"/>
    </row>
    <row r="633" spans="1:11" x14ac:dyDescent="0.25">
      <c r="A633" s="3" t="s">
        <v>1285</v>
      </c>
      <c r="B633" s="4" t="s">
        <v>1286</v>
      </c>
      <c r="C633" s="14">
        <v>1439</v>
      </c>
      <c r="D633" s="6" t="s">
        <v>16</v>
      </c>
      <c r="E633" s="6" t="s">
        <v>17</v>
      </c>
      <c r="F633" s="7">
        <v>29221</v>
      </c>
      <c r="G633" s="8">
        <f t="shared" si="9"/>
        <v>29221</v>
      </c>
      <c r="H633" s="6" t="s">
        <v>13</v>
      </c>
      <c r="I633" s="9">
        <f>MAX(original!I633,piwebapi_edit!I633,car_edit!I633)</f>
        <v>225814.284220937</v>
      </c>
      <c r="J633" s="9">
        <f>MAX(original!J633,piwebapi_edit!J633,car_edit!J633)</f>
        <v>780.44295422194398</v>
      </c>
      <c r="K633" s="17"/>
    </row>
    <row r="634" spans="1:11" x14ac:dyDescent="0.25">
      <c r="A634" s="3" t="s">
        <v>1287</v>
      </c>
      <c r="B634" s="4" t="s">
        <v>1288</v>
      </c>
      <c r="C634" s="5">
        <v>1063</v>
      </c>
      <c r="D634" s="6" t="s">
        <v>16</v>
      </c>
      <c r="E634" s="6" t="s">
        <v>17</v>
      </c>
      <c r="F634" s="7">
        <v>25569</v>
      </c>
      <c r="G634" s="8">
        <f t="shared" si="9"/>
        <v>25569</v>
      </c>
      <c r="H634" s="6" t="s">
        <v>13</v>
      </c>
      <c r="I634" s="9">
        <f>MAX(original!I634,piwebapi_edit!I634,car_edit!I634)</f>
        <v>12560.3593443235</v>
      </c>
      <c r="J634" s="9">
        <f>MAX(original!J634,piwebapi_edit!J634,car_edit!J634)</f>
        <v>276.75545257493297</v>
      </c>
      <c r="K634" s="17"/>
    </row>
    <row r="635" spans="1:11" x14ac:dyDescent="0.25">
      <c r="A635" s="3" t="s">
        <v>1289</v>
      </c>
      <c r="B635" s="4" t="s">
        <v>1290</v>
      </c>
      <c r="C635" s="5">
        <v>1854</v>
      </c>
      <c r="D635" s="6" t="s">
        <v>16</v>
      </c>
      <c r="E635" s="6" t="s">
        <v>17</v>
      </c>
      <c r="F635" s="7">
        <v>29221</v>
      </c>
      <c r="G635" s="8">
        <f t="shared" si="9"/>
        <v>29221</v>
      </c>
      <c r="H635" s="6" t="s">
        <v>13</v>
      </c>
      <c r="I635" s="9">
        <f>MAX(original!I635,piwebapi_edit!I635,car_edit!I635)</f>
        <v>34262.074780996598</v>
      </c>
      <c r="J635" s="9">
        <f>MAX(original!J635,piwebapi_edit!J635,car_edit!J635)</f>
        <v>423.07209235709502</v>
      </c>
      <c r="K635" s="17"/>
    </row>
    <row r="636" spans="1:11" x14ac:dyDescent="0.25">
      <c r="A636" s="3" t="s">
        <v>1291</v>
      </c>
      <c r="B636" s="4" t="s">
        <v>1292</v>
      </c>
      <c r="C636" s="5">
        <v>1190</v>
      </c>
      <c r="D636" s="6" t="s">
        <v>16</v>
      </c>
      <c r="E636" s="6" t="s">
        <v>17</v>
      </c>
      <c r="F636" s="7">
        <v>25569</v>
      </c>
      <c r="G636" s="8">
        <f t="shared" si="9"/>
        <v>25569</v>
      </c>
      <c r="H636" s="6" t="s">
        <v>13</v>
      </c>
      <c r="I636" s="9">
        <f>MAX(original!I636,piwebapi_edit!I636,car_edit!I636)</f>
        <v>4506.9063235905396</v>
      </c>
      <c r="J636" s="9">
        <f>MAX(original!J636,piwebapi_edit!J636,car_edit!J636)</f>
        <v>237.03619819289901</v>
      </c>
      <c r="K636" s="17"/>
    </row>
    <row r="637" spans="1:11" x14ac:dyDescent="0.25">
      <c r="A637" s="3" t="s">
        <v>1293</v>
      </c>
      <c r="B637" s="4" t="s">
        <v>1294</v>
      </c>
      <c r="C637" s="5">
        <v>1862</v>
      </c>
      <c r="D637" s="6" t="s">
        <v>31</v>
      </c>
      <c r="E637" s="6" t="s">
        <v>17</v>
      </c>
      <c r="F637" s="7">
        <v>29221</v>
      </c>
      <c r="G637" s="8">
        <f t="shared" si="9"/>
        <v>29221</v>
      </c>
      <c r="H637" s="6" t="s">
        <v>13</v>
      </c>
      <c r="I637" s="9">
        <f>MAX(original!I637,piwebapi_edit!I637,car_edit!I637)</f>
        <v>32322.561112202999</v>
      </c>
      <c r="J637" s="9">
        <f>MAX(original!J637,piwebapi_edit!J637,car_edit!J637)</f>
        <v>325.82432673452701</v>
      </c>
      <c r="K637" s="17"/>
    </row>
    <row r="638" spans="1:11" x14ac:dyDescent="0.25">
      <c r="A638" s="3" t="s">
        <v>1295</v>
      </c>
      <c r="B638" s="4" t="s">
        <v>1296</v>
      </c>
      <c r="C638" s="5">
        <v>54169</v>
      </c>
      <c r="D638" s="6" t="s">
        <v>28</v>
      </c>
      <c r="E638" s="6" t="s">
        <v>17</v>
      </c>
      <c r="F638" s="7">
        <v>38562</v>
      </c>
      <c r="G638" s="8">
        <f t="shared" si="9"/>
        <v>38562</v>
      </c>
      <c r="H638" s="6" t="s">
        <v>13</v>
      </c>
      <c r="I638" s="9">
        <f>MAX(original!I638,piwebapi_edit!I638,car_edit!I638)</f>
        <v>23882.060759562999</v>
      </c>
      <c r="J638" s="9">
        <f>MAX(original!J638,piwebapi_edit!J638,car_edit!J638)</f>
        <v>156.71022323835601</v>
      </c>
      <c r="K638" s="17"/>
    </row>
    <row r="639" spans="1:11" x14ac:dyDescent="0.25">
      <c r="A639" s="3" t="s">
        <v>1297</v>
      </c>
      <c r="B639" s="4" t="s">
        <v>1298</v>
      </c>
      <c r="C639" s="5">
        <v>1964</v>
      </c>
      <c r="D639" s="6" t="s">
        <v>11</v>
      </c>
      <c r="E639" s="6" t="s">
        <v>17</v>
      </c>
      <c r="F639" s="7">
        <v>34633</v>
      </c>
      <c r="G639" s="8">
        <f t="shared" si="9"/>
        <v>34633</v>
      </c>
      <c r="H639" s="6" t="s">
        <v>13</v>
      </c>
      <c r="I639" s="9">
        <f>MAX(original!I639,piwebapi_edit!I639,car_edit!I639)</f>
        <v>75383.401024928404</v>
      </c>
      <c r="J639" s="9">
        <f>MAX(original!J639,piwebapi_edit!J639,car_edit!J639)</f>
        <v>194.56495881231001</v>
      </c>
      <c r="K639" s="17"/>
    </row>
    <row r="640" spans="1:11" x14ac:dyDescent="0.25">
      <c r="A640" s="3" t="s">
        <v>1299</v>
      </c>
      <c r="B640" s="4" t="s">
        <v>1300</v>
      </c>
      <c r="C640" s="5">
        <v>52945</v>
      </c>
      <c r="D640" s="6" t="s">
        <v>28</v>
      </c>
      <c r="E640" s="6" t="s">
        <v>17</v>
      </c>
      <c r="F640" s="7">
        <v>38548</v>
      </c>
      <c r="G640" s="8">
        <f t="shared" si="9"/>
        <v>38548</v>
      </c>
      <c r="H640" s="6" t="s">
        <v>13</v>
      </c>
      <c r="I640" s="9">
        <f>MAX(original!I640,piwebapi_edit!I640,car_edit!I640)</f>
        <v>36666.227142404699</v>
      </c>
      <c r="J640" s="9">
        <f>MAX(original!J640,piwebapi_edit!J640,car_edit!J640)</f>
        <v>371.34653296643597</v>
      </c>
      <c r="K640" s="17"/>
    </row>
    <row r="641" spans="1:11" x14ac:dyDescent="0.25">
      <c r="A641" s="3" t="s">
        <v>1301</v>
      </c>
      <c r="B641" s="4" t="s">
        <v>1302</v>
      </c>
      <c r="C641" s="5">
        <v>1861</v>
      </c>
      <c r="D641" s="6" t="s">
        <v>31</v>
      </c>
      <c r="E641" s="6" t="s">
        <v>17</v>
      </c>
      <c r="F641" s="7">
        <v>31048</v>
      </c>
      <c r="G641" s="8">
        <f t="shared" si="9"/>
        <v>31048</v>
      </c>
      <c r="H641" s="6" t="s">
        <v>13</v>
      </c>
      <c r="I641" s="9">
        <f>MAX(original!I641,piwebapi_edit!I641,car_edit!I641)</f>
        <v>55061.21019505</v>
      </c>
      <c r="J641" s="9">
        <f>MAX(original!J641,piwebapi_edit!J641,car_edit!J641)</f>
        <v>151.12469136192999</v>
      </c>
      <c r="K641" s="11"/>
    </row>
    <row r="642" spans="1:11" x14ac:dyDescent="0.25">
      <c r="A642" s="3" t="s">
        <v>1303</v>
      </c>
      <c r="B642" s="4" t="s">
        <v>1304</v>
      </c>
      <c r="C642" s="5">
        <v>1332</v>
      </c>
      <c r="D642" s="6" t="s">
        <v>31</v>
      </c>
      <c r="E642" s="6" t="s">
        <v>17</v>
      </c>
      <c r="F642" s="7">
        <v>28856</v>
      </c>
      <c r="G642" s="8">
        <f t="shared" ref="G642:G705" si="10">F642</f>
        <v>28856</v>
      </c>
      <c r="H642" s="6" t="s">
        <v>13</v>
      </c>
      <c r="I642" s="9">
        <f>MAX(original!I642,piwebapi_edit!I642,car_edit!I642)</f>
        <v>41882.001547920503</v>
      </c>
      <c r="J642" s="9">
        <f>MAX(original!J642,piwebapi_edit!J642,car_edit!J642)</f>
        <v>350.74935047819901</v>
      </c>
      <c r="K642" s="17"/>
    </row>
    <row r="643" spans="1:11" x14ac:dyDescent="0.25">
      <c r="A643" s="3" t="s">
        <v>1305</v>
      </c>
      <c r="B643" s="4" t="s">
        <v>1306</v>
      </c>
      <c r="C643" s="5">
        <v>41329</v>
      </c>
      <c r="D643" s="6" t="s">
        <v>34</v>
      </c>
      <c r="E643" s="6" t="s">
        <v>17</v>
      </c>
      <c r="F643" s="7">
        <v>38639</v>
      </c>
      <c r="G643" s="8">
        <f t="shared" si="10"/>
        <v>38639</v>
      </c>
      <c r="H643" s="6" t="s">
        <v>13</v>
      </c>
      <c r="I643" s="9">
        <f>MAX(original!I643,piwebapi_edit!I643,car_edit!I643)</f>
        <v>7847.6013037008697</v>
      </c>
      <c r="J643" s="9">
        <f>MAX(original!J643,piwebapi_edit!J643,car_edit!J643)</f>
        <v>200.910924229172</v>
      </c>
      <c r="K643" s="17"/>
    </row>
    <row r="644" spans="1:11" x14ac:dyDescent="0.25">
      <c r="A644" s="3" t="s">
        <v>1307</v>
      </c>
      <c r="B644" s="4" t="s">
        <v>1308</v>
      </c>
      <c r="C644" s="14">
        <v>54713</v>
      </c>
      <c r="D644" s="6" t="s">
        <v>34</v>
      </c>
      <c r="E644" s="6" t="s">
        <v>17</v>
      </c>
      <c r="F644" s="7">
        <v>39276</v>
      </c>
      <c r="G644" s="8">
        <f t="shared" si="10"/>
        <v>39276</v>
      </c>
      <c r="H644" s="6" t="s">
        <v>13</v>
      </c>
      <c r="I644" s="9">
        <f>MAX(original!I644,piwebapi_edit!I644,car_edit!I644)</f>
        <v>99237.473121352901</v>
      </c>
      <c r="J644" s="9">
        <f>MAX(original!J644,piwebapi_edit!J644,car_edit!J644)</f>
        <v>457.809528587557</v>
      </c>
      <c r="K644" s="17"/>
    </row>
    <row r="645" spans="1:11" x14ac:dyDescent="0.25">
      <c r="A645" s="3" t="s">
        <v>1309</v>
      </c>
      <c r="B645" s="4" t="s">
        <v>1310</v>
      </c>
      <c r="C645" s="14">
        <v>72110</v>
      </c>
      <c r="D645" s="6" t="s">
        <v>11</v>
      </c>
      <c r="E645" s="6" t="s">
        <v>17</v>
      </c>
      <c r="F645" s="7">
        <v>39169</v>
      </c>
      <c r="G645" s="8">
        <f t="shared" si="10"/>
        <v>39169</v>
      </c>
      <c r="H645" s="6" t="s">
        <v>13</v>
      </c>
      <c r="I645" s="9">
        <f>MAX(original!I645,piwebapi_edit!I645,car_edit!I645)</f>
        <v>104514.10195569499</v>
      </c>
      <c r="J645" s="9">
        <f>MAX(original!J645,piwebapi_edit!J645,car_edit!J645)</f>
        <v>653.67309126366399</v>
      </c>
      <c r="K645" s="17"/>
    </row>
    <row r="646" spans="1:11" x14ac:dyDescent="0.25">
      <c r="A646" s="3" t="s">
        <v>1311</v>
      </c>
      <c r="B646" s="4" t="s">
        <v>1312</v>
      </c>
      <c r="C646" s="14">
        <v>72176</v>
      </c>
      <c r="D646" s="6" t="s">
        <v>11</v>
      </c>
      <c r="E646" s="6" t="s">
        <v>12</v>
      </c>
      <c r="F646" s="7">
        <v>39296</v>
      </c>
      <c r="G646" s="8">
        <f t="shared" si="10"/>
        <v>39296</v>
      </c>
      <c r="H646" s="6" t="s">
        <v>39</v>
      </c>
      <c r="I646" s="9">
        <f>MAX(original!I646,piwebapi_edit!I646,car_edit!I646)</f>
        <v>79090.766823120503</v>
      </c>
      <c r="J646" s="9">
        <f>MAX(original!J646,piwebapi_edit!J646,car_edit!J646)</f>
        <v>539.10749677476701</v>
      </c>
      <c r="K646" s="17"/>
    </row>
    <row r="647" spans="1:11" ht="30" x14ac:dyDescent="0.25">
      <c r="A647" s="18" t="s">
        <v>1313</v>
      </c>
      <c r="B647" s="19" t="s">
        <v>1314</v>
      </c>
      <c r="C647" s="20">
        <v>1220</v>
      </c>
      <c r="D647" s="21" t="s">
        <v>31</v>
      </c>
      <c r="E647" s="21" t="s">
        <v>17</v>
      </c>
      <c r="F647" s="22">
        <v>25569</v>
      </c>
      <c r="G647" s="23">
        <f t="shared" si="10"/>
        <v>25569</v>
      </c>
      <c r="H647" s="21" t="s">
        <v>13</v>
      </c>
      <c r="I647" s="9">
        <f>MAX(original!I647,piwebapi_edit!I647,car_edit!I647)</f>
        <v>7514.7435033983402</v>
      </c>
      <c r="J647" s="9">
        <f>MAX(original!J647,piwebapi_edit!J647,car_edit!J647)</f>
        <v>48.921487403558103</v>
      </c>
      <c r="K647" s="25"/>
    </row>
    <row r="648" spans="1:11" x14ac:dyDescent="0.25">
      <c r="A648" s="3" t="s">
        <v>1315</v>
      </c>
      <c r="B648" s="4" t="s">
        <v>1316</v>
      </c>
      <c r="C648" s="5">
        <v>24321</v>
      </c>
      <c r="D648" s="6" t="s">
        <v>11</v>
      </c>
      <c r="E648" s="6" t="s">
        <v>17</v>
      </c>
      <c r="F648" s="7">
        <v>34182</v>
      </c>
      <c r="G648" s="8">
        <f t="shared" si="10"/>
        <v>34182</v>
      </c>
      <c r="H648" s="6" t="s">
        <v>13</v>
      </c>
      <c r="I648" s="9">
        <f>MAX(original!I648,piwebapi_edit!I648,car_edit!I648)</f>
        <v>19223.841172957702</v>
      </c>
      <c r="J648" s="9">
        <f>MAX(original!J648,piwebapi_edit!J648,car_edit!J648)</f>
        <v>296.36202329019699</v>
      </c>
      <c r="K648" s="17"/>
    </row>
    <row r="649" spans="1:11" x14ac:dyDescent="0.25">
      <c r="A649" s="3" t="s">
        <v>1317</v>
      </c>
      <c r="B649" s="4" t="s">
        <v>1318</v>
      </c>
      <c r="C649" s="5">
        <v>1597</v>
      </c>
      <c r="D649" s="6" t="s">
        <v>28</v>
      </c>
      <c r="E649" s="6" t="s">
        <v>17</v>
      </c>
      <c r="F649" s="7">
        <v>38020</v>
      </c>
      <c r="G649" s="8">
        <f t="shared" si="10"/>
        <v>38020</v>
      </c>
      <c r="H649" s="6" t="s">
        <v>13</v>
      </c>
      <c r="I649" s="9">
        <f>MAX(original!I649,piwebapi_edit!I649,car_edit!I649)</f>
        <v>6083.9516682286594</v>
      </c>
      <c r="J649" s="9">
        <f>MAX(original!J649,piwebapi_edit!J649,car_edit!J649)</f>
        <v>79.005724152539003</v>
      </c>
      <c r="K649" s="17"/>
    </row>
    <row r="650" spans="1:11" x14ac:dyDescent="0.25">
      <c r="A650" s="3" t="s">
        <v>1319</v>
      </c>
      <c r="B650" s="4" t="s">
        <v>1320</v>
      </c>
      <c r="C650" s="14">
        <v>1185</v>
      </c>
      <c r="D650" s="6" t="s">
        <v>16</v>
      </c>
      <c r="E650" s="6" t="s">
        <v>17</v>
      </c>
      <c r="F650" s="7">
        <v>29221</v>
      </c>
      <c r="G650" s="8">
        <f t="shared" si="10"/>
        <v>29221</v>
      </c>
      <c r="H650" s="6" t="s">
        <v>13</v>
      </c>
      <c r="I650" s="9">
        <f>MAX(original!I650,piwebapi_edit!I650,car_edit!I650)</f>
        <v>140062.94159492798</v>
      </c>
      <c r="J650" s="9">
        <f>MAX(original!J650,piwebapi_edit!J650,car_edit!J650)</f>
        <v>356.55551031345101</v>
      </c>
      <c r="K650" s="17"/>
    </row>
    <row r="651" spans="1:11" ht="30" x14ac:dyDescent="0.25">
      <c r="A651" s="18" t="s">
        <v>1321</v>
      </c>
      <c r="B651" s="19" t="s">
        <v>1322</v>
      </c>
      <c r="C651" s="20">
        <v>1121</v>
      </c>
      <c r="D651" s="21" t="s">
        <v>16</v>
      </c>
      <c r="E651" s="21" t="s">
        <v>17</v>
      </c>
      <c r="F651" s="22">
        <v>31048</v>
      </c>
      <c r="G651" s="23">
        <f t="shared" si="10"/>
        <v>31048</v>
      </c>
      <c r="H651" s="21" t="s">
        <v>13</v>
      </c>
      <c r="I651" s="9">
        <f>MAX(original!I651,piwebapi_edit!I651,car_edit!I651)</f>
        <v>38707.531816098199</v>
      </c>
      <c r="J651" s="9">
        <f>MAX(original!J651,piwebapi_edit!J651,car_edit!J651)</f>
        <v>271.44416366092298</v>
      </c>
      <c r="K651" s="25"/>
    </row>
    <row r="652" spans="1:11" x14ac:dyDescent="0.25">
      <c r="A652" s="3" t="s">
        <v>1323</v>
      </c>
      <c r="B652" s="4" t="s">
        <v>1324</v>
      </c>
      <c r="C652" s="5">
        <v>54568</v>
      </c>
      <c r="D652" s="6" t="s">
        <v>16</v>
      </c>
      <c r="E652" s="6" t="s">
        <v>17</v>
      </c>
      <c r="F652" s="7">
        <v>38390</v>
      </c>
      <c r="G652" s="8">
        <f t="shared" si="10"/>
        <v>38390</v>
      </c>
      <c r="H652" s="6" t="s">
        <v>13</v>
      </c>
      <c r="I652" s="9">
        <f>MAX(original!I652,piwebapi_edit!I652,car_edit!I652)</f>
        <v>1489.0901676339302</v>
      </c>
      <c r="J652" s="9">
        <f>MAX(original!J652,piwebapi_edit!J652,car_edit!J652)</f>
        <v>270.121679924582</v>
      </c>
      <c r="K652" s="17"/>
    </row>
    <row r="653" spans="1:11" x14ac:dyDescent="0.25">
      <c r="A653" s="3" t="s">
        <v>1325</v>
      </c>
      <c r="B653" s="4" t="s">
        <v>1326</v>
      </c>
      <c r="C653" s="5">
        <v>2022</v>
      </c>
      <c r="D653" s="6" t="s">
        <v>16</v>
      </c>
      <c r="E653" s="6" t="s">
        <v>17</v>
      </c>
      <c r="F653" s="7">
        <v>36020</v>
      </c>
      <c r="G653" s="8">
        <f t="shared" si="10"/>
        <v>36020</v>
      </c>
      <c r="H653" s="6" t="s">
        <v>13</v>
      </c>
      <c r="I653" s="9">
        <f>MAX(original!I653,piwebapi_edit!I653,car_edit!I653)</f>
        <v>6584.4067051245902</v>
      </c>
      <c r="J653" s="9">
        <f>MAX(original!J653,piwebapi_edit!J653,car_edit!J653)</f>
        <v>92.7529550728689</v>
      </c>
      <c r="K653" s="17"/>
    </row>
    <row r="654" spans="1:11" x14ac:dyDescent="0.25">
      <c r="A654" s="26" t="s">
        <v>1327</v>
      </c>
      <c r="B654" s="27" t="s">
        <v>1328</v>
      </c>
      <c r="C654" s="5">
        <v>1134</v>
      </c>
      <c r="D654" s="28" t="s">
        <v>16</v>
      </c>
      <c r="E654" s="28" t="s">
        <v>17</v>
      </c>
      <c r="F654" s="29">
        <v>29221</v>
      </c>
      <c r="G654" s="30">
        <f t="shared" si="10"/>
        <v>29221</v>
      </c>
      <c r="H654" s="28" t="s">
        <v>13</v>
      </c>
      <c r="I654" s="9">
        <f>MAX(original!I654,piwebapi_edit!I654,car_edit!I654)</f>
        <v>22514.217664443098</v>
      </c>
      <c r="J654" s="9">
        <f>MAX(original!J654,piwebapi_edit!J654,car_edit!J654)</f>
        <v>68.073814605949295</v>
      </c>
      <c r="K654" s="33"/>
    </row>
    <row r="655" spans="1:11" x14ac:dyDescent="0.25">
      <c r="A655" s="42" t="s">
        <v>1329</v>
      </c>
      <c r="B655" s="43" t="s">
        <v>1330</v>
      </c>
      <c r="C655" s="5">
        <v>1869</v>
      </c>
      <c r="D655" s="44" t="s">
        <v>31</v>
      </c>
      <c r="E655" s="44" t="s">
        <v>17</v>
      </c>
      <c r="F655" s="45">
        <v>25569</v>
      </c>
      <c r="G655" s="30">
        <f t="shared" si="10"/>
        <v>25569</v>
      </c>
      <c r="H655" s="44" t="s">
        <v>13</v>
      </c>
      <c r="I655" s="9">
        <f>MAX(original!I655,piwebapi_edit!I655,car_edit!I655)</f>
        <v>72766.755913848698</v>
      </c>
      <c r="J655" s="9">
        <f>MAX(original!J655,piwebapi_edit!J655,car_edit!J655)</f>
        <v>190.25121345352099</v>
      </c>
      <c r="K655" s="33"/>
    </row>
    <row r="656" spans="1:11" x14ac:dyDescent="0.25">
      <c r="A656" s="3" t="s">
        <v>1331</v>
      </c>
      <c r="B656" s="4" t="s">
        <v>1332</v>
      </c>
      <c r="C656" s="5">
        <v>54567</v>
      </c>
      <c r="D656" s="6" t="s">
        <v>28</v>
      </c>
      <c r="E656" s="6" t="s">
        <v>17</v>
      </c>
      <c r="F656" s="7">
        <v>38730</v>
      </c>
      <c r="G656" s="8">
        <f t="shared" si="10"/>
        <v>38730</v>
      </c>
      <c r="H656" s="6" t="s">
        <v>13</v>
      </c>
      <c r="I656" s="9">
        <f>MAX(original!I656,piwebapi_edit!I656,car_edit!I656)</f>
        <v>17366.318303295699</v>
      </c>
      <c r="J656" s="9">
        <f>MAX(original!J656,piwebapi_edit!J656,car_edit!J656)</f>
        <v>427.85637860007603</v>
      </c>
      <c r="K656" s="17"/>
    </row>
    <row r="657" spans="1:11" x14ac:dyDescent="0.25">
      <c r="A657" s="3" t="s">
        <v>1333</v>
      </c>
      <c r="B657" s="4" t="s">
        <v>1334</v>
      </c>
      <c r="C657" s="5">
        <v>1510</v>
      </c>
      <c r="D657" s="6" t="s">
        <v>28</v>
      </c>
      <c r="E657" s="6" t="s">
        <v>17</v>
      </c>
      <c r="F657" s="7">
        <v>25569</v>
      </c>
      <c r="G657" s="8">
        <f t="shared" si="10"/>
        <v>25569</v>
      </c>
      <c r="H657" s="6" t="s">
        <v>13</v>
      </c>
      <c r="I657" s="9">
        <f>MAX(original!I657,piwebapi_edit!I657,car_edit!I657)</f>
        <v>56876.227371400295</v>
      </c>
      <c r="J657" s="9">
        <f>MAX(original!J657,piwebapi_edit!J657,car_edit!J657)</f>
        <v>240.95024435785501</v>
      </c>
      <c r="K657" s="17"/>
    </row>
    <row r="658" spans="1:11" x14ac:dyDescent="0.25">
      <c r="A658" s="3" t="s">
        <v>1335</v>
      </c>
      <c r="B658" s="4" t="s">
        <v>1336</v>
      </c>
      <c r="C658" s="5">
        <v>1319</v>
      </c>
      <c r="D658" s="6" t="s">
        <v>16</v>
      </c>
      <c r="E658" s="6" t="s">
        <v>17</v>
      </c>
      <c r="F658" s="7">
        <v>31048</v>
      </c>
      <c r="G658" s="8">
        <f t="shared" si="10"/>
        <v>31048</v>
      </c>
      <c r="H658" s="6" t="s">
        <v>13</v>
      </c>
      <c r="I658" s="9">
        <f>MAX(original!I658,piwebapi_edit!I658,car_edit!I658)</f>
        <v>23586.8744333369</v>
      </c>
      <c r="J658" s="9">
        <f>MAX(original!J658,piwebapi_edit!J658,car_edit!J658)</f>
        <v>177.94572434384699</v>
      </c>
      <c r="K658" s="17"/>
    </row>
    <row r="659" spans="1:11" x14ac:dyDescent="0.25">
      <c r="A659" s="3" t="s">
        <v>1337</v>
      </c>
      <c r="B659" s="4" t="s">
        <v>1338</v>
      </c>
      <c r="C659" s="5">
        <v>1777</v>
      </c>
      <c r="D659" s="6" t="s">
        <v>34</v>
      </c>
      <c r="E659" s="6" t="s">
        <v>17</v>
      </c>
      <c r="F659" s="7">
        <v>25569</v>
      </c>
      <c r="G659" s="8">
        <f t="shared" si="10"/>
        <v>25569</v>
      </c>
      <c r="H659" s="6" t="s">
        <v>13</v>
      </c>
      <c r="I659" s="9">
        <f>MAX(original!I659,piwebapi_edit!I659,car_edit!I659)</f>
        <v>5753.0194367918593</v>
      </c>
      <c r="J659" s="9">
        <f>MAX(original!J659,piwebapi_edit!J659,car_edit!J659)</f>
        <v>180.81415562098601</v>
      </c>
      <c r="K659" s="17"/>
    </row>
    <row r="660" spans="1:11" x14ac:dyDescent="0.25">
      <c r="A660" s="3" t="s">
        <v>1339</v>
      </c>
      <c r="B660" s="4" t="s">
        <v>1340</v>
      </c>
      <c r="C660" s="5">
        <v>1505</v>
      </c>
      <c r="D660" s="6" t="s">
        <v>28</v>
      </c>
      <c r="E660" s="6" t="s">
        <v>17</v>
      </c>
      <c r="F660" s="7">
        <v>32143</v>
      </c>
      <c r="G660" s="8">
        <f t="shared" si="10"/>
        <v>32143</v>
      </c>
      <c r="H660" s="6" t="s">
        <v>13</v>
      </c>
      <c r="I660" s="9">
        <f>MAX(original!I660,piwebapi_edit!I660,car_edit!I660)</f>
        <v>4610.5477029484</v>
      </c>
      <c r="J660" s="9">
        <f>MAX(original!J660,piwebapi_edit!J660,car_edit!J660)</f>
        <v>49.587027919910199</v>
      </c>
      <c r="K660" s="17"/>
    </row>
    <row r="661" spans="1:11" x14ac:dyDescent="0.25">
      <c r="A661" s="3" t="s">
        <v>1341</v>
      </c>
      <c r="B661" s="4" t="s">
        <v>1342</v>
      </c>
      <c r="C661" s="5">
        <v>52561</v>
      </c>
      <c r="D661" s="6" t="s">
        <v>28</v>
      </c>
      <c r="E661" s="6" t="s">
        <v>17</v>
      </c>
      <c r="F661" s="7">
        <v>38292</v>
      </c>
      <c r="G661" s="8">
        <f t="shared" si="10"/>
        <v>38292</v>
      </c>
      <c r="H661" s="6" t="s">
        <v>13</v>
      </c>
      <c r="I661" s="9">
        <f>MAX(original!I661,piwebapi_edit!I661,car_edit!I661)</f>
        <v>12405.623469013699</v>
      </c>
      <c r="J661" s="9">
        <f>MAX(original!J661,piwebapi_edit!J661,car_edit!J661)</f>
        <v>94.3350748078809</v>
      </c>
      <c r="K661" s="17"/>
    </row>
    <row r="662" spans="1:11" x14ac:dyDescent="0.25">
      <c r="A662" s="3" t="s">
        <v>1343</v>
      </c>
      <c r="B662" s="4" t="s">
        <v>1344</v>
      </c>
      <c r="C662" s="5">
        <v>21450</v>
      </c>
      <c r="D662" s="6" t="s">
        <v>31</v>
      </c>
      <c r="E662" s="6" t="s">
        <v>17</v>
      </c>
      <c r="F662" s="7">
        <v>29875</v>
      </c>
      <c r="G662" s="8">
        <f t="shared" si="10"/>
        <v>29875</v>
      </c>
      <c r="H662" s="6" t="s">
        <v>13</v>
      </c>
      <c r="I662" s="9">
        <f>MAX(original!I662,piwebapi_edit!I662,car_edit!I662)</f>
        <v>11639.8597982296</v>
      </c>
      <c r="J662" s="9">
        <f>MAX(original!J662,piwebapi_edit!J662,car_edit!J662)</f>
        <v>258.79326924304303</v>
      </c>
      <c r="K662" s="17"/>
    </row>
    <row r="663" spans="1:11" x14ac:dyDescent="0.25">
      <c r="A663" s="3" t="s">
        <v>1345</v>
      </c>
      <c r="B663" s="4" t="s">
        <v>1346</v>
      </c>
      <c r="C663" s="5">
        <v>41681</v>
      </c>
      <c r="D663" s="6" t="s">
        <v>31</v>
      </c>
      <c r="E663" s="6" t="s">
        <v>17</v>
      </c>
      <c r="F663" s="7">
        <v>35887</v>
      </c>
      <c r="G663" s="8">
        <f t="shared" si="10"/>
        <v>35887</v>
      </c>
      <c r="H663" s="6" t="s">
        <v>13</v>
      </c>
      <c r="I663" s="9">
        <f>MAX(original!I663,piwebapi_edit!I663,car_edit!I663)</f>
        <v>11200.2343772245</v>
      </c>
      <c r="J663" s="9">
        <f>MAX(original!J663,piwebapi_edit!J663,car_edit!J663)</f>
        <v>195.04262382735999</v>
      </c>
      <c r="K663" s="17"/>
    </row>
    <row r="664" spans="1:11" x14ac:dyDescent="0.25">
      <c r="A664" s="3" t="s">
        <v>1347</v>
      </c>
      <c r="B664" s="4" t="s">
        <v>1348</v>
      </c>
      <c r="C664" s="5">
        <v>21455</v>
      </c>
      <c r="D664" s="6" t="s">
        <v>31</v>
      </c>
      <c r="E664" s="6" t="s">
        <v>17</v>
      </c>
      <c r="F664" s="7">
        <v>36431</v>
      </c>
      <c r="G664" s="8">
        <f t="shared" si="10"/>
        <v>36431</v>
      </c>
      <c r="H664" s="6" t="s">
        <v>13</v>
      </c>
      <c r="I664" s="9">
        <f>MAX(original!I664,piwebapi_edit!I664,car_edit!I664)</f>
        <v>1278.16407306208</v>
      </c>
      <c r="J664" s="9">
        <f>MAX(original!J664,piwebapi_edit!J664,car_edit!J664)</f>
        <v>383.32353076467803</v>
      </c>
      <c r="K664" s="17"/>
    </row>
    <row r="665" spans="1:11" x14ac:dyDescent="0.25">
      <c r="A665" s="3" t="s">
        <v>1349</v>
      </c>
      <c r="B665" s="4" t="s">
        <v>1350</v>
      </c>
      <c r="C665" s="5">
        <v>32257</v>
      </c>
      <c r="D665" s="6" t="s">
        <v>37</v>
      </c>
      <c r="E665" s="6" t="s">
        <v>38</v>
      </c>
      <c r="F665" s="7">
        <v>32093</v>
      </c>
      <c r="G665" s="8">
        <f t="shared" si="10"/>
        <v>32093</v>
      </c>
      <c r="H665" s="6" t="s">
        <v>39</v>
      </c>
      <c r="I665" s="9">
        <f>MAX(original!I665,piwebapi_edit!I665,car_edit!I665)</f>
        <v>21874.488745218499</v>
      </c>
      <c r="J665" s="9">
        <f>MAX(original!J665,piwebapi_edit!J665,car_edit!J665)</f>
        <v>227.346541887776</v>
      </c>
      <c r="K665" s="17"/>
    </row>
    <row r="666" spans="1:11" x14ac:dyDescent="0.25">
      <c r="A666" s="3" t="s">
        <v>1351</v>
      </c>
      <c r="B666" s="4" t="s">
        <v>1352</v>
      </c>
      <c r="C666" s="5">
        <v>54569</v>
      </c>
      <c r="D666" s="6" t="s">
        <v>11</v>
      </c>
      <c r="E666" s="6" t="s">
        <v>12</v>
      </c>
      <c r="F666" s="7">
        <v>38013</v>
      </c>
      <c r="G666" s="8">
        <f t="shared" si="10"/>
        <v>38013</v>
      </c>
      <c r="H666" s="6" t="s">
        <v>39</v>
      </c>
      <c r="I666" s="9">
        <f>MAX(original!I666,piwebapi_edit!I666,car_edit!I666)</f>
        <v>11433.078491280299</v>
      </c>
      <c r="J666" s="9">
        <f>MAX(original!J666,piwebapi_edit!J666,car_edit!J666)</f>
        <v>245.58519517934101</v>
      </c>
      <c r="K666" s="17"/>
    </row>
    <row r="667" spans="1:11" x14ac:dyDescent="0.25">
      <c r="A667" s="3" t="s">
        <v>1353</v>
      </c>
      <c r="B667" s="4" t="s">
        <v>1354</v>
      </c>
      <c r="C667" s="5">
        <v>16004</v>
      </c>
      <c r="D667" s="6" t="s">
        <v>28</v>
      </c>
      <c r="E667" s="6" t="s">
        <v>17</v>
      </c>
      <c r="F667" s="7">
        <v>38308</v>
      </c>
      <c r="G667" s="8">
        <f t="shared" si="10"/>
        <v>38308</v>
      </c>
      <c r="H667" s="6" t="s">
        <v>13</v>
      </c>
      <c r="I667" s="9">
        <f>MAX(original!I667,piwebapi_edit!I667,car_edit!I667)</f>
        <v>20848.351869591901</v>
      </c>
      <c r="J667" s="9">
        <f>MAX(original!J667,piwebapi_edit!J667,car_edit!J667)</f>
        <v>192.95281608833201</v>
      </c>
      <c r="K667" s="17"/>
    </row>
    <row r="668" spans="1:11" x14ac:dyDescent="0.25">
      <c r="A668" s="3" t="s">
        <v>1355</v>
      </c>
      <c r="B668" s="4" t="s">
        <v>1356</v>
      </c>
      <c r="C668" s="5">
        <v>9285</v>
      </c>
      <c r="D668" s="6" t="s">
        <v>28</v>
      </c>
      <c r="E668" s="6" t="s">
        <v>17</v>
      </c>
      <c r="F668" s="7">
        <v>37636</v>
      </c>
      <c r="G668" s="8">
        <f t="shared" si="10"/>
        <v>37636</v>
      </c>
      <c r="H668" s="6" t="s">
        <v>13</v>
      </c>
      <c r="I668" s="9">
        <f>MAX(original!I668,piwebapi_edit!I668,car_edit!I668)</f>
        <v>48283.060525297995</v>
      </c>
      <c r="J668" s="9">
        <f>MAX(original!J668,piwebapi_edit!J668,car_edit!J668)</f>
        <v>345.82575207383002</v>
      </c>
      <c r="K668" s="17"/>
    </row>
    <row r="669" spans="1:11" x14ac:dyDescent="0.25">
      <c r="A669" s="3" t="s">
        <v>1357</v>
      </c>
      <c r="B669" s="4" t="s">
        <v>1358</v>
      </c>
      <c r="C669" s="5">
        <v>1363</v>
      </c>
      <c r="D669" s="6" t="s">
        <v>34</v>
      </c>
      <c r="E669" s="6" t="s">
        <v>17</v>
      </c>
      <c r="F669" s="7">
        <v>18264</v>
      </c>
      <c r="G669" s="8">
        <f t="shared" si="10"/>
        <v>18264</v>
      </c>
      <c r="H669" s="6" t="s">
        <v>13</v>
      </c>
      <c r="I669" s="9">
        <f>MAX(original!I669,piwebapi_edit!I669,car_edit!I669)</f>
        <v>6299.44480986077</v>
      </c>
      <c r="J669" s="9">
        <f>MAX(original!J669,piwebapi_edit!J669,car_edit!J669)</f>
        <v>43.199769436153503</v>
      </c>
      <c r="K669" s="17"/>
    </row>
    <row r="670" spans="1:11" x14ac:dyDescent="0.25">
      <c r="A670" s="3" t="s">
        <v>1359</v>
      </c>
      <c r="B670" s="4" t="s">
        <v>1360</v>
      </c>
      <c r="C670" s="5">
        <v>27969</v>
      </c>
      <c r="D670" s="6" t="s">
        <v>31</v>
      </c>
      <c r="E670" s="6" t="s">
        <v>17</v>
      </c>
      <c r="F670" s="7">
        <v>34095</v>
      </c>
      <c r="G670" s="8">
        <f t="shared" si="10"/>
        <v>34095</v>
      </c>
      <c r="H670" s="6" t="s">
        <v>13</v>
      </c>
      <c r="I670" s="9">
        <f>MAX(original!I670,piwebapi_edit!I670,car_edit!I670)</f>
        <v>73837.516699205298</v>
      </c>
      <c r="J670" s="9">
        <f>MAX(original!J670,piwebapi_edit!J670,car_edit!J670)</f>
        <v>417.06133152679598</v>
      </c>
      <c r="K670" s="17"/>
    </row>
    <row r="671" spans="1:11" x14ac:dyDescent="0.25">
      <c r="A671" s="12" t="s">
        <v>1361</v>
      </c>
      <c r="B671" s="4" t="s">
        <v>1362</v>
      </c>
      <c r="C671" s="14">
        <v>2068</v>
      </c>
      <c r="D671" s="6" t="s">
        <v>34</v>
      </c>
      <c r="E671" s="6" t="s">
        <v>17</v>
      </c>
      <c r="F671" s="7">
        <v>35838</v>
      </c>
      <c r="G671" s="8">
        <f t="shared" si="10"/>
        <v>35838</v>
      </c>
      <c r="H671" s="6" t="s">
        <v>13</v>
      </c>
      <c r="I671" s="9">
        <f>MAX(original!I671,piwebapi_edit!I671,car_edit!I671)</f>
        <v>6192245.3400000008</v>
      </c>
      <c r="J671" s="9">
        <f>MAX(original!J671,piwebapi_edit!J671,car_edit!J671)</f>
        <v>23500</v>
      </c>
      <c r="K671" s="17"/>
    </row>
    <row r="672" spans="1:11" x14ac:dyDescent="0.25">
      <c r="A672" s="3" t="s">
        <v>1363</v>
      </c>
      <c r="B672" s="4" t="s">
        <v>1364</v>
      </c>
      <c r="C672" s="5">
        <v>27585</v>
      </c>
      <c r="D672" s="6" t="s">
        <v>31</v>
      </c>
      <c r="E672" s="6" t="s">
        <v>17</v>
      </c>
      <c r="F672" s="7">
        <v>39872</v>
      </c>
      <c r="G672" s="8">
        <f t="shared" si="10"/>
        <v>39872</v>
      </c>
      <c r="H672" s="6" t="s">
        <v>13</v>
      </c>
      <c r="I672" s="9">
        <f>MAX(original!I672,piwebapi_edit!I672,car_edit!I672)</f>
        <v>7801.9611573335005</v>
      </c>
      <c r="J672" s="9">
        <f>MAX(original!J672,piwebapi_edit!J672,car_edit!J672)</f>
        <v>89.712983847281905</v>
      </c>
      <c r="K672" s="17"/>
    </row>
    <row r="673" spans="1:11" x14ac:dyDescent="0.25">
      <c r="A673" s="3" t="s">
        <v>1365</v>
      </c>
      <c r="B673" s="4" t="s">
        <v>1366</v>
      </c>
      <c r="C673" s="5">
        <v>15051</v>
      </c>
      <c r="D673" s="6" t="s">
        <v>31</v>
      </c>
      <c r="E673" s="6" t="s">
        <v>17</v>
      </c>
      <c r="F673" s="7">
        <v>33137</v>
      </c>
      <c r="G673" s="8">
        <f t="shared" si="10"/>
        <v>33137</v>
      </c>
      <c r="H673" s="6" t="s">
        <v>13</v>
      </c>
      <c r="I673" s="9">
        <f>MAX(original!I673,piwebapi_edit!I673,car_edit!I673)</f>
        <v>22717.9189406728</v>
      </c>
      <c r="J673" s="9">
        <f>MAX(original!J673,piwebapi_edit!J673,car_edit!J673)</f>
        <v>65.114450649429401</v>
      </c>
      <c r="K673" s="17"/>
    </row>
    <row r="674" spans="1:11" x14ac:dyDescent="0.25">
      <c r="A674" s="3" t="s">
        <v>1367</v>
      </c>
      <c r="B674" s="4" t="s">
        <v>1368</v>
      </c>
      <c r="C674" s="5">
        <v>1419</v>
      </c>
      <c r="D674" s="6" t="s">
        <v>34</v>
      </c>
      <c r="E674" s="6" t="s">
        <v>17</v>
      </c>
      <c r="F674" s="7">
        <v>24108</v>
      </c>
      <c r="G674" s="8">
        <f t="shared" si="10"/>
        <v>24108</v>
      </c>
      <c r="H674" s="6" t="s">
        <v>13</v>
      </c>
      <c r="I674" s="9">
        <f>MAX(original!I674,piwebapi_edit!I674,car_edit!I674)</f>
        <v>57940.399781192602</v>
      </c>
      <c r="J674" s="9">
        <f>MAX(original!J674,piwebapi_edit!J674,car_edit!J674)</f>
        <v>522.70451684515399</v>
      </c>
      <c r="K674" s="17"/>
    </row>
    <row r="675" spans="1:11" x14ac:dyDescent="0.25">
      <c r="A675" s="3" t="s">
        <v>1369</v>
      </c>
      <c r="B675" s="4" t="s">
        <v>1370</v>
      </c>
      <c r="C675" s="14">
        <v>1370</v>
      </c>
      <c r="D675" s="6" t="s">
        <v>28</v>
      </c>
      <c r="E675" s="6" t="s">
        <v>17</v>
      </c>
      <c r="F675" s="7">
        <v>40591</v>
      </c>
      <c r="G675" s="8">
        <f t="shared" si="10"/>
        <v>40591</v>
      </c>
      <c r="H675" s="6" t="s">
        <v>13</v>
      </c>
      <c r="I675" s="9">
        <f>MAX(original!I675,piwebapi_edit!I675,car_edit!I675)</f>
        <v>81520.554031041203</v>
      </c>
      <c r="J675" s="9">
        <f>MAX(original!J675,piwebapi_edit!J675,car_edit!J675)</f>
        <v>549.80800726105099</v>
      </c>
      <c r="K675" s="17"/>
    </row>
    <row r="676" spans="1:11" x14ac:dyDescent="0.25">
      <c r="A676" s="3" t="s">
        <v>1371</v>
      </c>
      <c r="B676" s="4" t="s">
        <v>1372</v>
      </c>
      <c r="C676" s="5">
        <v>1785</v>
      </c>
      <c r="D676" s="6" t="s">
        <v>28</v>
      </c>
      <c r="E676" s="6" t="s">
        <v>17</v>
      </c>
      <c r="F676" s="7">
        <v>36931</v>
      </c>
      <c r="G676" s="8">
        <f t="shared" si="10"/>
        <v>36931</v>
      </c>
      <c r="H676" s="6" t="s">
        <v>13</v>
      </c>
      <c r="I676" s="9">
        <f>MAX(original!I676,piwebapi_edit!I676,car_edit!I676)</f>
        <v>5672.7341654335896</v>
      </c>
      <c r="J676" s="9">
        <f>MAX(original!J676,piwebapi_edit!J676,car_edit!J676)</f>
        <v>64.990388799438094</v>
      </c>
      <c r="K676" s="17"/>
    </row>
    <row r="677" spans="1:11" x14ac:dyDescent="0.25">
      <c r="A677" s="3" t="s">
        <v>1373</v>
      </c>
      <c r="B677" s="4" t="s">
        <v>1374</v>
      </c>
      <c r="C677" s="14">
        <v>44561</v>
      </c>
      <c r="D677" s="6" t="s">
        <v>28</v>
      </c>
      <c r="E677" s="6" t="s">
        <v>17</v>
      </c>
      <c r="F677" s="7">
        <v>39029</v>
      </c>
      <c r="G677" s="8">
        <f t="shared" si="10"/>
        <v>39029</v>
      </c>
      <c r="H677" s="6" t="s">
        <v>13</v>
      </c>
      <c r="I677" s="9">
        <f>MAX(original!I677,piwebapi_edit!I677,car_edit!I677)</f>
        <v>24468.664077111702</v>
      </c>
      <c r="J677" s="9">
        <f>MAX(original!J677,piwebapi_edit!J677,car_edit!J677)</f>
        <v>148.12902516182299</v>
      </c>
      <c r="K677" s="17"/>
    </row>
    <row r="678" spans="1:11" x14ac:dyDescent="0.25">
      <c r="A678" s="3" t="s">
        <v>1375</v>
      </c>
      <c r="B678" s="4" t="s">
        <v>1376</v>
      </c>
      <c r="C678" s="5">
        <v>19215</v>
      </c>
      <c r="D678" s="6" t="s">
        <v>16</v>
      </c>
      <c r="E678" s="6" t="s">
        <v>17</v>
      </c>
      <c r="F678" s="7">
        <v>35607</v>
      </c>
      <c r="G678" s="8">
        <f t="shared" si="10"/>
        <v>35607</v>
      </c>
      <c r="H678" s="6" t="s">
        <v>13</v>
      </c>
      <c r="I678" s="9">
        <f>MAX(original!I678,piwebapi_edit!I678,car_edit!I678)</f>
        <v>26775.5223498245</v>
      </c>
      <c r="J678" s="9">
        <f>MAX(original!J678,piwebapi_edit!J678,car_edit!J678)</f>
        <v>76.218998077528298</v>
      </c>
      <c r="K678" s="17"/>
    </row>
    <row r="679" spans="1:11" x14ac:dyDescent="0.25">
      <c r="A679" s="3" t="s">
        <v>1377</v>
      </c>
      <c r="B679" s="4" t="s">
        <v>1378</v>
      </c>
      <c r="C679" s="5">
        <v>1247</v>
      </c>
      <c r="D679" s="6" t="s">
        <v>28</v>
      </c>
      <c r="E679" s="6" t="s">
        <v>17</v>
      </c>
      <c r="F679" s="7">
        <v>36342</v>
      </c>
      <c r="G679" s="8">
        <f t="shared" si="10"/>
        <v>36342</v>
      </c>
      <c r="H679" s="6" t="s">
        <v>13</v>
      </c>
      <c r="I679" s="9">
        <f>MAX(original!I679,piwebapi_edit!I679,car_edit!I679)</f>
        <v>44183.914509806396</v>
      </c>
      <c r="J679" s="9">
        <f>MAX(original!J679,piwebapi_edit!J679,car_edit!J679)</f>
        <v>296.28395308747099</v>
      </c>
      <c r="K679" s="17"/>
    </row>
    <row r="680" spans="1:11" x14ac:dyDescent="0.25">
      <c r="A680" s="3" t="s">
        <v>1379</v>
      </c>
      <c r="B680" s="4" t="s">
        <v>1380</v>
      </c>
      <c r="C680" s="5">
        <v>54571</v>
      </c>
      <c r="D680" s="6" t="s">
        <v>16</v>
      </c>
      <c r="E680" s="6" t="s">
        <v>17</v>
      </c>
      <c r="F680" s="7">
        <v>25982</v>
      </c>
      <c r="G680" s="8">
        <f t="shared" si="10"/>
        <v>25982</v>
      </c>
      <c r="H680" s="6" t="s">
        <v>13</v>
      </c>
      <c r="I680" s="9">
        <f>MAX(original!I680,piwebapi_edit!I680,car_edit!I680)</f>
        <v>33369.153932575202</v>
      </c>
      <c r="J680" s="9">
        <f>MAX(original!J680,piwebapi_edit!J680,car_edit!J680)</f>
        <v>94.043796285225696</v>
      </c>
      <c r="K680" s="17"/>
    </row>
    <row r="681" spans="1:11" ht="30" x14ac:dyDescent="0.25">
      <c r="A681" s="18" t="s">
        <v>1381</v>
      </c>
      <c r="B681" s="19" t="s">
        <v>1382</v>
      </c>
      <c r="C681" s="5">
        <v>1037</v>
      </c>
      <c r="D681" s="21" t="s">
        <v>31</v>
      </c>
      <c r="E681" s="21" t="s">
        <v>17</v>
      </c>
      <c r="F681" s="22">
        <v>29221</v>
      </c>
      <c r="G681" s="23">
        <f t="shared" si="10"/>
        <v>29221</v>
      </c>
      <c r="H681" s="21" t="s">
        <v>13</v>
      </c>
      <c r="I681" s="9">
        <f>MAX(original!I681,piwebapi_edit!I681,car_edit!I681)</f>
        <v>75624.651400711402</v>
      </c>
      <c r="J681" s="9">
        <f>MAX(original!J681,piwebapi_edit!J681,car_edit!J681)</f>
        <v>305.794058386492</v>
      </c>
      <c r="K681" s="25"/>
    </row>
    <row r="682" spans="1:11" x14ac:dyDescent="0.25">
      <c r="A682" s="3" t="s">
        <v>1383</v>
      </c>
      <c r="B682" s="4" t="s">
        <v>1384</v>
      </c>
      <c r="C682" s="5">
        <v>54572</v>
      </c>
      <c r="D682" s="6" t="s">
        <v>31</v>
      </c>
      <c r="E682" s="6" t="s">
        <v>17</v>
      </c>
      <c r="F682" s="7">
        <v>21602</v>
      </c>
      <c r="G682" s="8">
        <f t="shared" si="10"/>
        <v>21602</v>
      </c>
      <c r="H682" s="6" t="s">
        <v>13</v>
      </c>
      <c r="I682" s="9">
        <f>MAX(original!I682,piwebapi_edit!I682,car_edit!I682)</f>
        <v>13097.651029084202</v>
      </c>
      <c r="J682" s="9">
        <f>MAX(original!J682,piwebapi_edit!J682,car_edit!J682)</f>
        <v>55.081937396437802</v>
      </c>
      <c r="K682" s="17"/>
    </row>
    <row r="683" spans="1:11" x14ac:dyDescent="0.25">
      <c r="A683" s="3" t="s">
        <v>1385</v>
      </c>
      <c r="B683" s="4" t="s">
        <v>1386</v>
      </c>
      <c r="C683" s="5">
        <v>18890</v>
      </c>
      <c r="D683" s="6" t="s">
        <v>28</v>
      </c>
      <c r="E683" s="6" t="s">
        <v>17</v>
      </c>
      <c r="F683" s="7">
        <v>38499</v>
      </c>
      <c r="G683" s="8">
        <f t="shared" si="10"/>
        <v>38499</v>
      </c>
      <c r="H683" s="6" t="s">
        <v>13</v>
      </c>
      <c r="I683" s="9">
        <f>MAX(original!I683,piwebapi_edit!I683,car_edit!I683)</f>
        <v>88758.766964505194</v>
      </c>
      <c r="J683" s="9">
        <f>MAX(original!J683,piwebapi_edit!J683,car_edit!J683)</f>
        <v>924.57234091873602</v>
      </c>
      <c r="K683" s="17"/>
    </row>
    <row r="684" spans="1:11" x14ac:dyDescent="0.25">
      <c r="A684" s="3" t="s">
        <v>1387</v>
      </c>
      <c r="B684" s="4" t="s">
        <v>1388</v>
      </c>
      <c r="C684" s="14">
        <v>1910</v>
      </c>
      <c r="D684" s="6" t="s">
        <v>34</v>
      </c>
      <c r="E684" s="6" t="s">
        <v>17</v>
      </c>
      <c r="F684" s="7">
        <v>35907</v>
      </c>
      <c r="G684" s="8">
        <f t="shared" si="10"/>
        <v>35907</v>
      </c>
      <c r="H684" s="6" t="s">
        <v>13</v>
      </c>
      <c r="I684" s="9">
        <f>MAX(original!I684,piwebapi_edit!I684,car_edit!I684)</f>
        <v>249384.62000000002</v>
      </c>
      <c r="J684" s="9">
        <f>MAX(original!J684,piwebapi_edit!J684,car_edit!J684)</f>
        <v>1490</v>
      </c>
      <c r="K684" s="17"/>
    </row>
    <row r="685" spans="1:11" x14ac:dyDescent="0.25">
      <c r="A685" s="3" t="s">
        <v>1389</v>
      </c>
      <c r="B685" s="4" t="s">
        <v>1390</v>
      </c>
      <c r="C685" s="5">
        <v>52278</v>
      </c>
      <c r="D685" s="6" t="s">
        <v>37</v>
      </c>
      <c r="E685" s="6" t="s">
        <v>38</v>
      </c>
      <c r="F685" s="7">
        <v>34820</v>
      </c>
      <c r="G685" s="8">
        <f t="shared" si="10"/>
        <v>34820</v>
      </c>
      <c r="H685" s="6" t="s">
        <v>39</v>
      </c>
      <c r="I685" s="9">
        <f>MAX(original!I685,piwebapi_edit!I685,car_edit!I685)</f>
        <v>26969.869906213698</v>
      </c>
      <c r="J685" s="9">
        <f>MAX(original!J685,piwebapi_edit!J685,car_edit!J685)</f>
        <v>394.67431181290101</v>
      </c>
      <c r="K685" s="11"/>
    </row>
    <row r="686" spans="1:11" x14ac:dyDescent="0.25">
      <c r="A686" s="26" t="s">
        <v>1391</v>
      </c>
      <c r="B686" s="27" t="s">
        <v>1392</v>
      </c>
      <c r="C686" s="5">
        <v>1603</v>
      </c>
      <c r="D686" s="28" t="s">
        <v>16</v>
      </c>
      <c r="E686" s="28" t="s">
        <v>17</v>
      </c>
      <c r="F686" s="29">
        <v>29221</v>
      </c>
      <c r="G686" s="30">
        <f t="shared" si="10"/>
        <v>29221</v>
      </c>
      <c r="H686" s="28" t="s">
        <v>13</v>
      </c>
      <c r="I686" s="9">
        <f>MAX(original!I686,piwebapi_edit!I686,car_edit!I686)</f>
        <v>23673.505294231501</v>
      </c>
      <c r="J686" s="9">
        <f>MAX(original!J686,piwebapi_edit!J686,car_edit!J686)</f>
        <v>226.75774208594299</v>
      </c>
      <c r="K686" s="33"/>
    </row>
    <row r="687" spans="1:11" x14ac:dyDescent="0.25">
      <c r="A687" s="3" t="s">
        <v>1393</v>
      </c>
      <c r="B687" s="4" t="s">
        <v>1394</v>
      </c>
      <c r="C687" s="5">
        <v>31298</v>
      </c>
      <c r="D687" s="6" t="s">
        <v>28</v>
      </c>
      <c r="E687" s="6" t="s">
        <v>17</v>
      </c>
      <c r="F687" s="7">
        <v>38025</v>
      </c>
      <c r="G687" s="8">
        <f t="shared" si="10"/>
        <v>38025</v>
      </c>
      <c r="H687" s="6" t="s">
        <v>13</v>
      </c>
      <c r="I687" s="9">
        <f>MAX(original!I687,piwebapi_edit!I687,car_edit!I687)</f>
        <v>38611.629137698103</v>
      </c>
      <c r="J687" s="9">
        <f>MAX(original!J687,piwebapi_edit!J687,car_edit!J687)</f>
        <v>219.1138990577</v>
      </c>
      <c r="K687" s="17"/>
    </row>
    <row r="688" spans="1:11" x14ac:dyDescent="0.25">
      <c r="A688" s="3" t="s">
        <v>1395</v>
      </c>
      <c r="B688" s="4" t="s">
        <v>1396</v>
      </c>
      <c r="C688" s="14">
        <v>52899</v>
      </c>
      <c r="D688" s="6" t="s">
        <v>28</v>
      </c>
      <c r="E688" s="6" t="s">
        <v>17</v>
      </c>
      <c r="F688" s="7">
        <v>38657</v>
      </c>
      <c r="G688" s="8">
        <f t="shared" si="10"/>
        <v>38657</v>
      </c>
      <c r="H688" s="6" t="s">
        <v>13</v>
      </c>
      <c r="I688" s="9">
        <f>MAX(original!I688,piwebapi_edit!I688,car_edit!I688)</f>
        <v>43936.308547844295</v>
      </c>
      <c r="J688" s="9">
        <f>MAX(original!J688,piwebapi_edit!J688,car_edit!J688)</f>
        <v>871.86020736097498</v>
      </c>
      <c r="K688" s="17"/>
    </row>
    <row r="689" spans="1:11" x14ac:dyDescent="0.25">
      <c r="A689" s="3" t="s">
        <v>1397</v>
      </c>
      <c r="B689" s="4" t="s">
        <v>1398</v>
      </c>
      <c r="C689" s="5">
        <v>1385</v>
      </c>
      <c r="D689" s="6" t="s">
        <v>16</v>
      </c>
      <c r="E689" s="6" t="s">
        <v>17</v>
      </c>
      <c r="F689" s="7">
        <v>29221</v>
      </c>
      <c r="G689" s="8">
        <f t="shared" si="10"/>
        <v>29221</v>
      </c>
      <c r="H689" s="6" t="s">
        <v>13</v>
      </c>
      <c r="I689" s="9">
        <f>MAX(original!I689,piwebapi_edit!I689,car_edit!I689)</f>
        <v>20098.750737320501</v>
      </c>
      <c r="J689" s="9">
        <f>MAX(original!J689,piwebapi_edit!J689,car_edit!J689)</f>
        <v>484.23080934983602</v>
      </c>
      <c r="K689" s="17"/>
    </row>
    <row r="690" spans="1:11" x14ac:dyDescent="0.25">
      <c r="A690" s="26" t="s">
        <v>1399</v>
      </c>
      <c r="B690" s="27" t="s">
        <v>1400</v>
      </c>
      <c r="C690" s="34">
        <v>27873</v>
      </c>
      <c r="D690" s="28" t="s">
        <v>31</v>
      </c>
      <c r="E690" s="28" t="s">
        <v>17</v>
      </c>
      <c r="F690" s="29">
        <v>21979</v>
      </c>
      <c r="G690" s="30">
        <f t="shared" si="10"/>
        <v>21979</v>
      </c>
      <c r="H690" s="28" t="s">
        <v>13</v>
      </c>
      <c r="I690" s="9">
        <f>MAX(original!I690,piwebapi_edit!I690,car_edit!I690)</f>
        <v>263267.53000000003</v>
      </c>
      <c r="J690" s="9">
        <f>MAX(original!J690,piwebapi_edit!J690,car_edit!J690)</f>
        <v>720</v>
      </c>
      <c r="K690" s="33"/>
    </row>
    <row r="691" spans="1:11" x14ac:dyDescent="0.25">
      <c r="A691" s="3" t="s">
        <v>1401</v>
      </c>
      <c r="B691" s="4" t="s">
        <v>1402</v>
      </c>
      <c r="C691" s="14">
        <v>1648</v>
      </c>
      <c r="D691" s="6" t="s">
        <v>28</v>
      </c>
      <c r="E691" s="6" t="s">
        <v>17</v>
      </c>
      <c r="F691" s="7">
        <v>30317</v>
      </c>
      <c r="G691" s="8">
        <f t="shared" si="10"/>
        <v>30317</v>
      </c>
      <c r="H691" s="6" t="s">
        <v>13</v>
      </c>
      <c r="I691" s="9">
        <f>MAX(original!I691,piwebapi_edit!I691,car_edit!I691)</f>
        <v>4394.2284203687204</v>
      </c>
      <c r="J691" s="9">
        <f>MAX(original!J691,piwebapi_edit!J691,car_edit!J691)</f>
        <v>191.21145415754299</v>
      </c>
      <c r="K691" s="17"/>
    </row>
    <row r="692" spans="1:11" x14ac:dyDescent="0.25">
      <c r="A692" s="3" t="s">
        <v>1403</v>
      </c>
      <c r="B692" s="4" t="s">
        <v>1404</v>
      </c>
      <c r="C692" s="14">
        <v>1384</v>
      </c>
      <c r="D692" s="6" t="s">
        <v>16</v>
      </c>
      <c r="E692" s="6" t="s">
        <v>17</v>
      </c>
      <c r="F692" s="7">
        <v>29221</v>
      </c>
      <c r="G692" s="8">
        <f t="shared" si="10"/>
        <v>29221</v>
      </c>
      <c r="H692" s="6" t="s">
        <v>13</v>
      </c>
      <c r="I692" s="9">
        <f>MAX(original!I692,piwebapi_edit!I692,car_edit!I692)</f>
        <v>92208.284777873007</v>
      </c>
      <c r="J692" s="9">
        <f>MAX(original!J692,piwebapi_edit!J692,car_edit!J692)</f>
        <v>252.47826882681599</v>
      </c>
      <c r="K692" s="17"/>
    </row>
    <row r="693" spans="1:11" x14ac:dyDescent="0.25">
      <c r="A693" s="3" t="s">
        <v>1405</v>
      </c>
      <c r="B693" s="4" t="s">
        <v>1406</v>
      </c>
      <c r="C693" s="5">
        <v>54574</v>
      </c>
      <c r="D693" s="6" t="s">
        <v>1407</v>
      </c>
      <c r="E693" s="6" t="s">
        <v>17</v>
      </c>
      <c r="F693" s="7">
        <v>38189</v>
      </c>
      <c r="G693" s="8">
        <f t="shared" si="10"/>
        <v>38189</v>
      </c>
      <c r="H693" s="6" t="s">
        <v>13</v>
      </c>
      <c r="I693" s="9">
        <f>MAX(original!I693,piwebapi_edit!I693,car_edit!I693)</f>
        <v>831.90840209781004</v>
      </c>
      <c r="J693" s="9">
        <f>MAX(original!J693,piwebapi_edit!J693,car_edit!J693)</f>
        <v>196.16561035452199</v>
      </c>
      <c r="K693" s="17"/>
    </row>
    <row r="694" spans="1:11" x14ac:dyDescent="0.25">
      <c r="A694" s="3" t="s">
        <v>1408</v>
      </c>
      <c r="B694" s="4" t="s">
        <v>1409</v>
      </c>
      <c r="C694" s="5">
        <v>1695</v>
      </c>
      <c r="D694" s="6" t="s">
        <v>28</v>
      </c>
      <c r="E694" s="6" t="s">
        <v>17</v>
      </c>
      <c r="F694" s="7">
        <v>29221</v>
      </c>
      <c r="G694" s="8">
        <f t="shared" si="10"/>
        <v>29221</v>
      </c>
      <c r="H694" s="6" t="s">
        <v>13</v>
      </c>
      <c r="I694" s="9">
        <f>MAX(original!I694,piwebapi_edit!I694,car_edit!I694)</f>
        <v>20506.039616266702</v>
      </c>
      <c r="J694" s="9">
        <f>MAX(original!J694,piwebapi_edit!J694,car_edit!J694)</f>
        <v>340.97077427052301</v>
      </c>
      <c r="K694" s="17"/>
    </row>
    <row r="695" spans="1:11" x14ac:dyDescent="0.25">
      <c r="A695" s="3" t="s">
        <v>1410</v>
      </c>
      <c r="B695" s="4" t="s">
        <v>1411</v>
      </c>
      <c r="C695" s="14">
        <v>1529</v>
      </c>
      <c r="D695" s="6" t="s">
        <v>31</v>
      </c>
      <c r="E695" s="6" t="s">
        <v>17</v>
      </c>
      <c r="F695" s="7">
        <v>37072</v>
      </c>
      <c r="G695" s="8">
        <f t="shared" si="10"/>
        <v>37072</v>
      </c>
      <c r="H695" s="6" t="s">
        <v>13</v>
      </c>
      <c r="I695" s="9">
        <f>MAX(original!I695,piwebapi_edit!I695,car_edit!I695)</f>
        <v>458696.12992742797</v>
      </c>
      <c r="J695" s="9">
        <f>MAX(original!J695,piwebapi_edit!J695,car_edit!J695)</f>
        <v>1490</v>
      </c>
      <c r="K695" s="17"/>
    </row>
    <row r="696" spans="1:11" x14ac:dyDescent="0.25">
      <c r="A696" s="3" t="s">
        <v>1412</v>
      </c>
      <c r="B696" s="4" t="s">
        <v>1413</v>
      </c>
      <c r="C696" s="5">
        <v>2021</v>
      </c>
      <c r="D696" s="6" t="s">
        <v>16</v>
      </c>
      <c r="E696" s="6" t="s">
        <v>17</v>
      </c>
      <c r="F696" s="7">
        <v>29221</v>
      </c>
      <c r="G696" s="8">
        <f t="shared" si="10"/>
        <v>29221</v>
      </c>
      <c r="H696" s="6" t="s">
        <v>13</v>
      </c>
      <c r="I696" s="9">
        <f>MAX(original!I696,piwebapi_edit!I696,car_edit!I696)</f>
        <v>23789.6386159875</v>
      </c>
      <c r="J696" s="9">
        <f>MAX(original!J696,piwebapi_edit!J696,car_edit!J696)</f>
        <v>598.450392575406</v>
      </c>
      <c r="K696" s="17"/>
    </row>
    <row r="697" spans="1:11" x14ac:dyDescent="0.25">
      <c r="A697" s="3" t="s">
        <v>1414</v>
      </c>
      <c r="B697" s="4" t="s">
        <v>1415</v>
      </c>
      <c r="C697" s="5">
        <v>22081</v>
      </c>
      <c r="D697" s="6" t="s">
        <v>31</v>
      </c>
      <c r="E697" s="6" t="s">
        <v>17</v>
      </c>
      <c r="F697" s="7">
        <v>34025</v>
      </c>
      <c r="G697" s="8">
        <f t="shared" si="10"/>
        <v>34025</v>
      </c>
      <c r="H697" s="6" t="s">
        <v>13</v>
      </c>
      <c r="I697" s="9">
        <f>MAX(original!I697,piwebapi_edit!I697,car_edit!I697)</f>
        <v>428.95099464234198</v>
      </c>
      <c r="J697" s="9">
        <f>MAX(original!J697,piwebapi_edit!J697,car_edit!J697)</f>
        <v>98.317884040493794</v>
      </c>
      <c r="K697" s="17"/>
    </row>
    <row r="698" spans="1:11" x14ac:dyDescent="0.25">
      <c r="A698" s="3" t="s">
        <v>1416</v>
      </c>
      <c r="B698" s="4" t="s">
        <v>1417</v>
      </c>
      <c r="C698" s="5">
        <v>1812</v>
      </c>
      <c r="D698" s="6" t="s">
        <v>28</v>
      </c>
      <c r="E698" s="6" t="s">
        <v>17</v>
      </c>
      <c r="F698" s="7">
        <v>29221</v>
      </c>
      <c r="G698" s="8">
        <f t="shared" si="10"/>
        <v>29221</v>
      </c>
      <c r="H698" s="6" t="s">
        <v>13</v>
      </c>
      <c r="I698" s="9">
        <f>MAX(original!I698,piwebapi_edit!I698,car_edit!I698)</f>
        <v>8449.0173047521403</v>
      </c>
      <c r="J698" s="9">
        <f>MAX(original!J698,piwebapi_edit!J698,car_edit!J698)</f>
        <v>46.875457452293297</v>
      </c>
      <c r="K698" s="17"/>
    </row>
    <row r="699" spans="1:11" x14ac:dyDescent="0.25">
      <c r="A699" s="3" t="s">
        <v>1418</v>
      </c>
      <c r="B699" s="4" t="s">
        <v>1419</v>
      </c>
      <c r="C699" s="14">
        <v>1635</v>
      </c>
      <c r="D699" s="6" t="s">
        <v>31</v>
      </c>
      <c r="E699" s="6" t="s">
        <v>17</v>
      </c>
      <c r="F699" s="7">
        <v>25569</v>
      </c>
      <c r="G699" s="8">
        <f t="shared" si="10"/>
        <v>25569</v>
      </c>
      <c r="H699" s="6" t="s">
        <v>13</v>
      </c>
      <c r="I699" s="9">
        <f>MAX(original!I699,piwebapi_edit!I699,car_edit!I699)</f>
        <v>147574.136650575</v>
      </c>
      <c r="J699" s="9">
        <f>MAX(original!J699,piwebapi_edit!J699,car_edit!J699)</f>
        <v>704.62653774716603</v>
      </c>
      <c r="K699" s="17"/>
    </row>
    <row r="700" spans="1:11" x14ac:dyDescent="0.25">
      <c r="A700" s="3" t="s">
        <v>1420</v>
      </c>
      <c r="B700" s="4" t="s">
        <v>1421</v>
      </c>
      <c r="C700" s="5">
        <v>11202</v>
      </c>
      <c r="D700" s="6" t="s">
        <v>37</v>
      </c>
      <c r="E700" s="6" t="s">
        <v>38</v>
      </c>
      <c r="F700" s="7">
        <v>37405</v>
      </c>
      <c r="G700" s="8">
        <f t="shared" si="10"/>
        <v>37405</v>
      </c>
      <c r="H700" s="6" t="s">
        <v>39</v>
      </c>
      <c r="I700" s="9">
        <f>MAX(original!I700,piwebapi_edit!I700,car_edit!I700)</f>
        <v>47673.694405861395</v>
      </c>
      <c r="J700" s="9">
        <f>MAX(original!J700,piwebapi_edit!J700,car_edit!J700)</f>
        <v>347.18058695497302</v>
      </c>
      <c r="K700" s="17"/>
    </row>
    <row r="701" spans="1:11" ht="30" x14ac:dyDescent="0.25">
      <c r="A701" s="18" t="s">
        <v>1422</v>
      </c>
      <c r="B701" s="19" t="s">
        <v>1423</v>
      </c>
      <c r="C701" s="20">
        <v>1440</v>
      </c>
      <c r="D701" s="21" t="s">
        <v>16</v>
      </c>
      <c r="E701" s="21" t="s">
        <v>17</v>
      </c>
      <c r="F701" s="22">
        <v>25569</v>
      </c>
      <c r="G701" s="23">
        <f t="shared" si="10"/>
        <v>25569</v>
      </c>
      <c r="H701" s="21" t="s">
        <v>13</v>
      </c>
      <c r="I701" s="9">
        <f>MAX(original!I701,piwebapi_edit!I701,car_edit!I701)</f>
        <v>3780.8990518403302</v>
      </c>
      <c r="J701" s="9">
        <f>MAX(original!J701,piwebapi_edit!J701,car_edit!J701)</f>
        <v>141.16380933966599</v>
      </c>
      <c r="K701" s="25"/>
    </row>
    <row r="702" spans="1:11" x14ac:dyDescent="0.25">
      <c r="A702" s="3" t="s">
        <v>1424</v>
      </c>
      <c r="B702" s="4" t="s">
        <v>1425</v>
      </c>
      <c r="C702" s="5">
        <v>1677</v>
      </c>
      <c r="D702" s="6" t="s">
        <v>34</v>
      </c>
      <c r="E702" s="6" t="s">
        <v>17</v>
      </c>
      <c r="F702" s="7">
        <v>32143</v>
      </c>
      <c r="G702" s="8">
        <f t="shared" si="10"/>
        <v>32143</v>
      </c>
      <c r="H702" s="6" t="s">
        <v>13</v>
      </c>
      <c r="I702" s="9">
        <f>MAX(original!I702,piwebapi_edit!I702,car_edit!I702)</f>
        <v>14540.4653577397</v>
      </c>
      <c r="J702" s="9">
        <f>MAX(original!J702,piwebapi_edit!J702,car_edit!J702)</f>
        <v>111.26624761396</v>
      </c>
      <c r="K702" s="17"/>
    </row>
    <row r="703" spans="1:11" x14ac:dyDescent="0.25">
      <c r="A703" s="3" t="s">
        <v>1426</v>
      </c>
      <c r="B703" s="4" t="s">
        <v>1427</v>
      </c>
      <c r="C703" s="5">
        <v>16003</v>
      </c>
      <c r="D703" s="6" t="s">
        <v>31</v>
      </c>
      <c r="E703" s="6" t="s">
        <v>17</v>
      </c>
      <c r="F703" s="7">
        <v>32531</v>
      </c>
      <c r="G703" s="8">
        <f t="shared" si="10"/>
        <v>32531</v>
      </c>
      <c r="H703" s="6" t="s">
        <v>13</v>
      </c>
      <c r="I703" s="9">
        <f>MAX(original!I703,piwebapi_edit!I703,car_edit!I703)</f>
        <v>3612.62710828523</v>
      </c>
      <c r="J703" s="9">
        <f>MAX(original!J703,piwebapi_edit!J703,car_edit!J703)</f>
        <v>189.90251698717501</v>
      </c>
      <c r="K703" s="17"/>
    </row>
    <row r="704" spans="1:11" x14ac:dyDescent="0.25">
      <c r="A704" s="3" t="s">
        <v>1428</v>
      </c>
      <c r="B704" s="4" t="s">
        <v>1429</v>
      </c>
      <c r="C704" s="5">
        <v>16001</v>
      </c>
      <c r="D704" s="6" t="s">
        <v>31</v>
      </c>
      <c r="E704" s="6" t="s">
        <v>17</v>
      </c>
      <c r="F704" s="7">
        <v>32531</v>
      </c>
      <c r="G704" s="8">
        <f t="shared" si="10"/>
        <v>32531</v>
      </c>
      <c r="H704" s="6" t="s">
        <v>13</v>
      </c>
      <c r="I704" s="9">
        <f>MAX(original!I704,piwebapi_edit!I704,car_edit!I704)</f>
        <v>14090.167115031001</v>
      </c>
      <c r="J704" s="9">
        <f>MAX(original!J704,piwebapi_edit!J704,car_edit!J704)</f>
        <v>46.991885591537901</v>
      </c>
      <c r="K704" s="17"/>
    </row>
    <row r="705" spans="1:11" x14ac:dyDescent="0.25">
      <c r="A705" s="3" t="s">
        <v>1430</v>
      </c>
      <c r="B705" s="4" t="s">
        <v>1431</v>
      </c>
      <c r="C705" s="5">
        <v>1239</v>
      </c>
      <c r="D705" s="6" t="s">
        <v>34</v>
      </c>
      <c r="E705" s="6" t="s">
        <v>17</v>
      </c>
      <c r="F705" s="7">
        <v>30165</v>
      </c>
      <c r="G705" s="8">
        <f t="shared" si="10"/>
        <v>30165</v>
      </c>
      <c r="H705" s="6" t="s">
        <v>13</v>
      </c>
      <c r="I705" s="9">
        <f>MAX(original!I705,piwebapi_edit!I705,car_edit!I705)</f>
        <v>4416.6872518974405</v>
      </c>
      <c r="J705" s="9">
        <f>MAX(original!J705,piwebapi_edit!J705,car_edit!J705)</f>
        <v>151.660077178151</v>
      </c>
      <c r="K705" s="17"/>
    </row>
    <row r="706" spans="1:11" x14ac:dyDescent="0.25">
      <c r="A706" s="3" t="s">
        <v>1432</v>
      </c>
      <c r="B706" s="4" t="s">
        <v>1433</v>
      </c>
      <c r="C706" s="5">
        <v>11201</v>
      </c>
      <c r="D706" s="6" t="s">
        <v>28</v>
      </c>
      <c r="E706" s="6" t="s">
        <v>17</v>
      </c>
      <c r="F706" s="7">
        <v>37959</v>
      </c>
      <c r="G706" s="8">
        <f t="shared" ref="G706:G769" si="11">F706</f>
        <v>37959</v>
      </c>
      <c r="H706" s="6" t="s">
        <v>13</v>
      </c>
      <c r="I706" s="9">
        <f>MAX(original!I706,piwebapi_edit!I706,car_edit!I706)</f>
        <v>6946.44136136616</v>
      </c>
      <c r="J706" s="9">
        <f>MAX(original!J706,piwebapi_edit!J706,car_edit!J706)</f>
        <v>163.250679102991</v>
      </c>
      <c r="K706" s="17"/>
    </row>
    <row r="707" spans="1:11" x14ac:dyDescent="0.25">
      <c r="A707" s="3" t="s">
        <v>1434</v>
      </c>
      <c r="B707" s="4" t="s">
        <v>1435</v>
      </c>
      <c r="C707" s="5">
        <v>10574</v>
      </c>
      <c r="D707" s="6" t="s">
        <v>31</v>
      </c>
      <c r="E707" s="6" t="s">
        <v>17</v>
      </c>
      <c r="F707" s="7">
        <v>37047</v>
      </c>
      <c r="G707" s="8">
        <f t="shared" si="11"/>
        <v>37047</v>
      </c>
      <c r="H707" s="6" t="s">
        <v>13</v>
      </c>
      <c r="I707" s="9">
        <f>MAX(original!I707,piwebapi_edit!I707,car_edit!I707)</f>
        <v>33381.044425490203</v>
      </c>
      <c r="J707" s="9">
        <f>MAX(original!J707,piwebapi_edit!J707,car_edit!J707)</f>
        <v>137.02259452827099</v>
      </c>
      <c r="K707" s="17"/>
    </row>
    <row r="708" spans="1:11" x14ac:dyDescent="0.25">
      <c r="A708" s="3" t="s">
        <v>1436</v>
      </c>
      <c r="B708" s="4" t="s">
        <v>1437</v>
      </c>
      <c r="C708" s="5">
        <v>52898</v>
      </c>
      <c r="D708" s="6" t="s">
        <v>28</v>
      </c>
      <c r="E708" s="6" t="s">
        <v>17</v>
      </c>
      <c r="F708" s="7">
        <v>39295</v>
      </c>
      <c r="G708" s="8">
        <f t="shared" si="11"/>
        <v>39295</v>
      </c>
      <c r="H708" s="6" t="s">
        <v>13</v>
      </c>
      <c r="I708" s="9">
        <f>MAX(original!I708,piwebapi_edit!I708,car_edit!I708)</f>
        <v>22129.640773048599</v>
      </c>
      <c r="J708" s="9">
        <f>MAX(original!J708,piwebapi_edit!J708,car_edit!J708)</f>
        <v>493.14937951226602</v>
      </c>
      <c r="K708" s="17"/>
    </row>
    <row r="709" spans="1:11" x14ac:dyDescent="0.25">
      <c r="A709" s="3" t="s">
        <v>1438</v>
      </c>
      <c r="B709" s="4" t="s">
        <v>1439</v>
      </c>
      <c r="C709" s="5">
        <v>136117</v>
      </c>
      <c r="D709" s="6" t="s">
        <v>34</v>
      </c>
      <c r="E709" s="6" t="s">
        <v>17</v>
      </c>
      <c r="F709" s="7">
        <v>29221</v>
      </c>
      <c r="G709" s="8">
        <f t="shared" si="11"/>
        <v>29221</v>
      </c>
      <c r="H709" s="6" t="s">
        <v>13</v>
      </c>
      <c r="I709" s="9">
        <f>MAX(original!I709,piwebapi_edit!I709,car_edit!I709)</f>
        <v>11350.341169580201</v>
      </c>
      <c r="J709" s="9">
        <f>MAX(original!J709,piwebapi_edit!J709,car_edit!J709)</f>
        <v>100.55596678952401</v>
      </c>
      <c r="K709" s="17"/>
    </row>
    <row r="710" spans="1:11" x14ac:dyDescent="0.25">
      <c r="A710" s="3" t="s">
        <v>1440</v>
      </c>
      <c r="B710" s="4" t="s">
        <v>1441</v>
      </c>
      <c r="C710" s="5">
        <v>54576</v>
      </c>
      <c r="D710" s="6" t="s">
        <v>34</v>
      </c>
      <c r="E710" s="6" t="s">
        <v>17</v>
      </c>
      <c r="F710" s="7">
        <v>38930</v>
      </c>
      <c r="G710" s="8">
        <f t="shared" si="11"/>
        <v>38930</v>
      </c>
      <c r="H710" s="6" t="s">
        <v>13</v>
      </c>
      <c r="I710" s="9">
        <f>MAX(original!I710,piwebapi_edit!I710,car_edit!I710)</f>
        <v>64223.027201532903</v>
      </c>
      <c r="J710" s="9">
        <f>MAX(original!J710,piwebapi_edit!J710,car_edit!J710)</f>
        <v>492.88809488520099</v>
      </c>
      <c r="K710" s="17"/>
    </row>
    <row r="711" spans="1:11" x14ac:dyDescent="0.25">
      <c r="A711" s="3" t="s">
        <v>1442</v>
      </c>
      <c r="B711" s="4" t="s">
        <v>1443</v>
      </c>
      <c r="C711" s="5">
        <v>1238</v>
      </c>
      <c r="D711" s="6" t="s">
        <v>34</v>
      </c>
      <c r="E711" s="6" t="s">
        <v>17</v>
      </c>
      <c r="F711" s="7">
        <v>29221</v>
      </c>
      <c r="G711" s="8">
        <f t="shared" si="11"/>
        <v>29221</v>
      </c>
      <c r="H711" s="6" t="s">
        <v>13</v>
      </c>
      <c r="I711" s="9">
        <f>MAX(original!I711,piwebapi_edit!I711,car_edit!I711)</f>
        <v>5312.4748615174403</v>
      </c>
      <c r="J711" s="9">
        <f>MAX(original!J711,piwebapi_edit!J711,car_edit!J711)</f>
        <v>97.994786341730403</v>
      </c>
      <c r="K711" s="17"/>
    </row>
    <row r="712" spans="1:11" x14ac:dyDescent="0.25">
      <c r="A712" s="3" t="s">
        <v>1444</v>
      </c>
      <c r="B712" s="4" t="s">
        <v>1445</v>
      </c>
      <c r="C712" s="5">
        <v>30161</v>
      </c>
      <c r="D712" s="6" t="s">
        <v>16</v>
      </c>
      <c r="E712" s="6" t="s">
        <v>17</v>
      </c>
      <c r="F712" s="7">
        <v>38945</v>
      </c>
      <c r="G712" s="8">
        <f t="shared" si="11"/>
        <v>38945</v>
      </c>
      <c r="H712" s="6" t="s">
        <v>13</v>
      </c>
      <c r="I712" s="9">
        <f>MAX(original!I712,piwebapi_edit!I712,car_edit!I712)</f>
        <v>550.14731958297307</v>
      </c>
      <c r="J712" s="9">
        <f>MAX(original!J712,piwebapi_edit!J712,car_edit!J712)</f>
        <v>19.4816350948681</v>
      </c>
      <c r="K712" s="17"/>
    </row>
    <row r="713" spans="1:11" x14ac:dyDescent="0.25">
      <c r="A713" s="3" t="s">
        <v>1446</v>
      </c>
      <c r="B713" s="4" t="s">
        <v>1447</v>
      </c>
      <c r="C713" s="5">
        <v>54575</v>
      </c>
      <c r="D713" s="6" t="s">
        <v>31</v>
      </c>
      <c r="E713" s="6" t="s">
        <v>17</v>
      </c>
      <c r="F713" s="7">
        <v>38910</v>
      </c>
      <c r="G713" s="8">
        <f t="shared" si="11"/>
        <v>38910</v>
      </c>
      <c r="H713" s="6" t="s">
        <v>13</v>
      </c>
      <c r="I713" s="9">
        <f>MAX(original!I713,piwebapi_edit!I713,car_edit!I713)</f>
        <v>24531.828455487899</v>
      </c>
      <c r="J713" s="9">
        <f>MAX(original!J713,piwebapi_edit!J713,car_edit!J713)</f>
        <v>588.15404432151604</v>
      </c>
      <c r="K713" s="17"/>
    </row>
    <row r="714" spans="1:11" x14ac:dyDescent="0.25">
      <c r="A714" s="3" t="s">
        <v>1448</v>
      </c>
      <c r="B714" s="4" t="s">
        <v>1449</v>
      </c>
      <c r="C714" s="5">
        <v>12482</v>
      </c>
      <c r="D714" s="6" t="s">
        <v>16</v>
      </c>
      <c r="E714" s="6" t="s">
        <v>17</v>
      </c>
      <c r="F714" s="7">
        <v>37145</v>
      </c>
      <c r="G714" s="8">
        <f t="shared" si="11"/>
        <v>37145</v>
      </c>
      <c r="H714" s="6" t="s">
        <v>13</v>
      </c>
      <c r="I714" s="9">
        <f>MAX(original!I714,piwebapi_edit!I714,car_edit!I714)</f>
        <v>36618.355805839696</v>
      </c>
      <c r="J714" s="9">
        <f>MAX(original!J714,piwebapi_edit!J714,car_edit!J714)</f>
        <v>262.22598829682801</v>
      </c>
      <c r="K714" s="17"/>
    </row>
    <row r="715" spans="1:11" x14ac:dyDescent="0.25">
      <c r="A715" s="3" t="s">
        <v>1450</v>
      </c>
      <c r="B715" s="4" t="s">
        <v>1451</v>
      </c>
      <c r="C715" s="5">
        <v>1758</v>
      </c>
      <c r="D715" s="6" t="s">
        <v>31</v>
      </c>
      <c r="E715" s="6" t="s">
        <v>17</v>
      </c>
      <c r="F715" s="7">
        <v>29221</v>
      </c>
      <c r="G715" s="8">
        <f t="shared" si="11"/>
        <v>29221</v>
      </c>
      <c r="H715" s="6" t="s">
        <v>13</v>
      </c>
      <c r="I715" s="9">
        <f>MAX(original!I715,piwebapi_edit!I715,car_edit!I715)</f>
        <v>8939.5326360755789</v>
      </c>
      <c r="J715" s="9">
        <f>MAX(original!J715,piwebapi_edit!J715,car_edit!J715)</f>
        <v>130.248560994971</v>
      </c>
      <c r="K715" s="17"/>
    </row>
    <row r="716" spans="1:11" x14ac:dyDescent="0.25">
      <c r="A716" s="3" t="s">
        <v>1452</v>
      </c>
      <c r="B716" s="4" t="s">
        <v>1453</v>
      </c>
      <c r="C716" s="5">
        <v>19209</v>
      </c>
      <c r="D716" s="6" t="s">
        <v>31</v>
      </c>
      <c r="E716" s="6" t="s">
        <v>17</v>
      </c>
      <c r="F716" s="7">
        <v>36528</v>
      </c>
      <c r="G716" s="8">
        <f t="shared" si="11"/>
        <v>36528</v>
      </c>
      <c r="H716" s="6" t="s">
        <v>13</v>
      </c>
      <c r="I716" s="9">
        <f>MAX(original!I716,piwebapi_edit!I716,car_edit!I716)</f>
        <v>121860.203403358</v>
      </c>
      <c r="J716" s="9">
        <f>MAX(original!J716,piwebapi_edit!J716,car_edit!J716)</f>
        <v>996.02996435131797</v>
      </c>
      <c r="K716" s="17"/>
    </row>
    <row r="717" spans="1:11" x14ac:dyDescent="0.25">
      <c r="A717" s="3" t="s">
        <v>1454</v>
      </c>
      <c r="B717" s="4" t="s">
        <v>1455</v>
      </c>
      <c r="C717" s="5">
        <v>16964</v>
      </c>
      <c r="D717" s="6" t="s">
        <v>31</v>
      </c>
      <c r="E717" s="6" t="s">
        <v>17</v>
      </c>
      <c r="F717" s="7">
        <v>25583</v>
      </c>
      <c r="G717" s="8">
        <f t="shared" si="11"/>
        <v>25583</v>
      </c>
      <c r="H717" s="6" t="s">
        <v>13</v>
      </c>
      <c r="I717" s="9">
        <f>MAX(original!I717,piwebapi_edit!I717,car_edit!I717)</f>
        <v>100164.601963957</v>
      </c>
      <c r="J717" s="9">
        <f>MAX(original!J717,piwebapi_edit!J717,car_edit!J717)</f>
        <v>264.29121501596597</v>
      </c>
      <c r="K717" s="17"/>
    </row>
    <row r="718" spans="1:11" x14ac:dyDescent="0.25">
      <c r="A718" s="3" t="s">
        <v>1456</v>
      </c>
      <c r="B718" s="4" t="s">
        <v>1457</v>
      </c>
      <c r="C718" s="5">
        <v>25921</v>
      </c>
      <c r="D718" s="6" t="s">
        <v>31</v>
      </c>
      <c r="E718" s="6" t="s">
        <v>17</v>
      </c>
      <c r="F718" s="7">
        <v>31685</v>
      </c>
      <c r="G718" s="8">
        <f t="shared" si="11"/>
        <v>31685</v>
      </c>
      <c r="H718" s="6" t="s">
        <v>13</v>
      </c>
      <c r="I718" s="9">
        <f>MAX(original!I718,piwebapi_edit!I718,car_edit!I718)</f>
        <v>13787.1436685021</v>
      </c>
      <c r="J718" s="9">
        <f>MAX(original!J718,piwebapi_edit!J718,car_edit!J718)</f>
        <v>243.93423603444501</v>
      </c>
      <c r="K718" s="17"/>
    </row>
    <row r="719" spans="1:11" x14ac:dyDescent="0.25">
      <c r="A719" s="3" t="s">
        <v>1458</v>
      </c>
      <c r="B719" s="4" t="s">
        <v>1459</v>
      </c>
      <c r="C719" s="14">
        <v>18895</v>
      </c>
      <c r="D719" s="6" t="s">
        <v>31</v>
      </c>
      <c r="E719" s="6" t="s">
        <v>17</v>
      </c>
      <c r="F719" s="7">
        <v>28564</v>
      </c>
      <c r="G719" s="8">
        <f t="shared" si="11"/>
        <v>28564</v>
      </c>
      <c r="H719" s="6" t="s">
        <v>13</v>
      </c>
      <c r="I719" s="9">
        <f>MAX(original!I719,piwebapi_edit!I719,car_edit!I719)</f>
        <v>55989.790209518396</v>
      </c>
      <c r="J719" s="9">
        <f>MAX(original!J719,piwebapi_edit!J719,car_edit!J719)</f>
        <v>208.37863675023101</v>
      </c>
      <c r="K719" s="17"/>
    </row>
    <row r="720" spans="1:11" x14ac:dyDescent="0.25">
      <c r="A720" s="3" t="s">
        <v>1460</v>
      </c>
      <c r="B720" s="4" t="s">
        <v>1461</v>
      </c>
      <c r="C720" s="5">
        <v>15363</v>
      </c>
      <c r="D720" s="6" t="s">
        <v>31</v>
      </c>
      <c r="E720" s="6" t="s">
        <v>17</v>
      </c>
      <c r="F720" s="7">
        <v>31331</v>
      </c>
      <c r="G720" s="8">
        <f t="shared" si="11"/>
        <v>31331</v>
      </c>
      <c r="H720" s="6" t="s">
        <v>13</v>
      </c>
      <c r="I720" s="9">
        <f>MAX(original!I720,piwebapi_edit!I720,car_edit!I720)</f>
        <v>35885.350279134102</v>
      </c>
      <c r="J720" s="9">
        <f>MAX(original!J720,piwebapi_edit!J720,car_edit!J720)</f>
        <v>100.780792107243</v>
      </c>
      <c r="K720" s="17"/>
    </row>
    <row r="721" spans="1:11" x14ac:dyDescent="0.25">
      <c r="A721" s="3" t="s">
        <v>1462</v>
      </c>
      <c r="B721" s="4" t="s">
        <v>1463</v>
      </c>
      <c r="C721" s="5">
        <v>15045</v>
      </c>
      <c r="D721" s="6" t="s">
        <v>31</v>
      </c>
      <c r="E721" s="6" t="s">
        <v>17</v>
      </c>
      <c r="F721" s="7">
        <v>30573</v>
      </c>
      <c r="G721" s="8">
        <f t="shared" si="11"/>
        <v>30573</v>
      </c>
      <c r="H721" s="6" t="s">
        <v>13</v>
      </c>
      <c r="I721" s="9">
        <f>MAX(original!I721,piwebapi_edit!I721,car_edit!I721)</f>
        <v>7351.92840225482</v>
      </c>
      <c r="J721" s="9">
        <f>MAX(original!J721,piwebapi_edit!J721,car_edit!J721)</f>
        <v>157.67535535669001</v>
      </c>
      <c r="K721" s="17"/>
    </row>
    <row r="722" spans="1:11" x14ac:dyDescent="0.25">
      <c r="A722" s="3" t="s">
        <v>1464</v>
      </c>
      <c r="B722" s="4" t="s">
        <v>1465</v>
      </c>
      <c r="C722" s="5">
        <v>14728</v>
      </c>
      <c r="D722" s="6" t="s">
        <v>31</v>
      </c>
      <c r="E722" s="6" t="s">
        <v>17</v>
      </c>
      <c r="F722" s="7">
        <v>32143</v>
      </c>
      <c r="G722" s="8">
        <f t="shared" si="11"/>
        <v>32143</v>
      </c>
      <c r="H722" s="6" t="s">
        <v>13</v>
      </c>
      <c r="I722" s="9">
        <f>MAX(original!I722,piwebapi_edit!I722,car_edit!I722)</f>
        <v>21068.1418891209</v>
      </c>
      <c r="J722" s="9">
        <f>MAX(original!J722,piwebapi_edit!J722,car_edit!J722)</f>
        <v>191.750300646037</v>
      </c>
      <c r="K722" s="17"/>
    </row>
    <row r="723" spans="1:11" x14ac:dyDescent="0.25">
      <c r="A723" s="3" t="s">
        <v>1466</v>
      </c>
      <c r="B723" s="4" t="s">
        <v>1467</v>
      </c>
      <c r="C723" s="5">
        <v>1908</v>
      </c>
      <c r="D723" s="6" t="s">
        <v>34</v>
      </c>
      <c r="E723" s="6" t="s">
        <v>17</v>
      </c>
      <c r="F723" s="7">
        <v>29221</v>
      </c>
      <c r="G723" s="8">
        <f t="shared" si="11"/>
        <v>29221</v>
      </c>
      <c r="H723" s="6" t="s">
        <v>13</v>
      </c>
      <c r="I723" s="9">
        <f>MAX(original!I723,piwebapi_edit!I723,car_edit!I723)</f>
        <v>21908.9015525225</v>
      </c>
      <c r="J723" s="9">
        <f>MAX(original!J723,piwebapi_edit!J723,car_edit!J723)</f>
        <v>114.20809615152901</v>
      </c>
      <c r="K723" s="17"/>
    </row>
    <row r="724" spans="1:11" x14ac:dyDescent="0.25">
      <c r="A724" s="3" t="s">
        <v>1468</v>
      </c>
      <c r="B724" s="4" t="s">
        <v>1469</v>
      </c>
      <c r="C724" s="5">
        <v>1114</v>
      </c>
      <c r="D724" s="6" t="s">
        <v>28</v>
      </c>
      <c r="E724" s="6" t="s">
        <v>17</v>
      </c>
      <c r="F724" s="7">
        <v>38677</v>
      </c>
      <c r="G724" s="8">
        <f t="shared" si="11"/>
        <v>38677</v>
      </c>
      <c r="H724" s="6" t="s">
        <v>13</v>
      </c>
      <c r="I724" s="9">
        <f>MAX(original!I724,piwebapi_edit!I724,car_edit!I724)</f>
        <v>11626.8919730049</v>
      </c>
      <c r="J724" s="9">
        <f>MAX(original!J724,piwebapi_edit!J724,car_edit!J724)</f>
        <v>170.776776000588</v>
      </c>
      <c r="K724" s="17"/>
    </row>
    <row r="725" spans="1:11" x14ac:dyDescent="0.25">
      <c r="A725" s="3" t="s">
        <v>1470</v>
      </c>
      <c r="B725" s="4" t="s">
        <v>1471</v>
      </c>
      <c r="C725" s="5">
        <v>25922</v>
      </c>
      <c r="D725" s="6" t="s">
        <v>28</v>
      </c>
      <c r="E725" s="6" t="s">
        <v>17</v>
      </c>
      <c r="F725" s="7">
        <v>20891</v>
      </c>
      <c r="G725" s="8">
        <f t="shared" si="11"/>
        <v>20891</v>
      </c>
      <c r="H725" s="6" t="s">
        <v>13</v>
      </c>
      <c r="I725" s="9">
        <f>MAX(original!I725,piwebapi_edit!I725,car_edit!I725)</f>
        <v>25677.6566136562</v>
      </c>
      <c r="J725" s="9">
        <f>MAX(original!J725,piwebapi_edit!J725,car_edit!J725)</f>
        <v>166.50855935662301</v>
      </c>
      <c r="K725" s="17"/>
    </row>
    <row r="726" spans="1:11" x14ac:dyDescent="0.25">
      <c r="A726" s="26" t="s">
        <v>1472</v>
      </c>
      <c r="B726" s="27" t="s">
        <v>1473</v>
      </c>
      <c r="C726" s="5">
        <v>1397</v>
      </c>
      <c r="D726" s="28" t="s">
        <v>34</v>
      </c>
      <c r="E726" s="28" t="s">
        <v>17</v>
      </c>
      <c r="F726" s="29">
        <v>18264</v>
      </c>
      <c r="G726" s="30">
        <f t="shared" si="11"/>
        <v>18264</v>
      </c>
      <c r="H726" s="28" t="s">
        <v>13</v>
      </c>
      <c r="I726" s="9">
        <f>MAX(original!I726,piwebapi_edit!I726,car_edit!I726)</f>
        <v>3780.3036066888399</v>
      </c>
      <c r="J726" s="9">
        <f>MAX(original!J726,piwebapi_edit!J726,car_edit!J726)</f>
        <v>44.258797149852199</v>
      </c>
      <c r="K726" s="33"/>
    </row>
    <row r="727" spans="1:11" x14ac:dyDescent="0.25">
      <c r="A727" s="3" t="s">
        <v>1474</v>
      </c>
      <c r="B727" s="4" t="s">
        <v>1475</v>
      </c>
      <c r="C727" s="5">
        <v>59969</v>
      </c>
      <c r="D727" s="6" t="s">
        <v>28</v>
      </c>
      <c r="E727" s="6" t="s">
        <v>17</v>
      </c>
      <c r="F727" s="7">
        <v>39234</v>
      </c>
      <c r="G727" s="8">
        <f t="shared" si="11"/>
        <v>39234</v>
      </c>
      <c r="H727" s="6" t="s">
        <v>13</v>
      </c>
      <c r="I727" s="9">
        <f>MAX(original!I727,piwebapi_edit!I727,car_edit!I727)</f>
        <v>3130.1061424321001</v>
      </c>
      <c r="J727" s="9">
        <f>MAX(original!J727,piwebapi_edit!J727,car_edit!J727)</f>
        <v>44.727952156609703</v>
      </c>
      <c r="K727" s="17"/>
    </row>
    <row r="728" spans="1:11" x14ac:dyDescent="0.25">
      <c r="A728" s="3" t="s">
        <v>1476</v>
      </c>
      <c r="B728" s="4" t="s">
        <v>1477</v>
      </c>
      <c r="C728" s="5">
        <v>19844</v>
      </c>
      <c r="D728" s="6" t="s">
        <v>28</v>
      </c>
      <c r="E728" s="6" t="s">
        <v>17</v>
      </c>
      <c r="F728" s="7">
        <v>38468</v>
      </c>
      <c r="G728" s="8">
        <f t="shared" si="11"/>
        <v>38468</v>
      </c>
      <c r="H728" s="6" t="s">
        <v>13</v>
      </c>
      <c r="I728" s="9">
        <f>MAX(original!I728,piwebapi_edit!I728,car_edit!I728)</f>
        <v>18097.0067440864</v>
      </c>
      <c r="J728" s="9">
        <f>MAX(original!J728,piwebapi_edit!J728,car_edit!J728)</f>
        <v>372.56022748262302</v>
      </c>
      <c r="K728" s="17"/>
    </row>
    <row r="729" spans="1:11" x14ac:dyDescent="0.25">
      <c r="A729" s="3" t="s">
        <v>1478</v>
      </c>
      <c r="B729" s="4" t="s">
        <v>1479</v>
      </c>
      <c r="C729" s="14">
        <v>12808</v>
      </c>
      <c r="D729" s="6" t="s">
        <v>28</v>
      </c>
      <c r="E729" s="6" t="s">
        <v>17</v>
      </c>
      <c r="F729" s="7">
        <v>39569</v>
      </c>
      <c r="G729" s="8">
        <f t="shared" si="11"/>
        <v>39569</v>
      </c>
      <c r="H729" s="6" t="s">
        <v>13</v>
      </c>
      <c r="I729" s="9">
        <f>MAX(original!I729,piwebapi_edit!I729,car_edit!I729)</f>
        <v>110930.88430404199</v>
      </c>
      <c r="J729" s="9">
        <f>MAX(original!J729,piwebapi_edit!J729,car_edit!J729)</f>
        <v>939.03397147526505</v>
      </c>
      <c r="K729" s="17"/>
    </row>
    <row r="730" spans="1:11" x14ac:dyDescent="0.25">
      <c r="A730" s="3" t="s">
        <v>1480</v>
      </c>
      <c r="B730" s="4" t="s">
        <v>1481</v>
      </c>
      <c r="C730" s="14">
        <v>1653</v>
      </c>
      <c r="D730" s="6" t="s">
        <v>28</v>
      </c>
      <c r="E730" s="6" t="s">
        <v>17</v>
      </c>
      <c r="F730" s="7">
        <v>29952</v>
      </c>
      <c r="G730" s="8">
        <f t="shared" si="11"/>
        <v>29952</v>
      </c>
      <c r="H730" s="6" t="s">
        <v>13</v>
      </c>
      <c r="I730" s="9">
        <f>MAX(original!I730,piwebapi_edit!I730,car_edit!I730)</f>
        <v>52516.763088200103</v>
      </c>
      <c r="J730" s="9">
        <f>MAX(original!J730,piwebapi_edit!J730,car_edit!J730)</f>
        <v>185.53042363253499</v>
      </c>
      <c r="K730" s="17"/>
    </row>
    <row r="731" spans="1:11" x14ac:dyDescent="0.25">
      <c r="A731" s="3" t="s">
        <v>1482</v>
      </c>
      <c r="B731" s="4" t="s">
        <v>1483</v>
      </c>
      <c r="C731" s="14">
        <v>54577</v>
      </c>
      <c r="D731" s="6" t="s">
        <v>34</v>
      </c>
      <c r="E731" s="6" t="s">
        <v>17</v>
      </c>
      <c r="F731" s="7">
        <v>36847</v>
      </c>
      <c r="G731" s="8">
        <f t="shared" si="11"/>
        <v>36847</v>
      </c>
      <c r="H731" s="6" t="s">
        <v>13</v>
      </c>
      <c r="I731" s="9">
        <f>MAX(original!I731,piwebapi_edit!I731,car_edit!I731)</f>
        <v>15530.8692191765</v>
      </c>
      <c r="J731" s="9">
        <f>MAX(original!J731,piwebapi_edit!J731,car_edit!J731)</f>
        <v>341.25192049689201</v>
      </c>
      <c r="K731" s="17"/>
    </row>
    <row r="732" spans="1:11" x14ac:dyDescent="0.25">
      <c r="A732" s="3" t="s">
        <v>1484</v>
      </c>
      <c r="B732" s="4" t="s">
        <v>1485</v>
      </c>
      <c r="C732" s="14">
        <v>1522</v>
      </c>
      <c r="D732" s="6" t="s">
        <v>16</v>
      </c>
      <c r="E732" s="6" t="s">
        <v>17</v>
      </c>
      <c r="F732" s="7">
        <v>24108</v>
      </c>
      <c r="G732" s="8">
        <f t="shared" si="11"/>
        <v>24108</v>
      </c>
      <c r="H732" s="6" t="s">
        <v>13</v>
      </c>
      <c r="I732" s="9">
        <f>MAX(original!I732,piwebapi_edit!I732,car_edit!I732)</f>
        <v>104029.772418294</v>
      </c>
      <c r="J732" s="9">
        <f>MAX(original!J732,piwebapi_edit!J732,car_edit!J732)</f>
        <v>386.28490037668598</v>
      </c>
      <c r="K732" s="17"/>
    </row>
    <row r="733" spans="1:11" x14ac:dyDescent="0.25">
      <c r="A733" s="3" t="s">
        <v>1486</v>
      </c>
      <c r="B733" s="4" t="s">
        <v>1487</v>
      </c>
      <c r="C733" s="5">
        <v>14736</v>
      </c>
      <c r="D733" s="6" t="s">
        <v>31</v>
      </c>
      <c r="E733" s="6" t="s">
        <v>17</v>
      </c>
      <c r="F733" s="7">
        <v>31253</v>
      </c>
      <c r="G733" s="8">
        <f t="shared" si="11"/>
        <v>31253</v>
      </c>
      <c r="H733" s="6" t="s">
        <v>13</v>
      </c>
      <c r="I733" s="9">
        <f>MAX(original!I733,piwebapi_edit!I733,car_edit!I733)</f>
        <v>4414.8509604165502</v>
      </c>
      <c r="J733" s="9">
        <f>MAX(original!J733,piwebapi_edit!J733,car_edit!J733)</f>
        <v>25.261717572456</v>
      </c>
      <c r="K733" s="17"/>
    </row>
    <row r="734" spans="1:11" x14ac:dyDescent="0.25">
      <c r="A734" s="3" t="s">
        <v>1488</v>
      </c>
      <c r="B734" s="4" t="s">
        <v>1489</v>
      </c>
      <c r="C734" s="5">
        <v>1425</v>
      </c>
      <c r="D734" s="6" t="s">
        <v>31</v>
      </c>
      <c r="E734" s="6" t="s">
        <v>17</v>
      </c>
      <c r="F734" s="7">
        <v>31048</v>
      </c>
      <c r="G734" s="8">
        <f t="shared" si="11"/>
        <v>31048</v>
      </c>
      <c r="H734" s="6" t="s">
        <v>13</v>
      </c>
      <c r="I734" s="9">
        <f>MAX(original!I734,piwebapi_edit!I734,car_edit!I734)</f>
        <v>20085.192109351599</v>
      </c>
      <c r="J734" s="9">
        <f>MAX(original!J734,piwebapi_edit!J734,car_edit!J734)</f>
        <v>132.08945177708301</v>
      </c>
      <c r="K734" s="17"/>
    </row>
    <row r="735" spans="1:11" x14ac:dyDescent="0.25">
      <c r="A735" s="3" t="s">
        <v>1490</v>
      </c>
      <c r="B735" s="4" t="s">
        <v>1491</v>
      </c>
      <c r="C735" s="5">
        <v>15369</v>
      </c>
      <c r="D735" s="6" t="s">
        <v>31</v>
      </c>
      <c r="E735" s="6" t="s">
        <v>17</v>
      </c>
      <c r="F735" s="7">
        <v>32531</v>
      </c>
      <c r="G735" s="8">
        <f t="shared" si="11"/>
        <v>32531</v>
      </c>
      <c r="H735" s="6" t="s">
        <v>13</v>
      </c>
      <c r="I735" s="9">
        <f>MAX(original!I735,piwebapi_edit!I735,car_edit!I735)</f>
        <v>49040.872894001797</v>
      </c>
      <c r="J735" s="9">
        <f>MAX(original!J735,piwebapi_edit!J735,car_edit!J735)</f>
        <v>214.63715349225501</v>
      </c>
      <c r="K735" s="17"/>
    </row>
    <row r="736" spans="1:11" x14ac:dyDescent="0.25">
      <c r="A736" s="3" t="s">
        <v>1492</v>
      </c>
      <c r="B736" s="4" t="s">
        <v>1493</v>
      </c>
      <c r="C736" s="14">
        <v>52882</v>
      </c>
      <c r="D736" s="6" t="s">
        <v>34</v>
      </c>
      <c r="E736" s="6" t="s">
        <v>17</v>
      </c>
      <c r="F736" s="7">
        <v>36892</v>
      </c>
      <c r="G736" s="8">
        <f t="shared" si="11"/>
        <v>36892</v>
      </c>
      <c r="H736" s="6" t="s">
        <v>13</v>
      </c>
      <c r="I736" s="9">
        <f>MAX(original!I736,piwebapi_edit!I736,car_edit!I736)</f>
        <v>540988.83793568797</v>
      </c>
      <c r="J736" s="9">
        <f>MAX(original!J736,piwebapi_edit!J736,car_edit!J736)</f>
        <v>3212.0857043523501</v>
      </c>
      <c r="K736" s="17"/>
    </row>
    <row r="737" spans="1:11" x14ac:dyDescent="0.25">
      <c r="A737" s="3" t="s">
        <v>1494</v>
      </c>
      <c r="B737" s="4" t="s">
        <v>1495</v>
      </c>
      <c r="C737" s="5">
        <v>36769</v>
      </c>
      <c r="D737" s="6" t="s">
        <v>37</v>
      </c>
      <c r="E737" s="6" t="s">
        <v>38</v>
      </c>
      <c r="F737" s="7">
        <v>36640</v>
      </c>
      <c r="G737" s="8">
        <f t="shared" si="11"/>
        <v>36640</v>
      </c>
      <c r="H737" s="6" t="s">
        <v>39</v>
      </c>
      <c r="I737" s="9">
        <f>MAX(original!I737,piwebapi_edit!I737,car_edit!I737)</f>
        <v>1996.1508198957699</v>
      </c>
      <c r="J737" s="9">
        <f>MAX(original!J737,piwebapi_edit!J737,car_edit!J737)</f>
        <v>41.564917764777597</v>
      </c>
      <c r="K737" s="17"/>
    </row>
    <row r="738" spans="1:11" x14ac:dyDescent="0.25">
      <c r="A738" s="3" t="s">
        <v>1496</v>
      </c>
      <c r="B738" s="4" t="s">
        <v>1497</v>
      </c>
      <c r="C738" s="5">
        <v>54578</v>
      </c>
      <c r="D738" s="6" t="s">
        <v>34</v>
      </c>
      <c r="E738" s="6" t="s">
        <v>17</v>
      </c>
      <c r="F738" s="7">
        <v>37134</v>
      </c>
      <c r="G738" s="8">
        <f t="shared" si="11"/>
        <v>37134</v>
      </c>
      <c r="H738" s="6" t="s">
        <v>13</v>
      </c>
      <c r="I738" s="9">
        <f>MAX(original!I738,piwebapi_edit!I738,car_edit!I738)</f>
        <v>9942.257318558979</v>
      </c>
      <c r="J738" s="9">
        <f>MAX(original!J738,piwebapi_edit!J738,car_edit!J738)</f>
        <v>125.789210379945</v>
      </c>
      <c r="K738" s="17"/>
    </row>
    <row r="739" spans="1:11" x14ac:dyDescent="0.25">
      <c r="A739" s="3" t="s">
        <v>1498</v>
      </c>
      <c r="B739" s="4" t="s">
        <v>1499</v>
      </c>
      <c r="C739" s="5">
        <v>1175</v>
      </c>
      <c r="D739" s="6" t="s">
        <v>16</v>
      </c>
      <c r="E739" s="6" t="s">
        <v>17</v>
      </c>
      <c r="F739" s="7">
        <v>38529</v>
      </c>
      <c r="G739" s="8">
        <f t="shared" si="11"/>
        <v>38529</v>
      </c>
      <c r="H739" s="6" t="s">
        <v>13</v>
      </c>
      <c r="I739" s="9">
        <f>MAX(original!I739,piwebapi_edit!I739,car_edit!I739)</f>
        <v>69897.128860683297</v>
      </c>
      <c r="J739" s="9">
        <f>MAX(original!J739,piwebapi_edit!J739,car_edit!J739)</f>
        <v>221.26301112079599</v>
      </c>
      <c r="K739" s="17"/>
    </row>
    <row r="740" spans="1:11" ht="30" x14ac:dyDescent="0.25">
      <c r="A740" s="18" t="s">
        <v>1500</v>
      </c>
      <c r="B740" s="19" t="s">
        <v>1501</v>
      </c>
      <c r="C740" s="5">
        <v>1417</v>
      </c>
      <c r="D740" s="21" t="s">
        <v>28</v>
      </c>
      <c r="E740" s="21" t="s">
        <v>17</v>
      </c>
      <c r="F740" s="22">
        <v>24473</v>
      </c>
      <c r="G740" s="23">
        <f t="shared" si="11"/>
        <v>24473</v>
      </c>
      <c r="H740" s="21" t="s">
        <v>13</v>
      </c>
      <c r="I740" s="9">
        <f>MAX(original!I740,piwebapi_edit!I740,car_edit!I740)</f>
        <v>98950.431086480501</v>
      </c>
      <c r="J740" s="9">
        <f>MAX(original!J740,piwebapi_edit!J740,car_edit!J740)</f>
        <v>569.00986873468196</v>
      </c>
      <c r="K740" s="25"/>
    </row>
    <row r="741" spans="1:11" x14ac:dyDescent="0.25">
      <c r="A741" s="3" t="s">
        <v>1502</v>
      </c>
      <c r="B741" s="4" t="s">
        <v>1503</v>
      </c>
      <c r="C741" s="5">
        <v>1297</v>
      </c>
      <c r="D741" s="6" t="s">
        <v>31</v>
      </c>
      <c r="E741" s="6" t="s">
        <v>17</v>
      </c>
      <c r="F741" s="7">
        <v>29952</v>
      </c>
      <c r="G741" s="8">
        <f t="shared" si="11"/>
        <v>29952</v>
      </c>
      <c r="H741" s="6" t="s">
        <v>13</v>
      </c>
      <c r="I741" s="9">
        <f>MAX(original!I741,piwebapi_edit!I741,car_edit!I741)</f>
        <v>38854.556969951198</v>
      </c>
      <c r="J741" s="9">
        <f>MAX(original!J741,piwebapi_edit!J741,car_edit!J741)</f>
        <v>412.66167590673899</v>
      </c>
      <c r="K741" s="17"/>
    </row>
    <row r="742" spans="1:11" x14ac:dyDescent="0.25">
      <c r="A742" s="3" t="s">
        <v>1504</v>
      </c>
      <c r="B742" s="4" t="s">
        <v>1505</v>
      </c>
      <c r="C742" s="14">
        <v>10886</v>
      </c>
      <c r="D742" s="6" t="s">
        <v>34</v>
      </c>
      <c r="E742" s="6" t="s">
        <v>17</v>
      </c>
      <c r="F742" s="7">
        <v>37719</v>
      </c>
      <c r="G742" s="8">
        <f t="shared" si="11"/>
        <v>37719</v>
      </c>
      <c r="H742" s="6" t="s">
        <v>13</v>
      </c>
      <c r="I742" s="9">
        <f>MAX(original!I742,piwebapi_edit!I742,car_edit!I742)</f>
        <v>8085.7812612400403</v>
      </c>
      <c r="J742" s="9">
        <f>MAX(original!J742,piwebapi_edit!J742,car_edit!J742)</f>
        <v>468.25256105349501</v>
      </c>
      <c r="K742" s="17"/>
    </row>
    <row r="743" spans="1:11" x14ac:dyDescent="0.25">
      <c r="A743" s="3" t="s">
        <v>1506</v>
      </c>
      <c r="B743" s="4" t="s">
        <v>1507</v>
      </c>
      <c r="C743" s="5">
        <v>2059</v>
      </c>
      <c r="D743" s="6" t="s">
        <v>34</v>
      </c>
      <c r="E743" s="6" t="s">
        <v>17</v>
      </c>
      <c r="F743" s="7">
        <v>32509</v>
      </c>
      <c r="G743" s="8">
        <f t="shared" si="11"/>
        <v>32509</v>
      </c>
      <c r="H743" s="6" t="s">
        <v>13</v>
      </c>
      <c r="I743" s="9">
        <f>MAX(original!I743,piwebapi_edit!I743,car_edit!I743)</f>
        <v>92343.469958638801</v>
      </c>
      <c r="J743" s="9">
        <f>MAX(original!J743,piwebapi_edit!J743,car_edit!J743)</f>
        <v>404.17578636626001</v>
      </c>
      <c r="K743" s="17"/>
    </row>
    <row r="744" spans="1:11" x14ac:dyDescent="0.25">
      <c r="A744" s="3" t="s">
        <v>1508</v>
      </c>
      <c r="B744" s="4" t="s">
        <v>1509</v>
      </c>
      <c r="C744" s="14">
        <v>21442</v>
      </c>
      <c r="D744" s="6" t="s">
        <v>28</v>
      </c>
      <c r="E744" s="6" t="s">
        <v>17</v>
      </c>
      <c r="F744" s="7">
        <v>38036</v>
      </c>
      <c r="G744" s="8">
        <f t="shared" si="11"/>
        <v>38036</v>
      </c>
      <c r="H744" s="6" t="s">
        <v>13</v>
      </c>
      <c r="I744" s="9">
        <f>MAX(original!I744,piwebapi_edit!I744,car_edit!I744)</f>
        <v>6652.6547794118705</v>
      </c>
      <c r="J744" s="9">
        <f>MAX(original!J744,piwebapi_edit!J744,car_edit!J744)</f>
        <v>537.26733355495605</v>
      </c>
      <c r="K744" s="17"/>
    </row>
    <row r="745" spans="1:11" x14ac:dyDescent="0.25">
      <c r="A745" s="3" t="s">
        <v>1510</v>
      </c>
      <c r="B745" s="4" t="s">
        <v>1511</v>
      </c>
      <c r="C745" s="14">
        <v>33873</v>
      </c>
      <c r="D745" s="6" t="s">
        <v>28</v>
      </c>
      <c r="E745" s="6" t="s">
        <v>17</v>
      </c>
      <c r="F745" s="7">
        <v>39188</v>
      </c>
      <c r="G745" s="8">
        <f t="shared" si="11"/>
        <v>39188</v>
      </c>
      <c r="H745" s="6" t="s">
        <v>13</v>
      </c>
      <c r="I745" s="9">
        <f>MAX(original!I745,piwebapi_edit!I745,car_edit!I745)</f>
        <v>1645.0848559190899</v>
      </c>
      <c r="J745" s="9">
        <f>MAX(original!J745,piwebapi_edit!J745,car_edit!J745)</f>
        <v>103.469124248003</v>
      </c>
      <c r="K745" s="17"/>
    </row>
    <row r="746" spans="1:11" x14ac:dyDescent="0.25">
      <c r="A746" s="3" t="s">
        <v>1512</v>
      </c>
      <c r="B746" s="4" t="s">
        <v>1513</v>
      </c>
      <c r="C746" s="5">
        <v>105750</v>
      </c>
      <c r="D746" s="6" t="s">
        <v>34</v>
      </c>
      <c r="E746" s="6" t="s">
        <v>17</v>
      </c>
      <c r="F746" s="7">
        <v>36526</v>
      </c>
      <c r="G746" s="8">
        <f t="shared" si="11"/>
        <v>36526</v>
      </c>
      <c r="H746" s="6" t="s">
        <v>13</v>
      </c>
      <c r="I746" s="9">
        <f>MAX(original!I746,piwebapi_edit!I746,car_edit!I746)</f>
        <v>0</v>
      </c>
      <c r="J746" s="9">
        <f>MAX(original!J746,piwebapi_edit!J746,car_edit!J746)</f>
        <v>0</v>
      </c>
      <c r="K746" s="17"/>
    </row>
    <row r="747" spans="1:11" x14ac:dyDescent="0.25">
      <c r="A747" s="3" t="s">
        <v>1514</v>
      </c>
      <c r="B747" s="4" t="s">
        <v>1515</v>
      </c>
      <c r="C747" s="5">
        <v>54581</v>
      </c>
      <c r="D747" s="6" t="s">
        <v>34</v>
      </c>
      <c r="E747" s="6" t="s">
        <v>17</v>
      </c>
      <c r="F747" s="7">
        <v>40311</v>
      </c>
      <c r="G747" s="8">
        <f t="shared" si="11"/>
        <v>40311</v>
      </c>
      <c r="H747" s="6" t="s">
        <v>13</v>
      </c>
      <c r="I747" s="9">
        <f>MAX(original!I747,piwebapi_edit!I747,car_edit!I747)</f>
        <v>0</v>
      </c>
      <c r="J747" s="9">
        <f>MAX(original!J747,piwebapi_edit!J747,car_edit!J747)</f>
        <v>0</v>
      </c>
      <c r="K747" s="17"/>
    </row>
    <row r="748" spans="1:11" x14ac:dyDescent="0.25">
      <c r="A748" s="3" t="s">
        <v>1516</v>
      </c>
      <c r="B748" s="4" t="s">
        <v>1517</v>
      </c>
      <c r="C748" s="5">
        <v>54582</v>
      </c>
      <c r="D748" s="6" t="s">
        <v>34</v>
      </c>
      <c r="E748" s="6" t="s">
        <v>17</v>
      </c>
      <c r="F748" s="7">
        <v>38718</v>
      </c>
      <c r="G748" s="8">
        <f t="shared" si="11"/>
        <v>38718</v>
      </c>
      <c r="H748" s="6" t="s">
        <v>13</v>
      </c>
      <c r="I748" s="9">
        <f>MAX(original!I748,piwebapi_edit!I748,car_edit!I748)</f>
        <v>0</v>
      </c>
      <c r="J748" s="9">
        <f>MAX(original!J748,piwebapi_edit!J748,car_edit!J748)</f>
        <v>0</v>
      </c>
      <c r="K748" s="17"/>
    </row>
    <row r="749" spans="1:11" x14ac:dyDescent="0.25">
      <c r="A749" s="3" t="s">
        <v>1518</v>
      </c>
      <c r="B749" s="4" t="s">
        <v>1519</v>
      </c>
      <c r="C749" s="5">
        <v>54583</v>
      </c>
      <c r="D749" s="6" t="s">
        <v>34</v>
      </c>
      <c r="E749" s="6" t="s">
        <v>17</v>
      </c>
      <c r="F749" s="7">
        <v>38718</v>
      </c>
      <c r="G749" s="8">
        <f t="shared" si="11"/>
        <v>38718</v>
      </c>
      <c r="H749" s="6" t="s">
        <v>13</v>
      </c>
      <c r="I749" s="9">
        <f>MAX(original!I749,piwebapi_edit!I749,car_edit!I749)</f>
        <v>270.64437722149398</v>
      </c>
      <c r="J749" s="9">
        <f>MAX(original!J749,piwebapi_edit!J749,car_edit!J749)</f>
        <v>15.4622944051363</v>
      </c>
      <c r="K749" s="17"/>
    </row>
    <row r="750" spans="1:11" x14ac:dyDescent="0.25">
      <c r="A750" s="3" t="s">
        <v>1520</v>
      </c>
      <c r="B750" s="4" t="s">
        <v>1521</v>
      </c>
      <c r="C750" s="5">
        <v>1157</v>
      </c>
      <c r="D750" s="6" t="s">
        <v>28</v>
      </c>
      <c r="E750" s="6" t="s">
        <v>17</v>
      </c>
      <c r="F750" s="7">
        <v>41699</v>
      </c>
      <c r="G750" s="8">
        <f t="shared" si="11"/>
        <v>41699</v>
      </c>
      <c r="H750" s="6" t="s">
        <v>13</v>
      </c>
      <c r="I750" s="9">
        <f>MAX(original!I750,piwebapi_edit!I750,car_edit!I750)</f>
        <v>28127.325295837298</v>
      </c>
      <c r="J750" s="9">
        <f>MAX(original!J750,piwebapi_edit!J750,car_edit!J750)</f>
        <v>79.894643857510999</v>
      </c>
      <c r="K750" s="17"/>
    </row>
    <row r="751" spans="1:11" x14ac:dyDescent="0.25">
      <c r="A751" s="3" t="s">
        <v>1522</v>
      </c>
      <c r="B751" s="4" t="s">
        <v>1523</v>
      </c>
      <c r="C751" s="14">
        <v>52279</v>
      </c>
      <c r="D751" s="6" t="s">
        <v>37</v>
      </c>
      <c r="E751" s="6" t="s">
        <v>38</v>
      </c>
      <c r="F751" s="7">
        <v>37173</v>
      </c>
      <c r="G751" s="8">
        <f t="shared" si="11"/>
        <v>37173</v>
      </c>
      <c r="H751" s="6" t="s">
        <v>39</v>
      </c>
      <c r="I751" s="9">
        <f>MAX(original!I751,piwebapi_edit!I751,car_edit!I751)</f>
        <v>18539.5361232506</v>
      </c>
      <c r="J751" s="9">
        <f>MAX(original!J751,piwebapi_edit!J751,car_edit!J751)</f>
        <v>708.13329543630402</v>
      </c>
      <c r="K751" s="17"/>
    </row>
    <row r="752" spans="1:11" x14ac:dyDescent="0.25">
      <c r="A752" s="3" t="s">
        <v>1524</v>
      </c>
      <c r="B752" s="4" t="s">
        <v>1525</v>
      </c>
      <c r="C752" s="5">
        <v>1416</v>
      </c>
      <c r="D752" s="6" t="s">
        <v>28</v>
      </c>
      <c r="E752" s="6" t="s">
        <v>17</v>
      </c>
      <c r="F752" s="7">
        <v>19725</v>
      </c>
      <c r="G752" s="8">
        <f t="shared" si="11"/>
        <v>19725</v>
      </c>
      <c r="H752" s="6" t="s">
        <v>13</v>
      </c>
      <c r="I752" s="9">
        <f>MAX(original!I752,piwebapi_edit!I752,car_edit!I752)</f>
        <v>3947.5860847239896</v>
      </c>
      <c r="J752" s="9">
        <f>MAX(original!J752,piwebapi_edit!J752,car_edit!J752)</f>
        <v>9.4565282138992792</v>
      </c>
      <c r="K752" s="17"/>
    </row>
    <row r="753" spans="1:11" x14ac:dyDescent="0.25">
      <c r="A753" s="3" t="s">
        <v>1526</v>
      </c>
      <c r="B753" s="4" t="s">
        <v>1527</v>
      </c>
      <c r="C753" s="5">
        <v>1682</v>
      </c>
      <c r="D753" s="6" t="s">
        <v>28</v>
      </c>
      <c r="E753" s="6" t="s">
        <v>17</v>
      </c>
      <c r="F753" s="7">
        <v>29952</v>
      </c>
      <c r="G753" s="8">
        <f t="shared" si="11"/>
        <v>29952</v>
      </c>
      <c r="H753" s="6" t="s">
        <v>13</v>
      </c>
      <c r="I753" s="9">
        <f>MAX(original!I753,piwebapi_edit!I753,car_edit!I753)</f>
        <v>35653.023830837905</v>
      </c>
      <c r="J753" s="9">
        <f>MAX(original!J753,piwebapi_edit!J753,car_edit!J753)</f>
        <v>352.38616954697699</v>
      </c>
      <c r="K753" s="17"/>
    </row>
    <row r="754" spans="1:11" x14ac:dyDescent="0.25">
      <c r="A754" s="3" t="s">
        <v>1528</v>
      </c>
      <c r="B754" s="4" t="s">
        <v>1529</v>
      </c>
      <c r="C754" s="5">
        <v>1644</v>
      </c>
      <c r="D754" s="6" t="s">
        <v>28</v>
      </c>
      <c r="E754" s="6" t="s">
        <v>17</v>
      </c>
      <c r="F754" s="7">
        <v>35796</v>
      </c>
      <c r="G754" s="8">
        <f t="shared" si="11"/>
        <v>35796</v>
      </c>
      <c r="H754" s="6" t="s">
        <v>13</v>
      </c>
      <c r="I754" s="9">
        <f>MAX(original!I754,piwebapi_edit!I754,car_edit!I754)</f>
        <v>1217.8739307252199</v>
      </c>
      <c r="J754" s="9">
        <f>MAX(original!J754,piwebapi_edit!J754,car_edit!J754)</f>
        <v>62.593457096739201</v>
      </c>
      <c r="K754" s="17"/>
    </row>
    <row r="755" spans="1:11" x14ac:dyDescent="0.25">
      <c r="A755" s="3" t="s">
        <v>1530</v>
      </c>
      <c r="B755" s="4" t="s">
        <v>1531</v>
      </c>
      <c r="C755" s="5">
        <v>1643</v>
      </c>
      <c r="D755" s="6" t="s">
        <v>28</v>
      </c>
      <c r="E755" s="6" t="s">
        <v>17</v>
      </c>
      <c r="F755" s="7">
        <v>34335</v>
      </c>
      <c r="G755" s="8">
        <f t="shared" si="11"/>
        <v>34335</v>
      </c>
      <c r="H755" s="6" t="s">
        <v>13</v>
      </c>
      <c r="I755" s="9">
        <f>MAX(original!I755,piwebapi_edit!I755,car_edit!I755)</f>
        <v>3286.2103853254498</v>
      </c>
      <c r="J755" s="9">
        <f>MAX(original!J755,piwebapi_edit!J755,car_edit!J755)</f>
        <v>450.63959358401598</v>
      </c>
      <c r="K755" s="17"/>
    </row>
    <row r="756" spans="1:11" x14ac:dyDescent="0.25">
      <c r="A756" s="3" t="s">
        <v>1532</v>
      </c>
      <c r="B756" s="4" t="s">
        <v>1533</v>
      </c>
      <c r="C756" s="5">
        <v>1541</v>
      </c>
      <c r="D756" s="6" t="s">
        <v>28</v>
      </c>
      <c r="E756" s="6" t="s">
        <v>17</v>
      </c>
      <c r="F756" s="7">
        <v>36374</v>
      </c>
      <c r="G756" s="8">
        <f t="shared" si="11"/>
        <v>36374</v>
      </c>
      <c r="H756" s="6" t="s">
        <v>13</v>
      </c>
      <c r="I756" s="9">
        <f>MAX(original!I756,piwebapi_edit!I756,car_edit!I756)</f>
        <v>13937.000540889001</v>
      </c>
      <c r="J756" s="9">
        <f>MAX(original!J756,piwebapi_edit!J756,car_edit!J756)</f>
        <v>125.44613369273</v>
      </c>
      <c r="K756" s="17"/>
    </row>
    <row r="757" spans="1:11" x14ac:dyDescent="0.25">
      <c r="A757" s="3" t="s">
        <v>1534</v>
      </c>
      <c r="B757" s="4" t="s">
        <v>1535</v>
      </c>
      <c r="C757" s="5">
        <v>72118</v>
      </c>
      <c r="D757" s="6" t="s">
        <v>28</v>
      </c>
      <c r="E757" s="6" t="s">
        <v>17</v>
      </c>
      <c r="F757" s="7">
        <v>39238</v>
      </c>
      <c r="G757" s="8">
        <f t="shared" si="11"/>
        <v>39238</v>
      </c>
      <c r="H757" s="6" t="s">
        <v>13</v>
      </c>
      <c r="I757" s="9">
        <f>MAX(original!I757,piwebapi_edit!I757,car_edit!I757)</f>
        <v>16158.698711180899</v>
      </c>
      <c r="J757" s="9">
        <f>MAX(original!J757,piwebapi_edit!J757,car_edit!J757)</f>
        <v>407.141624905838</v>
      </c>
      <c r="K757" s="17"/>
    </row>
    <row r="758" spans="1:11" x14ac:dyDescent="0.25">
      <c r="A758" s="3" t="s">
        <v>1536</v>
      </c>
      <c r="B758" s="4" t="s">
        <v>1537</v>
      </c>
      <c r="C758" s="5">
        <v>27922</v>
      </c>
      <c r="D758" s="6" t="s">
        <v>28</v>
      </c>
      <c r="E758" s="6" t="s">
        <v>17</v>
      </c>
      <c r="F758" s="7">
        <v>29074</v>
      </c>
      <c r="G758" s="8">
        <f t="shared" si="11"/>
        <v>29074</v>
      </c>
      <c r="H758" s="6" t="s">
        <v>13</v>
      </c>
      <c r="I758" s="9">
        <f>MAX(original!I758,piwebapi_edit!I758,car_edit!I758)</f>
        <v>66297.223481535097</v>
      </c>
      <c r="J758" s="9">
        <f>MAX(original!J758,piwebapi_edit!J758,car_edit!J758)</f>
        <v>179.92536430709399</v>
      </c>
      <c r="K758" s="17"/>
    </row>
    <row r="759" spans="1:11" x14ac:dyDescent="0.25">
      <c r="A759" s="3" t="s">
        <v>1538</v>
      </c>
      <c r="B759" s="4" t="s">
        <v>1539</v>
      </c>
      <c r="C759" s="14">
        <v>52897</v>
      </c>
      <c r="D759" s="6" t="s">
        <v>11</v>
      </c>
      <c r="E759" s="6" t="s">
        <v>17</v>
      </c>
      <c r="F759" s="7">
        <v>39125</v>
      </c>
      <c r="G759" s="8">
        <f t="shared" si="11"/>
        <v>39125</v>
      </c>
      <c r="H759" s="6" t="s">
        <v>13</v>
      </c>
      <c r="I759" s="9">
        <f>MAX(original!I759,piwebapi_edit!I759,car_edit!I759)</f>
        <v>94830.0335376125</v>
      </c>
      <c r="J759" s="9">
        <f>MAX(original!J759,piwebapi_edit!J759,car_edit!J759)</f>
        <v>659.69237641809502</v>
      </c>
      <c r="K759" s="17"/>
    </row>
    <row r="760" spans="1:11" x14ac:dyDescent="0.25">
      <c r="A760" s="3" t="s">
        <v>1540</v>
      </c>
      <c r="B760" s="4" t="s">
        <v>1541</v>
      </c>
      <c r="C760" s="5">
        <v>72117</v>
      </c>
      <c r="D760" s="6" t="s">
        <v>11</v>
      </c>
      <c r="E760" s="6" t="s">
        <v>17</v>
      </c>
      <c r="F760" s="7">
        <v>39175</v>
      </c>
      <c r="G760" s="8">
        <f t="shared" si="11"/>
        <v>39175</v>
      </c>
      <c r="H760" s="6" t="s">
        <v>13</v>
      </c>
      <c r="I760" s="9">
        <f>MAX(original!I760,piwebapi_edit!I760,car_edit!I760)</f>
        <v>18017.6039793243</v>
      </c>
      <c r="J760" s="9">
        <f>MAX(original!J760,piwebapi_edit!J760,car_edit!J760)</f>
        <v>99.505098174432106</v>
      </c>
      <c r="K760" s="17"/>
    </row>
    <row r="761" spans="1:11" x14ac:dyDescent="0.25">
      <c r="A761" s="3" t="s">
        <v>1542</v>
      </c>
      <c r="B761" s="4" t="s">
        <v>1543</v>
      </c>
      <c r="C761" s="5">
        <v>1967</v>
      </c>
      <c r="D761" s="6" t="s">
        <v>16</v>
      </c>
      <c r="E761" s="6" t="s">
        <v>17</v>
      </c>
      <c r="F761" s="7">
        <v>18264</v>
      </c>
      <c r="G761" s="8">
        <f t="shared" si="11"/>
        <v>18264</v>
      </c>
      <c r="H761" s="6" t="s">
        <v>13</v>
      </c>
      <c r="I761" s="9">
        <f>MAX(original!I761,piwebapi_edit!I761,car_edit!I761)</f>
        <v>5027.6185050229806</v>
      </c>
      <c r="J761" s="9">
        <f>MAX(original!J761,piwebapi_edit!J761,car_edit!J761)</f>
        <v>64.294568208074907</v>
      </c>
      <c r="K761" s="17"/>
    </row>
    <row r="762" spans="1:11" x14ac:dyDescent="0.25">
      <c r="A762" s="3" t="s">
        <v>1544</v>
      </c>
      <c r="B762" s="4" t="s">
        <v>1545</v>
      </c>
      <c r="C762" s="5">
        <v>1981</v>
      </c>
      <c r="D762" s="6" t="s">
        <v>34</v>
      </c>
      <c r="E762" s="6" t="s">
        <v>17</v>
      </c>
      <c r="F762" s="7">
        <v>18264</v>
      </c>
      <c r="G762" s="8">
        <f t="shared" si="11"/>
        <v>18264</v>
      </c>
      <c r="H762" s="6" t="s">
        <v>13</v>
      </c>
      <c r="I762" s="9">
        <f>MAX(original!I762,piwebapi_edit!I762,car_edit!I762)</f>
        <v>1208.3504791299999</v>
      </c>
      <c r="J762" s="9">
        <f>MAX(original!J762,piwebapi_edit!J762,car_edit!J762)</f>
        <v>56.7255224649479</v>
      </c>
      <c r="K762" s="17"/>
    </row>
    <row r="763" spans="1:11" x14ac:dyDescent="0.25">
      <c r="A763" s="3" t="s">
        <v>1546</v>
      </c>
      <c r="B763" s="4" t="s">
        <v>1547</v>
      </c>
      <c r="C763" s="14">
        <v>1602</v>
      </c>
      <c r="D763" s="6" t="s">
        <v>34</v>
      </c>
      <c r="E763" s="6" t="s">
        <v>17</v>
      </c>
      <c r="F763" s="7">
        <v>31048</v>
      </c>
      <c r="G763" s="8">
        <f t="shared" si="11"/>
        <v>31048</v>
      </c>
      <c r="H763" s="6" t="s">
        <v>13</v>
      </c>
      <c r="I763" s="9">
        <f>MAX(original!I763,piwebapi_edit!I763,car_edit!I763)</f>
        <v>496694.57</v>
      </c>
      <c r="J763" s="9">
        <f>MAX(original!J763,piwebapi_edit!J763,car_edit!J763)</f>
        <v>2300</v>
      </c>
      <c r="K763" s="17"/>
    </row>
    <row r="764" spans="1:11" x14ac:dyDescent="0.25">
      <c r="A764" s="3" t="s">
        <v>1548</v>
      </c>
      <c r="B764" s="4" t="s">
        <v>1549</v>
      </c>
      <c r="C764" s="5">
        <v>63777</v>
      </c>
      <c r="D764" s="6" t="s">
        <v>11</v>
      </c>
      <c r="E764" s="6" t="s">
        <v>12</v>
      </c>
      <c r="F764" s="7">
        <v>38871</v>
      </c>
      <c r="G764" s="8">
        <f t="shared" si="11"/>
        <v>38871</v>
      </c>
      <c r="H764" s="6" t="s">
        <v>39</v>
      </c>
      <c r="I764" s="9">
        <f>MAX(original!I764,piwebapi_edit!I764,car_edit!I764)</f>
        <v>33790.352640639001</v>
      </c>
      <c r="J764" s="9">
        <f>MAX(original!J764,piwebapi_edit!J764,car_edit!J764)</f>
        <v>213.059698406172</v>
      </c>
      <c r="K764" s="17"/>
    </row>
    <row r="765" spans="1:11" x14ac:dyDescent="0.25">
      <c r="A765" s="3" t="s">
        <v>1550</v>
      </c>
      <c r="B765" s="4" t="s">
        <v>1551</v>
      </c>
      <c r="C765" s="14">
        <v>1924</v>
      </c>
      <c r="D765" s="6" t="s">
        <v>31</v>
      </c>
      <c r="E765" s="6" t="s">
        <v>17</v>
      </c>
      <c r="F765" s="7">
        <v>35728</v>
      </c>
      <c r="G765" s="8">
        <f t="shared" si="11"/>
        <v>35728</v>
      </c>
      <c r="H765" s="6" t="s">
        <v>13</v>
      </c>
      <c r="I765" s="9">
        <f>MAX(original!I765,piwebapi_edit!I765,car_edit!I765)</f>
        <v>24962.9460401904</v>
      </c>
      <c r="J765" s="9">
        <f>MAX(original!J765,piwebapi_edit!J765,car_edit!J765)</f>
        <v>179.415407177883</v>
      </c>
      <c r="K765" s="17"/>
    </row>
    <row r="766" spans="1:11" x14ac:dyDescent="0.25">
      <c r="A766" s="3" t="s">
        <v>1552</v>
      </c>
      <c r="B766" s="4" t="s">
        <v>1553</v>
      </c>
      <c r="C766" s="5">
        <v>14729</v>
      </c>
      <c r="D766" s="6" t="s">
        <v>31</v>
      </c>
      <c r="E766" s="6" t="s">
        <v>17</v>
      </c>
      <c r="F766" s="7">
        <v>28823</v>
      </c>
      <c r="G766" s="8">
        <f t="shared" si="11"/>
        <v>28823</v>
      </c>
      <c r="H766" s="6" t="s">
        <v>13</v>
      </c>
      <c r="I766" s="9">
        <f>MAX(original!I766,piwebapi_edit!I766,car_edit!I766)</f>
        <v>29916.761090681499</v>
      </c>
      <c r="J766" s="9">
        <f>MAX(original!J766,piwebapi_edit!J766,car_edit!J766)</f>
        <v>388.54891120990999</v>
      </c>
      <c r="K766" s="17"/>
    </row>
    <row r="767" spans="1:11" x14ac:dyDescent="0.25">
      <c r="A767" s="3" t="s">
        <v>1554</v>
      </c>
      <c r="B767" s="4" t="s">
        <v>1555</v>
      </c>
      <c r="C767" s="5">
        <v>23361</v>
      </c>
      <c r="D767" s="6" t="s">
        <v>34</v>
      </c>
      <c r="E767" s="6" t="s">
        <v>17</v>
      </c>
      <c r="F767" s="7">
        <v>38670</v>
      </c>
      <c r="G767" s="8">
        <f t="shared" si="11"/>
        <v>38670</v>
      </c>
      <c r="H767" s="6" t="s">
        <v>13</v>
      </c>
      <c r="I767" s="9">
        <f>MAX(original!I767,piwebapi_edit!I767,car_edit!I767)</f>
        <v>6603.7866103382203</v>
      </c>
      <c r="J767" s="9">
        <f>MAX(original!J767,piwebapi_edit!J767,car_edit!J767)</f>
        <v>90.784109863760506</v>
      </c>
      <c r="K767" s="17"/>
    </row>
    <row r="768" spans="1:11" x14ac:dyDescent="0.25">
      <c r="A768" s="3" t="s">
        <v>1556</v>
      </c>
      <c r="B768" s="4" t="s">
        <v>1557</v>
      </c>
      <c r="C768" s="5">
        <v>16655</v>
      </c>
      <c r="D768" s="6" t="s">
        <v>31</v>
      </c>
      <c r="E768" s="6" t="s">
        <v>17</v>
      </c>
      <c r="F768" s="7">
        <v>30503</v>
      </c>
      <c r="G768" s="8">
        <f t="shared" si="11"/>
        <v>30503</v>
      </c>
      <c r="H768" s="6" t="s">
        <v>13</v>
      </c>
      <c r="I768" s="9">
        <f>MAX(original!I768,piwebapi_edit!I768,car_edit!I768)</f>
        <v>11441.633180155999</v>
      </c>
      <c r="J768" s="9">
        <f>MAX(original!J768,piwebapi_edit!J768,car_edit!J768)</f>
        <v>101.542356937346</v>
      </c>
      <c r="K768" s="17"/>
    </row>
    <row r="769" spans="1:11" x14ac:dyDescent="0.25">
      <c r="A769" s="3" t="s">
        <v>1558</v>
      </c>
      <c r="B769" s="4" t="s">
        <v>1559</v>
      </c>
      <c r="C769" s="5">
        <v>52915</v>
      </c>
      <c r="D769" s="6" t="s">
        <v>28</v>
      </c>
      <c r="E769" s="6" t="s">
        <v>508</v>
      </c>
      <c r="F769" s="7">
        <v>39003</v>
      </c>
      <c r="G769" s="8">
        <f t="shared" si="11"/>
        <v>39003</v>
      </c>
      <c r="H769" s="6" t="s">
        <v>509</v>
      </c>
      <c r="I769" s="9">
        <f>MAX(original!I769,piwebapi_edit!I769,car_edit!I769)</f>
        <v>71491.324865676012</v>
      </c>
      <c r="J769" s="9">
        <f>MAX(original!J769,piwebapi_edit!J769,car_edit!J769)</f>
        <v>585.52200936057602</v>
      </c>
      <c r="K769" s="17"/>
    </row>
    <row r="770" spans="1:11" x14ac:dyDescent="0.25">
      <c r="A770" s="3" t="s">
        <v>1560</v>
      </c>
      <c r="B770" s="4" t="s">
        <v>1561</v>
      </c>
      <c r="C770" s="5">
        <v>30615</v>
      </c>
      <c r="D770" s="6" t="s">
        <v>28</v>
      </c>
      <c r="E770" s="6" t="s">
        <v>508</v>
      </c>
      <c r="F770" s="7">
        <v>38460</v>
      </c>
      <c r="G770" s="8">
        <f t="shared" ref="G770:G833" si="12">F770</f>
        <v>38460</v>
      </c>
      <c r="H770" s="6" t="s">
        <v>509</v>
      </c>
      <c r="I770" s="9">
        <f>MAX(original!I770,piwebapi_edit!I770,car_edit!I770)</f>
        <v>35562.890304505498</v>
      </c>
      <c r="J770" s="9">
        <f>MAX(original!J770,piwebapi_edit!J770,car_edit!J770)</f>
        <v>459.46445127648099</v>
      </c>
      <c r="K770" s="17"/>
    </row>
    <row r="771" spans="1:11" x14ac:dyDescent="0.25">
      <c r="A771" s="3" t="s">
        <v>1562</v>
      </c>
      <c r="B771" s="4" t="s">
        <v>1563</v>
      </c>
      <c r="C771" s="14">
        <v>30616</v>
      </c>
      <c r="D771" s="6" t="s">
        <v>28</v>
      </c>
      <c r="E771" s="6" t="s">
        <v>508</v>
      </c>
      <c r="F771" s="7">
        <v>40443</v>
      </c>
      <c r="G771" s="8">
        <f t="shared" si="12"/>
        <v>40443</v>
      </c>
      <c r="H771" s="6" t="s">
        <v>509</v>
      </c>
      <c r="I771" s="9">
        <f>MAX(original!I771,piwebapi_edit!I771,car_edit!I771)</f>
        <v>10453.0520077029</v>
      </c>
      <c r="J771" s="9">
        <f>MAX(original!J771,piwebapi_edit!J771,car_edit!J771)</f>
        <v>335.93970555966399</v>
      </c>
      <c r="K771" s="17"/>
    </row>
    <row r="772" spans="1:11" ht="30" x14ac:dyDescent="0.25">
      <c r="A772" s="18" t="s">
        <v>1564</v>
      </c>
      <c r="B772" s="19" t="s">
        <v>1565</v>
      </c>
      <c r="C772" s="20">
        <v>54584</v>
      </c>
      <c r="D772" s="21" t="s">
        <v>11</v>
      </c>
      <c r="E772" s="21" t="s">
        <v>12</v>
      </c>
      <c r="F772" s="22">
        <v>39518</v>
      </c>
      <c r="G772" s="23">
        <f t="shared" si="12"/>
        <v>39518</v>
      </c>
      <c r="H772" s="21" t="s">
        <v>39</v>
      </c>
      <c r="I772" s="9">
        <f>MAX(original!I772,piwebapi_edit!I772,car_edit!I772)</f>
        <v>31027.458762251099</v>
      </c>
      <c r="J772" s="9">
        <f>MAX(original!J772,piwebapi_edit!J772,car_edit!J772)</f>
        <v>278.33249983879898</v>
      </c>
      <c r="K772" s="25"/>
    </row>
    <row r="773" spans="1:11" x14ac:dyDescent="0.25">
      <c r="A773" s="3" t="s">
        <v>1566</v>
      </c>
      <c r="B773" s="4" t="s">
        <v>1567</v>
      </c>
      <c r="C773" s="5">
        <v>55137</v>
      </c>
      <c r="D773" s="6" t="s">
        <v>11</v>
      </c>
      <c r="E773" s="6" t="s">
        <v>12</v>
      </c>
      <c r="F773" s="7">
        <v>39085</v>
      </c>
      <c r="G773" s="8">
        <f t="shared" si="12"/>
        <v>39085</v>
      </c>
      <c r="H773" s="6" t="s">
        <v>39</v>
      </c>
      <c r="I773" s="9">
        <f>MAX(original!I773,piwebapi_edit!I773,car_edit!I773)</f>
        <v>20106.3333981877</v>
      </c>
      <c r="J773" s="9">
        <f>MAX(original!J773,piwebapi_edit!J773,car_edit!J773)</f>
        <v>85.893217421761094</v>
      </c>
      <c r="K773" s="17"/>
    </row>
    <row r="774" spans="1:11" x14ac:dyDescent="0.25">
      <c r="A774" s="3" t="s">
        <v>1568</v>
      </c>
      <c r="B774" s="4" t="s">
        <v>1569</v>
      </c>
      <c r="C774" s="5">
        <v>54609</v>
      </c>
      <c r="D774" s="6" t="s">
        <v>28</v>
      </c>
      <c r="E774" s="6" t="s">
        <v>17</v>
      </c>
      <c r="F774" s="7">
        <v>38959</v>
      </c>
      <c r="G774" s="8">
        <f t="shared" si="12"/>
        <v>38959</v>
      </c>
      <c r="H774" s="6" t="s">
        <v>13</v>
      </c>
      <c r="I774" s="9">
        <f>MAX(original!I774,piwebapi_edit!I774,car_edit!I774)</f>
        <v>19247.091339492901</v>
      </c>
      <c r="J774" s="9">
        <f>MAX(original!J774,piwebapi_edit!J774,car_edit!J774)</f>
        <v>489.27361008205202</v>
      </c>
      <c r="K774" s="17"/>
    </row>
    <row r="775" spans="1:11" x14ac:dyDescent="0.25">
      <c r="A775" s="3" t="s">
        <v>1570</v>
      </c>
      <c r="B775" s="4" t="s">
        <v>1571</v>
      </c>
      <c r="C775" s="5">
        <v>1536</v>
      </c>
      <c r="D775" s="6" t="s">
        <v>34</v>
      </c>
      <c r="E775" s="6" t="s">
        <v>17</v>
      </c>
      <c r="F775" s="7">
        <v>33970</v>
      </c>
      <c r="G775" s="8">
        <f t="shared" si="12"/>
        <v>33970</v>
      </c>
      <c r="H775" s="6" t="s">
        <v>13</v>
      </c>
      <c r="I775" s="9">
        <f>MAX(original!I775,piwebapi_edit!I775,car_edit!I775)</f>
        <v>1437.6338637966101</v>
      </c>
      <c r="J775" s="9">
        <f>MAX(original!J775,piwebapi_edit!J775,car_edit!J775)</f>
        <v>261.93875418521998</v>
      </c>
      <c r="K775" s="17"/>
    </row>
    <row r="776" spans="1:11" x14ac:dyDescent="0.25">
      <c r="A776" s="3" t="s">
        <v>1572</v>
      </c>
      <c r="B776" s="4" t="s">
        <v>1573</v>
      </c>
      <c r="C776" s="5">
        <v>1837</v>
      </c>
      <c r="D776" s="6" t="s">
        <v>16</v>
      </c>
      <c r="E776" s="6" t="s">
        <v>17</v>
      </c>
      <c r="F776" s="7">
        <v>27760</v>
      </c>
      <c r="G776" s="8">
        <f t="shared" si="12"/>
        <v>27760</v>
      </c>
      <c r="H776" s="6" t="s">
        <v>13</v>
      </c>
      <c r="I776" s="9">
        <f>MAX(original!I776,piwebapi_edit!I776,car_edit!I776)</f>
        <v>16606.345591972</v>
      </c>
      <c r="J776" s="9">
        <f>MAX(original!J776,piwebapi_edit!J776,car_edit!J776)</f>
        <v>353.77166989444498</v>
      </c>
      <c r="K776" s="17"/>
    </row>
    <row r="777" spans="1:11" x14ac:dyDescent="0.25">
      <c r="A777" s="3" t="s">
        <v>1574</v>
      </c>
      <c r="B777" s="4" t="s">
        <v>1575</v>
      </c>
      <c r="C777" s="5">
        <v>18884</v>
      </c>
      <c r="D777" s="6" t="s">
        <v>16</v>
      </c>
      <c r="E777" s="6" t="s">
        <v>17</v>
      </c>
      <c r="F777" s="7">
        <v>29073</v>
      </c>
      <c r="G777" s="8">
        <f t="shared" si="12"/>
        <v>29073</v>
      </c>
      <c r="H777" s="6" t="s">
        <v>13</v>
      </c>
      <c r="I777" s="9">
        <f>MAX(original!I777,piwebapi_edit!I777,car_edit!I777)</f>
        <v>39671.881071039403</v>
      </c>
      <c r="J777" s="9">
        <f>MAX(original!J777,piwebapi_edit!J777,car_edit!J777)</f>
        <v>355.52163865295603</v>
      </c>
      <c r="K777" s="17"/>
    </row>
    <row r="778" spans="1:11" x14ac:dyDescent="0.25">
      <c r="A778" s="3" t="s">
        <v>1576</v>
      </c>
      <c r="B778" s="4" t="s">
        <v>1577</v>
      </c>
      <c r="C778" s="5">
        <v>54610</v>
      </c>
      <c r="D778" s="6" t="s">
        <v>16</v>
      </c>
      <c r="E778" s="6" t="s">
        <v>17</v>
      </c>
      <c r="F778" s="7">
        <v>36199</v>
      </c>
      <c r="G778" s="8">
        <f t="shared" si="12"/>
        <v>36199</v>
      </c>
      <c r="H778" s="6" t="s">
        <v>13</v>
      </c>
      <c r="I778" s="9">
        <f>MAX(original!I778,piwebapi_edit!I778,car_edit!I778)</f>
        <v>15308.347460121</v>
      </c>
      <c r="J778" s="9">
        <f>MAX(original!J778,piwebapi_edit!J778,car_edit!J778)</f>
        <v>138.84942022940001</v>
      </c>
      <c r="K778" s="17"/>
    </row>
    <row r="779" spans="1:11" x14ac:dyDescent="0.25">
      <c r="A779" s="3" t="s">
        <v>1578</v>
      </c>
      <c r="B779" s="4" t="s">
        <v>1579</v>
      </c>
      <c r="C779" s="5">
        <v>1622</v>
      </c>
      <c r="D779" s="6" t="s">
        <v>16</v>
      </c>
      <c r="E779" s="6" t="s">
        <v>17</v>
      </c>
      <c r="F779" s="7">
        <v>36199</v>
      </c>
      <c r="G779" s="8">
        <f t="shared" si="12"/>
        <v>36199</v>
      </c>
      <c r="H779" s="6" t="s">
        <v>13</v>
      </c>
      <c r="I779" s="9">
        <f>MAX(original!I779,piwebapi_edit!I779,car_edit!I779)</f>
        <v>53411.538577447303</v>
      </c>
      <c r="J779" s="9">
        <f>MAX(original!J779,piwebapi_edit!J779,car_edit!J779)</f>
        <v>370.44492250839698</v>
      </c>
      <c r="K779" s="17"/>
    </row>
    <row r="780" spans="1:11" x14ac:dyDescent="0.25">
      <c r="A780" s="3" t="s">
        <v>1580</v>
      </c>
      <c r="B780" s="4" t="s">
        <v>1581</v>
      </c>
      <c r="C780" s="14">
        <v>2023</v>
      </c>
      <c r="D780" s="6" t="s">
        <v>16</v>
      </c>
      <c r="E780" s="6" t="s">
        <v>17</v>
      </c>
      <c r="F780" s="7">
        <v>29221</v>
      </c>
      <c r="G780" s="8">
        <f t="shared" si="12"/>
        <v>29221</v>
      </c>
      <c r="H780" s="6" t="s">
        <v>13</v>
      </c>
      <c r="I780" s="9">
        <f>MAX(original!I780,piwebapi_edit!I780,car_edit!I780)</f>
        <v>97401.820010234209</v>
      </c>
      <c r="J780" s="9">
        <f>MAX(original!J780,piwebapi_edit!J780,car_edit!J780)</f>
        <v>756.88789720157001</v>
      </c>
      <c r="K780" s="17"/>
    </row>
    <row r="781" spans="1:11" x14ac:dyDescent="0.25">
      <c r="A781" s="3" t="s">
        <v>1582</v>
      </c>
      <c r="B781" s="4" t="s">
        <v>1583</v>
      </c>
      <c r="C781" s="5">
        <v>10889</v>
      </c>
      <c r="D781" s="6" t="s">
        <v>28</v>
      </c>
      <c r="E781" s="6" t="s">
        <v>17</v>
      </c>
      <c r="F781" s="7">
        <v>37889</v>
      </c>
      <c r="G781" s="8">
        <f t="shared" si="12"/>
        <v>37889</v>
      </c>
      <c r="H781" s="6" t="s">
        <v>13</v>
      </c>
      <c r="I781" s="9">
        <f>MAX(original!I781,piwebapi_edit!I781,car_edit!I781)</f>
        <v>14214.2875512265</v>
      </c>
      <c r="J781" s="9">
        <f>MAX(original!J781,piwebapi_edit!J781,car_edit!J781)</f>
        <v>549.19787374268901</v>
      </c>
      <c r="K781" s="17"/>
    </row>
    <row r="782" spans="1:11" x14ac:dyDescent="0.25">
      <c r="A782" s="3" t="s">
        <v>1584</v>
      </c>
      <c r="B782" s="4" t="s">
        <v>1585</v>
      </c>
      <c r="C782" s="5">
        <v>67617</v>
      </c>
      <c r="D782" s="6" t="s">
        <v>28</v>
      </c>
      <c r="E782" s="6" t="s">
        <v>17</v>
      </c>
      <c r="F782" s="7">
        <v>39685</v>
      </c>
      <c r="G782" s="8">
        <f t="shared" si="12"/>
        <v>39685</v>
      </c>
      <c r="H782" s="6" t="s">
        <v>13</v>
      </c>
      <c r="I782" s="9">
        <f>MAX(original!I782,piwebapi_edit!I782,car_edit!I782)</f>
        <v>89275.381643536311</v>
      </c>
      <c r="J782" s="9">
        <f>MAX(original!J782,piwebapi_edit!J782,car_edit!J782)</f>
        <v>2174.6919592304198</v>
      </c>
      <c r="K782" s="17"/>
    </row>
    <row r="783" spans="1:11" x14ac:dyDescent="0.25">
      <c r="A783" s="3" t="s">
        <v>1586</v>
      </c>
      <c r="B783" s="4" t="s">
        <v>1587</v>
      </c>
      <c r="C783" s="5">
        <v>9923</v>
      </c>
      <c r="D783" s="6" t="s">
        <v>16</v>
      </c>
      <c r="E783" s="6" t="s">
        <v>17</v>
      </c>
      <c r="F783" s="7">
        <v>37209</v>
      </c>
      <c r="G783" s="8">
        <f t="shared" si="12"/>
        <v>37209</v>
      </c>
      <c r="H783" s="6" t="s">
        <v>13</v>
      </c>
      <c r="I783" s="9">
        <f>MAX(original!I783,piwebapi_edit!I783,car_edit!I783)</f>
        <v>3253.3187258340399</v>
      </c>
      <c r="J783" s="9">
        <f>MAX(original!J783,piwebapi_edit!J783,car_edit!J783)</f>
        <v>332.57233207138103</v>
      </c>
      <c r="K783" s="17"/>
    </row>
    <row r="784" spans="1:11" x14ac:dyDescent="0.25">
      <c r="A784" s="3" t="s">
        <v>1588</v>
      </c>
      <c r="B784" s="4" t="s">
        <v>1589</v>
      </c>
      <c r="C784" s="5">
        <v>1311</v>
      </c>
      <c r="D784" s="6" t="s">
        <v>16</v>
      </c>
      <c r="E784" s="6" t="s">
        <v>17</v>
      </c>
      <c r="F784" s="7">
        <v>27395</v>
      </c>
      <c r="G784" s="8">
        <f t="shared" si="12"/>
        <v>27395</v>
      </c>
      <c r="H784" s="6" t="s">
        <v>13</v>
      </c>
      <c r="I784" s="9">
        <f>MAX(original!I784,piwebapi_edit!I784,car_edit!I784)</f>
        <v>12266.013099399799</v>
      </c>
      <c r="J784" s="9">
        <f>MAX(original!J784,piwebapi_edit!J784,car_edit!J784)</f>
        <v>87.9741985335599</v>
      </c>
      <c r="K784" s="17"/>
    </row>
    <row r="785" spans="1:11" x14ac:dyDescent="0.25">
      <c r="A785" s="3" t="s">
        <v>1590</v>
      </c>
      <c r="B785" s="4" t="s">
        <v>1591</v>
      </c>
      <c r="C785" s="5">
        <v>207527</v>
      </c>
      <c r="D785" s="6" t="s">
        <v>16</v>
      </c>
      <c r="E785" s="6" t="s">
        <v>17</v>
      </c>
      <c r="F785" s="7">
        <v>32143</v>
      </c>
      <c r="G785" s="8">
        <f t="shared" si="12"/>
        <v>32143</v>
      </c>
      <c r="H785" s="6" t="s">
        <v>13</v>
      </c>
      <c r="I785" s="9">
        <f>MAX(original!I785,piwebapi_edit!I785,car_edit!I785)</f>
        <v>7956.9760707806799</v>
      </c>
      <c r="J785" s="9">
        <f>MAX(original!J785,piwebapi_edit!J785,car_edit!J785)</f>
        <v>54.891818318540601</v>
      </c>
      <c r="K785" s="17"/>
    </row>
    <row r="786" spans="1:11" x14ac:dyDescent="0.25">
      <c r="A786" s="3" t="s">
        <v>1592</v>
      </c>
      <c r="B786" s="4" t="s">
        <v>1593</v>
      </c>
      <c r="C786" s="5">
        <v>1127</v>
      </c>
      <c r="D786" s="6" t="s">
        <v>16</v>
      </c>
      <c r="E786" s="6" t="s">
        <v>17</v>
      </c>
      <c r="F786" s="7">
        <v>25569</v>
      </c>
      <c r="G786" s="8">
        <f t="shared" si="12"/>
        <v>25569</v>
      </c>
      <c r="H786" s="6" t="s">
        <v>13</v>
      </c>
      <c r="I786" s="9">
        <f>MAX(original!I786,piwebapi_edit!I786,car_edit!I786)</f>
        <v>21479.706624537201</v>
      </c>
      <c r="J786" s="9">
        <f>MAX(original!J786,piwebapi_edit!J786,car_edit!J786)</f>
        <v>320.26188988959399</v>
      </c>
      <c r="K786" s="17"/>
    </row>
    <row r="787" spans="1:11" x14ac:dyDescent="0.25">
      <c r="A787" s="3" t="s">
        <v>1594</v>
      </c>
      <c r="B787" s="4" t="s">
        <v>1595</v>
      </c>
      <c r="C787" s="14">
        <v>1123</v>
      </c>
      <c r="D787" s="6" t="s">
        <v>16</v>
      </c>
      <c r="E787" s="6" t="s">
        <v>17</v>
      </c>
      <c r="F787" s="7">
        <v>31048</v>
      </c>
      <c r="G787" s="8">
        <f t="shared" si="12"/>
        <v>31048</v>
      </c>
      <c r="H787" s="6" t="s">
        <v>13</v>
      </c>
      <c r="I787" s="9">
        <f>MAX(original!I787,piwebapi_edit!I787,car_edit!I787)</f>
        <v>313188.31</v>
      </c>
      <c r="J787" s="9">
        <f>MAX(original!J787,piwebapi_edit!J787,car_edit!J787)</f>
        <v>1370</v>
      </c>
      <c r="K787" s="17"/>
    </row>
    <row r="788" spans="1:11" x14ac:dyDescent="0.25">
      <c r="A788" s="3" t="s">
        <v>1596</v>
      </c>
      <c r="B788" s="4" t="s">
        <v>1597</v>
      </c>
      <c r="C788" s="5">
        <v>9282</v>
      </c>
      <c r="D788" s="6" t="s">
        <v>28</v>
      </c>
      <c r="E788" s="6" t="s">
        <v>17</v>
      </c>
      <c r="F788" s="7">
        <v>37455</v>
      </c>
      <c r="G788" s="8">
        <f t="shared" si="12"/>
        <v>37455</v>
      </c>
      <c r="H788" s="6" t="s">
        <v>13</v>
      </c>
      <c r="I788" s="9">
        <f>MAX(original!I788,piwebapi_edit!I788,car_edit!I788)</f>
        <v>5120.5462048600002</v>
      </c>
      <c r="J788" s="9">
        <f>MAX(original!J788,piwebapi_edit!J788,car_edit!J788)</f>
        <v>140.934926992529</v>
      </c>
      <c r="K788" s="17"/>
    </row>
    <row r="789" spans="1:11" x14ac:dyDescent="0.25">
      <c r="A789" s="3" t="s">
        <v>1598</v>
      </c>
      <c r="B789" s="4" t="s">
        <v>1599</v>
      </c>
      <c r="C789" s="5">
        <v>9283</v>
      </c>
      <c r="D789" s="6" t="s">
        <v>28</v>
      </c>
      <c r="E789" s="6" t="s">
        <v>17</v>
      </c>
      <c r="F789" s="7">
        <v>37180</v>
      </c>
      <c r="G789" s="8">
        <f t="shared" si="12"/>
        <v>37180</v>
      </c>
      <c r="H789" s="6" t="s">
        <v>13</v>
      </c>
      <c r="I789" s="9">
        <f>MAX(original!I789,piwebapi_edit!I789,car_edit!I789)</f>
        <v>14371.603619301</v>
      </c>
      <c r="J789" s="9">
        <f>MAX(original!J789,piwebapi_edit!J789,car_edit!J789)</f>
        <v>82.583303531647203</v>
      </c>
      <c r="K789" s="17"/>
    </row>
    <row r="790" spans="1:11" x14ac:dyDescent="0.25">
      <c r="A790" s="3" t="s">
        <v>1600</v>
      </c>
      <c r="B790" s="4" t="s">
        <v>1601</v>
      </c>
      <c r="C790" s="5">
        <v>1685</v>
      </c>
      <c r="D790" s="6" t="s">
        <v>28</v>
      </c>
      <c r="E790" s="6" t="s">
        <v>17</v>
      </c>
      <c r="F790" s="7">
        <v>29221</v>
      </c>
      <c r="G790" s="8">
        <f t="shared" si="12"/>
        <v>29221</v>
      </c>
      <c r="H790" s="6" t="s">
        <v>13</v>
      </c>
      <c r="I790" s="9">
        <f>MAX(original!I790,piwebapi_edit!I790,car_edit!I790)</f>
        <v>594.64791652431904</v>
      </c>
      <c r="J790" s="9">
        <f>MAX(original!J790,piwebapi_edit!J790,car_edit!J790)</f>
        <v>35.2933953346744</v>
      </c>
      <c r="K790" s="17"/>
    </row>
    <row r="791" spans="1:11" x14ac:dyDescent="0.25">
      <c r="A791" s="3" t="s">
        <v>1602</v>
      </c>
      <c r="B791" s="4" t="s">
        <v>1603</v>
      </c>
      <c r="C791" s="5">
        <v>1254</v>
      </c>
      <c r="D791" s="6" t="s">
        <v>28</v>
      </c>
      <c r="E791" s="6" t="s">
        <v>17</v>
      </c>
      <c r="F791" s="7">
        <v>29952</v>
      </c>
      <c r="G791" s="8">
        <f t="shared" si="12"/>
        <v>29952</v>
      </c>
      <c r="H791" s="6" t="s">
        <v>13</v>
      </c>
      <c r="I791" s="9">
        <f>MAX(original!I791,piwebapi_edit!I791,car_edit!I791)</f>
        <v>21255.751465153899</v>
      </c>
      <c r="J791" s="9">
        <f>MAX(original!J791,piwebapi_edit!J791,car_edit!J791)</f>
        <v>117.599730768051</v>
      </c>
      <c r="K791" s="17"/>
    </row>
    <row r="792" spans="1:11" x14ac:dyDescent="0.25">
      <c r="A792" s="3" t="s">
        <v>1604</v>
      </c>
      <c r="B792" s="4" t="s">
        <v>1605</v>
      </c>
      <c r="C792" s="14">
        <v>30180</v>
      </c>
      <c r="D792" s="6" t="s">
        <v>28</v>
      </c>
      <c r="E792" s="6" t="s">
        <v>17</v>
      </c>
      <c r="F792" s="7">
        <v>35760</v>
      </c>
      <c r="G792" s="8">
        <f t="shared" si="12"/>
        <v>35760</v>
      </c>
      <c r="H792" s="6" t="s">
        <v>13</v>
      </c>
      <c r="I792" s="9">
        <f>MAX(original!I792,piwebapi_edit!I792,car_edit!I792)</f>
        <v>87804.426704721292</v>
      </c>
      <c r="J792" s="9">
        <f>MAX(original!J792,piwebapi_edit!J792,car_edit!J792)</f>
        <v>280.06889974145901</v>
      </c>
      <c r="K792" s="17"/>
    </row>
    <row r="793" spans="1:11" x14ac:dyDescent="0.25">
      <c r="A793" s="3" t="s">
        <v>1606</v>
      </c>
      <c r="B793" s="4" t="s">
        <v>1607</v>
      </c>
      <c r="C793" s="5">
        <v>1651</v>
      </c>
      <c r="D793" s="6" t="s">
        <v>28</v>
      </c>
      <c r="E793" s="6" t="s">
        <v>17</v>
      </c>
      <c r="F793" s="7">
        <v>29221</v>
      </c>
      <c r="G793" s="8">
        <f t="shared" si="12"/>
        <v>29221</v>
      </c>
      <c r="H793" s="6" t="s">
        <v>13</v>
      </c>
      <c r="I793" s="9">
        <f>MAX(original!I793,piwebapi_edit!I793,car_edit!I793)</f>
        <v>3052.8571082635899</v>
      </c>
      <c r="J793" s="9">
        <f>MAX(original!J793,piwebapi_edit!J793,car_edit!J793)</f>
        <v>9.2296242174806906</v>
      </c>
      <c r="K793" s="17"/>
    </row>
    <row r="794" spans="1:11" x14ac:dyDescent="0.25">
      <c r="A794" s="3" t="s">
        <v>1608</v>
      </c>
      <c r="B794" s="4" t="s">
        <v>1609</v>
      </c>
      <c r="C794" s="14">
        <v>2011</v>
      </c>
      <c r="D794" s="6" t="s">
        <v>16</v>
      </c>
      <c r="E794" s="6" t="s">
        <v>17</v>
      </c>
      <c r="F794" s="7">
        <v>29221</v>
      </c>
      <c r="G794" s="8">
        <f t="shared" si="12"/>
        <v>29221</v>
      </c>
      <c r="H794" s="6" t="s">
        <v>13</v>
      </c>
      <c r="I794" s="9">
        <f>MAX(original!I794,piwebapi_edit!I794,car_edit!I794)</f>
        <v>81916.481648970308</v>
      </c>
      <c r="J794" s="9">
        <f>MAX(original!J794,piwebapi_edit!J794,car_edit!J794)</f>
        <v>527.72297515702905</v>
      </c>
      <c r="K794" s="17"/>
    </row>
    <row r="795" spans="1:11" x14ac:dyDescent="0.25">
      <c r="A795" s="3" t="s">
        <v>1610</v>
      </c>
      <c r="B795" s="4" t="s">
        <v>1611</v>
      </c>
      <c r="C795" s="14">
        <v>31937</v>
      </c>
      <c r="D795" s="6" t="s">
        <v>37</v>
      </c>
      <c r="E795" s="6" t="s">
        <v>38</v>
      </c>
      <c r="F795" s="7">
        <v>32176</v>
      </c>
      <c r="G795" s="8">
        <f t="shared" si="12"/>
        <v>32176</v>
      </c>
      <c r="H795" s="6" t="s">
        <v>39</v>
      </c>
      <c r="I795" s="9">
        <f>MAX(original!I795,piwebapi_edit!I795,car_edit!I795)</f>
        <v>6552.4020741343002</v>
      </c>
      <c r="J795" s="9">
        <f>MAX(original!J795,piwebapi_edit!J795,car_edit!J795)</f>
        <v>152.09218303364</v>
      </c>
      <c r="K795" s="17"/>
    </row>
    <row r="796" spans="1:11" ht="30" x14ac:dyDescent="0.25">
      <c r="A796" s="18" t="s">
        <v>1612</v>
      </c>
      <c r="B796" s="19" t="s">
        <v>1613</v>
      </c>
      <c r="C796" s="5">
        <v>1960</v>
      </c>
      <c r="D796" s="21" t="s">
        <v>28</v>
      </c>
      <c r="E796" s="21" t="s">
        <v>17</v>
      </c>
      <c r="F796" s="22">
        <v>25569</v>
      </c>
      <c r="G796" s="23">
        <f t="shared" si="12"/>
        <v>25569</v>
      </c>
      <c r="H796" s="21" t="s">
        <v>13</v>
      </c>
      <c r="I796" s="9">
        <f>MAX(original!I796,piwebapi_edit!I796,car_edit!I796)</f>
        <v>53837.296764697399</v>
      </c>
      <c r="J796" s="9">
        <f>MAX(original!J796,piwebapi_edit!J796,car_edit!J796)</f>
        <v>353.21735443593701</v>
      </c>
      <c r="K796" s="25"/>
    </row>
    <row r="797" spans="1:11" x14ac:dyDescent="0.25">
      <c r="A797" s="3" t="s">
        <v>1614</v>
      </c>
      <c r="B797" s="4" t="s">
        <v>1615</v>
      </c>
      <c r="C797" s="5">
        <v>54508</v>
      </c>
      <c r="D797" s="6" t="s">
        <v>31</v>
      </c>
      <c r="E797" s="6" t="s">
        <v>17</v>
      </c>
      <c r="F797" s="7">
        <v>38538</v>
      </c>
      <c r="G797" s="8">
        <f t="shared" si="12"/>
        <v>38538</v>
      </c>
      <c r="H797" s="6" t="s">
        <v>13</v>
      </c>
      <c r="I797" s="9">
        <f>MAX(original!I797,piwebapi_edit!I797,car_edit!I797)</f>
        <v>30785.088602858501</v>
      </c>
      <c r="J797" s="9">
        <f>MAX(original!J797,piwebapi_edit!J797,car_edit!J797)</f>
        <v>441.331009698787</v>
      </c>
      <c r="K797" s="17"/>
    </row>
    <row r="798" spans="1:11" ht="30" x14ac:dyDescent="0.25">
      <c r="A798" s="3" t="s">
        <v>1616</v>
      </c>
      <c r="B798" s="4" t="s">
        <v>1617</v>
      </c>
      <c r="C798" s="14">
        <v>38193</v>
      </c>
      <c r="D798" s="6" t="s">
        <v>11</v>
      </c>
      <c r="E798" s="6" t="s">
        <v>12</v>
      </c>
      <c r="F798" s="7">
        <v>39297</v>
      </c>
      <c r="G798" s="8">
        <f t="shared" si="12"/>
        <v>39297</v>
      </c>
      <c r="H798" s="6" t="s">
        <v>776</v>
      </c>
      <c r="I798" s="9">
        <f>MAX(original!I798,piwebapi_edit!I798,car_edit!I798)</f>
        <v>32890.886383752797</v>
      </c>
      <c r="J798" s="9">
        <f>MAX(original!J798,piwebapi_edit!J798,car_edit!J798)</f>
        <v>174.790373136716</v>
      </c>
      <c r="K798" s="17"/>
    </row>
    <row r="799" spans="1:11" x14ac:dyDescent="0.25">
      <c r="A799" s="3" t="s">
        <v>1618</v>
      </c>
      <c r="B799" s="4" t="s">
        <v>1619</v>
      </c>
      <c r="C799" s="5">
        <v>2002</v>
      </c>
      <c r="D799" s="6" t="s">
        <v>31</v>
      </c>
      <c r="E799" s="6" t="s">
        <v>17</v>
      </c>
      <c r="F799" s="7">
        <v>31048</v>
      </c>
      <c r="G799" s="8">
        <f t="shared" si="12"/>
        <v>31048</v>
      </c>
      <c r="H799" s="6" t="s">
        <v>13</v>
      </c>
      <c r="I799" s="9">
        <f>MAX(original!I799,piwebapi_edit!I799,car_edit!I799)</f>
        <v>7842.4955117414302</v>
      </c>
      <c r="J799" s="9">
        <f>MAX(original!J799,piwebapi_edit!J799,car_edit!J799)</f>
        <v>107.913607322958</v>
      </c>
      <c r="K799" s="17"/>
    </row>
    <row r="800" spans="1:11" x14ac:dyDescent="0.25">
      <c r="A800" s="3" t="s">
        <v>1620</v>
      </c>
      <c r="B800" s="4" t="s">
        <v>1621</v>
      </c>
      <c r="C800" s="5">
        <v>1267</v>
      </c>
      <c r="D800" s="6" t="s">
        <v>16</v>
      </c>
      <c r="E800" s="6" t="s">
        <v>17</v>
      </c>
      <c r="F800" s="7">
        <v>29221</v>
      </c>
      <c r="G800" s="8">
        <f t="shared" si="12"/>
        <v>29221</v>
      </c>
      <c r="H800" s="6" t="s">
        <v>13</v>
      </c>
      <c r="I800" s="9">
        <f>MAX(original!I800,piwebapi_edit!I800,car_edit!I800)</f>
        <v>59912.940309901896</v>
      </c>
      <c r="J800" s="9">
        <f>MAX(original!J800,piwebapi_edit!J800,car_edit!J800)</f>
        <v>366.75466572498499</v>
      </c>
      <c r="K800" s="17"/>
    </row>
    <row r="801" spans="1:11" ht="30" x14ac:dyDescent="0.25">
      <c r="A801" s="18" t="s">
        <v>1622</v>
      </c>
      <c r="B801" s="19" t="s">
        <v>1623</v>
      </c>
      <c r="C801" s="20">
        <v>1432</v>
      </c>
      <c r="D801" s="21" t="s">
        <v>16</v>
      </c>
      <c r="E801" s="21" t="s">
        <v>17</v>
      </c>
      <c r="F801" s="22">
        <v>31048</v>
      </c>
      <c r="G801" s="23">
        <f t="shared" si="12"/>
        <v>31048</v>
      </c>
      <c r="H801" s="21" t="s">
        <v>13</v>
      </c>
      <c r="I801" s="9">
        <f>MAX(original!I801,piwebapi_edit!I801,car_edit!I801)</f>
        <v>66748.146812020714</v>
      </c>
      <c r="J801" s="9">
        <f>MAX(original!J801,piwebapi_edit!J801,car_edit!J801)</f>
        <v>454.28360419792699</v>
      </c>
      <c r="K801" s="25"/>
    </row>
    <row r="802" spans="1:11" x14ac:dyDescent="0.25">
      <c r="A802" s="3" t="s">
        <v>1624</v>
      </c>
      <c r="B802" s="4" t="s">
        <v>1625</v>
      </c>
      <c r="C802" s="14">
        <v>1828</v>
      </c>
      <c r="D802" s="6" t="s">
        <v>31</v>
      </c>
      <c r="E802" s="6" t="s">
        <v>17</v>
      </c>
      <c r="F802" s="7">
        <v>29221</v>
      </c>
      <c r="G802" s="8">
        <f t="shared" si="12"/>
        <v>29221</v>
      </c>
      <c r="H802" s="6" t="s">
        <v>13</v>
      </c>
      <c r="I802" s="9">
        <f>MAX(original!I802,piwebapi_edit!I802,car_edit!I802)</f>
        <v>56598.097622603294</v>
      </c>
      <c r="J802" s="9">
        <f>MAX(original!J802,piwebapi_edit!J802,car_edit!J802)</f>
        <v>155.678000347253</v>
      </c>
      <c r="K802" s="17"/>
    </row>
    <row r="803" spans="1:11" x14ac:dyDescent="0.25">
      <c r="A803" s="3" t="s">
        <v>1626</v>
      </c>
      <c r="B803" s="4" t="s">
        <v>1627</v>
      </c>
      <c r="C803" s="5">
        <v>15047</v>
      </c>
      <c r="D803" s="6" t="s">
        <v>31</v>
      </c>
      <c r="E803" s="6" t="s">
        <v>17</v>
      </c>
      <c r="F803" s="7">
        <v>28557</v>
      </c>
      <c r="G803" s="8">
        <f t="shared" si="12"/>
        <v>28557</v>
      </c>
      <c r="H803" s="6" t="s">
        <v>13</v>
      </c>
      <c r="I803" s="9">
        <f>MAX(original!I803,piwebapi_edit!I803,car_edit!I803)</f>
        <v>49742.013723722004</v>
      </c>
      <c r="J803" s="9">
        <f>MAX(original!J803,piwebapi_edit!J803,car_edit!J803)</f>
        <v>149.66740953399599</v>
      </c>
      <c r="K803" s="17"/>
    </row>
    <row r="804" spans="1:11" x14ac:dyDescent="0.25">
      <c r="A804" s="3" t="s">
        <v>1628</v>
      </c>
      <c r="B804" s="4" t="s">
        <v>1629</v>
      </c>
      <c r="C804" s="5">
        <v>12485</v>
      </c>
      <c r="D804" s="6" t="s">
        <v>28</v>
      </c>
      <c r="E804" s="6" t="s">
        <v>17</v>
      </c>
      <c r="F804" s="7">
        <v>37915</v>
      </c>
      <c r="G804" s="8">
        <f t="shared" si="12"/>
        <v>37915</v>
      </c>
      <c r="H804" s="6" t="s">
        <v>13</v>
      </c>
      <c r="I804" s="9">
        <f>MAX(original!I804,piwebapi_edit!I804,car_edit!I804)</f>
        <v>138118.59810473298</v>
      </c>
      <c r="J804" s="9">
        <f>MAX(original!J804,piwebapi_edit!J804,car_edit!J804)</f>
        <v>480.749911353107</v>
      </c>
      <c r="K804" s="17"/>
    </row>
    <row r="805" spans="1:11" x14ac:dyDescent="0.25">
      <c r="A805" s="3" t="s">
        <v>1630</v>
      </c>
      <c r="B805" s="4" t="s">
        <v>1631</v>
      </c>
      <c r="C805" s="5">
        <v>14082</v>
      </c>
      <c r="D805" s="6" t="s">
        <v>37</v>
      </c>
      <c r="E805" s="6" t="s">
        <v>38</v>
      </c>
      <c r="F805" s="7">
        <v>36987</v>
      </c>
      <c r="G805" s="8">
        <f t="shared" si="12"/>
        <v>36987</v>
      </c>
      <c r="H805" s="6" t="s">
        <v>39</v>
      </c>
      <c r="I805" s="9">
        <f>MAX(original!I805,piwebapi_edit!I805,car_edit!I805)</f>
        <v>36732.469793236902</v>
      </c>
      <c r="J805" s="9">
        <f>MAX(original!J805,piwebapi_edit!J805,car_edit!J805)</f>
        <v>325.92443392180598</v>
      </c>
      <c r="K805" s="17"/>
    </row>
    <row r="806" spans="1:11" x14ac:dyDescent="0.25">
      <c r="A806" s="3" t="s">
        <v>1632</v>
      </c>
      <c r="B806" s="4" t="s">
        <v>1633</v>
      </c>
      <c r="C806" s="5">
        <v>21446</v>
      </c>
      <c r="D806" s="6" t="s">
        <v>28</v>
      </c>
      <c r="E806" s="6" t="s">
        <v>17</v>
      </c>
      <c r="F806" s="7">
        <v>38506</v>
      </c>
      <c r="G806" s="8">
        <f t="shared" si="12"/>
        <v>38506</v>
      </c>
      <c r="H806" s="6" t="s">
        <v>13</v>
      </c>
      <c r="I806" s="9">
        <f>MAX(original!I806,piwebapi_edit!I806,car_edit!I806)</f>
        <v>19103.503334541401</v>
      </c>
      <c r="J806" s="9">
        <f>MAX(original!J806,piwebapi_edit!J806,car_edit!J806)</f>
        <v>198.85171670005499</v>
      </c>
      <c r="K806" s="17"/>
    </row>
    <row r="807" spans="1:11" x14ac:dyDescent="0.25">
      <c r="A807" s="3" t="s">
        <v>1634</v>
      </c>
      <c r="B807" s="4" t="s">
        <v>1635</v>
      </c>
      <c r="C807" s="14">
        <v>16644</v>
      </c>
      <c r="D807" s="6" t="s">
        <v>28</v>
      </c>
      <c r="E807" s="6" t="s">
        <v>17</v>
      </c>
      <c r="F807" s="7">
        <v>37964</v>
      </c>
      <c r="G807" s="8">
        <f t="shared" si="12"/>
        <v>37964</v>
      </c>
      <c r="H807" s="6" t="s">
        <v>13</v>
      </c>
      <c r="I807" s="9">
        <f>MAX(original!I807,piwebapi_edit!I807,car_edit!I807)</f>
        <v>275017.58999999997</v>
      </c>
      <c r="J807" s="9">
        <f>MAX(original!J807,piwebapi_edit!J807,car_edit!J807)</f>
        <v>2730</v>
      </c>
      <c r="K807" s="17"/>
    </row>
    <row r="808" spans="1:11" x14ac:dyDescent="0.25">
      <c r="A808" s="3" t="s">
        <v>1636</v>
      </c>
      <c r="B808" s="4" t="s">
        <v>1637</v>
      </c>
      <c r="C808" s="5">
        <v>37090</v>
      </c>
      <c r="D808" s="6" t="s">
        <v>31</v>
      </c>
      <c r="E808" s="6" t="s">
        <v>17</v>
      </c>
      <c r="F808" s="7">
        <v>25876</v>
      </c>
      <c r="G808" s="8">
        <f t="shared" si="12"/>
        <v>25876</v>
      </c>
      <c r="H808" s="6" t="s">
        <v>13</v>
      </c>
      <c r="I808" s="9">
        <f>MAX(original!I808,piwebapi_edit!I808,car_edit!I808)</f>
        <v>2404.5706605352798</v>
      </c>
      <c r="J808" s="9">
        <f>MAX(original!J808,piwebapi_edit!J808,car_edit!J808)</f>
        <v>52.630261631171102</v>
      </c>
      <c r="K808" s="17"/>
    </row>
    <row r="809" spans="1:11" x14ac:dyDescent="0.25">
      <c r="A809" s="3" t="s">
        <v>1638</v>
      </c>
      <c r="B809" s="4" t="s">
        <v>1639</v>
      </c>
      <c r="C809" s="5">
        <v>1942</v>
      </c>
      <c r="D809" s="6" t="s">
        <v>28</v>
      </c>
      <c r="E809" s="6" t="s">
        <v>17</v>
      </c>
      <c r="F809" s="7">
        <v>29952</v>
      </c>
      <c r="G809" s="8">
        <f t="shared" si="12"/>
        <v>29952</v>
      </c>
      <c r="H809" s="6" t="s">
        <v>13</v>
      </c>
      <c r="I809" s="9">
        <f>MAX(original!I809,piwebapi_edit!I809,car_edit!I809)</f>
        <v>18556.875239804001</v>
      </c>
      <c r="J809" s="9">
        <f>MAX(original!J809,piwebapi_edit!J809,car_edit!J809)</f>
        <v>395.28011258320902</v>
      </c>
      <c r="K809" s="17"/>
    </row>
    <row r="810" spans="1:11" x14ac:dyDescent="0.25">
      <c r="A810" s="3" t="s">
        <v>1640</v>
      </c>
      <c r="B810" s="4" t="s">
        <v>1641</v>
      </c>
      <c r="C810" s="5">
        <v>1040</v>
      </c>
      <c r="D810" s="6" t="s">
        <v>31</v>
      </c>
      <c r="E810" s="6" t="s">
        <v>17</v>
      </c>
      <c r="F810" s="7">
        <v>38323</v>
      </c>
      <c r="G810" s="8">
        <f t="shared" si="12"/>
        <v>38323</v>
      </c>
      <c r="H810" s="6" t="s">
        <v>13</v>
      </c>
      <c r="I810" s="9">
        <f>MAX(original!I810,piwebapi_edit!I810,car_edit!I810)</f>
        <v>4530.5188416279507</v>
      </c>
      <c r="J810" s="9">
        <f>MAX(original!J810,piwebapi_edit!J810,car_edit!J810)</f>
        <v>37.100922088729803</v>
      </c>
      <c r="K810" s="17"/>
    </row>
    <row r="811" spans="1:11" x14ac:dyDescent="0.25">
      <c r="A811" s="3" t="s">
        <v>1642</v>
      </c>
      <c r="B811" s="4" t="s">
        <v>1643</v>
      </c>
      <c r="C811" s="5">
        <v>1965</v>
      </c>
      <c r="D811" s="6" t="s">
        <v>11</v>
      </c>
      <c r="E811" s="6" t="s">
        <v>17</v>
      </c>
      <c r="F811" s="7">
        <v>36549</v>
      </c>
      <c r="G811" s="8">
        <f t="shared" si="12"/>
        <v>36549</v>
      </c>
      <c r="H811" s="6" t="s">
        <v>13</v>
      </c>
      <c r="I811" s="9">
        <f>MAX(original!I811,piwebapi_edit!I811,car_edit!I811)</f>
        <v>45368.0860153674</v>
      </c>
      <c r="J811" s="9">
        <f>MAX(original!J811,piwebapi_edit!J811,car_edit!J811)</f>
        <v>174.952763881621</v>
      </c>
      <c r="K811" s="17"/>
    </row>
    <row r="812" spans="1:11" x14ac:dyDescent="0.25">
      <c r="A812" s="3" t="s">
        <v>1644</v>
      </c>
      <c r="B812" s="4" t="s">
        <v>1645</v>
      </c>
      <c r="C812" s="14">
        <v>31633</v>
      </c>
      <c r="D812" s="6" t="s">
        <v>28</v>
      </c>
      <c r="E812" s="6" t="s">
        <v>508</v>
      </c>
      <c r="F812" s="7">
        <v>37739</v>
      </c>
      <c r="G812" s="8">
        <f t="shared" si="12"/>
        <v>37739</v>
      </c>
      <c r="H812" s="6" t="s">
        <v>509</v>
      </c>
      <c r="I812" s="9">
        <f>MAX(original!I812,piwebapi_edit!I812,car_edit!I812)</f>
        <v>0</v>
      </c>
      <c r="J812" s="9">
        <f>MAX(original!J812,piwebapi_edit!J812,car_edit!J812)</f>
        <v>0</v>
      </c>
      <c r="K812" s="17"/>
    </row>
    <row r="813" spans="1:11" x14ac:dyDescent="0.25">
      <c r="A813" s="3" t="s">
        <v>1646</v>
      </c>
      <c r="B813" s="4" t="s">
        <v>1647</v>
      </c>
      <c r="C813" s="5">
        <v>13444</v>
      </c>
      <c r="D813" s="6" t="s">
        <v>34</v>
      </c>
      <c r="E813" s="6" t="s">
        <v>17</v>
      </c>
      <c r="F813" s="7">
        <v>37743</v>
      </c>
      <c r="G813" s="8">
        <f t="shared" si="12"/>
        <v>37743</v>
      </c>
      <c r="H813" s="6" t="s">
        <v>13</v>
      </c>
      <c r="I813" s="9">
        <f>MAX(original!I813,piwebapi_edit!I813,car_edit!I813)</f>
        <v>2023.5515553262098</v>
      </c>
      <c r="J813" s="9">
        <f>MAX(original!J813,piwebapi_edit!J813,car_edit!J813)</f>
        <v>122.311446463802</v>
      </c>
      <c r="K813" s="17"/>
    </row>
    <row r="814" spans="1:11" x14ac:dyDescent="0.25">
      <c r="A814" s="3" t="s">
        <v>1648</v>
      </c>
      <c r="B814" s="4" t="s">
        <v>1649</v>
      </c>
      <c r="C814" s="5">
        <v>1234</v>
      </c>
      <c r="D814" s="6" t="s">
        <v>34</v>
      </c>
      <c r="E814" s="6" t="s">
        <v>17</v>
      </c>
      <c r="F814" s="7">
        <v>33345</v>
      </c>
      <c r="G814" s="8">
        <f t="shared" si="12"/>
        <v>33345</v>
      </c>
      <c r="H814" s="6" t="s">
        <v>13</v>
      </c>
      <c r="I814" s="9">
        <f>MAX(original!I814,piwebapi_edit!I814,car_edit!I814)</f>
        <v>1636.0970417639401</v>
      </c>
      <c r="J814" s="9">
        <f>MAX(original!J814,piwebapi_edit!J814,car_edit!J814)</f>
        <v>340.60925934141</v>
      </c>
      <c r="K814" s="17"/>
    </row>
    <row r="815" spans="1:11" x14ac:dyDescent="0.25">
      <c r="A815" s="3" t="s">
        <v>1650</v>
      </c>
      <c r="B815" s="4" t="s">
        <v>1651</v>
      </c>
      <c r="C815" s="5">
        <v>1237</v>
      </c>
      <c r="D815" s="6" t="s">
        <v>34</v>
      </c>
      <c r="E815" s="6" t="s">
        <v>17</v>
      </c>
      <c r="F815" s="7">
        <v>36490</v>
      </c>
      <c r="G815" s="8">
        <f t="shared" si="12"/>
        <v>36490</v>
      </c>
      <c r="H815" s="6" t="s">
        <v>13</v>
      </c>
      <c r="I815" s="9">
        <f>MAX(original!I815,piwebapi_edit!I815,car_edit!I815)</f>
        <v>11183.9365755239</v>
      </c>
      <c r="J815" s="9">
        <f>MAX(original!J815,piwebapi_edit!J815,car_edit!J815)</f>
        <v>75.185955378424595</v>
      </c>
      <c r="K815" s="17"/>
    </row>
    <row r="816" spans="1:11" x14ac:dyDescent="0.25">
      <c r="A816" s="3" t="s">
        <v>1652</v>
      </c>
      <c r="B816" s="4" t="s">
        <v>1653</v>
      </c>
      <c r="C816" s="5">
        <v>2247</v>
      </c>
      <c r="D816" s="6" t="s">
        <v>34</v>
      </c>
      <c r="E816" s="6" t="s">
        <v>17</v>
      </c>
      <c r="F816" s="7">
        <v>37257</v>
      </c>
      <c r="G816" s="8">
        <f t="shared" si="12"/>
        <v>37257</v>
      </c>
      <c r="H816" s="6" t="s">
        <v>13</v>
      </c>
      <c r="I816" s="9">
        <f>MAX(original!I816,piwebapi_edit!I816,car_edit!I816)</f>
        <v>11485.566824756599</v>
      </c>
      <c r="J816" s="9">
        <f>MAX(original!J816,piwebapi_edit!J816,car_edit!J816)</f>
        <v>78.577609572693504</v>
      </c>
      <c r="K816" s="17"/>
    </row>
    <row r="817" spans="1:11" x14ac:dyDescent="0.25">
      <c r="A817" s="3" t="s">
        <v>1654</v>
      </c>
      <c r="B817" s="4" t="s">
        <v>1655</v>
      </c>
      <c r="C817" s="5">
        <v>20803</v>
      </c>
      <c r="D817" s="6" t="s">
        <v>31</v>
      </c>
      <c r="E817" s="6" t="s">
        <v>17</v>
      </c>
      <c r="F817" s="7">
        <v>27866</v>
      </c>
      <c r="G817" s="8">
        <f t="shared" si="12"/>
        <v>27866</v>
      </c>
      <c r="H817" s="6" t="s">
        <v>13</v>
      </c>
      <c r="I817" s="9">
        <f>MAX(original!I817,piwebapi_edit!I817,car_edit!I817)</f>
        <v>30571.704685939101</v>
      </c>
      <c r="J817" s="9">
        <f>MAX(original!J817,piwebapi_edit!J817,car_edit!J817)</f>
        <v>166.93889358437201</v>
      </c>
      <c r="K817" s="17"/>
    </row>
    <row r="818" spans="1:11" x14ac:dyDescent="0.25">
      <c r="A818" s="3" t="s">
        <v>1656</v>
      </c>
      <c r="B818" s="4" t="s">
        <v>1657</v>
      </c>
      <c r="C818" s="5">
        <v>10570</v>
      </c>
      <c r="D818" s="6" t="s">
        <v>11</v>
      </c>
      <c r="E818" s="6" t="s">
        <v>17</v>
      </c>
      <c r="F818" s="7">
        <v>37595</v>
      </c>
      <c r="G818" s="8">
        <f t="shared" si="12"/>
        <v>37595</v>
      </c>
      <c r="H818" s="6" t="s">
        <v>13</v>
      </c>
      <c r="I818" s="9">
        <f>MAX(original!I818,piwebapi_edit!I818,car_edit!I818)</f>
        <v>16509.660093006001</v>
      </c>
      <c r="J818" s="9">
        <f>MAX(original!J818,piwebapi_edit!J818,car_edit!J818)</f>
        <v>173.774146850535</v>
      </c>
      <c r="K818" s="17"/>
    </row>
    <row r="819" spans="1:11" x14ac:dyDescent="0.25">
      <c r="A819" s="3" t="s">
        <v>1658</v>
      </c>
      <c r="B819" s="4" t="s">
        <v>1659</v>
      </c>
      <c r="C819" s="5">
        <v>1160</v>
      </c>
      <c r="D819" s="6" t="s">
        <v>31</v>
      </c>
      <c r="E819" s="6" t="s">
        <v>17</v>
      </c>
      <c r="F819" s="7">
        <v>25569</v>
      </c>
      <c r="G819" s="8">
        <f t="shared" si="12"/>
        <v>25569</v>
      </c>
      <c r="H819" s="6" t="s">
        <v>13</v>
      </c>
      <c r="I819" s="9">
        <f>MAX(original!I819,piwebapi_edit!I819,car_edit!I819)</f>
        <v>25429.8089820518</v>
      </c>
      <c r="J819" s="9">
        <f>MAX(original!J819,piwebapi_edit!J819,car_edit!J819)</f>
        <v>160.58493792829799</v>
      </c>
      <c r="K819" s="17"/>
    </row>
    <row r="820" spans="1:11" x14ac:dyDescent="0.25">
      <c r="A820" s="3" t="s">
        <v>1660</v>
      </c>
      <c r="B820" s="4" t="s">
        <v>1661</v>
      </c>
      <c r="C820" s="5">
        <v>1053</v>
      </c>
      <c r="D820" s="6" t="s">
        <v>16</v>
      </c>
      <c r="E820" s="6" t="s">
        <v>17</v>
      </c>
      <c r="F820" s="7">
        <v>29221</v>
      </c>
      <c r="G820" s="8">
        <f t="shared" si="12"/>
        <v>29221</v>
      </c>
      <c r="H820" s="6" t="s">
        <v>13</v>
      </c>
      <c r="I820" s="9">
        <f>MAX(original!I820,piwebapi_edit!I820,car_edit!I820)</f>
        <v>29107.480280946402</v>
      </c>
      <c r="J820" s="9">
        <f>MAX(original!J820,piwebapi_edit!J820,car_edit!J820)</f>
        <v>240.70936378518999</v>
      </c>
      <c r="K820" s="17"/>
    </row>
    <row r="821" spans="1:11" x14ac:dyDescent="0.25">
      <c r="A821" s="3" t="s">
        <v>1662</v>
      </c>
      <c r="B821" s="4" t="s">
        <v>1663</v>
      </c>
      <c r="C821" s="5">
        <v>1507</v>
      </c>
      <c r="D821" s="6" t="s">
        <v>28</v>
      </c>
      <c r="E821" s="6" t="s">
        <v>17</v>
      </c>
      <c r="F821" s="7">
        <v>19725</v>
      </c>
      <c r="G821" s="8">
        <f t="shared" si="12"/>
        <v>19725</v>
      </c>
      <c r="H821" s="6" t="s">
        <v>13</v>
      </c>
      <c r="I821" s="9">
        <f>MAX(original!I821,piwebapi_edit!I821,car_edit!I821)</f>
        <v>19630.0807039791</v>
      </c>
      <c r="J821" s="9">
        <f>MAX(original!J821,piwebapi_edit!J821,car_edit!J821)</f>
        <v>57.5748107395315</v>
      </c>
      <c r="K821" s="17"/>
    </row>
    <row r="822" spans="1:11" x14ac:dyDescent="0.25">
      <c r="A822" s="3" t="s">
        <v>1664</v>
      </c>
      <c r="B822" s="4" t="s">
        <v>1665</v>
      </c>
      <c r="C822" s="5">
        <v>1403</v>
      </c>
      <c r="D822" s="6" t="s">
        <v>34</v>
      </c>
      <c r="E822" s="6" t="s">
        <v>17</v>
      </c>
      <c r="F822" s="7">
        <v>24108</v>
      </c>
      <c r="G822" s="8">
        <f t="shared" si="12"/>
        <v>24108</v>
      </c>
      <c r="H822" s="6" t="s">
        <v>13</v>
      </c>
      <c r="I822" s="9">
        <f>MAX(original!I822,piwebapi_edit!I822,car_edit!I822)</f>
        <v>10304.387008673499</v>
      </c>
      <c r="J822" s="9">
        <f>MAX(original!J822,piwebapi_edit!J822,car_edit!J822)</f>
        <v>50.811237036769803</v>
      </c>
      <c r="K822" s="17"/>
    </row>
    <row r="823" spans="1:11" x14ac:dyDescent="0.25">
      <c r="A823" s="3" t="s">
        <v>1666</v>
      </c>
      <c r="B823" s="4" t="s">
        <v>1667</v>
      </c>
      <c r="C823" s="5">
        <v>19842</v>
      </c>
      <c r="D823" s="6" t="s">
        <v>16</v>
      </c>
      <c r="E823" s="6" t="s">
        <v>17</v>
      </c>
      <c r="F823" s="7">
        <v>33276</v>
      </c>
      <c r="G823" s="8">
        <f t="shared" si="12"/>
        <v>33276</v>
      </c>
      <c r="H823" s="6" t="s">
        <v>13</v>
      </c>
      <c r="I823" s="9">
        <f>MAX(original!I823,piwebapi_edit!I823,car_edit!I823)</f>
        <v>32131.832922445399</v>
      </c>
      <c r="J823" s="9">
        <f>MAX(original!J823,piwebapi_edit!J823,car_edit!J823)</f>
        <v>360.110254271369</v>
      </c>
      <c r="K823" s="17"/>
    </row>
    <row r="824" spans="1:11" x14ac:dyDescent="0.25">
      <c r="A824" s="3" t="s">
        <v>1668</v>
      </c>
      <c r="B824" s="4" t="s">
        <v>1669</v>
      </c>
      <c r="C824" s="5">
        <v>1474</v>
      </c>
      <c r="D824" s="6" t="s">
        <v>31</v>
      </c>
      <c r="E824" s="6" t="s">
        <v>17</v>
      </c>
      <c r="F824" s="7">
        <v>19725</v>
      </c>
      <c r="G824" s="8">
        <f t="shared" si="12"/>
        <v>19725</v>
      </c>
      <c r="H824" s="6" t="s">
        <v>13</v>
      </c>
      <c r="I824" s="9">
        <f>MAX(original!I824,piwebapi_edit!I824,car_edit!I824)</f>
        <v>28366.3574555212</v>
      </c>
      <c r="J824" s="9">
        <f>MAX(original!J824,piwebapi_edit!J824,car_edit!J824)</f>
        <v>167.78482159824</v>
      </c>
      <c r="K824" s="17"/>
    </row>
    <row r="825" spans="1:11" x14ac:dyDescent="0.25">
      <c r="A825" s="3" t="s">
        <v>1670</v>
      </c>
      <c r="B825" s="4" t="s">
        <v>1671</v>
      </c>
      <c r="C825" s="5">
        <v>1897</v>
      </c>
      <c r="D825" s="6" t="s">
        <v>31</v>
      </c>
      <c r="E825" s="6" t="s">
        <v>17</v>
      </c>
      <c r="F825" s="7">
        <v>32874</v>
      </c>
      <c r="G825" s="8">
        <f t="shared" si="12"/>
        <v>32874</v>
      </c>
      <c r="H825" s="6" t="s">
        <v>13</v>
      </c>
      <c r="I825" s="9">
        <f>MAX(original!I825,piwebapi_edit!I825,car_edit!I825)</f>
        <v>5882.9843591768094</v>
      </c>
      <c r="J825" s="9">
        <f>MAX(original!J825,piwebapi_edit!J825,car_edit!J825)</f>
        <v>94.703403577219007</v>
      </c>
      <c r="K825" s="17"/>
    </row>
    <row r="826" spans="1:11" x14ac:dyDescent="0.25">
      <c r="A826" s="3" t="s">
        <v>1672</v>
      </c>
      <c r="B826" s="4" t="s">
        <v>1673</v>
      </c>
      <c r="C826" s="5">
        <v>1066</v>
      </c>
      <c r="D826" s="6" t="s">
        <v>16</v>
      </c>
      <c r="E826" s="6" t="s">
        <v>17</v>
      </c>
      <c r="F826" s="7">
        <v>32874</v>
      </c>
      <c r="G826" s="8">
        <f t="shared" si="12"/>
        <v>32874</v>
      </c>
      <c r="H826" s="6" t="s">
        <v>13</v>
      </c>
      <c r="I826" s="9">
        <f>MAX(original!I826,piwebapi_edit!I826,car_edit!I826)</f>
        <v>39156.434742251302</v>
      </c>
      <c r="J826" s="9">
        <f>MAX(original!J826,piwebapi_edit!J826,car_edit!J826)</f>
        <v>182.241518407483</v>
      </c>
      <c r="K826" s="17"/>
    </row>
    <row r="827" spans="1:11" x14ac:dyDescent="0.25">
      <c r="A827" s="3" t="s">
        <v>1674</v>
      </c>
      <c r="B827" s="4" t="s">
        <v>1675</v>
      </c>
      <c r="C827" s="5">
        <v>1692</v>
      </c>
      <c r="D827" s="6" t="s">
        <v>28</v>
      </c>
      <c r="E827" s="6" t="s">
        <v>17</v>
      </c>
      <c r="F827" s="7">
        <v>19725</v>
      </c>
      <c r="G827" s="8">
        <f t="shared" si="12"/>
        <v>19725</v>
      </c>
      <c r="H827" s="6" t="s">
        <v>13</v>
      </c>
      <c r="I827" s="9">
        <f>MAX(original!I827,piwebapi_edit!I827,car_edit!I827)</f>
        <v>26786.451803726701</v>
      </c>
      <c r="J827" s="9">
        <f>MAX(original!J827,piwebapi_edit!J827,car_edit!J827)</f>
        <v>76.248762246324404</v>
      </c>
      <c r="K827" s="17"/>
    </row>
    <row r="828" spans="1:11" x14ac:dyDescent="0.25">
      <c r="A828" s="3" t="s">
        <v>1676</v>
      </c>
      <c r="B828" s="4" t="s">
        <v>1677</v>
      </c>
      <c r="C828" s="5">
        <v>18568</v>
      </c>
      <c r="D828" s="6" t="s">
        <v>34</v>
      </c>
      <c r="E828" s="6" t="s">
        <v>17</v>
      </c>
      <c r="F828" s="7">
        <v>38546</v>
      </c>
      <c r="G828" s="8">
        <f t="shared" si="12"/>
        <v>38546</v>
      </c>
      <c r="H828" s="6" t="s">
        <v>13</v>
      </c>
      <c r="I828" s="9">
        <f>MAX(original!I828,piwebapi_edit!I828,car_edit!I828)</f>
        <v>9499.2083513682992</v>
      </c>
      <c r="J828" s="9">
        <f>MAX(original!J828,piwebapi_edit!J828,car_edit!J828)</f>
        <v>157.87324529542099</v>
      </c>
      <c r="K828" s="17"/>
    </row>
    <row r="829" spans="1:11" x14ac:dyDescent="0.25">
      <c r="A829" s="3" t="s">
        <v>1678</v>
      </c>
      <c r="B829" s="4" t="s">
        <v>1679</v>
      </c>
      <c r="C829" s="14">
        <v>1497</v>
      </c>
      <c r="D829" s="6" t="s">
        <v>28</v>
      </c>
      <c r="E829" s="6" t="s">
        <v>17</v>
      </c>
      <c r="F829" s="7">
        <v>29221</v>
      </c>
      <c r="G829" s="8">
        <f t="shared" si="12"/>
        <v>29221</v>
      </c>
      <c r="H829" s="6" t="s">
        <v>13</v>
      </c>
      <c r="I829" s="9">
        <f>MAX(original!I829,piwebapi_edit!I829,car_edit!I829)</f>
        <v>26576.777107950002</v>
      </c>
      <c r="J829" s="9">
        <f>MAX(original!J829,piwebapi_edit!J829,car_edit!J829)</f>
        <v>425.29854209522802</v>
      </c>
      <c r="K829" s="17"/>
    </row>
    <row r="830" spans="1:11" x14ac:dyDescent="0.25">
      <c r="A830" s="26" t="s">
        <v>1680</v>
      </c>
      <c r="B830" s="27" t="s">
        <v>1681</v>
      </c>
      <c r="C830" s="5">
        <v>1430</v>
      </c>
      <c r="D830" s="28" t="s">
        <v>16</v>
      </c>
      <c r="E830" s="28" t="s">
        <v>17</v>
      </c>
      <c r="F830" s="29">
        <v>29221</v>
      </c>
      <c r="G830" s="30">
        <f t="shared" si="12"/>
        <v>29221</v>
      </c>
      <c r="H830" s="28" t="s">
        <v>13</v>
      </c>
      <c r="I830" s="9">
        <f>MAX(original!I830,piwebapi_edit!I830,car_edit!I830)</f>
        <v>17643.432187645201</v>
      </c>
      <c r="J830" s="9">
        <f>MAX(original!J830,piwebapi_edit!J830,car_edit!J830)</f>
        <v>136.933018840052</v>
      </c>
      <c r="K830" s="33"/>
    </row>
    <row r="831" spans="1:11" x14ac:dyDescent="0.25">
      <c r="A831" s="3" t="s">
        <v>1682</v>
      </c>
      <c r="B831" s="4" t="s">
        <v>1683</v>
      </c>
      <c r="C831" s="5">
        <v>15042</v>
      </c>
      <c r="D831" s="6" t="s">
        <v>37</v>
      </c>
      <c r="E831" s="6" t="s">
        <v>38</v>
      </c>
      <c r="F831" s="7">
        <v>37831</v>
      </c>
      <c r="G831" s="8">
        <f t="shared" si="12"/>
        <v>37831</v>
      </c>
      <c r="H831" s="6" t="s">
        <v>39</v>
      </c>
      <c r="I831" s="9">
        <f>MAX(original!I831,piwebapi_edit!I831,car_edit!I831)</f>
        <v>16923.142953879702</v>
      </c>
      <c r="J831" s="9">
        <f>MAX(original!J831,piwebapi_edit!J831,car_edit!J831)</f>
        <v>353.68138615339399</v>
      </c>
      <c r="K831" s="17"/>
    </row>
    <row r="832" spans="1:11" x14ac:dyDescent="0.25">
      <c r="A832" s="3" t="s">
        <v>1684</v>
      </c>
      <c r="B832" s="4" t="s">
        <v>1685</v>
      </c>
      <c r="C832" s="5">
        <v>13448</v>
      </c>
      <c r="D832" s="6" t="s">
        <v>16</v>
      </c>
      <c r="E832" s="6" t="s">
        <v>17</v>
      </c>
      <c r="F832" s="7">
        <v>38099</v>
      </c>
      <c r="G832" s="8">
        <f t="shared" si="12"/>
        <v>38099</v>
      </c>
      <c r="H832" s="6" t="s">
        <v>13</v>
      </c>
      <c r="I832" s="9">
        <f>MAX(original!I832,piwebapi_edit!I832,car_edit!I832)</f>
        <v>955.03283895362199</v>
      </c>
      <c r="J832" s="9">
        <f>MAX(original!J832,piwebapi_edit!J832,car_edit!J832)</f>
        <v>43.247526244845403</v>
      </c>
      <c r="K832" s="17"/>
    </row>
    <row r="833" spans="1:11" x14ac:dyDescent="0.25">
      <c r="A833" s="3" t="s">
        <v>1686</v>
      </c>
      <c r="B833" s="4" t="s">
        <v>1687</v>
      </c>
      <c r="C833" s="5">
        <v>1895</v>
      </c>
      <c r="D833" s="6" t="s">
        <v>31</v>
      </c>
      <c r="E833" s="6" t="s">
        <v>17</v>
      </c>
      <c r="F833" s="7">
        <v>33604</v>
      </c>
      <c r="G833" s="8">
        <f t="shared" si="12"/>
        <v>33604</v>
      </c>
      <c r="H833" s="6" t="s">
        <v>13</v>
      </c>
      <c r="I833" s="9">
        <f>MAX(original!I833,piwebapi_edit!I833,car_edit!I833)</f>
        <v>19534.361170496501</v>
      </c>
      <c r="J833" s="9">
        <f>MAX(original!J833,piwebapi_edit!J833,car_edit!J833)</f>
        <v>137.399381980821</v>
      </c>
      <c r="K833" s="17"/>
    </row>
    <row r="834" spans="1:11" x14ac:dyDescent="0.25">
      <c r="A834" s="3" t="s">
        <v>1688</v>
      </c>
      <c r="B834" s="4" t="s">
        <v>1689</v>
      </c>
      <c r="C834" s="5">
        <v>1082</v>
      </c>
      <c r="D834" s="6" t="s">
        <v>34</v>
      </c>
      <c r="E834" s="6" t="s">
        <v>17</v>
      </c>
      <c r="F834" s="7">
        <v>36976</v>
      </c>
      <c r="G834" s="8">
        <f t="shared" ref="G834:G897" si="13">F834</f>
        <v>36976</v>
      </c>
      <c r="H834" s="6" t="s">
        <v>13</v>
      </c>
      <c r="I834" s="9">
        <f>MAX(original!I834,piwebapi_edit!I834,car_edit!I834)</f>
        <v>9425.6459431015301</v>
      </c>
      <c r="J834" s="9">
        <f>MAX(original!J834,piwebapi_edit!J834,car_edit!J834)</f>
        <v>79.7414128113831</v>
      </c>
      <c r="K834" s="17"/>
    </row>
    <row r="835" spans="1:11" x14ac:dyDescent="0.25">
      <c r="A835" s="3" t="s">
        <v>1690</v>
      </c>
      <c r="B835" s="4" t="s">
        <v>1691</v>
      </c>
      <c r="C835" s="5">
        <v>54612</v>
      </c>
      <c r="D835" s="6" t="s">
        <v>28</v>
      </c>
      <c r="E835" s="6" t="s">
        <v>17</v>
      </c>
      <c r="F835" s="7">
        <v>39099</v>
      </c>
      <c r="G835" s="8">
        <f t="shared" si="13"/>
        <v>39099</v>
      </c>
      <c r="H835" s="6" t="s">
        <v>13</v>
      </c>
      <c r="I835" s="9">
        <f>MAX(original!I835,piwebapi_edit!I835,car_edit!I835)</f>
        <v>73286.919327387397</v>
      </c>
      <c r="J835" s="9">
        <f>MAX(original!J835,piwebapi_edit!J835,car_edit!J835)</f>
        <v>256.23472824930298</v>
      </c>
      <c r="K835" s="17"/>
    </row>
    <row r="836" spans="1:11" x14ac:dyDescent="0.25">
      <c r="A836" s="3" t="s">
        <v>1692</v>
      </c>
      <c r="B836" s="4" t="s">
        <v>1693</v>
      </c>
      <c r="C836" s="5">
        <v>54611</v>
      </c>
      <c r="D836" s="6" t="s">
        <v>28</v>
      </c>
      <c r="E836" s="6" t="s">
        <v>508</v>
      </c>
      <c r="F836" s="7">
        <v>38557</v>
      </c>
      <c r="G836" s="8">
        <f t="shared" si="13"/>
        <v>38557</v>
      </c>
      <c r="H836" s="6" t="s">
        <v>509</v>
      </c>
      <c r="I836" s="9">
        <f>MAX(original!I836,piwebapi_edit!I836,car_edit!I836)</f>
        <v>64923.4592639982</v>
      </c>
      <c r="J836" s="9">
        <f>MAX(original!J836,piwebapi_edit!J836,car_edit!J836)</f>
        <v>715.50602461570998</v>
      </c>
      <c r="K836" s="17"/>
    </row>
    <row r="837" spans="1:11" x14ac:dyDescent="0.25">
      <c r="A837" s="3" t="s">
        <v>1694</v>
      </c>
      <c r="B837" s="4" t="s">
        <v>1695</v>
      </c>
      <c r="C837" s="5">
        <v>1521</v>
      </c>
      <c r="D837" s="6" t="s">
        <v>16</v>
      </c>
      <c r="E837" s="6" t="s">
        <v>17</v>
      </c>
      <c r="F837" s="7">
        <v>32874</v>
      </c>
      <c r="G837" s="8">
        <f t="shared" si="13"/>
        <v>32874</v>
      </c>
      <c r="H837" s="6" t="s">
        <v>13</v>
      </c>
      <c r="I837" s="9">
        <f>MAX(original!I837,piwebapi_edit!I837,car_edit!I837)</f>
        <v>28333.460520403398</v>
      </c>
      <c r="J837" s="9">
        <f>MAX(original!J837,piwebapi_edit!J837,car_edit!J837)</f>
        <v>406.054485199483</v>
      </c>
      <c r="K837" s="17"/>
    </row>
    <row r="838" spans="1:11" x14ac:dyDescent="0.25">
      <c r="A838" s="3" t="s">
        <v>1696</v>
      </c>
      <c r="B838" s="4" t="s">
        <v>1697</v>
      </c>
      <c r="C838" s="5">
        <v>15374</v>
      </c>
      <c r="D838" s="6" t="s">
        <v>16</v>
      </c>
      <c r="E838" s="6" t="s">
        <v>17</v>
      </c>
      <c r="F838" s="7">
        <v>25993</v>
      </c>
      <c r="G838" s="8">
        <f t="shared" si="13"/>
        <v>25993</v>
      </c>
      <c r="H838" s="6" t="s">
        <v>13</v>
      </c>
      <c r="I838" s="9">
        <f>MAX(original!I838,piwebapi_edit!I838,car_edit!I838)</f>
        <v>41460.265048083398</v>
      </c>
      <c r="J838" s="9">
        <f>MAX(original!J838,piwebapi_edit!J838,car_edit!J838)</f>
        <v>204.89853557658299</v>
      </c>
      <c r="K838" s="17"/>
    </row>
    <row r="839" spans="1:11" x14ac:dyDescent="0.25">
      <c r="A839" s="3" t="s">
        <v>1698</v>
      </c>
      <c r="B839" s="4" t="s">
        <v>1699</v>
      </c>
      <c r="C839" s="5">
        <v>1654</v>
      </c>
      <c r="D839" s="6" t="s">
        <v>28</v>
      </c>
      <c r="E839" s="6" t="s">
        <v>17</v>
      </c>
      <c r="F839" s="7">
        <v>32509</v>
      </c>
      <c r="G839" s="8">
        <f t="shared" si="13"/>
        <v>32509</v>
      </c>
      <c r="H839" s="6" t="s">
        <v>13</v>
      </c>
      <c r="I839" s="9">
        <f>MAX(original!I839,piwebapi_edit!I839,car_edit!I839)</f>
        <v>106990.885761047</v>
      </c>
      <c r="J839" s="9">
        <f>MAX(original!J839,piwebapi_edit!J839,car_edit!J839)</f>
        <v>518.68754755916996</v>
      </c>
      <c r="K839" s="17"/>
    </row>
    <row r="840" spans="1:11" x14ac:dyDescent="0.25">
      <c r="A840" s="3" t="s">
        <v>1700</v>
      </c>
      <c r="B840" s="4" t="s">
        <v>1701</v>
      </c>
      <c r="C840" s="5">
        <v>1511</v>
      </c>
      <c r="D840" s="6" t="s">
        <v>28</v>
      </c>
      <c r="E840" s="6" t="s">
        <v>17</v>
      </c>
      <c r="F840" s="7">
        <v>32143</v>
      </c>
      <c r="G840" s="8">
        <f t="shared" si="13"/>
        <v>32143</v>
      </c>
      <c r="H840" s="6" t="s">
        <v>13</v>
      </c>
      <c r="I840" s="9">
        <f>MAX(original!I840,piwebapi_edit!I840,car_edit!I840)</f>
        <v>85767.110275114697</v>
      </c>
      <c r="J840" s="9">
        <f>MAX(original!J840,piwebapi_edit!J840,car_edit!J840)</f>
        <v>974.26255720678398</v>
      </c>
      <c r="K840" s="17"/>
    </row>
    <row r="841" spans="1:11" x14ac:dyDescent="0.25">
      <c r="A841" s="3" t="s">
        <v>1702</v>
      </c>
      <c r="B841" s="4" t="s">
        <v>1703</v>
      </c>
      <c r="C841" s="5">
        <v>1994</v>
      </c>
      <c r="D841" s="6" t="s">
        <v>28</v>
      </c>
      <c r="E841" s="6" t="s">
        <v>17</v>
      </c>
      <c r="F841" s="7">
        <v>40373</v>
      </c>
      <c r="G841" s="8">
        <f t="shared" si="13"/>
        <v>40373</v>
      </c>
      <c r="H841" s="6" t="s">
        <v>13</v>
      </c>
      <c r="I841" s="9">
        <f>MAX(original!I841,piwebapi_edit!I841,car_edit!I841)</f>
        <v>25177.203406599401</v>
      </c>
      <c r="J841" s="9">
        <f>MAX(original!J841,piwebapi_edit!J841,car_edit!J841)</f>
        <v>530.36461576865202</v>
      </c>
      <c r="K841" s="17"/>
    </row>
    <row r="842" spans="1:11" x14ac:dyDescent="0.25">
      <c r="A842" s="3" t="s">
        <v>1704</v>
      </c>
      <c r="B842" s="4" t="s">
        <v>1705</v>
      </c>
      <c r="C842" s="5">
        <v>91985</v>
      </c>
      <c r="D842" s="6" t="s">
        <v>37</v>
      </c>
      <c r="E842" s="6" t="s">
        <v>38</v>
      </c>
      <c r="F842" s="7">
        <v>39913</v>
      </c>
      <c r="G842" s="8">
        <f t="shared" si="13"/>
        <v>39913</v>
      </c>
      <c r="H842" s="6" t="s">
        <v>39</v>
      </c>
      <c r="I842" s="9">
        <f>MAX(original!I842,piwebapi_edit!I842,car_edit!I842)</f>
        <v>41213.279780958204</v>
      </c>
      <c r="J842" s="9">
        <f>MAX(original!J842,piwebapi_edit!J842,car_edit!J842)</f>
        <v>446.17304216263</v>
      </c>
      <c r="K842" s="17"/>
    </row>
    <row r="843" spans="1:11" x14ac:dyDescent="0.25">
      <c r="A843" s="3" t="s">
        <v>1706</v>
      </c>
      <c r="B843" s="4" t="s">
        <v>1707</v>
      </c>
      <c r="C843" s="14">
        <v>27537</v>
      </c>
      <c r="D843" s="6" t="s">
        <v>28</v>
      </c>
      <c r="E843" s="6" t="s">
        <v>17</v>
      </c>
      <c r="F843" s="7">
        <v>38001</v>
      </c>
      <c r="G843" s="8">
        <f t="shared" si="13"/>
        <v>38001</v>
      </c>
      <c r="H843" s="6" t="s">
        <v>13</v>
      </c>
      <c r="I843" s="9">
        <f>MAX(original!I843,piwebapi_edit!I843,car_edit!I843)</f>
        <v>77190.344042436394</v>
      </c>
      <c r="J843" s="9">
        <f>MAX(original!J843,piwebapi_edit!J843,car_edit!J843)</f>
        <v>493.60525750362399</v>
      </c>
      <c r="K843" s="17"/>
    </row>
    <row r="844" spans="1:11" x14ac:dyDescent="0.25">
      <c r="A844" s="3" t="s">
        <v>1708</v>
      </c>
      <c r="B844" s="4" t="s">
        <v>1709</v>
      </c>
      <c r="C844" s="14">
        <v>1842</v>
      </c>
      <c r="D844" s="6" t="s">
        <v>16</v>
      </c>
      <c r="E844" s="6" t="s">
        <v>17</v>
      </c>
      <c r="F844" s="7">
        <v>36665</v>
      </c>
      <c r="G844" s="8">
        <f t="shared" si="13"/>
        <v>36665</v>
      </c>
      <c r="H844" s="6" t="s">
        <v>13</v>
      </c>
      <c r="I844" s="9">
        <f>MAX(original!I844,piwebapi_edit!I844,car_edit!I844)</f>
        <v>77845.921044862291</v>
      </c>
      <c r="J844" s="9">
        <f>MAX(original!J844,piwebapi_edit!J844,car_edit!J844)</f>
        <v>394.41632952020598</v>
      </c>
      <c r="K844" s="17"/>
    </row>
    <row r="845" spans="1:11" x14ac:dyDescent="0.25">
      <c r="A845" s="3" t="s">
        <v>1710</v>
      </c>
      <c r="B845" s="4" t="s">
        <v>1711</v>
      </c>
      <c r="C845" s="14">
        <v>1613</v>
      </c>
      <c r="D845" s="6" t="s">
        <v>16</v>
      </c>
      <c r="E845" s="6" t="s">
        <v>17</v>
      </c>
      <c r="F845" s="7">
        <v>36096</v>
      </c>
      <c r="G845" s="8">
        <f t="shared" si="13"/>
        <v>36096</v>
      </c>
      <c r="H845" s="6" t="s">
        <v>13</v>
      </c>
      <c r="I845" s="9">
        <f>MAX(original!I845,piwebapi_edit!I845,car_edit!I845)</f>
        <v>76668.498213723695</v>
      </c>
      <c r="J845" s="9">
        <f>MAX(original!J845,piwebapi_edit!J845,car_edit!J845)</f>
        <v>1481.23046530697</v>
      </c>
      <c r="K845" s="17"/>
    </row>
    <row r="846" spans="1:11" x14ac:dyDescent="0.25">
      <c r="A846" s="3" t="s">
        <v>1712</v>
      </c>
      <c r="B846" s="4" t="s">
        <v>1713</v>
      </c>
      <c r="C846" s="5">
        <v>1035</v>
      </c>
      <c r="D846" s="6" t="s">
        <v>31</v>
      </c>
      <c r="E846" s="6" t="s">
        <v>17</v>
      </c>
      <c r="F846" s="7">
        <v>29221</v>
      </c>
      <c r="G846" s="8">
        <f t="shared" si="13"/>
        <v>29221</v>
      </c>
      <c r="H846" s="6" t="s">
        <v>13</v>
      </c>
      <c r="I846" s="9">
        <f>MAX(original!I846,piwebapi_edit!I846,car_edit!I846)</f>
        <v>20674.1650003834</v>
      </c>
      <c r="J846" s="9">
        <f>MAX(original!J846,piwebapi_edit!J846,car_edit!J846)</f>
        <v>205.227840103875</v>
      </c>
      <c r="K846" s="17"/>
    </row>
    <row r="847" spans="1:11" x14ac:dyDescent="0.25">
      <c r="A847" s="3" t="s">
        <v>1714</v>
      </c>
      <c r="B847" s="4" t="s">
        <v>1715</v>
      </c>
      <c r="C847" s="14">
        <v>19843</v>
      </c>
      <c r="D847" s="6" t="s">
        <v>31</v>
      </c>
      <c r="E847" s="6" t="s">
        <v>17</v>
      </c>
      <c r="F847" s="7">
        <v>31246</v>
      </c>
      <c r="G847" s="8">
        <f t="shared" si="13"/>
        <v>31246</v>
      </c>
      <c r="H847" s="6" t="s">
        <v>13</v>
      </c>
      <c r="I847" s="9">
        <f>MAX(original!I847,piwebapi_edit!I847,car_edit!I847)</f>
        <v>279719.96000000002</v>
      </c>
      <c r="J847" s="9">
        <f>MAX(original!J847,piwebapi_edit!J847,car_edit!J847)</f>
        <v>680</v>
      </c>
      <c r="K847" s="17"/>
    </row>
    <row r="848" spans="1:11" ht="30" x14ac:dyDescent="0.25">
      <c r="A848" s="3" t="s">
        <v>1716</v>
      </c>
      <c r="B848" s="4" t="s">
        <v>1717</v>
      </c>
      <c r="C848" s="5">
        <v>54613</v>
      </c>
      <c r="D848" s="6" t="s">
        <v>11</v>
      </c>
      <c r="E848" s="6" t="s">
        <v>12</v>
      </c>
      <c r="F848" s="7">
        <v>36528</v>
      </c>
      <c r="G848" s="8">
        <f t="shared" si="13"/>
        <v>36528</v>
      </c>
      <c r="H848" s="6" t="s">
        <v>776</v>
      </c>
      <c r="I848" s="9">
        <f>MAX(original!I848,piwebapi_edit!I848,car_edit!I848)</f>
        <v>0</v>
      </c>
      <c r="J848" s="9">
        <f>MAX(original!J848,piwebapi_edit!J848,car_edit!J848)</f>
        <v>0</v>
      </c>
      <c r="K848" s="17"/>
    </row>
    <row r="849" spans="1:11" ht="30" x14ac:dyDescent="0.25">
      <c r="A849" s="3" t="s">
        <v>1718</v>
      </c>
      <c r="B849" s="4" t="s">
        <v>1719</v>
      </c>
      <c r="C849" s="47">
        <v>371644</v>
      </c>
      <c r="D849" s="6" t="s">
        <v>11</v>
      </c>
      <c r="E849" s="6" t="s">
        <v>12</v>
      </c>
      <c r="F849" s="7">
        <v>45495</v>
      </c>
      <c r="G849" s="8">
        <f t="shared" si="13"/>
        <v>45495</v>
      </c>
      <c r="H849" s="6" t="s">
        <v>776</v>
      </c>
      <c r="I849" s="9">
        <f>MAX(original!I849,piwebapi_edit!I849,car_edit!I849)</f>
        <v>0</v>
      </c>
      <c r="J849" s="9">
        <f>MAX(original!J849,piwebapi_edit!J849,car_edit!J849)</f>
        <v>0</v>
      </c>
      <c r="K849" s="11"/>
    </row>
    <row r="850" spans="1:11" ht="30" x14ac:dyDescent="0.25">
      <c r="A850" s="3" t="s">
        <v>1720</v>
      </c>
      <c r="B850" s="4" t="s">
        <v>1721</v>
      </c>
      <c r="C850" s="5">
        <v>54615</v>
      </c>
      <c r="D850" s="6" t="s">
        <v>11</v>
      </c>
      <c r="E850" s="6" t="s">
        <v>12</v>
      </c>
      <c r="F850" s="7">
        <v>38210</v>
      </c>
      <c r="G850" s="8">
        <f t="shared" si="13"/>
        <v>38210</v>
      </c>
      <c r="H850" s="6" t="s">
        <v>776</v>
      </c>
      <c r="I850" s="9">
        <f>MAX(original!I850,piwebapi_edit!I850,car_edit!I850)</f>
        <v>5654.9581090719694</v>
      </c>
      <c r="J850" s="9">
        <f>MAX(original!J850,piwebapi_edit!J850,car_edit!J850)</f>
        <v>138.66097056220201</v>
      </c>
      <c r="K850" s="17"/>
    </row>
    <row r="851" spans="1:11" ht="30" x14ac:dyDescent="0.25">
      <c r="A851" s="3" t="s">
        <v>1722</v>
      </c>
      <c r="B851" s="4" t="s">
        <v>1723</v>
      </c>
      <c r="C851" s="5">
        <v>38449</v>
      </c>
      <c r="D851" s="6" t="s">
        <v>11</v>
      </c>
      <c r="E851" s="6" t="s">
        <v>12</v>
      </c>
      <c r="F851" s="7">
        <v>30678</v>
      </c>
      <c r="G851" s="8">
        <f t="shared" si="13"/>
        <v>30678</v>
      </c>
      <c r="H851" s="6" t="s">
        <v>776</v>
      </c>
      <c r="I851" s="9">
        <f>MAX(original!I851,piwebapi_edit!I851,car_edit!I851)</f>
        <v>21753.931627688602</v>
      </c>
      <c r="J851" s="9">
        <f>MAX(original!J851,piwebapi_edit!J851,car_edit!J851)</f>
        <v>389.56471163298602</v>
      </c>
      <c r="K851" s="17"/>
    </row>
    <row r="852" spans="1:11" ht="30" x14ac:dyDescent="0.25">
      <c r="A852" s="3" t="s">
        <v>1724</v>
      </c>
      <c r="B852" s="4" t="s">
        <v>1725</v>
      </c>
      <c r="C852" s="5">
        <v>38177</v>
      </c>
      <c r="D852" s="6" t="s">
        <v>11</v>
      </c>
      <c r="E852" s="6" t="s">
        <v>12</v>
      </c>
      <c r="F852" s="7">
        <v>29928</v>
      </c>
      <c r="G852" s="8">
        <f t="shared" si="13"/>
        <v>29928</v>
      </c>
      <c r="H852" s="6" t="s">
        <v>776</v>
      </c>
      <c r="I852" s="9">
        <f>MAX(original!I852,piwebapi_edit!I852,car_edit!I852)</f>
        <v>22207.867723691401</v>
      </c>
      <c r="J852" s="9">
        <f>MAX(original!J852,piwebapi_edit!J852,car_edit!J852)</f>
        <v>342.98559839646998</v>
      </c>
      <c r="K852" s="17"/>
    </row>
    <row r="853" spans="1:11" x14ac:dyDescent="0.25">
      <c r="A853" s="3" t="s">
        <v>1726</v>
      </c>
      <c r="B853" s="4" t="s">
        <v>1727</v>
      </c>
      <c r="C853" s="5">
        <v>52306</v>
      </c>
      <c r="D853" s="6" t="s">
        <v>34</v>
      </c>
      <c r="E853" s="6" t="s">
        <v>17</v>
      </c>
      <c r="F853" s="7">
        <v>38576</v>
      </c>
      <c r="G853" s="8">
        <f t="shared" si="13"/>
        <v>38576</v>
      </c>
      <c r="H853" s="6" t="s">
        <v>13</v>
      </c>
      <c r="I853" s="9">
        <f>MAX(original!I853,piwebapi_edit!I853,car_edit!I853)</f>
        <v>21086.722070456901</v>
      </c>
      <c r="J853" s="9">
        <f>MAX(original!J853,piwebapi_edit!J853,car_edit!J853)</f>
        <v>316.098385093307</v>
      </c>
      <c r="K853" s="17"/>
    </row>
    <row r="854" spans="1:11" x14ac:dyDescent="0.25">
      <c r="A854" s="3" t="s">
        <v>1728</v>
      </c>
      <c r="B854" s="4" t="s">
        <v>1729</v>
      </c>
      <c r="C854" s="5">
        <v>52305</v>
      </c>
      <c r="D854" s="6" t="s">
        <v>34</v>
      </c>
      <c r="E854" s="6" t="s">
        <v>17</v>
      </c>
      <c r="F854" s="7">
        <v>38576</v>
      </c>
      <c r="G854" s="8">
        <f t="shared" si="13"/>
        <v>38576</v>
      </c>
      <c r="H854" s="6" t="s">
        <v>13</v>
      </c>
      <c r="I854" s="9">
        <f>MAX(original!I854,piwebapi_edit!I854,car_edit!I854)</f>
        <v>3156.7492011832501</v>
      </c>
      <c r="J854" s="9">
        <f>MAX(original!J854,piwebapi_edit!J854,car_edit!J854)</f>
        <v>98.708484247132205</v>
      </c>
      <c r="K854" s="17"/>
    </row>
    <row r="855" spans="1:11" x14ac:dyDescent="0.25">
      <c r="A855" s="3" t="s">
        <v>1730</v>
      </c>
      <c r="B855" s="4" t="s">
        <v>1731</v>
      </c>
      <c r="C855" s="5">
        <v>28881</v>
      </c>
      <c r="D855" s="6" t="s">
        <v>34</v>
      </c>
      <c r="E855" s="6" t="s">
        <v>17</v>
      </c>
      <c r="F855" s="7">
        <v>38595</v>
      </c>
      <c r="G855" s="8">
        <f t="shared" si="13"/>
        <v>38595</v>
      </c>
      <c r="H855" s="6" t="s">
        <v>13</v>
      </c>
      <c r="I855" s="9">
        <f>MAX(original!I855,piwebapi_edit!I855,car_edit!I855)</f>
        <v>29740.167435626699</v>
      </c>
      <c r="J855" s="9">
        <f>MAX(original!J855,piwebapi_edit!J855,car_edit!J855)</f>
        <v>250.32528875005301</v>
      </c>
      <c r="K855" s="17"/>
    </row>
    <row r="856" spans="1:11" x14ac:dyDescent="0.25">
      <c r="A856" s="3" t="s">
        <v>1732</v>
      </c>
      <c r="B856" s="4" t="s">
        <v>1733</v>
      </c>
      <c r="C856" s="14">
        <v>14725</v>
      </c>
      <c r="D856" s="6" t="s">
        <v>31</v>
      </c>
      <c r="E856" s="6" t="s">
        <v>17</v>
      </c>
      <c r="F856" s="7">
        <v>23182</v>
      </c>
      <c r="G856" s="8">
        <f t="shared" si="13"/>
        <v>23182</v>
      </c>
      <c r="H856" s="6" t="s">
        <v>13</v>
      </c>
      <c r="I856" s="9">
        <f>MAX(original!I856,piwebapi_edit!I856,car_edit!I856)</f>
        <v>54845.692304414595</v>
      </c>
      <c r="J856" s="9">
        <f>MAX(original!J856,piwebapi_edit!J856,car_edit!J856)</f>
        <v>229.73980502905499</v>
      </c>
      <c r="K856" s="17"/>
    </row>
    <row r="857" spans="1:11" x14ac:dyDescent="0.25">
      <c r="A857" s="26" t="s">
        <v>1734</v>
      </c>
      <c r="B857" s="27" t="s">
        <v>1735</v>
      </c>
      <c r="C857" s="34">
        <v>2065</v>
      </c>
      <c r="D857" s="28" t="s">
        <v>34</v>
      </c>
      <c r="E857" s="28" t="s">
        <v>17</v>
      </c>
      <c r="F857" s="29">
        <v>18264</v>
      </c>
      <c r="G857" s="30">
        <f t="shared" si="13"/>
        <v>18264</v>
      </c>
      <c r="H857" s="28" t="s">
        <v>13</v>
      </c>
      <c r="I857" s="9">
        <f>MAX(original!I857,piwebapi_edit!I857,car_edit!I857)</f>
        <v>9695.4647623503715</v>
      </c>
      <c r="J857" s="9">
        <f>MAX(original!J857,piwebapi_edit!J857,car_edit!J857)</f>
        <v>41.058923062410003</v>
      </c>
      <c r="K857" s="33"/>
    </row>
    <row r="858" spans="1:11" x14ac:dyDescent="0.25">
      <c r="A858" s="3" t="s">
        <v>1736</v>
      </c>
      <c r="B858" s="4" t="s">
        <v>1737</v>
      </c>
      <c r="C858" s="14">
        <v>1596</v>
      </c>
      <c r="D858" s="6" t="s">
        <v>28</v>
      </c>
      <c r="E858" s="6" t="s">
        <v>17</v>
      </c>
      <c r="F858" s="7">
        <v>38777</v>
      </c>
      <c r="G858" s="8">
        <f t="shared" si="13"/>
        <v>38777</v>
      </c>
      <c r="H858" s="6" t="s">
        <v>13</v>
      </c>
      <c r="I858" s="9">
        <f>MAX(original!I858,piwebapi_edit!I858,car_edit!I858)</f>
        <v>61380.988826350702</v>
      </c>
      <c r="J858" s="9">
        <f>MAX(original!J858,piwebapi_edit!J858,car_edit!J858)</f>
        <v>182.468444597635</v>
      </c>
      <c r="K858" s="17"/>
    </row>
    <row r="859" spans="1:11" x14ac:dyDescent="0.25">
      <c r="A859" s="3" t="s">
        <v>1738</v>
      </c>
      <c r="B859" s="4" t="s">
        <v>1739</v>
      </c>
      <c r="C859" s="14">
        <v>54616</v>
      </c>
      <c r="D859" s="6" t="s">
        <v>16</v>
      </c>
      <c r="E859" s="6" t="s">
        <v>17</v>
      </c>
      <c r="F859" s="7">
        <v>36557</v>
      </c>
      <c r="G859" s="8">
        <f t="shared" si="13"/>
        <v>36557</v>
      </c>
      <c r="H859" s="6" t="s">
        <v>13</v>
      </c>
      <c r="I859" s="9">
        <f>MAX(original!I859,piwebapi_edit!I859,car_edit!I859)</f>
        <v>1029.5162556790001</v>
      </c>
      <c r="J859" s="9">
        <f>MAX(original!J859,piwebapi_edit!J859,car_edit!J859)</f>
        <v>324.20189163588799</v>
      </c>
      <c r="K859" s="17"/>
    </row>
    <row r="860" spans="1:11" x14ac:dyDescent="0.25">
      <c r="A860" s="3" t="s">
        <v>1740</v>
      </c>
      <c r="B860" s="4" t="s">
        <v>1741</v>
      </c>
      <c r="C860" s="5">
        <v>1199</v>
      </c>
      <c r="D860" s="6" t="s">
        <v>16</v>
      </c>
      <c r="E860" s="6" t="s">
        <v>17</v>
      </c>
      <c r="F860" s="7">
        <v>29952</v>
      </c>
      <c r="G860" s="8">
        <f t="shared" si="13"/>
        <v>29952</v>
      </c>
      <c r="H860" s="6" t="s">
        <v>13</v>
      </c>
      <c r="I860" s="9">
        <f>MAX(original!I860,piwebapi_edit!I860,car_edit!I860)</f>
        <v>48370.959896615503</v>
      </c>
      <c r="J860" s="9">
        <f>MAX(original!J860,piwebapi_edit!J860,car_edit!J860)</f>
        <v>331.97776056910999</v>
      </c>
      <c r="K860" s="17"/>
    </row>
    <row r="861" spans="1:11" x14ac:dyDescent="0.25">
      <c r="A861" s="3" t="s">
        <v>1742</v>
      </c>
      <c r="B861" s="4" t="s">
        <v>1743</v>
      </c>
      <c r="C861" s="5">
        <v>18247</v>
      </c>
      <c r="D861" s="6" t="s">
        <v>16</v>
      </c>
      <c r="E861" s="6" t="s">
        <v>17</v>
      </c>
      <c r="F861" s="7">
        <v>21922</v>
      </c>
      <c r="G861" s="8">
        <f t="shared" si="13"/>
        <v>21922</v>
      </c>
      <c r="H861" s="6" t="s">
        <v>13</v>
      </c>
      <c r="I861" s="9">
        <f>MAX(original!I861,piwebapi_edit!I861,car_edit!I861)</f>
        <v>8639.8113629135987</v>
      </c>
      <c r="J861" s="9">
        <f>MAX(original!J861,piwebapi_edit!J861,car_edit!J861)</f>
        <v>55.804616595322599</v>
      </c>
      <c r="K861" s="17"/>
    </row>
    <row r="862" spans="1:11" x14ac:dyDescent="0.25">
      <c r="A862" s="3" t="s">
        <v>1744</v>
      </c>
      <c r="B862" s="4" t="s">
        <v>1745</v>
      </c>
      <c r="C862" s="5">
        <v>54617</v>
      </c>
      <c r="D862" s="6" t="s">
        <v>28</v>
      </c>
      <c r="E862" s="6" t="s">
        <v>17</v>
      </c>
      <c r="F862" s="7">
        <v>37242</v>
      </c>
      <c r="G862" s="8">
        <f t="shared" si="13"/>
        <v>37242</v>
      </c>
      <c r="H862" s="6" t="s">
        <v>13</v>
      </c>
      <c r="I862" s="9">
        <f>MAX(original!I862,piwebapi_edit!I862,car_edit!I862)</f>
        <v>1901.9626538702701</v>
      </c>
      <c r="J862" s="9">
        <f>MAX(original!J862,piwebapi_edit!J862,car_edit!J862)</f>
        <v>149.81591121300599</v>
      </c>
      <c r="K862" s="17"/>
    </row>
    <row r="863" spans="1:11" x14ac:dyDescent="0.25">
      <c r="A863" s="3" t="s">
        <v>1746</v>
      </c>
      <c r="B863" s="4" t="s">
        <v>1747</v>
      </c>
      <c r="C863" s="14">
        <v>72114</v>
      </c>
      <c r="D863" s="6" t="s">
        <v>11</v>
      </c>
      <c r="E863" s="6" t="s">
        <v>17</v>
      </c>
      <c r="F863" s="7">
        <v>39174</v>
      </c>
      <c r="G863" s="8">
        <f t="shared" si="13"/>
        <v>39174</v>
      </c>
      <c r="H863" s="6" t="s">
        <v>13</v>
      </c>
      <c r="I863" s="9">
        <f>MAX(original!I863,piwebapi_edit!I863,car_edit!I863)</f>
        <v>0</v>
      </c>
      <c r="J863" s="9">
        <f>MAX(original!J863,piwebapi_edit!J863,car_edit!J863)</f>
        <v>0</v>
      </c>
      <c r="K863" s="17"/>
    </row>
    <row r="864" spans="1:11" x14ac:dyDescent="0.25">
      <c r="A864" s="3" t="s">
        <v>1748</v>
      </c>
      <c r="B864" s="4" t="s">
        <v>1749</v>
      </c>
      <c r="C864" s="5">
        <v>81697</v>
      </c>
      <c r="D864" s="6" t="s">
        <v>31</v>
      </c>
      <c r="E864" s="6" t="s">
        <v>17</v>
      </c>
      <c r="F864" s="7">
        <v>38987</v>
      </c>
      <c r="G864" s="8">
        <f t="shared" si="13"/>
        <v>38987</v>
      </c>
      <c r="H864" s="6" t="s">
        <v>13</v>
      </c>
      <c r="I864" s="9">
        <f>MAX(original!I864,piwebapi_edit!I864,car_edit!I864)</f>
        <v>5759.3709158113898</v>
      </c>
      <c r="J864" s="9">
        <f>MAX(original!J864,piwebapi_edit!J864,car_edit!J864)</f>
        <v>59.077038878833797</v>
      </c>
      <c r="K864" s="17"/>
    </row>
    <row r="865" spans="1:11" x14ac:dyDescent="0.25">
      <c r="A865" s="3" t="s">
        <v>1750</v>
      </c>
      <c r="B865" s="4" t="s">
        <v>1751</v>
      </c>
      <c r="C865" s="5">
        <v>43601</v>
      </c>
      <c r="D865" s="6" t="s">
        <v>31</v>
      </c>
      <c r="E865" s="6" t="s">
        <v>17</v>
      </c>
      <c r="F865" s="7">
        <v>33490</v>
      </c>
      <c r="G865" s="8">
        <f t="shared" si="13"/>
        <v>33490</v>
      </c>
      <c r="H865" s="6" t="s">
        <v>13</v>
      </c>
      <c r="I865" s="9">
        <f>MAX(original!I865,piwebapi_edit!I865,car_edit!I865)</f>
        <v>21667.483385367501</v>
      </c>
      <c r="J865" s="9">
        <f>MAX(original!J865,piwebapi_edit!J865,car_edit!J865)</f>
        <v>245.58997786843599</v>
      </c>
      <c r="K865" s="17"/>
    </row>
    <row r="866" spans="1:11" x14ac:dyDescent="0.25">
      <c r="A866" s="3" t="s">
        <v>1752</v>
      </c>
      <c r="B866" s="4" t="s">
        <v>1753</v>
      </c>
      <c r="C866" s="14">
        <v>18246</v>
      </c>
      <c r="D866" s="6" t="s">
        <v>16</v>
      </c>
      <c r="E866" s="6" t="s">
        <v>17</v>
      </c>
      <c r="F866" s="7">
        <v>30468</v>
      </c>
      <c r="G866" s="8">
        <f t="shared" si="13"/>
        <v>30468</v>
      </c>
      <c r="H866" s="6" t="s">
        <v>13</v>
      </c>
      <c r="I866" s="9">
        <f>MAX(original!I866,piwebapi_edit!I866,car_edit!I866)</f>
        <v>733560.86931484507</v>
      </c>
      <c r="J866" s="9">
        <f>MAX(original!J866,piwebapi_edit!J866,car_edit!J866)</f>
        <v>1572.5331883589799</v>
      </c>
      <c r="K866" s="17"/>
    </row>
    <row r="867" spans="1:11" x14ac:dyDescent="0.25">
      <c r="A867" s="3" t="s">
        <v>1754</v>
      </c>
      <c r="B867" s="4" t="s">
        <v>1755</v>
      </c>
      <c r="C867" s="14">
        <v>10575</v>
      </c>
      <c r="D867" s="6" t="s">
        <v>28</v>
      </c>
      <c r="E867" s="6" t="s">
        <v>17</v>
      </c>
      <c r="F867" s="7">
        <v>37190</v>
      </c>
      <c r="G867" s="8">
        <f t="shared" si="13"/>
        <v>37190</v>
      </c>
      <c r="H867" s="6" t="s">
        <v>13</v>
      </c>
      <c r="I867" s="9">
        <f>MAX(original!I867,piwebapi_edit!I867,car_edit!I867)</f>
        <v>5903.3628555897203</v>
      </c>
      <c r="J867" s="9">
        <f>MAX(original!J867,piwebapi_edit!J867,car_edit!J867)</f>
        <v>58.494439337191501</v>
      </c>
      <c r="K867" s="17"/>
    </row>
    <row r="868" spans="1:11" x14ac:dyDescent="0.25">
      <c r="A868" s="3" t="s">
        <v>1756</v>
      </c>
      <c r="B868" s="4" t="s">
        <v>1757</v>
      </c>
      <c r="C868" s="14">
        <v>13445</v>
      </c>
      <c r="D868" s="6" t="s">
        <v>34</v>
      </c>
      <c r="E868" s="6" t="s">
        <v>17</v>
      </c>
      <c r="F868" s="7">
        <v>36678</v>
      </c>
      <c r="G868" s="8">
        <f t="shared" si="13"/>
        <v>36678</v>
      </c>
      <c r="H868" s="6" t="s">
        <v>13</v>
      </c>
      <c r="I868" s="9">
        <f>MAX(original!I868,piwebapi_edit!I868,car_edit!I868)</f>
        <v>6839.2911219951802</v>
      </c>
      <c r="J868" s="9">
        <f>MAX(original!J868,piwebapi_edit!J868,car_edit!J868)</f>
        <v>186.672011310394</v>
      </c>
      <c r="K868" s="17"/>
    </row>
    <row r="869" spans="1:11" x14ac:dyDescent="0.25">
      <c r="A869" s="3" t="s">
        <v>1758</v>
      </c>
      <c r="B869" s="4" t="s">
        <v>1759</v>
      </c>
      <c r="C869" s="14">
        <v>48754</v>
      </c>
      <c r="D869" s="6" t="s">
        <v>34</v>
      </c>
      <c r="E869" s="6" t="s">
        <v>17</v>
      </c>
      <c r="F869" s="7">
        <v>38078</v>
      </c>
      <c r="G869" s="8">
        <f t="shared" si="13"/>
        <v>38078</v>
      </c>
      <c r="H869" s="6" t="s">
        <v>13</v>
      </c>
      <c r="I869" s="9">
        <f>MAX(original!I869,piwebapi_edit!I869,car_edit!I869)</f>
        <v>1233260.8700000001</v>
      </c>
      <c r="J869" s="9">
        <f>MAX(original!J869,piwebapi_edit!J869,car_edit!J869)</f>
        <v>4790</v>
      </c>
      <c r="K869" s="17"/>
    </row>
    <row r="870" spans="1:11" x14ac:dyDescent="0.25">
      <c r="A870" s="3" t="s">
        <v>1760</v>
      </c>
      <c r="B870" s="4" t="s">
        <v>1761</v>
      </c>
      <c r="C870" s="5">
        <v>1500</v>
      </c>
      <c r="D870" s="6" t="s">
        <v>28</v>
      </c>
      <c r="E870" s="6" t="s">
        <v>17</v>
      </c>
      <c r="F870" s="7">
        <v>33379</v>
      </c>
      <c r="G870" s="8">
        <f t="shared" si="13"/>
        <v>33379</v>
      </c>
      <c r="H870" s="6" t="s">
        <v>13</v>
      </c>
      <c r="I870" s="9">
        <f>MAX(original!I870,piwebapi_edit!I870,car_edit!I870)</f>
        <v>41307.017119397402</v>
      </c>
      <c r="J870" s="9">
        <f>MAX(original!J870,piwebapi_edit!J870,car_edit!J870)</f>
        <v>567.01092940814499</v>
      </c>
      <c r="K870" s="17"/>
    </row>
    <row r="871" spans="1:11" x14ac:dyDescent="0.25">
      <c r="A871" s="3" t="s">
        <v>1762</v>
      </c>
      <c r="B871" s="4" t="s">
        <v>1763</v>
      </c>
      <c r="C871" s="5">
        <v>72111</v>
      </c>
      <c r="D871" s="6" t="s">
        <v>11</v>
      </c>
      <c r="E871" s="6" t="s">
        <v>17</v>
      </c>
      <c r="F871" s="7">
        <v>39169</v>
      </c>
      <c r="G871" s="8">
        <f t="shared" si="13"/>
        <v>39169</v>
      </c>
      <c r="H871" s="6" t="s">
        <v>13</v>
      </c>
      <c r="I871" s="9">
        <f>MAX(original!I871,piwebapi_edit!I871,car_edit!I871)</f>
        <v>17687.328392487299</v>
      </c>
      <c r="J871" s="9">
        <f>MAX(original!J871,piwebapi_edit!J871,car_edit!J871)</f>
        <v>121.057660589039</v>
      </c>
      <c r="K871" s="17"/>
    </row>
    <row r="872" spans="1:11" x14ac:dyDescent="0.25">
      <c r="A872" s="3" t="s">
        <v>1764</v>
      </c>
      <c r="B872" s="4" t="s">
        <v>1765</v>
      </c>
      <c r="C872" s="5">
        <v>1259</v>
      </c>
      <c r="D872" s="6" t="s">
        <v>28</v>
      </c>
      <c r="E872" s="6" t="s">
        <v>17</v>
      </c>
      <c r="F872" s="7">
        <v>29952</v>
      </c>
      <c r="G872" s="8">
        <f t="shared" si="13"/>
        <v>29952</v>
      </c>
      <c r="H872" s="6" t="s">
        <v>13</v>
      </c>
      <c r="I872" s="9">
        <f>MAX(original!I872,piwebapi_edit!I872,car_edit!I872)</f>
        <v>95142.541899956093</v>
      </c>
      <c r="J872" s="9">
        <f>MAX(original!J872,piwebapi_edit!J872,car_edit!J872)</f>
        <v>650.83070338406003</v>
      </c>
      <c r="K872" s="17"/>
    </row>
    <row r="873" spans="1:11" x14ac:dyDescent="0.25">
      <c r="A873" s="3" t="s">
        <v>1766</v>
      </c>
      <c r="B873" s="4" t="s">
        <v>1767</v>
      </c>
      <c r="C873" s="5">
        <v>1372</v>
      </c>
      <c r="D873" s="6" t="s">
        <v>28</v>
      </c>
      <c r="E873" s="6" t="s">
        <v>17</v>
      </c>
      <c r="F873" s="7">
        <v>36445</v>
      </c>
      <c r="G873" s="8">
        <f t="shared" si="13"/>
        <v>36445</v>
      </c>
      <c r="H873" s="6" t="s">
        <v>13</v>
      </c>
      <c r="I873" s="9">
        <f>MAX(original!I873,piwebapi_edit!I873,car_edit!I873)</f>
        <v>43545.951113030802</v>
      </c>
      <c r="J873" s="9">
        <f>MAX(original!J873,piwebapi_edit!J873,car_edit!J873)</f>
        <v>220.59562639242799</v>
      </c>
      <c r="K873" s="17"/>
    </row>
    <row r="874" spans="1:11" x14ac:dyDescent="0.25">
      <c r="A874" s="3" t="s">
        <v>1768</v>
      </c>
      <c r="B874" s="4" t="s">
        <v>1769</v>
      </c>
      <c r="C874" s="5">
        <v>72113</v>
      </c>
      <c r="D874" s="6" t="s">
        <v>11</v>
      </c>
      <c r="E874" s="6" t="s">
        <v>17</v>
      </c>
      <c r="F874" s="7">
        <v>39174</v>
      </c>
      <c r="G874" s="8">
        <f t="shared" si="13"/>
        <v>39174</v>
      </c>
      <c r="H874" s="6" t="s">
        <v>13</v>
      </c>
      <c r="I874" s="9">
        <f>MAX(original!I874,piwebapi_edit!I874,car_edit!I874)</f>
        <v>42804.4513892701</v>
      </c>
      <c r="J874" s="9">
        <f>MAX(original!J874,piwebapi_edit!J874,car_edit!J874)</f>
        <v>391.04333763239498</v>
      </c>
      <c r="K874" s="17"/>
    </row>
    <row r="875" spans="1:11" x14ac:dyDescent="0.25">
      <c r="A875" s="3" t="s">
        <v>1770</v>
      </c>
      <c r="B875" s="4" t="s">
        <v>1771</v>
      </c>
      <c r="C875" s="5">
        <v>45553</v>
      </c>
      <c r="D875" s="6" t="s">
        <v>31</v>
      </c>
      <c r="E875" s="6" t="s">
        <v>17</v>
      </c>
      <c r="F875" s="7">
        <v>33490</v>
      </c>
      <c r="G875" s="8">
        <f t="shared" si="13"/>
        <v>33490</v>
      </c>
      <c r="H875" s="6" t="s">
        <v>13</v>
      </c>
      <c r="I875" s="9">
        <f>MAX(original!I875,piwebapi_edit!I875,car_edit!I875)</f>
        <v>11085.8477164946</v>
      </c>
      <c r="J875" s="9">
        <f>MAX(original!J875,piwebapi_edit!J875,car_edit!J875)</f>
        <v>335.44300837622598</v>
      </c>
      <c r="K875" s="17"/>
    </row>
    <row r="876" spans="1:11" x14ac:dyDescent="0.25">
      <c r="A876" s="3" t="s">
        <v>1772</v>
      </c>
      <c r="B876" s="4" t="s">
        <v>1773</v>
      </c>
      <c r="C876" s="5">
        <v>45521</v>
      </c>
      <c r="D876" s="6" t="s">
        <v>31</v>
      </c>
      <c r="E876" s="6" t="s">
        <v>17</v>
      </c>
      <c r="F876" s="7">
        <v>33490</v>
      </c>
      <c r="G876" s="8">
        <f t="shared" si="13"/>
        <v>33490</v>
      </c>
      <c r="H876" s="6" t="s">
        <v>13</v>
      </c>
      <c r="I876" s="9">
        <f>MAX(original!I876,piwebapi_edit!I876,car_edit!I876)</f>
        <v>193915.315883109</v>
      </c>
      <c r="J876" s="9">
        <f>MAX(original!J876,piwebapi_edit!J876,car_edit!J876)</f>
        <v>455.58494627914399</v>
      </c>
      <c r="K876" s="17"/>
    </row>
    <row r="877" spans="1:11" x14ac:dyDescent="0.25">
      <c r="A877" s="3" t="s">
        <v>1774</v>
      </c>
      <c r="B877" s="4" t="s">
        <v>1775</v>
      </c>
      <c r="C877" s="5">
        <v>42961</v>
      </c>
      <c r="D877" s="6" t="s">
        <v>31</v>
      </c>
      <c r="E877" s="6" t="s">
        <v>17</v>
      </c>
      <c r="F877" s="7">
        <v>33490</v>
      </c>
      <c r="G877" s="8">
        <f t="shared" si="13"/>
        <v>33490</v>
      </c>
      <c r="H877" s="6" t="s">
        <v>13</v>
      </c>
      <c r="I877" s="9">
        <f>MAX(original!I877,piwebapi_edit!I877,car_edit!I877)</f>
        <v>9578.6401840988601</v>
      </c>
      <c r="J877" s="9">
        <f>MAX(original!J877,piwebapi_edit!J877,car_edit!J877)</f>
        <v>102.172165519741</v>
      </c>
      <c r="K877" s="17"/>
    </row>
    <row r="878" spans="1:11" x14ac:dyDescent="0.25">
      <c r="A878" s="3" t="s">
        <v>1776</v>
      </c>
      <c r="B878" s="4" t="s">
        <v>1777</v>
      </c>
      <c r="C878" s="5">
        <v>42321</v>
      </c>
      <c r="D878" s="6" t="s">
        <v>31</v>
      </c>
      <c r="E878" s="6" t="s">
        <v>17</v>
      </c>
      <c r="F878" s="7">
        <v>35016</v>
      </c>
      <c r="G878" s="8">
        <f t="shared" si="13"/>
        <v>35016</v>
      </c>
      <c r="H878" s="6" t="s">
        <v>13</v>
      </c>
      <c r="I878" s="9">
        <f>MAX(original!I878,piwebapi_edit!I878,car_edit!I878)</f>
        <v>3807.8320029040001</v>
      </c>
      <c r="J878" s="9">
        <f>MAX(original!J878,piwebapi_edit!J878,car_edit!J878)</f>
        <v>227.764702003156</v>
      </c>
      <c r="K878" s="17"/>
    </row>
    <row r="879" spans="1:11" x14ac:dyDescent="0.25">
      <c r="A879" s="3" t="s">
        <v>1778</v>
      </c>
      <c r="B879" s="4" t="s">
        <v>1779</v>
      </c>
      <c r="C879" s="14">
        <v>32897</v>
      </c>
      <c r="D879" s="6" t="s">
        <v>16</v>
      </c>
      <c r="E879" s="6" t="s">
        <v>17</v>
      </c>
      <c r="F879" s="7">
        <v>38376</v>
      </c>
      <c r="G879" s="8">
        <f t="shared" si="13"/>
        <v>38376</v>
      </c>
      <c r="H879" s="6" t="s">
        <v>13</v>
      </c>
      <c r="I879" s="9">
        <f>MAX(original!I879,piwebapi_edit!I879,car_edit!I879)</f>
        <v>51945.758803243298</v>
      </c>
      <c r="J879" s="9">
        <f>MAX(original!J879,piwebapi_edit!J879,car_edit!J879)</f>
        <v>604.96987326196199</v>
      </c>
      <c r="K879" s="17"/>
    </row>
    <row r="880" spans="1:11" x14ac:dyDescent="0.25">
      <c r="A880" s="3" t="s">
        <v>1780</v>
      </c>
      <c r="B880" s="4" t="s">
        <v>1781</v>
      </c>
      <c r="C880" s="5">
        <v>7043</v>
      </c>
      <c r="D880" s="6" t="s">
        <v>34</v>
      </c>
      <c r="E880" s="6" t="s">
        <v>17</v>
      </c>
      <c r="F880" s="7">
        <v>37209</v>
      </c>
      <c r="G880" s="8">
        <f t="shared" si="13"/>
        <v>37209</v>
      </c>
      <c r="H880" s="6" t="s">
        <v>13</v>
      </c>
      <c r="I880" s="9">
        <f>MAX(original!I880,piwebapi_edit!I880,car_edit!I880)</f>
        <v>6134.1849674999303</v>
      </c>
      <c r="J880" s="9">
        <f>MAX(original!J880,piwebapi_edit!J880,car_edit!J880)</f>
        <v>48.388179940841603</v>
      </c>
      <c r="K880" s="17"/>
    </row>
    <row r="881" spans="1:11" x14ac:dyDescent="0.25">
      <c r="A881" s="3" t="s">
        <v>1782</v>
      </c>
      <c r="B881" s="4" t="s">
        <v>1783</v>
      </c>
      <c r="C881" s="5">
        <v>10241</v>
      </c>
      <c r="D881" s="6" t="s">
        <v>11</v>
      </c>
      <c r="E881" s="6" t="s">
        <v>17</v>
      </c>
      <c r="F881" s="7">
        <v>37228</v>
      </c>
      <c r="G881" s="8">
        <f t="shared" si="13"/>
        <v>37228</v>
      </c>
      <c r="H881" s="6" t="s">
        <v>13</v>
      </c>
      <c r="I881" s="9">
        <f>MAX(original!I881,piwebapi_edit!I881,car_edit!I881)</f>
        <v>6884.0843296887206</v>
      </c>
      <c r="J881" s="9">
        <f>MAX(original!J881,piwebapi_edit!J881,car_edit!J881)</f>
        <v>207.75448235501</v>
      </c>
      <c r="K881" s="17"/>
    </row>
    <row r="882" spans="1:11" x14ac:dyDescent="0.25">
      <c r="A882" s="3" t="s">
        <v>1784</v>
      </c>
      <c r="B882" s="4" t="s">
        <v>1785</v>
      </c>
      <c r="C882" s="5">
        <v>47442</v>
      </c>
      <c r="D882" s="6" t="s">
        <v>28</v>
      </c>
      <c r="E882" s="6" t="s">
        <v>17</v>
      </c>
      <c r="F882" s="7">
        <v>39415</v>
      </c>
      <c r="G882" s="8">
        <f t="shared" si="13"/>
        <v>39415</v>
      </c>
      <c r="H882" s="6" t="s">
        <v>13</v>
      </c>
      <c r="I882" s="9">
        <f>MAX(original!I882,piwebapi_edit!I882,car_edit!I882)</f>
        <v>28313.0225646447</v>
      </c>
      <c r="J882" s="9">
        <f>MAX(original!J882,piwebapi_edit!J882,car_edit!J882)</f>
        <v>215.922743147039</v>
      </c>
      <c r="K882" s="17"/>
    </row>
    <row r="883" spans="1:11" x14ac:dyDescent="0.25">
      <c r="A883" s="3" t="s">
        <v>1786</v>
      </c>
      <c r="B883" s="4" t="s">
        <v>1787</v>
      </c>
      <c r="C883" s="5">
        <v>54619</v>
      </c>
      <c r="D883" s="6" t="s">
        <v>28</v>
      </c>
      <c r="E883" s="6" t="s">
        <v>17</v>
      </c>
      <c r="F883" s="7">
        <v>36420</v>
      </c>
      <c r="G883" s="8">
        <f t="shared" si="13"/>
        <v>36420</v>
      </c>
      <c r="H883" s="6" t="s">
        <v>13</v>
      </c>
      <c r="I883" s="9">
        <f>MAX(original!I883,piwebapi_edit!I883,car_edit!I883)</f>
        <v>26634.5187072234</v>
      </c>
      <c r="J883" s="9">
        <f>MAX(original!J883,piwebapi_edit!J883,car_edit!J883)</f>
        <v>336.58054826866697</v>
      </c>
      <c r="K883" s="17"/>
    </row>
    <row r="884" spans="1:11" x14ac:dyDescent="0.25">
      <c r="A884" s="3" t="s">
        <v>1788</v>
      </c>
      <c r="B884" s="4" t="s">
        <v>1789</v>
      </c>
      <c r="C884" s="5">
        <v>1791</v>
      </c>
      <c r="D884" s="6" t="s">
        <v>28</v>
      </c>
      <c r="E884" s="6" t="s">
        <v>17</v>
      </c>
      <c r="F884" s="7">
        <v>40198</v>
      </c>
      <c r="G884" s="8">
        <f t="shared" si="13"/>
        <v>40198</v>
      </c>
      <c r="H884" s="6" t="s">
        <v>13</v>
      </c>
      <c r="I884" s="9">
        <f>MAX(original!I884,piwebapi_edit!I884,car_edit!I884)</f>
        <v>10281.7940883473</v>
      </c>
      <c r="J884" s="9">
        <f>MAX(original!J884,piwebapi_edit!J884,car_edit!J884)</f>
        <v>176.935804219857</v>
      </c>
      <c r="K884" s="17"/>
    </row>
    <row r="885" spans="1:11" x14ac:dyDescent="0.25">
      <c r="A885" s="3" t="s">
        <v>1790</v>
      </c>
      <c r="B885" s="4" t="s">
        <v>1791</v>
      </c>
      <c r="C885" s="5">
        <v>1726</v>
      </c>
      <c r="D885" s="6" t="s">
        <v>16</v>
      </c>
      <c r="E885" s="6" t="s">
        <v>17</v>
      </c>
      <c r="F885" s="7">
        <v>27187</v>
      </c>
      <c r="G885" s="8">
        <f t="shared" si="13"/>
        <v>27187</v>
      </c>
      <c r="H885" s="6" t="s">
        <v>13</v>
      </c>
      <c r="I885" s="9">
        <f>MAX(original!I885,piwebapi_edit!I885,car_edit!I885)</f>
        <v>35870.954857176002</v>
      </c>
      <c r="J885" s="9">
        <f>MAX(original!J885,piwebapi_edit!J885,car_edit!J885)</f>
        <v>100.74234521727701</v>
      </c>
      <c r="K885" s="17"/>
    </row>
    <row r="886" spans="1:11" x14ac:dyDescent="0.25">
      <c r="A886" s="3" t="s">
        <v>1792</v>
      </c>
      <c r="B886" s="4" t="s">
        <v>1793</v>
      </c>
      <c r="C886" s="14">
        <v>1877</v>
      </c>
      <c r="D886" s="6" t="s">
        <v>34</v>
      </c>
      <c r="E886" s="6" t="s">
        <v>17</v>
      </c>
      <c r="F886" s="7">
        <v>29221</v>
      </c>
      <c r="G886" s="8">
        <f t="shared" si="13"/>
        <v>29221</v>
      </c>
      <c r="H886" s="6" t="s">
        <v>13</v>
      </c>
      <c r="I886" s="9">
        <f>MAX(original!I886,piwebapi_edit!I886,car_edit!I886)</f>
        <v>176481.50652647801</v>
      </c>
      <c r="J886" s="9">
        <f>MAX(original!J886,piwebapi_edit!J886,car_edit!J886)</f>
        <v>1132.6449835298199</v>
      </c>
      <c r="K886" s="11"/>
    </row>
    <row r="887" spans="1:11" x14ac:dyDescent="0.25">
      <c r="A887" s="3" t="s">
        <v>1794</v>
      </c>
      <c r="B887" s="4" t="s">
        <v>1795</v>
      </c>
      <c r="C887" s="14">
        <v>1571</v>
      </c>
      <c r="D887" s="6" t="s">
        <v>16</v>
      </c>
      <c r="E887" s="6" t="s">
        <v>17</v>
      </c>
      <c r="F887" s="7">
        <v>29952</v>
      </c>
      <c r="G887" s="8">
        <f t="shared" si="13"/>
        <v>29952</v>
      </c>
      <c r="H887" s="6" t="s">
        <v>13</v>
      </c>
      <c r="I887" s="9">
        <f>MAX(original!I887,piwebapi_edit!I887,car_edit!I887)</f>
        <v>37410.204312354304</v>
      </c>
      <c r="J887" s="9">
        <f>MAX(original!J887,piwebapi_edit!J887,car_edit!J887)</f>
        <v>477.09998938821002</v>
      </c>
      <c r="K887" s="17"/>
    </row>
    <row r="888" spans="1:11" x14ac:dyDescent="0.25">
      <c r="A888" s="3" t="s">
        <v>1796</v>
      </c>
      <c r="B888" s="4" t="s">
        <v>1797</v>
      </c>
      <c r="C888" s="5">
        <v>1783</v>
      </c>
      <c r="D888" s="6" t="s">
        <v>28</v>
      </c>
      <c r="E888" s="6" t="s">
        <v>17</v>
      </c>
      <c r="F888" s="7">
        <v>36213</v>
      </c>
      <c r="G888" s="8">
        <f t="shared" si="13"/>
        <v>36213</v>
      </c>
      <c r="H888" s="6" t="s">
        <v>13</v>
      </c>
      <c r="I888" s="9">
        <f>MAX(original!I888,piwebapi_edit!I888,car_edit!I888)</f>
        <v>40409.4810450566</v>
      </c>
      <c r="J888" s="9">
        <f>MAX(original!J888,piwebapi_edit!J888,car_edit!J888)</f>
        <v>348.16249462411997</v>
      </c>
      <c r="K888" s="17"/>
    </row>
    <row r="889" spans="1:11" x14ac:dyDescent="0.25">
      <c r="A889" s="3" t="s">
        <v>1798</v>
      </c>
      <c r="B889" s="4" t="s">
        <v>1799</v>
      </c>
      <c r="C889" s="14">
        <v>54620</v>
      </c>
      <c r="D889" s="6" t="s">
        <v>28</v>
      </c>
      <c r="E889" s="6" t="s">
        <v>17</v>
      </c>
      <c r="F889" s="7">
        <v>28481</v>
      </c>
      <c r="G889" s="8">
        <f t="shared" si="13"/>
        <v>28481</v>
      </c>
      <c r="H889" s="6" t="s">
        <v>13</v>
      </c>
      <c r="I889" s="9">
        <f>MAX(original!I889,piwebapi_edit!I889,car_edit!I889)</f>
        <v>159882.99952710001</v>
      </c>
      <c r="J889" s="9">
        <f>MAX(original!J889,piwebapi_edit!J889,car_edit!J889)</f>
        <v>494.19469501832998</v>
      </c>
      <c r="K889" s="17"/>
    </row>
    <row r="890" spans="1:11" x14ac:dyDescent="0.25">
      <c r="A890" s="3" t="s">
        <v>1800</v>
      </c>
      <c r="B890" s="4" t="s">
        <v>1801</v>
      </c>
      <c r="C890" s="14">
        <v>2026</v>
      </c>
      <c r="D890" s="6" t="s">
        <v>16</v>
      </c>
      <c r="E890" s="6" t="s">
        <v>17</v>
      </c>
      <c r="F890" s="7">
        <v>35905</v>
      </c>
      <c r="G890" s="8">
        <f t="shared" si="13"/>
        <v>35905</v>
      </c>
      <c r="H890" s="6" t="s">
        <v>13</v>
      </c>
      <c r="I890" s="9">
        <f>MAX(original!I890,piwebapi_edit!I890,car_edit!I890)</f>
        <v>50169.9149369527</v>
      </c>
      <c r="J890" s="9">
        <f>MAX(original!J890,piwebapi_edit!J890,car_edit!J890)</f>
        <v>2221.01432733296</v>
      </c>
      <c r="K890" s="17"/>
    </row>
    <row r="891" spans="1:11" x14ac:dyDescent="0.25">
      <c r="A891" s="3" t="s">
        <v>1802</v>
      </c>
      <c r="B891" s="4" t="s">
        <v>1803</v>
      </c>
      <c r="C891" s="5">
        <v>1074</v>
      </c>
      <c r="D891" s="6" t="s">
        <v>31</v>
      </c>
      <c r="E891" s="6" t="s">
        <v>17</v>
      </c>
      <c r="F891" s="7">
        <v>33834</v>
      </c>
      <c r="G891" s="8">
        <f t="shared" si="13"/>
        <v>33834</v>
      </c>
      <c r="H891" s="6" t="s">
        <v>13</v>
      </c>
      <c r="I891" s="9">
        <f>MAX(original!I891,piwebapi_edit!I891,car_edit!I891)</f>
        <v>16216.087967794199</v>
      </c>
      <c r="J891" s="9">
        <f>MAX(original!J891,piwebapi_edit!J891,car_edit!J891)</f>
        <v>72.9716126816393</v>
      </c>
      <c r="K891" s="17"/>
    </row>
    <row r="892" spans="1:11" x14ac:dyDescent="0.25">
      <c r="A892" s="3" t="s">
        <v>1804</v>
      </c>
      <c r="B892" s="4" t="s">
        <v>1805</v>
      </c>
      <c r="C892" s="5">
        <v>1922</v>
      </c>
      <c r="D892" s="6" t="s">
        <v>31</v>
      </c>
      <c r="E892" s="6" t="s">
        <v>17</v>
      </c>
      <c r="F892" s="7">
        <v>35537</v>
      </c>
      <c r="G892" s="8">
        <f t="shared" si="13"/>
        <v>35537</v>
      </c>
      <c r="H892" s="6" t="s">
        <v>13</v>
      </c>
      <c r="I892" s="9">
        <f>MAX(original!I892,piwebapi_edit!I892,car_edit!I892)</f>
        <v>33016.641051589402</v>
      </c>
      <c r="J892" s="9">
        <f>MAX(original!J892,piwebapi_edit!J892,car_edit!J892)</f>
        <v>193.37732888926601</v>
      </c>
      <c r="K892" s="17"/>
    </row>
    <row r="893" spans="1:11" x14ac:dyDescent="0.25">
      <c r="A893" s="3" t="s">
        <v>1806</v>
      </c>
      <c r="B893" s="4" t="s">
        <v>1807</v>
      </c>
      <c r="C893" s="5">
        <v>1873</v>
      </c>
      <c r="D893" s="6" t="s">
        <v>31</v>
      </c>
      <c r="E893" s="6" t="s">
        <v>17</v>
      </c>
      <c r="F893" s="7">
        <v>25569</v>
      </c>
      <c r="G893" s="8">
        <f t="shared" si="13"/>
        <v>25569</v>
      </c>
      <c r="H893" s="6" t="s">
        <v>13</v>
      </c>
      <c r="I893" s="9">
        <f>MAX(original!I893,piwebapi_edit!I893,car_edit!I893)</f>
        <v>8024.0270851701589</v>
      </c>
      <c r="J893" s="9">
        <f>MAX(original!J893,piwebapi_edit!J893,car_edit!J893)</f>
        <v>177.003969861087</v>
      </c>
      <c r="K893" s="17"/>
    </row>
    <row r="894" spans="1:11" x14ac:dyDescent="0.25">
      <c r="A894" s="3" t="s">
        <v>1808</v>
      </c>
      <c r="B894" s="4" t="s">
        <v>1809</v>
      </c>
      <c r="C894" s="14">
        <v>1915</v>
      </c>
      <c r="D894" s="6" t="s">
        <v>34</v>
      </c>
      <c r="E894" s="6" t="s">
        <v>17</v>
      </c>
      <c r="F894" s="7">
        <v>29221</v>
      </c>
      <c r="G894" s="8">
        <f t="shared" si="13"/>
        <v>29221</v>
      </c>
      <c r="H894" s="6" t="s">
        <v>13</v>
      </c>
      <c r="I894" s="9">
        <f>MAX(original!I894,piwebapi_edit!I894,car_edit!I894)</f>
        <v>381255.87</v>
      </c>
      <c r="J894" s="9">
        <f>MAX(original!J894,piwebapi_edit!J894,car_edit!J894)</f>
        <v>1200</v>
      </c>
      <c r="K894" s="17"/>
    </row>
    <row r="895" spans="1:11" x14ac:dyDescent="0.25">
      <c r="A895" s="3" t="s">
        <v>1810</v>
      </c>
      <c r="B895" s="4" t="s">
        <v>1811</v>
      </c>
      <c r="C895" s="5">
        <v>1675</v>
      </c>
      <c r="D895" s="6" t="s">
        <v>34</v>
      </c>
      <c r="E895" s="6" t="s">
        <v>17</v>
      </c>
      <c r="F895" s="7">
        <v>36719</v>
      </c>
      <c r="G895" s="8">
        <f t="shared" si="13"/>
        <v>36719</v>
      </c>
      <c r="H895" s="6" t="s">
        <v>13</v>
      </c>
      <c r="I895" s="9">
        <f>MAX(original!I895,piwebapi_edit!I895,car_edit!I895)</f>
        <v>23640.614876747499</v>
      </c>
      <c r="J895" s="9">
        <f>MAX(original!J895,piwebapi_edit!J895,car_edit!J895)</f>
        <v>275.97398947217403</v>
      </c>
      <c r="K895" s="17"/>
    </row>
    <row r="896" spans="1:11" x14ac:dyDescent="0.25">
      <c r="A896" s="3" t="s">
        <v>1812</v>
      </c>
      <c r="B896" s="4" t="s">
        <v>1813</v>
      </c>
      <c r="C896" s="5">
        <v>54621</v>
      </c>
      <c r="D896" s="6" t="s">
        <v>34</v>
      </c>
      <c r="E896" s="6" t="s">
        <v>17</v>
      </c>
      <c r="F896" s="7">
        <v>39519</v>
      </c>
      <c r="G896" s="8">
        <f t="shared" si="13"/>
        <v>39519</v>
      </c>
      <c r="H896" s="6" t="s">
        <v>13</v>
      </c>
      <c r="I896" s="9">
        <f>MAX(original!I896,piwebapi_edit!I896,car_edit!I896)</f>
        <v>6523.31201871543</v>
      </c>
      <c r="J896" s="9">
        <f>MAX(original!J896,piwebapi_edit!J896,car_edit!J896)</f>
        <v>73.515384529093495</v>
      </c>
      <c r="K896" s="17"/>
    </row>
    <row r="897" spans="1:11" x14ac:dyDescent="0.25">
      <c r="A897" s="3" t="s">
        <v>1814</v>
      </c>
      <c r="B897" s="4" t="s">
        <v>1815</v>
      </c>
      <c r="C897" s="5">
        <v>1365</v>
      </c>
      <c r="D897" s="6" t="s">
        <v>34</v>
      </c>
      <c r="E897" s="6" t="s">
        <v>17</v>
      </c>
      <c r="F897" s="7">
        <v>18264</v>
      </c>
      <c r="G897" s="8">
        <f t="shared" si="13"/>
        <v>18264</v>
      </c>
      <c r="H897" s="6" t="s">
        <v>13</v>
      </c>
      <c r="I897" s="9">
        <f>MAX(original!I897,piwebapi_edit!I897,car_edit!I897)</f>
        <v>20453.110181812503</v>
      </c>
      <c r="J897" s="9">
        <f>MAX(original!J897,piwebapi_edit!J897,car_edit!J897)</f>
        <v>57.465667076550901</v>
      </c>
      <c r="K897" s="17"/>
    </row>
    <row r="898" spans="1:11" x14ac:dyDescent="0.25">
      <c r="A898" s="3" t="s">
        <v>1816</v>
      </c>
      <c r="B898" s="4" t="s">
        <v>1817</v>
      </c>
      <c r="C898" s="14">
        <v>55121</v>
      </c>
      <c r="D898" s="6" t="s">
        <v>34</v>
      </c>
      <c r="E898" s="6" t="s">
        <v>17</v>
      </c>
      <c r="F898" s="7">
        <v>34700</v>
      </c>
      <c r="G898" s="8">
        <f t="shared" ref="G898:G961" si="14">F898</f>
        <v>34700</v>
      </c>
      <c r="H898" s="6" t="s">
        <v>13</v>
      </c>
      <c r="I898" s="9">
        <f>MAX(original!I898,piwebapi_edit!I898,car_edit!I898)</f>
        <v>11773.908662335201</v>
      </c>
      <c r="J898" s="9">
        <f>MAX(original!J898,piwebapi_edit!J898,car_edit!J898)</f>
        <v>73.656529411945698</v>
      </c>
      <c r="K898" s="17"/>
    </row>
    <row r="899" spans="1:11" x14ac:dyDescent="0.25">
      <c r="A899" s="3" t="s">
        <v>1818</v>
      </c>
      <c r="B899" s="4" t="s">
        <v>1819</v>
      </c>
      <c r="C899" s="14">
        <v>1674</v>
      </c>
      <c r="D899" s="6" t="s">
        <v>34</v>
      </c>
      <c r="E899" s="6" t="s">
        <v>17</v>
      </c>
      <c r="F899" s="7">
        <v>28126</v>
      </c>
      <c r="G899" s="8">
        <f t="shared" si="14"/>
        <v>28126</v>
      </c>
      <c r="H899" s="6" t="s">
        <v>13</v>
      </c>
      <c r="I899" s="9">
        <f>MAX(original!I899,piwebapi_edit!I899,car_edit!I899)</f>
        <v>198759.441011805</v>
      </c>
      <c r="J899" s="9">
        <f>MAX(original!J899,piwebapi_edit!J899,car_edit!J899)</f>
        <v>1170</v>
      </c>
      <c r="K899" s="17"/>
    </row>
    <row r="900" spans="1:11" x14ac:dyDescent="0.25">
      <c r="A900" s="3" t="s">
        <v>1820</v>
      </c>
      <c r="B900" s="4" t="s">
        <v>1821</v>
      </c>
      <c r="C900" s="14">
        <v>1041</v>
      </c>
      <c r="D900" s="6" t="s">
        <v>31</v>
      </c>
      <c r="E900" s="6" t="s">
        <v>17</v>
      </c>
      <c r="F900" s="7">
        <v>19725</v>
      </c>
      <c r="G900" s="8">
        <f t="shared" si="14"/>
        <v>19725</v>
      </c>
      <c r="H900" s="6" t="s">
        <v>13</v>
      </c>
      <c r="I900" s="9">
        <f>MAX(original!I900,piwebapi_edit!I900,car_edit!I900)</f>
        <v>23249.8442806026</v>
      </c>
      <c r="J900" s="9">
        <f>MAX(original!J900,piwebapi_edit!J900,car_edit!J900)</f>
        <v>153.01126921578501</v>
      </c>
      <c r="K900" s="17"/>
    </row>
    <row r="901" spans="1:11" x14ac:dyDescent="0.25">
      <c r="A901" s="3" t="s">
        <v>1822</v>
      </c>
      <c r="B901" s="4" t="s">
        <v>1823</v>
      </c>
      <c r="C901" s="5">
        <v>1364</v>
      </c>
      <c r="D901" s="6" t="s">
        <v>34</v>
      </c>
      <c r="E901" s="6" t="s">
        <v>17</v>
      </c>
      <c r="F901" s="7">
        <v>25817</v>
      </c>
      <c r="G901" s="8">
        <f t="shared" si="14"/>
        <v>25817</v>
      </c>
      <c r="H901" s="6" t="s">
        <v>13</v>
      </c>
      <c r="I901" s="9">
        <f>MAX(original!I901,piwebapi_edit!I901,car_edit!I901)</f>
        <v>398.73164119167296</v>
      </c>
      <c r="J901" s="9">
        <f>MAX(original!J901,piwebapi_edit!J901,car_edit!J901)</f>
        <v>99.941410156643599</v>
      </c>
      <c r="K901" s="17"/>
    </row>
    <row r="902" spans="1:11" x14ac:dyDescent="0.25">
      <c r="A902" s="3" t="s">
        <v>1824</v>
      </c>
      <c r="B902" s="4" t="s">
        <v>1825</v>
      </c>
      <c r="C902" s="5">
        <v>10569</v>
      </c>
      <c r="D902" s="6" t="s">
        <v>34</v>
      </c>
      <c r="E902" s="6" t="s">
        <v>17</v>
      </c>
      <c r="F902" s="7">
        <v>37460</v>
      </c>
      <c r="G902" s="8">
        <f t="shared" si="14"/>
        <v>37460</v>
      </c>
      <c r="H902" s="6" t="s">
        <v>13</v>
      </c>
      <c r="I902" s="9">
        <f>MAX(original!I902,piwebapi_edit!I902,car_edit!I902)</f>
        <v>234855.226867383</v>
      </c>
      <c r="J902" s="9">
        <f>MAX(original!J902,piwebapi_edit!J902,car_edit!J902)</f>
        <v>378.62948066241398</v>
      </c>
      <c r="K902" s="17"/>
    </row>
    <row r="903" spans="1:11" x14ac:dyDescent="0.25">
      <c r="A903" s="3" t="s">
        <v>1826</v>
      </c>
      <c r="B903" s="4" t="s">
        <v>1827</v>
      </c>
      <c r="C903" s="14">
        <v>1844</v>
      </c>
      <c r="D903" s="6" t="s">
        <v>31</v>
      </c>
      <c r="E903" s="6" t="s">
        <v>17</v>
      </c>
      <c r="F903" s="7">
        <v>29952</v>
      </c>
      <c r="G903" s="8">
        <f t="shared" si="14"/>
        <v>29952</v>
      </c>
      <c r="H903" s="6" t="s">
        <v>13</v>
      </c>
      <c r="I903" s="9">
        <f>MAX(original!I903,piwebapi_edit!I903,car_edit!I903)</f>
        <v>149820.790341769</v>
      </c>
      <c r="J903" s="9">
        <f>MAX(original!J903,piwebapi_edit!J903,car_edit!J903)</f>
        <v>478.54187777034201</v>
      </c>
      <c r="K903" s="17"/>
    </row>
    <row r="904" spans="1:11" x14ac:dyDescent="0.25">
      <c r="A904" s="3" t="s">
        <v>1828</v>
      </c>
      <c r="B904" s="4" t="s">
        <v>1829</v>
      </c>
      <c r="C904" s="5">
        <v>16649</v>
      </c>
      <c r="D904" s="6" t="s">
        <v>28</v>
      </c>
      <c r="E904" s="6" t="s">
        <v>17</v>
      </c>
      <c r="F904" s="7">
        <v>33337</v>
      </c>
      <c r="G904" s="8">
        <f t="shared" si="14"/>
        <v>33337</v>
      </c>
      <c r="H904" s="6" t="s">
        <v>13</v>
      </c>
      <c r="I904" s="9">
        <f>MAX(original!I904,piwebapi_edit!I904,car_edit!I904)</f>
        <v>10000.6156242707</v>
      </c>
      <c r="J904" s="9">
        <f>MAX(original!J904,piwebapi_edit!J904,car_edit!J904)</f>
        <v>383.71168895538199</v>
      </c>
      <c r="K904" s="17"/>
    </row>
    <row r="905" spans="1:11" x14ac:dyDescent="0.25">
      <c r="A905" s="3" t="s">
        <v>1830</v>
      </c>
      <c r="B905" s="4" t="s">
        <v>1831</v>
      </c>
      <c r="C905" s="5">
        <v>25297</v>
      </c>
      <c r="D905" s="6" t="s">
        <v>28</v>
      </c>
      <c r="E905" s="6" t="s">
        <v>17</v>
      </c>
      <c r="F905" s="7">
        <v>31809</v>
      </c>
      <c r="G905" s="8">
        <f t="shared" si="14"/>
        <v>31809</v>
      </c>
      <c r="H905" s="6" t="s">
        <v>13</v>
      </c>
      <c r="I905" s="9">
        <f>MAX(original!I905,piwebapi_edit!I905,car_edit!I905)</f>
        <v>34036.446341574803</v>
      </c>
      <c r="J905" s="9">
        <f>MAX(original!J905,piwebapi_edit!J905,car_edit!J905)</f>
        <v>291.86057677596898</v>
      </c>
      <c r="K905" s="17"/>
    </row>
    <row r="906" spans="1:11" x14ac:dyDescent="0.25">
      <c r="A906" s="3" t="s">
        <v>1832</v>
      </c>
      <c r="B906" s="4" t="s">
        <v>1833</v>
      </c>
      <c r="C906" s="5">
        <v>8005</v>
      </c>
      <c r="D906" s="6" t="s">
        <v>28</v>
      </c>
      <c r="E906" s="6" t="s">
        <v>17</v>
      </c>
      <c r="F906" s="7">
        <v>36937</v>
      </c>
      <c r="G906" s="8">
        <f t="shared" si="14"/>
        <v>36937</v>
      </c>
      <c r="H906" s="6" t="s">
        <v>13</v>
      </c>
      <c r="I906" s="9">
        <f>MAX(original!I906,piwebapi_edit!I906,car_edit!I906)</f>
        <v>3180.5082232427399</v>
      </c>
      <c r="J906" s="9">
        <f>MAX(original!J906,piwebapi_edit!J906,car_edit!J906)</f>
        <v>148.55476996118099</v>
      </c>
      <c r="K906" s="17"/>
    </row>
    <row r="907" spans="1:11" x14ac:dyDescent="0.25">
      <c r="A907" s="3" t="s">
        <v>1834</v>
      </c>
      <c r="B907" s="4" t="s">
        <v>1835</v>
      </c>
      <c r="C907" s="5">
        <v>1839</v>
      </c>
      <c r="D907" s="6" t="s">
        <v>16</v>
      </c>
      <c r="E907" s="6" t="s">
        <v>17</v>
      </c>
      <c r="F907" s="7">
        <v>29221</v>
      </c>
      <c r="G907" s="8">
        <f t="shared" si="14"/>
        <v>29221</v>
      </c>
      <c r="H907" s="6" t="s">
        <v>13</v>
      </c>
      <c r="I907" s="9">
        <f>MAX(original!I907,piwebapi_edit!I907,car_edit!I907)</f>
        <v>27279.2746445917</v>
      </c>
      <c r="J907" s="9">
        <f>MAX(original!J907,piwebapi_edit!J907,car_edit!J907)</f>
        <v>388.33983475565998</v>
      </c>
      <c r="K907" s="17"/>
    </row>
    <row r="908" spans="1:11" x14ac:dyDescent="0.25">
      <c r="A908" s="3" t="s">
        <v>1836</v>
      </c>
      <c r="B908" s="4" t="s">
        <v>1837</v>
      </c>
      <c r="C908" s="5">
        <v>3526</v>
      </c>
      <c r="D908" s="6" t="s">
        <v>28</v>
      </c>
      <c r="E908" s="6" t="s">
        <v>17</v>
      </c>
      <c r="F908" s="7">
        <v>37201</v>
      </c>
      <c r="G908" s="8">
        <f t="shared" si="14"/>
        <v>37201</v>
      </c>
      <c r="H908" s="6" t="s">
        <v>13</v>
      </c>
      <c r="I908" s="9">
        <f>MAX(original!I908,piwebapi_edit!I908,car_edit!I908)</f>
        <v>27736.9168804783</v>
      </c>
      <c r="J908" s="9">
        <f>MAX(original!J908,piwebapi_edit!J908,car_edit!J908)</f>
        <v>785.615032724613</v>
      </c>
      <c r="K908" s="17"/>
    </row>
    <row r="909" spans="1:11" x14ac:dyDescent="0.25">
      <c r="A909" s="3" t="s">
        <v>1838</v>
      </c>
      <c r="B909" s="4" t="s">
        <v>1839</v>
      </c>
      <c r="C909" s="5">
        <v>72130</v>
      </c>
      <c r="D909" s="6" t="s">
        <v>34</v>
      </c>
      <c r="E909" s="6" t="s">
        <v>17</v>
      </c>
      <c r="F909" s="7">
        <v>38819</v>
      </c>
      <c r="G909" s="8">
        <f t="shared" si="14"/>
        <v>38819</v>
      </c>
      <c r="H909" s="6" t="s">
        <v>13</v>
      </c>
      <c r="I909" s="9">
        <f>MAX(original!I909,piwebapi_edit!I909,car_edit!I909)</f>
        <v>15340.442055113099</v>
      </c>
      <c r="J909" s="9">
        <f>MAX(original!J909,piwebapi_edit!J909,car_edit!J909)</f>
        <v>98.463247013065896</v>
      </c>
      <c r="K909" s="17"/>
    </row>
    <row r="910" spans="1:11" x14ac:dyDescent="0.25">
      <c r="A910" s="3" t="s">
        <v>1840</v>
      </c>
      <c r="B910" s="4" t="s">
        <v>1841</v>
      </c>
      <c r="C910" s="5">
        <v>72170</v>
      </c>
      <c r="D910" s="6" t="s">
        <v>37</v>
      </c>
      <c r="E910" s="6" t="s">
        <v>38</v>
      </c>
      <c r="F910" s="7">
        <v>39184</v>
      </c>
      <c r="G910" s="8">
        <f t="shared" si="14"/>
        <v>39184</v>
      </c>
      <c r="H910" s="6" t="s">
        <v>39</v>
      </c>
      <c r="I910" s="9">
        <f>MAX(original!I910,piwebapi_edit!I910,car_edit!I910)</f>
        <v>42651.592653744803</v>
      </c>
      <c r="J910" s="9">
        <f>MAX(original!J910,piwebapi_edit!J910,car_edit!J910)</f>
        <v>183.37503289105899</v>
      </c>
      <c r="K910" s="17"/>
    </row>
    <row r="911" spans="1:11" x14ac:dyDescent="0.25">
      <c r="A911" s="3" t="s">
        <v>1842</v>
      </c>
      <c r="B911" s="4" t="s">
        <v>1843</v>
      </c>
      <c r="C911" s="14">
        <v>72148</v>
      </c>
      <c r="D911" s="6" t="s">
        <v>11</v>
      </c>
      <c r="E911" s="6" t="s">
        <v>12</v>
      </c>
      <c r="F911" s="7">
        <v>39274</v>
      </c>
      <c r="G911" s="8">
        <f t="shared" si="14"/>
        <v>39274</v>
      </c>
      <c r="H911" s="6" t="s">
        <v>39</v>
      </c>
      <c r="I911" s="9">
        <f>MAX(original!I911,piwebapi_edit!I911,car_edit!I911)</f>
        <v>165602.06</v>
      </c>
      <c r="J911" s="9">
        <f>MAX(original!J911,piwebapi_edit!J911,car_edit!J911)</f>
        <v>1140</v>
      </c>
      <c r="K911" s="17"/>
    </row>
    <row r="912" spans="1:11" x14ac:dyDescent="0.25">
      <c r="A912" s="3" t="s">
        <v>1844</v>
      </c>
      <c r="B912" s="4" t="s">
        <v>1845</v>
      </c>
      <c r="C912" s="5">
        <v>72149</v>
      </c>
      <c r="D912" s="6" t="s">
        <v>11</v>
      </c>
      <c r="E912" s="6" t="s">
        <v>12</v>
      </c>
      <c r="F912" s="7">
        <v>39274</v>
      </c>
      <c r="G912" s="8">
        <f t="shared" si="14"/>
        <v>39274</v>
      </c>
      <c r="H912" s="6" t="s">
        <v>39</v>
      </c>
      <c r="I912" s="9">
        <f>MAX(original!I912,piwebapi_edit!I912,car_edit!I912)</f>
        <v>22874.948060660303</v>
      </c>
      <c r="J912" s="9">
        <f>MAX(original!J912,piwebapi_edit!J912,car_edit!J912)</f>
        <v>257.91558027171197</v>
      </c>
      <c r="K912" s="17"/>
    </row>
    <row r="913" spans="1:11" x14ac:dyDescent="0.25">
      <c r="A913" s="3" t="s">
        <v>1846</v>
      </c>
      <c r="B913" s="4" t="s">
        <v>1847</v>
      </c>
      <c r="C913" s="5">
        <v>15683</v>
      </c>
      <c r="D913" s="6" t="s">
        <v>31</v>
      </c>
      <c r="E913" s="6" t="s">
        <v>17</v>
      </c>
      <c r="F913" s="7">
        <v>28564</v>
      </c>
      <c r="G913" s="8">
        <f t="shared" si="14"/>
        <v>28564</v>
      </c>
      <c r="H913" s="6" t="s">
        <v>13</v>
      </c>
      <c r="I913" s="9">
        <f>MAX(original!I913,piwebapi_edit!I913,car_edit!I913)</f>
        <v>42168.647926266698</v>
      </c>
      <c r="J913" s="9">
        <f>MAX(original!J913,piwebapi_edit!J913,car_edit!J913)</f>
        <v>246.71557430356799</v>
      </c>
      <c r="K913" s="17"/>
    </row>
    <row r="914" spans="1:11" x14ac:dyDescent="0.25">
      <c r="A914" s="3" t="s">
        <v>1848</v>
      </c>
      <c r="B914" s="4" t="s">
        <v>1849</v>
      </c>
      <c r="C914" s="5">
        <v>1122</v>
      </c>
      <c r="D914" s="6" t="s">
        <v>16</v>
      </c>
      <c r="E914" s="6" t="s">
        <v>17</v>
      </c>
      <c r="F914" s="7">
        <v>29221</v>
      </c>
      <c r="G914" s="8">
        <f t="shared" si="14"/>
        <v>29221</v>
      </c>
      <c r="H914" s="6" t="s">
        <v>13</v>
      </c>
      <c r="I914" s="9">
        <f>MAX(original!I914,piwebapi_edit!I914,car_edit!I914)</f>
        <v>25938.2994574111</v>
      </c>
      <c r="J914" s="9">
        <f>MAX(original!J914,piwebapi_edit!J914,car_edit!J914)</f>
        <v>264.80856491663798</v>
      </c>
      <c r="K914" s="17"/>
    </row>
    <row r="915" spans="1:11" x14ac:dyDescent="0.25">
      <c r="A915" s="3" t="s">
        <v>1850</v>
      </c>
      <c r="B915" s="4" t="s">
        <v>1851</v>
      </c>
      <c r="C915" s="5">
        <v>52930</v>
      </c>
      <c r="D915" s="6" t="s">
        <v>34</v>
      </c>
      <c r="E915" s="6" t="s">
        <v>17</v>
      </c>
      <c r="F915" s="7">
        <v>39154</v>
      </c>
      <c r="G915" s="8">
        <f t="shared" si="14"/>
        <v>39154</v>
      </c>
      <c r="H915" s="6" t="s">
        <v>13</v>
      </c>
      <c r="I915" s="9">
        <f>MAX(original!I915,piwebapi_edit!I915,car_edit!I915)</f>
        <v>63006.930722874204</v>
      </c>
      <c r="J915" s="9">
        <f>MAX(original!J915,piwebapi_edit!J915,car_edit!J915)</f>
        <v>578.32189844725997</v>
      </c>
      <c r="K915" s="17"/>
    </row>
    <row r="916" spans="1:11" x14ac:dyDescent="0.25">
      <c r="A916" s="3" t="s">
        <v>1852</v>
      </c>
      <c r="B916" s="4" t="s">
        <v>1853</v>
      </c>
      <c r="C916" s="14">
        <v>43924</v>
      </c>
      <c r="D916" s="6" t="s">
        <v>31</v>
      </c>
      <c r="E916" s="6" t="s">
        <v>17</v>
      </c>
      <c r="F916" s="7">
        <v>39428</v>
      </c>
      <c r="G916" s="8">
        <f t="shared" si="14"/>
        <v>39428</v>
      </c>
      <c r="H916" s="6" t="s">
        <v>13</v>
      </c>
      <c r="I916" s="9">
        <f>MAX(original!I916,piwebapi_edit!I916,car_edit!I916)</f>
        <v>52002.196826704901</v>
      </c>
      <c r="J916" s="9">
        <f>MAX(original!J916,piwebapi_edit!J916,car_edit!J916)</f>
        <v>174.32430407869501</v>
      </c>
      <c r="K916" s="17"/>
    </row>
    <row r="917" spans="1:11" x14ac:dyDescent="0.25">
      <c r="A917" s="3" t="s">
        <v>1854</v>
      </c>
      <c r="B917" s="4" t="s">
        <v>1855</v>
      </c>
      <c r="C917" s="5">
        <v>12495</v>
      </c>
      <c r="D917" s="6" t="s">
        <v>37</v>
      </c>
      <c r="E917" s="6" t="s">
        <v>38</v>
      </c>
      <c r="F917" s="7">
        <v>36431</v>
      </c>
      <c r="G917" s="8">
        <f t="shared" si="14"/>
        <v>36431</v>
      </c>
      <c r="H917" s="6" t="s">
        <v>39</v>
      </c>
      <c r="I917" s="9">
        <f>MAX(original!I917,piwebapi_edit!I917,car_edit!I917)</f>
        <v>33522.763105322396</v>
      </c>
      <c r="J917" s="9">
        <f>MAX(original!J917,piwebapi_edit!J917,car_edit!J917)</f>
        <v>395.41041237445597</v>
      </c>
      <c r="K917" s="17"/>
    </row>
    <row r="918" spans="1:11" x14ac:dyDescent="0.25">
      <c r="A918" s="3" t="s">
        <v>1856</v>
      </c>
      <c r="B918" s="4" t="s">
        <v>1857</v>
      </c>
      <c r="C918" s="14">
        <v>15366</v>
      </c>
      <c r="D918" s="6" t="s">
        <v>34</v>
      </c>
      <c r="E918" s="6" t="s">
        <v>17</v>
      </c>
      <c r="F918" s="7">
        <v>38387</v>
      </c>
      <c r="G918" s="8">
        <f t="shared" si="14"/>
        <v>38387</v>
      </c>
      <c r="H918" s="6" t="s">
        <v>13</v>
      </c>
      <c r="I918" s="9">
        <f>MAX(original!I918,piwebapi_edit!I918,car_edit!I918)</f>
        <v>297419.84999999998</v>
      </c>
      <c r="J918" s="9">
        <f>MAX(original!J918,piwebapi_edit!J918,car_edit!J918)</f>
        <v>1400</v>
      </c>
      <c r="K918" s="17"/>
    </row>
    <row r="919" spans="1:11" x14ac:dyDescent="0.25">
      <c r="A919" s="3" t="s">
        <v>1858</v>
      </c>
      <c r="B919" s="4" t="s">
        <v>1859</v>
      </c>
      <c r="C919" s="14">
        <v>29845</v>
      </c>
      <c r="D919" s="6" t="s">
        <v>34</v>
      </c>
      <c r="E919" s="6" t="s">
        <v>17</v>
      </c>
      <c r="F919" s="7">
        <v>37561</v>
      </c>
      <c r="G919" s="8">
        <f t="shared" si="14"/>
        <v>37561</v>
      </c>
      <c r="H919" s="6" t="s">
        <v>13</v>
      </c>
      <c r="I919" s="9">
        <f>MAX(original!I919,piwebapi_edit!I919,car_edit!I919)</f>
        <v>94017.4045145376</v>
      </c>
      <c r="J919" s="9">
        <f>MAX(original!J919,piwebapi_edit!J919,car_edit!J919)</f>
        <v>1021.89603919925</v>
      </c>
      <c r="K919" s="17"/>
    </row>
    <row r="920" spans="1:11" x14ac:dyDescent="0.25">
      <c r="A920" s="26" t="s">
        <v>1860</v>
      </c>
      <c r="B920" s="27" t="s">
        <v>1861</v>
      </c>
      <c r="C920" s="5">
        <v>2053</v>
      </c>
      <c r="D920" s="28" t="s">
        <v>31</v>
      </c>
      <c r="E920" s="28" t="s">
        <v>17</v>
      </c>
      <c r="F920" s="29">
        <v>34145</v>
      </c>
      <c r="G920" s="30">
        <f t="shared" si="14"/>
        <v>34145</v>
      </c>
      <c r="H920" s="28" t="s">
        <v>13</v>
      </c>
      <c r="I920" s="9">
        <f>MAX(original!I920,piwebapi_edit!I920,car_edit!I920)</f>
        <v>84271.599662425404</v>
      </c>
      <c r="J920" s="9">
        <f>MAX(original!J920,piwebapi_edit!J920,car_edit!J920)</f>
        <v>327.42985766072701</v>
      </c>
      <c r="K920" s="33"/>
    </row>
    <row r="921" spans="1:11" x14ac:dyDescent="0.25">
      <c r="A921" s="3" t="s">
        <v>1862</v>
      </c>
      <c r="B921" s="4" t="s">
        <v>1863</v>
      </c>
      <c r="C921" s="5">
        <v>21772</v>
      </c>
      <c r="D921" s="6" t="s">
        <v>11</v>
      </c>
      <c r="E921" s="6" t="s">
        <v>12</v>
      </c>
      <c r="F921" s="7">
        <v>34913</v>
      </c>
      <c r="G921" s="8">
        <f t="shared" si="14"/>
        <v>34913</v>
      </c>
      <c r="H921" s="6" t="s">
        <v>39</v>
      </c>
      <c r="I921" s="9">
        <f>MAX(original!I921,piwebapi_edit!I921,car_edit!I921)</f>
        <v>9024.5717729265398</v>
      </c>
      <c r="J921" s="9">
        <f>MAX(original!J921,piwebapi_edit!J921,car_edit!J921)</f>
        <v>72.155610985397104</v>
      </c>
      <c r="K921" s="11"/>
    </row>
    <row r="922" spans="1:11" x14ac:dyDescent="0.25">
      <c r="A922" s="3" t="s">
        <v>1864</v>
      </c>
      <c r="B922" s="4" t="s">
        <v>1865</v>
      </c>
      <c r="C922" s="5">
        <v>1813</v>
      </c>
      <c r="D922" s="6" t="s">
        <v>28</v>
      </c>
      <c r="E922" s="6" t="s">
        <v>17</v>
      </c>
      <c r="F922" s="7">
        <v>29221</v>
      </c>
      <c r="G922" s="8">
        <f t="shared" si="14"/>
        <v>29221</v>
      </c>
      <c r="H922" s="6" t="s">
        <v>13</v>
      </c>
      <c r="I922" s="9">
        <f>MAX(original!I922,piwebapi_edit!I922,car_edit!I922)</f>
        <v>11089.594049806101</v>
      </c>
      <c r="J922" s="9">
        <f>MAX(original!J922,piwebapi_edit!J922,car_edit!J922)</f>
        <v>70.7786584157231</v>
      </c>
      <c r="K922" s="11"/>
    </row>
    <row r="923" spans="1:11" x14ac:dyDescent="0.25">
      <c r="A923" s="3" t="s">
        <v>1866</v>
      </c>
      <c r="B923" s="4" t="s">
        <v>1867</v>
      </c>
      <c r="C923" s="5">
        <v>31345</v>
      </c>
      <c r="D923" s="6" t="s">
        <v>31</v>
      </c>
      <c r="E923" s="6" t="s">
        <v>17</v>
      </c>
      <c r="F923" s="7">
        <v>33350</v>
      </c>
      <c r="G923" s="8">
        <f t="shared" si="14"/>
        <v>33350</v>
      </c>
      <c r="H923" s="6" t="s">
        <v>13</v>
      </c>
      <c r="I923" s="9">
        <f>MAX(original!I923,piwebapi_edit!I923,car_edit!I923)</f>
        <v>5677.0496242448598</v>
      </c>
      <c r="J923" s="9">
        <f>MAX(original!J923,piwebapi_edit!J923,car_edit!J923)</f>
        <v>90.866362977298294</v>
      </c>
      <c r="K923" s="17"/>
    </row>
    <row r="924" spans="1:11" x14ac:dyDescent="0.25">
      <c r="A924" s="3" t="s">
        <v>1868</v>
      </c>
      <c r="B924" s="4" t="s">
        <v>1869</v>
      </c>
      <c r="C924" s="5">
        <v>30980</v>
      </c>
      <c r="D924" s="6" t="s">
        <v>31</v>
      </c>
      <c r="E924" s="6" t="s">
        <v>17</v>
      </c>
      <c r="F924" s="7">
        <v>31324</v>
      </c>
      <c r="G924" s="8">
        <f t="shared" si="14"/>
        <v>31324</v>
      </c>
      <c r="H924" s="6" t="s">
        <v>13</v>
      </c>
      <c r="I924" s="9">
        <f>MAX(original!I924,piwebapi_edit!I924,car_edit!I924)</f>
        <v>802.57371682918699</v>
      </c>
      <c r="J924" s="9">
        <f>MAX(original!J924,piwebapi_edit!J924,car_edit!J924)</f>
        <v>190.296762627459</v>
      </c>
      <c r="K924" s="17"/>
    </row>
    <row r="925" spans="1:11" x14ac:dyDescent="0.25">
      <c r="A925" s="3" t="s">
        <v>1870</v>
      </c>
      <c r="B925" s="4" t="s">
        <v>1871</v>
      </c>
      <c r="C925" s="5">
        <v>1834</v>
      </c>
      <c r="D925" s="6" t="s">
        <v>31</v>
      </c>
      <c r="E925" s="6" t="s">
        <v>17</v>
      </c>
      <c r="F925" s="7">
        <v>35065</v>
      </c>
      <c r="G925" s="8">
        <f t="shared" si="14"/>
        <v>35065</v>
      </c>
      <c r="H925" s="6" t="s">
        <v>13</v>
      </c>
      <c r="I925" s="9">
        <f>MAX(original!I925,piwebapi_edit!I925,car_edit!I925)</f>
        <v>10442.007164979801</v>
      </c>
      <c r="J925" s="9">
        <f>MAX(original!J925,piwebapi_edit!J925,car_edit!J925)</f>
        <v>158.61148890561401</v>
      </c>
      <c r="K925" s="17"/>
    </row>
    <row r="926" spans="1:11" x14ac:dyDescent="0.25">
      <c r="A926" s="3" t="s">
        <v>1872</v>
      </c>
      <c r="B926" s="4" t="s">
        <v>1873</v>
      </c>
      <c r="C926" s="5">
        <v>1770</v>
      </c>
      <c r="D926" s="6" t="s">
        <v>34</v>
      </c>
      <c r="E926" s="6" t="s">
        <v>17</v>
      </c>
      <c r="F926" s="7">
        <v>36445</v>
      </c>
      <c r="G926" s="8">
        <f t="shared" si="14"/>
        <v>36445</v>
      </c>
      <c r="H926" s="6" t="s">
        <v>13</v>
      </c>
      <c r="I926" s="9">
        <f>MAX(original!I926,piwebapi_edit!I926,car_edit!I926)</f>
        <v>55792.9302062321</v>
      </c>
      <c r="J926" s="9">
        <f>MAX(original!J926,piwebapi_edit!J926,car_edit!J926)</f>
        <v>208.00462611697299</v>
      </c>
      <c r="K926" s="17"/>
    </row>
    <row r="927" spans="1:11" x14ac:dyDescent="0.25">
      <c r="A927" s="3" t="s">
        <v>1874</v>
      </c>
      <c r="B927" s="4" t="s">
        <v>1875</v>
      </c>
      <c r="C927" s="5">
        <v>14401</v>
      </c>
      <c r="D927" s="6" t="s">
        <v>28</v>
      </c>
      <c r="E927" s="6" t="s">
        <v>17</v>
      </c>
      <c r="F927" s="7">
        <v>38127</v>
      </c>
      <c r="G927" s="8">
        <f t="shared" si="14"/>
        <v>38127</v>
      </c>
      <c r="H927" s="6" t="s">
        <v>13</v>
      </c>
      <c r="I927" s="9">
        <f>MAX(original!I927,piwebapi_edit!I927,car_edit!I927)</f>
        <v>6111.8133544418597</v>
      </c>
      <c r="J927" s="9">
        <f>MAX(original!J927,piwebapi_edit!J927,car_edit!J927)</f>
        <v>154.221693854899</v>
      </c>
      <c r="K927" s="17"/>
    </row>
    <row r="928" spans="1:11" x14ac:dyDescent="0.25">
      <c r="A928" s="3" t="s">
        <v>1876</v>
      </c>
      <c r="B928" s="4" t="s">
        <v>1877</v>
      </c>
      <c r="C928" s="5">
        <v>72150</v>
      </c>
      <c r="D928" s="6" t="s">
        <v>37</v>
      </c>
      <c r="E928" s="6" t="s">
        <v>38</v>
      </c>
      <c r="F928" s="7">
        <v>38800</v>
      </c>
      <c r="G928" s="8">
        <f t="shared" si="14"/>
        <v>38800</v>
      </c>
      <c r="H928" s="6" t="s">
        <v>39</v>
      </c>
      <c r="I928" s="9">
        <f>MAX(original!I928,piwebapi_edit!I928,car_edit!I928)</f>
        <v>12817.4786618494</v>
      </c>
      <c r="J928" s="9">
        <f>MAX(original!J928,piwebapi_edit!J928,car_edit!J928)</f>
        <v>218.11325570544099</v>
      </c>
      <c r="K928" s="17"/>
    </row>
    <row r="929" spans="1:11" x14ac:dyDescent="0.25">
      <c r="A929" s="3" t="s">
        <v>1878</v>
      </c>
      <c r="B929" s="4" t="s">
        <v>1879</v>
      </c>
      <c r="C929" s="5">
        <v>1790</v>
      </c>
      <c r="D929" s="6" t="s">
        <v>28</v>
      </c>
      <c r="E929" s="6" t="s">
        <v>17</v>
      </c>
      <c r="F929" s="7">
        <v>25569</v>
      </c>
      <c r="G929" s="8">
        <f t="shared" si="14"/>
        <v>25569</v>
      </c>
      <c r="H929" s="6" t="s">
        <v>13</v>
      </c>
      <c r="I929" s="9">
        <f>MAX(original!I929,piwebapi_edit!I929,car_edit!I929)</f>
        <v>728.88492189866406</v>
      </c>
      <c r="J929" s="9">
        <f>MAX(original!J929,piwebapi_edit!J929,car_edit!J929)</f>
        <v>20.349619915915699</v>
      </c>
      <c r="K929" s="17"/>
    </row>
    <row r="930" spans="1:11" x14ac:dyDescent="0.25">
      <c r="A930" s="3" t="s">
        <v>1880</v>
      </c>
      <c r="B930" s="4" t="s">
        <v>1881</v>
      </c>
      <c r="C930" s="5">
        <v>1949</v>
      </c>
      <c r="D930" s="6" t="s">
        <v>28</v>
      </c>
      <c r="E930" s="6" t="s">
        <v>17</v>
      </c>
      <c r="F930" s="7">
        <v>32509</v>
      </c>
      <c r="G930" s="8">
        <f t="shared" si="14"/>
        <v>32509</v>
      </c>
      <c r="H930" s="6" t="s">
        <v>13</v>
      </c>
      <c r="I930" s="9">
        <f>MAX(original!I930,piwebapi_edit!I930,car_edit!I930)</f>
        <v>87170.814139277893</v>
      </c>
      <c r="J930" s="9">
        <f>MAX(original!J930,piwebapi_edit!J930,car_edit!J930)</f>
        <v>369.75729060328501</v>
      </c>
      <c r="K930" s="17"/>
    </row>
    <row r="931" spans="1:11" x14ac:dyDescent="0.25">
      <c r="A931" s="3" t="s">
        <v>1882</v>
      </c>
      <c r="B931" s="4" t="s">
        <v>1883</v>
      </c>
      <c r="C931" s="5">
        <v>52918</v>
      </c>
      <c r="D931" s="6" t="s">
        <v>28</v>
      </c>
      <c r="E931" s="6" t="s">
        <v>17</v>
      </c>
      <c r="F931" s="7">
        <v>39129</v>
      </c>
      <c r="G931" s="8">
        <f t="shared" si="14"/>
        <v>39129</v>
      </c>
      <c r="H931" s="6" t="s">
        <v>13</v>
      </c>
      <c r="I931" s="9">
        <f>MAX(original!I931,piwebapi_edit!I931,car_edit!I931)</f>
        <v>41252.633783767997</v>
      </c>
      <c r="J931" s="9">
        <f>MAX(original!J931,piwebapi_edit!J931,car_edit!J931)</f>
        <v>274.895915277325</v>
      </c>
      <c r="K931" s="17"/>
    </row>
    <row r="932" spans="1:11" x14ac:dyDescent="0.25">
      <c r="A932" s="3" t="s">
        <v>1884</v>
      </c>
      <c r="B932" s="4" t="s">
        <v>1885</v>
      </c>
      <c r="C932" s="14">
        <v>6406</v>
      </c>
      <c r="D932" s="6" t="s">
        <v>31</v>
      </c>
      <c r="E932" s="6" t="s">
        <v>17</v>
      </c>
      <c r="F932" s="7">
        <v>37021</v>
      </c>
      <c r="G932" s="8">
        <f t="shared" si="14"/>
        <v>37021</v>
      </c>
      <c r="H932" s="6" t="s">
        <v>13</v>
      </c>
      <c r="I932" s="9">
        <f>MAX(original!I932,piwebapi_edit!I932,car_edit!I932)</f>
        <v>14067.6515039736</v>
      </c>
      <c r="J932" s="9">
        <f>MAX(original!J932,piwebapi_edit!J932,car_edit!J932)</f>
        <v>323.72223465912799</v>
      </c>
      <c r="K932" s="17"/>
    </row>
    <row r="933" spans="1:11" ht="30" x14ac:dyDescent="0.25">
      <c r="A933" s="18" t="s">
        <v>1886</v>
      </c>
      <c r="B933" s="19" t="s">
        <v>1887</v>
      </c>
      <c r="C933" s="20">
        <v>1380</v>
      </c>
      <c r="D933" s="21" t="s">
        <v>16</v>
      </c>
      <c r="E933" s="21" t="s">
        <v>17</v>
      </c>
      <c r="F933" s="22">
        <v>29221</v>
      </c>
      <c r="G933" s="23">
        <f t="shared" si="14"/>
        <v>29221</v>
      </c>
      <c r="H933" s="21" t="s">
        <v>13</v>
      </c>
      <c r="I933" s="9">
        <f>MAX(original!I933,piwebapi_edit!I933,car_edit!I933)</f>
        <v>15901.717322926199</v>
      </c>
      <c r="J933" s="9">
        <f>MAX(original!J933,piwebapi_edit!J933,car_edit!J933)</f>
        <v>317.66903119761002</v>
      </c>
      <c r="K933" s="25"/>
    </row>
    <row r="934" spans="1:11" x14ac:dyDescent="0.25">
      <c r="A934" s="3" t="s">
        <v>1888</v>
      </c>
      <c r="B934" s="4" t="s">
        <v>1889</v>
      </c>
      <c r="C934" s="5">
        <v>1161</v>
      </c>
      <c r="D934" s="6" t="s">
        <v>31</v>
      </c>
      <c r="E934" s="6" t="s">
        <v>17</v>
      </c>
      <c r="F934" s="7">
        <v>29221</v>
      </c>
      <c r="G934" s="8">
        <f t="shared" si="14"/>
        <v>29221</v>
      </c>
      <c r="H934" s="6" t="s">
        <v>13</v>
      </c>
      <c r="I934" s="9">
        <f>MAX(original!I934,piwebapi_edit!I934,car_edit!I934)</f>
        <v>9546.3390562290406</v>
      </c>
      <c r="J934" s="9">
        <f>MAX(original!J934,piwebapi_edit!J934,car_edit!J934)</f>
        <v>151.338683808193</v>
      </c>
      <c r="K934" s="17"/>
    </row>
    <row r="935" spans="1:11" x14ac:dyDescent="0.25">
      <c r="A935" s="3" t="s">
        <v>1890</v>
      </c>
      <c r="B935" s="4" t="s">
        <v>1891</v>
      </c>
      <c r="C935" s="5">
        <v>1702</v>
      </c>
      <c r="D935" s="6" t="s">
        <v>31</v>
      </c>
      <c r="E935" s="6" t="s">
        <v>17</v>
      </c>
      <c r="F935" s="7">
        <v>32141</v>
      </c>
      <c r="G935" s="8">
        <f t="shared" si="14"/>
        <v>32141</v>
      </c>
      <c r="H935" s="6" t="s">
        <v>13</v>
      </c>
      <c r="I935" s="9">
        <f>MAX(original!I935,piwebapi_edit!I935,car_edit!I935)</f>
        <v>30371.973754909199</v>
      </c>
      <c r="J935" s="9">
        <f>MAX(original!J935,piwebapi_edit!J935,car_edit!J935)</f>
        <v>297.19068724213201</v>
      </c>
      <c r="K935" s="17"/>
    </row>
    <row r="936" spans="1:11" x14ac:dyDescent="0.25">
      <c r="A936" s="3" t="s">
        <v>1892</v>
      </c>
      <c r="B936" s="4" t="s">
        <v>1893</v>
      </c>
      <c r="C936" s="5">
        <v>1892</v>
      </c>
      <c r="D936" s="6" t="s">
        <v>31</v>
      </c>
      <c r="E936" s="6" t="s">
        <v>17</v>
      </c>
      <c r="F936" s="7">
        <v>38407</v>
      </c>
      <c r="G936" s="8">
        <f t="shared" si="14"/>
        <v>38407</v>
      </c>
      <c r="H936" s="6" t="s">
        <v>13</v>
      </c>
      <c r="I936" s="9">
        <f>MAX(original!I936,piwebapi_edit!I936,car_edit!I936)</f>
        <v>40895.186488043502</v>
      </c>
      <c r="J936" s="9">
        <f>MAX(original!J936,piwebapi_edit!J936,car_edit!J936)</f>
        <v>282.82835140560701</v>
      </c>
      <c r="K936" s="17"/>
    </row>
    <row r="937" spans="1:11" ht="30" x14ac:dyDescent="0.25">
      <c r="A937" s="18" t="s">
        <v>1894</v>
      </c>
      <c r="B937" s="19" t="s">
        <v>1895</v>
      </c>
      <c r="C937" s="5">
        <v>1389</v>
      </c>
      <c r="D937" s="21" t="s">
        <v>31</v>
      </c>
      <c r="E937" s="21" t="s">
        <v>17</v>
      </c>
      <c r="F937" s="22">
        <v>33604</v>
      </c>
      <c r="G937" s="23">
        <f t="shared" si="14"/>
        <v>33604</v>
      </c>
      <c r="H937" s="21" t="s">
        <v>13</v>
      </c>
      <c r="I937" s="9">
        <f>MAX(original!I937,piwebapi_edit!I937,car_edit!I937)</f>
        <v>382726.38999999996</v>
      </c>
      <c r="J937" s="9">
        <f>MAX(original!J937,piwebapi_edit!J937,car_edit!J937)</f>
        <v>1750</v>
      </c>
      <c r="K937" s="25"/>
    </row>
    <row r="938" spans="1:11" x14ac:dyDescent="0.25">
      <c r="A938" s="3" t="s">
        <v>1896</v>
      </c>
      <c r="B938" s="4" t="s">
        <v>1897</v>
      </c>
      <c r="C938" s="5">
        <v>1065</v>
      </c>
      <c r="D938" s="6" t="s">
        <v>16</v>
      </c>
      <c r="E938" s="6" t="s">
        <v>17</v>
      </c>
      <c r="F938" s="7">
        <v>29221</v>
      </c>
      <c r="G938" s="8">
        <f t="shared" si="14"/>
        <v>29221</v>
      </c>
      <c r="H938" s="6" t="s">
        <v>13</v>
      </c>
      <c r="I938" s="9">
        <f>MAX(original!I938,piwebapi_edit!I938,car_edit!I938)</f>
        <v>24259.481564431499</v>
      </c>
      <c r="J938" s="9">
        <f>MAX(original!J938,piwebapi_edit!J938,car_edit!J938)</f>
        <v>265.39299332885599</v>
      </c>
      <c r="K938" s="17"/>
    </row>
    <row r="939" spans="1:11" x14ac:dyDescent="0.25">
      <c r="A939" s="26" t="s">
        <v>1898</v>
      </c>
      <c r="B939" s="27" t="s">
        <v>1899</v>
      </c>
      <c r="C939" s="5">
        <v>15044</v>
      </c>
      <c r="D939" s="28" t="s">
        <v>31</v>
      </c>
      <c r="E939" s="28" t="s">
        <v>17</v>
      </c>
      <c r="F939" s="29">
        <v>31562</v>
      </c>
      <c r="G939" s="30">
        <f t="shared" si="14"/>
        <v>31562</v>
      </c>
      <c r="H939" s="28" t="s">
        <v>13</v>
      </c>
      <c r="I939" s="9">
        <f>MAX(original!I939,piwebapi_edit!I939,car_edit!I939)</f>
        <v>72473.183540315396</v>
      </c>
      <c r="J939" s="9">
        <f>MAX(original!J939,piwebapi_edit!J939,car_edit!J939)</f>
        <v>195.56774734278699</v>
      </c>
      <c r="K939" s="33"/>
    </row>
    <row r="940" spans="1:11" x14ac:dyDescent="0.25">
      <c r="A940" s="3" t="s">
        <v>1900</v>
      </c>
      <c r="B940" s="4" t="s">
        <v>1901</v>
      </c>
      <c r="C940" s="5">
        <v>53218</v>
      </c>
      <c r="D940" s="6" t="s">
        <v>28</v>
      </c>
      <c r="E940" s="6" t="s">
        <v>17</v>
      </c>
      <c r="F940" s="7">
        <v>39083</v>
      </c>
      <c r="G940" s="8">
        <f t="shared" si="14"/>
        <v>39083</v>
      </c>
      <c r="H940" s="6" t="s">
        <v>13</v>
      </c>
      <c r="I940" s="9">
        <f>MAX(original!I940,piwebapi_edit!I940,car_edit!I940)</f>
        <v>7348.2839414864402</v>
      </c>
      <c r="J940" s="9">
        <f>MAX(original!J940,piwebapi_edit!J940,car_edit!J940)</f>
        <v>227.09985684770501</v>
      </c>
      <c r="K940" s="17"/>
    </row>
    <row r="941" spans="1:11" x14ac:dyDescent="0.25">
      <c r="A941" s="3" t="s">
        <v>1902</v>
      </c>
      <c r="B941" s="4" t="s">
        <v>1903</v>
      </c>
      <c r="C941" s="5">
        <v>1302</v>
      </c>
      <c r="D941" s="6" t="s">
        <v>16</v>
      </c>
      <c r="E941" s="6" t="s">
        <v>17</v>
      </c>
      <c r="F941" s="7">
        <v>32509</v>
      </c>
      <c r="G941" s="8">
        <f t="shared" si="14"/>
        <v>32509</v>
      </c>
      <c r="H941" s="6" t="s">
        <v>13</v>
      </c>
      <c r="I941" s="9">
        <f>MAX(original!I941,piwebapi_edit!I941,car_edit!I941)</f>
        <v>16818.3753309903</v>
      </c>
      <c r="J941" s="9">
        <f>MAX(original!J941,piwebapi_edit!J941,car_edit!J941)</f>
        <v>25.840378491436699</v>
      </c>
      <c r="K941" s="17"/>
    </row>
    <row r="942" spans="1:11" x14ac:dyDescent="0.25">
      <c r="A942" s="3" t="s">
        <v>1904</v>
      </c>
      <c r="B942" s="4" t="s">
        <v>1905</v>
      </c>
      <c r="C942" s="5">
        <v>1045</v>
      </c>
      <c r="D942" s="6" t="s">
        <v>16</v>
      </c>
      <c r="E942" s="6" t="s">
        <v>17</v>
      </c>
      <c r="F942" s="7">
        <v>29221</v>
      </c>
      <c r="G942" s="8">
        <f t="shared" si="14"/>
        <v>29221</v>
      </c>
      <c r="H942" s="6" t="s">
        <v>13</v>
      </c>
      <c r="I942" s="9">
        <f>MAX(original!I942,piwebapi_edit!I942,car_edit!I942)</f>
        <v>123113.50671582299</v>
      </c>
      <c r="J942" s="9">
        <f>MAX(original!J942,piwebapi_edit!J942,car_edit!J942)</f>
        <v>502.78195090576099</v>
      </c>
      <c r="K942" s="17"/>
    </row>
    <row r="943" spans="1:11" x14ac:dyDescent="0.25">
      <c r="A943" s="3" t="s">
        <v>1906</v>
      </c>
      <c r="B943" s="4" t="s">
        <v>1907</v>
      </c>
      <c r="C943" s="5">
        <v>72126</v>
      </c>
      <c r="D943" s="6" t="s">
        <v>28</v>
      </c>
      <c r="E943" s="6" t="s">
        <v>17</v>
      </c>
      <c r="F943" s="7">
        <v>39258</v>
      </c>
      <c r="G943" s="8">
        <f t="shared" si="14"/>
        <v>39258</v>
      </c>
      <c r="H943" s="6" t="s">
        <v>13</v>
      </c>
      <c r="I943" s="9">
        <f>MAX(original!I943,piwebapi_edit!I943,car_edit!I943)</f>
        <v>52534.323576389201</v>
      </c>
      <c r="J943" s="9">
        <f>MAX(original!J943,piwebapi_edit!J943,car_edit!J943)</f>
        <v>554.91185595714001</v>
      </c>
      <c r="K943" s="17"/>
    </row>
    <row r="944" spans="1:11" x14ac:dyDescent="0.25">
      <c r="A944" s="3" t="s">
        <v>1908</v>
      </c>
      <c r="B944" s="4" t="s">
        <v>1909</v>
      </c>
      <c r="C944" s="5">
        <v>1866</v>
      </c>
      <c r="D944" s="6" t="s">
        <v>31</v>
      </c>
      <c r="E944" s="6" t="s">
        <v>17</v>
      </c>
      <c r="F944" s="7">
        <v>29221</v>
      </c>
      <c r="G944" s="8">
        <f t="shared" si="14"/>
        <v>29221</v>
      </c>
      <c r="H944" s="6" t="s">
        <v>13</v>
      </c>
      <c r="I944" s="9">
        <f>MAX(original!I944,piwebapi_edit!I944,car_edit!I944)</f>
        <v>50749.024746638395</v>
      </c>
      <c r="J944" s="9">
        <f>MAX(original!J944,piwebapi_edit!J944,car_edit!J944)</f>
        <v>211.98908581965901</v>
      </c>
      <c r="K944" s="17"/>
    </row>
    <row r="945" spans="1:11" x14ac:dyDescent="0.25">
      <c r="A945" s="3" t="s">
        <v>1910</v>
      </c>
      <c r="B945" s="4" t="s">
        <v>19</v>
      </c>
      <c r="C945" s="5">
        <v>207526</v>
      </c>
      <c r="D945" s="6" t="s">
        <v>16</v>
      </c>
      <c r="E945" s="6" t="s">
        <v>17</v>
      </c>
      <c r="F945" s="7">
        <v>31846</v>
      </c>
      <c r="G945" s="8">
        <f t="shared" si="14"/>
        <v>31846</v>
      </c>
      <c r="H945" s="6" t="s">
        <v>13</v>
      </c>
      <c r="I945" s="9">
        <f>MAX(original!I945,piwebapi_edit!I945,car_edit!I945)</f>
        <v>37318.470778472998</v>
      </c>
      <c r="J945" s="9">
        <f>MAX(original!J945,piwebapi_edit!J945,car_edit!J945)</f>
        <v>178.65490481531299</v>
      </c>
      <c r="K945" s="17"/>
    </row>
    <row r="946" spans="1:11" x14ac:dyDescent="0.25">
      <c r="A946" s="3" t="s">
        <v>1911</v>
      </c>
      <c r="B946" s="4" t="s">
        <v>1912</v>
      </c>
      <c r="C946" s="5">
        <v>17295</v>
      </c>
      <c r="D946" s="6" t="s">
        <v>16</v>
      </c>
      <c r="E946" s="6" t="s">
        <v>17</v>
      </c>
      <c r="F946" s="7">
        <v>34135</v>
      </c>
      <c r="G946" s="8">
        <f t="shared" si="14"/>
        <v>34135</v>
      </c>
      <c r="H946" s="6" t="s">
        <v>13</v>
      </c>
      <c r="I946" s="9">
        <f>MAX(original!I946,piwebapi_edit!I946,car_edit!I946)</f>
        <v>89225.367437189008</v>
      </c>
      <c r="J946" s="9">
        <f>MAX(original!J946,piwebapi_edit!J946,car_edit!J946)</f>
        <v>237.399970387618</v>
      </c>
      <c r="K946" s="17"/>
    </row>
    <row r="947" spans="1:11" x14ac:dyDescent="0.25">
      <c r="A947" s="3" t="s">
        <v>1913</v>
      </c>
      <c r="B947" s="4" t="s">
        <v>1914</v>
      </c>
      <c r="C947" s="14">
        <v>17293</v>
      </c>
      <c r="D947" s="6" t="s">
        <v>16</v>
      </c>
      <c r="E947" s="6" t="s">
        <v>17</v>
      </c>
      <c r="F947" s="7">
        <v>33350</v>
      </c>
      <c r="G947" s="8">
        <f t="shared" si="14"/>
        <v>33350</v>
      </c>
      <c r="H947" s="6" t="s">
        <v>13</v>
      </c>
      <c r="I947" s="9">
        <f>MAX(original!I947,piwebapi_edit!I947,car_edit!I947)</f>
        <v>88308.013393475703</v>
      </c>
      <c r="J947" s="9">
        <f>MAX(original!J947,piwebapi_edit!J947,car_edit!J947)</f>
        <v>235.13031268377</v>
      </c>
      <c r="K947" s="17"/>
    </row>
    <row r="948" spans="1:11" x14ac:dyDescent="0.25">
      <c r="A948" s="3" t="s">
        <v>1915</v>
      </c>
      <c r="B948" s="4" t="s">
        <v>1916</v>
      </c>
      <c r="C948" s="5">
        <v>1061</v>
      </c>
      <c r="D948" s="6" t="s">
        <v>16</v>
      </c>
      <c r="E948" s="6" t="s">
        <v>17</v>
      </c>
      <c r="F948" s="7">
        <v>36354</v>
      </c>
      <c r="G948" s="8">
        <f t="shared" si="14"/>
        <v>36354</v>
      </c>
      <c r="H948" s="6" t="s">
        <v>13</v>
      </c>
      <c r="I948" s="9">
        <f>MAX(original!I948,piwebapi_edit!I948,car_edit!I948)</f>
        <v>14778.606690970601</v>
      </c>
      <c r="J948" s="9">
        <f>MAX(original!J948,piwebapi_edit!J948,car_edit!J948)</f>
        <v>172.14468974500599</v>
      </c>
      <c r="K948" s="17"/>
    </row>
    <row r="949" spans="1:11" x14ac:dyDescent="0.25">
      <c r="A949" s="3" t="s">
        <v>1917</v>
      </c>
      <c r="B949" s="4" t="s">
        <v>1918</v>
      </c>
      <c r="C949" s="14">
        <v>1318</v>
      </c>
      <c r="D949" s="6" t="s">
        <v>16</v>
      </c>
      <c r="E949" s="6" t="s">
        <v>17</v>
      </c>
      <c r="F949" s="7">
        <v>41451</v>
      </c>
      <c r="G949" s="8">
        <f t="shared" si="14"/>
        <v>41451</v>
      </c>
      <c r="H949" s="6" t="s">
        <v>13</v>
      </c>
      <c r="I949" s="9">
        <f>MAX(original!I949,piwebapi_edit!I949,car_edit!I949)</f>
        <v>34333.146860490306</v>
      </c>
      <c r="J949" s="9">
        <f>MAX(original!J949,piwebapi_edit!J949,car_edit!J949)</f>
        <v>444.80778484318699</v>
      </c>
      <c r="K949" s="17"/>
    </row>
    <row r="950" spans="1:11" x14ac:dyDescent="0.25">
      <c r="A950" s="3" t="s">
        <v>1919</v>
      </c>
      <c r="B950" s="4" t="s">
        <v>1920</v>
      </c>
      <c r="C950" s="5">
        <v>1186</v>
      </c>
      <c r="D950" s="6" t="s">
        <v>16</v>
      </c>
      <c r="E950" s="6" t="s">
        <v>17</v>
      </c>
      <c r="F950" s="7">
        <v>25569</v>
      </c>
      <c r="G950" s="8">
        <f t="shared" si="14"/>
        <v>25569</v>
      </c>
      <c r="H950" s="6" t="s">
        <v>13</v>
      </c>
      <c r="I950" s="9">
        <f>MAX(original!I950,piwebapi_edit!I950,car_edit!I950)</f>
        <v>42380.659804171402</v>
      </c>
      <c r="J950" s="9">
        <f>MAX(original!J950,piwebapi_edit!J950,car_edit!J950)</f>
        <v>183.84702337311899</v>
      </c>
      <c r="K950" s="17"/>
    </row>
    <row r="951" spans="1:11" x14ac:dyDescent="0.25">
      <c r="A951" s="3" t="s">
        <v>1921</v>
      </c>
      <c r="B951" s="4" t="s">
        <v>1922</v>
      </c>
      <c r="C951" s="5">
        <v>1381</v>
      </c>
      <c r="D951" s="6" t="s">
        <v>16</v>
      </c>
      <c r="E951" s="6" t="s">
        <v>17</v>
      </c>
      <c r="F951" s="7">
        <v>36362</v>
      </c>
      <c r="G951" s="8">
        <f t="shared" si="14"/>
        <v>36362</v>
      </c>
      <c r="H951" s="6" t="s">
        <v>13</v>
      </c>
      <c r="I951" s="9">
        <f>MAX(original!I951,piwebapi_edit!I951,car_edit!I951)</f>
        <v>37412.480485130305</v>
      </c>
      <c r="J951" s="9">
        <f>MAX(original!J951,piwebapi_edit!J951,car_edit!J951)</f>
        <v>197.246899560343</v>
      </c>
      <c r="K951" s="17"/>
    </row>
    <row r="952" spans="1:11" x14ac:dyDescent="0.25">
      <c r="A952" s="3" t="s">
        <v>1923</v>
      </c>
      <c r="B952" s="4" t="s">
        <v>1924</v>
      </c>
      <c r="C952" s="5">
        <v>1124</v>
      </c>
      <c r="D952" s="6" t="s">
        <v>16</v>
      </c>
      <c r="E952" s="6" t="s">
        <v>17</v>
      </c>
      <c r="F952" s="7">
        <v>29952</v>
      </c>
      <c r="G952" s="8">
        <f t="shared" si="14"/>
        <v>29952</v>
      </c>
      <c r="H952" s="6" t="s">
        <v>13</v>
      </c>
      <c r="I952" s="9">
        <f>MAX(original!I952,piwebapi_edit!I952,car_edit!I952)</f>
        <v>42091.025615733502</v>
      </c>
      <c r="J952" s="9">
        <f>MAX(original!J952,piwebapi_edit!J952,car_edit!J952)</f>
        <v>579.69382908854004</v>
      </c>
      <c r="K952" s="17"/>
    </row>
    <row r="953" spans="1:11" x14ac:dyDescent="0.25">
      <c r="A953" s="3" t="s">
        <v>1925</v>
      </c>
      <c r="B953" s="4" t="s">
        <v>1926</v>
      </c>
      <c r="C953" s="5">
        <v>1039</v>
      </c>
      <c r="D953" s="6" t="s">
        <v>31</v>
      </c>
      <c r="E953" s="6" t="s">
        <v>17</v>
      </c>
      <c r="F953" s="7">
        <v>41306</v>
      </c>
      <c r="G953" s="8">
        <f t="shared" si="14"/>
        <v>41306</v>
      </c>
      <c r="H953" s="6" t="s">
        <v>13</v>
      </c>
      <c r="I953" s="9">
        <f>MAX(original!I953,piwebapi_edit!I953,car_edit!I953)</f>
        <v>10024.3252441276</v>
      </c>
      <c r="J953" s="9">
        <f>MAX(original!J953,piwebapi_edit!J953,car_edit!J953)</f>
        <v>353.57645430041998</v>
      </c>
      <c r="K953" s="17"/>
    </row>
    <row r="954" spans="1:11" ht="30" x14ac:dyDescent="0.25">
      <c r="A954" s="18" t="s">
        <v>1927</v>
      </c>
      <c r="B954" s="19" t="s">
        <v>1928</v>
      </c>
      <c r="C954" s="5">
        <v>18562</v>
      </c>
      <c r="D954" s="21" t="s">
        <v>16</v>
      </c>
      <c r="E954" s="21" t="s">
        <v>17</v>
      </c>
      <c r="F954" s="22">
        <v>37960</v>
      </c>
      <c r="G954" s="23">
        <f t="shared" si="14"/>
        <v>37960</v>
      </c>
      <c r="H954" s="21" t="s">
        <v>13</v>
      </c>
      <c r="I954" s="9">
        <f>MAX(original!I954,piwebapi_edit!I954,car_edit!I954)</f>
        <v>13800.1387162173</v>
      </c>
      <c r="J954" s="9">
        <f>MAX(original!J954,piwebapi_edit!J954,car_edit!J954)</f>
        <v>174.96315063480799</v>
      </c>
      <c r="K954" s="25"/>
    </row>
    <row r="955" spans="1:11" x14ac:dyDescent="0.25">
      <c r="A955" s="3" t="s">
        <v>1929</v>
      </c>
      <c r="B955" s="4" t="s">
        <v>1930</v>
      </c>
      <c r="C955" s="14">
        <v>1720</v>
      </c>
      <c r="D955" s="6" t="s">
        <v>16</v>
      </c>
      <c r="E955" s="6" t="s">
        <v>17</v>
      </c>
      <c r="F955" s="7">
        <v>35971</v>
      </c>
      <c r="G955" s="8">
        <f t="shared" si="14"/>
        <v>35971</v>
      </c>
      <c r="H955" s="6" t="s">
        <v>13</v>
      </c>
      <c r="I955" s="9">
        <f>MAX(original!I955,piwebapi_edit!I955,car_edit!I955)</f>
        <v>68434.740217044411</v>
      </c>
      <c r="J955" s="9">
        <f>MAX(original!J955,piwebapi_edit!J955,car_edit!J955)</f>
        <v>1137.8258170739</v>
      </c>
      <c r="K955" s="17"/>
    </row>
    <row r="956" spans="1:11" x14ac:dyDescent="0.25">
      <c r="A956" s="3" t="s">
        <v>1931</v>
      </c>
      <c r="B956" s="4" t="s">
        <v>1932</v>
      </c>
      <c r="C956" s="5">
        <v>1313</v>
      </c>
      <c r="D956" s="6" t="s">
        <v>16</v>
      </c>
      <c r="E956" s="6" t="s">
        <v>17</v>
      </c>
      <c r="F956" s="7">
        <v>27395</v>
      </c>
      <c r="G956" s="8">
        <f t="shared" si="14"/>
        <v>27395</v>
      </c>
      <c r="H956" s="6" t="s">
        <v>13</v>
      </c>
      <c r="I956" s="9">
        <f>MAX(original!I956,piwebapi_edit!I956,car_edit!I956)</f>
        <v>18740.143929604699</v>
      </c>
      <c r="J956" s="9">
        <f>MAX(original!J956,piwebapi_edit!J956,car_edit!J956)</f>
        <v>248.191425003581</v>
      </c>
      <c r="K956" s="17"/>
    </row>
    <row r="957" spans="1:11" ht="30" x14ac:dyDescent="0.25">
      <c r="A957" s="3" t="s">
        <v>1933</v>
      </c>
      <c r="B957" s="4" t="s">
        <v>1934</v>
      </c>
      <c r="C957" s="5">
        <v>37538</v>
      </c>
      <c r="D957" s="6" t="s">
        <v>11</v>
      </c>
      <c r="E957" s="6" t="s">
        <v>12</v>
      </c>
      <c r="F957" s="7">
        <v>39281</v>
      </c>
      <c r="G957" s="8">
        <f t="shared" si="14"/>
        <v>39281</v>
      </c>
      <c r="H957" s="6" t="s">
        <v>776</v>
      </c>
      <c r="I957" s="9">
        <f>MAX(original!I957,piwebapi_edit!I957,car_edit!I957)</f>
        <v>13983.634830613599</v>
      </c>
      <c r="J957" s="9">
        <f>MAX(original!J957,piwebapi_edit!J957,car_edit!J957)</f>
        <v>442.40830398602299</v>
      </c>
      <c r="K957" s="11"/>
    </row>
    <row r="958" spans="1:11" x14ac:dyDescent="0.25">
      <c r="A958" s="3" t="s">
        <v>1935</v>
      </c>
      <c r="B958" s="4" t="s">
        <v>1936</v>
      </c>
      <c r="C958" s="5">
        <v>1294</v>
      </c>
      <c r="D958" s="6" t="s">
        <v>31</v>
      </c>
      <c r="E958" s="6" t="s">
        <v>17</v>
      </c>
      <c r="F958" s="7">
        <v>35831</v>
      </c>
      <c r="G958" s="8">
        <f t="shared" si="14"/>
        <v>35831</v>
      </c>
      <c r="H958" s="6" t="s">
        <v>13</v>
      </c>
      <c r="I958" s="9">
        <f>MAX(original!I958,piwebapi_edit!I958,car_edit!I958)</f>
        <v>89497.099906575007</v>
      </c>
      <c r="J958" s="9">
        <f>MAX(original!J958,piwebapi_edit!J958,car_edit!J958)</f>
        <v>497.123707523549</v>
      </c>
      <c r="K958" s="17"/>
    </row>
    <row r="959" spans="1:11" x14ac:dyDescent="0.25">
      <c r="A959" s="3" t="s">
        <v>1937</v>
      </c>
      <c r="B959" s="4" t="s">
        <v>1938</v>
      </c>
      <c r="C959" s="5">
        <v>1762</v>
      </c>
      <c r="D959" s="6" t="s">
        <v>31</v>
      </c>
      <c r="E959" s="6" t="s">
        <v>17</v>
      </c>
      <c r="F959" s="7">
        <v>38427</v>
      </c>
      <c r="G959" s="8">
        <f t="shared" si="14"/>
        <v>38427</v>
      </c>
      <c r="H959" s="6" t="s">
        <v>13</v>
      </c>
      <c r="I959" s="9">
        <f>MAX(original!I959,piwebapi_edit!I959,car_edit!I959)</f>
        <v>118226.70909948999</v>
      </c>
      <c r="J959" s="9">
        <f>MAX(original!J959,piwebapi_edit!J959,car_edit!J959)</f>
        <v>560.08194709504596</v>
      </c>
      <c r="K959" s="17"/>
    </row>
    <row r="960" spans="1:11" x14ac:dyDescent="0.25">
      <c r="A960" s="3" t="s">
        <v>1939</v>
      </c>
      <c r="B960" s="4" t="s">
        <v>1940</v>
      </c>
      <c r="C960" s="14">
        <v>1090</v>
      </c>
      <c r="D960" s="6" t="s">
        <v>31</v>
      </c>
      <c r="E960" s="6" t="s">
        <v>17</v>
      </c>
      <c r="F960" s="7">
        <v>29221</v>
      </c>
      <c r="G960" s="8">
        <f t="shared" si="14"/>
        <v>29221</v>
      </c>
      <c r="H960" s="6" t="s">
        <v>13</v>
      </c>
      <c r="I960" s="9">
        <f>MAX(original!I960,piwebapi_edit!I960,car_edit!I960)</f>
        <v>61878.4813491366</v>
      </c>
      <c r="J960" s="9">
        <f>MAX(original!J960,piwebapi_edit!J960,car_edit!J960)</f>
        <v>246.845717824075</v>
      </c>
      <c r="K960" s="17"/>
    </row>
    <row r="961" spans="1:11" x14ac:dyDescent="0.25">
      <c r="A961" s="3" t="s">
        <v>1941</v>
      </c>
      <c r="B961" s="4" t="s">
        <v>1942</v>
      </c>
      <c r="C961" s="5">
        <v>1471</v>
      </c>
      <c r="D961" s="6" t="s">
        <v>31</v>
      </c>
      <c r="E961" s="6" t="s">
        <v>17</v>
      </c>
      <c r="F961" s="7">
        <v>29221</v>
      </c>
      <c r="G961" s="8">
        <f t="shared" si="14"/>
        <v>29221</v>
      </c>
      <c r="H961" s="6" t="s">
        <v>13</v>
      </c>
      <c r="I961" s="9">
        <f>MAX(original!I961,piwebapi_edit!I961,car_edit!I961)</f>
        <v>11132.4330419916</v>
      </c>
      <c r="J961" s="9">
        <f>MAX(original!J961,piwebapi_edit!J961,car_edit!J961)</f>
        <v>32.7056264518733</v>
      </c>
      <c r="K961" s="17"/>
    </row>
    <row r="962" spans="1:11" x14ac:dyDescent="0.25">
      <c r="A962" s="3" t="s">
        <v>1943</v>
      </c>
      <c r="B962" s="4" t="s">
        <v>1944</v>
      </c>
      <c r="C962" s="5">
        <v>1923</v>
      </c>
      <c r="D962" s="6" t="s">
        <v>31</v>
      </c>
      <c r="E962" s="6" t="s">
        <v>17</v>
      </c>
      <c r="F962" s="7">
        <v>29221</v>
      </c>
      <c r="G962" s="8">
        <f t="shared" ref="G962:G1025" si="15">F962</f>
        <v>29221</v>
      </c>
      <c r="H962" s="6" t="s">
        <v>13</v>
      </c>
      <c r="I962" s="9">
        <f>MAX(original!I962,piwebapi_edit!I962,car_edit!I962)</f>
        <v>13049.226871717901</v>
      </c>
      <c r="J962" s="9">
        <f>MAX(original!J962,piwebapi_edit!J962,car_edit!J962)</f>
        <v>330.70069652468999</v>
      </c>
      <c r="K962" s="17"/>
    </row>
    <row r="963" spans="1:11" x14ac:dyDescent="0.25">
      <c r="A963" s="3" t="s">
        <v>1945</v>
      </c>
      <c r="B963" s="4" t="s">
        <v>1946</v>
      </c>
      <c r="C963" s="14">
        <v>21764</v>
      </c>
      <c r="D963" s="6" t="s">
        <v>31</v>
      </c>
      <c r="E963" s="6" t="s">
        <v>17</v>
      </c>
      <c r="F963" s="7">
        <v>35576</v>
      </c>
      <c r="G963" s="8">
        <f t="shared" si="15"/>
        <v>35576</v>
      </c>
      <c r="H963" s="6" t="s">
        <v>13</v>
      </c>
      <c r="I963" s="9">
        <f>MAX(original!I963,piwebapi_edit!I963,car_edit!I963)</f>
        <v>17959.526469419001</v>
      </c>
      <c r="J963" s="9">
        <f>MAX(original!J963,piwebapi_edit!J963,car_edit!J963)</f>
        <v>207.73166422290799</v>
      </c>
      <c r="K963" s="17"/>
    </row>
    <row r="964" spans="1:11" x14ac:dyDescent="0.25">
      <c r="A964" s="3" t="s">
        <v>1947</v>
      </c>
      <c r="B964" s="4" t="s">
        <v>1948</v>
      </c>
      <c r="C964" s="5">
        <v>1057</v>
      </c>
      <c r="D964" s="6" t="s">
        <v>31</v>
      </c>
      <c r="E964" s="6" t="s">
        <v>17</v>
      </c>
      <c r="F964" s="7">
        <v>35065</v>
      </c>
      <c r="G964" s="8">
        <f t="shared" si="15"/>
        <v>35065</v>
      </c>
      <c r="H964" s="6" t="s">
        <v>13</v>
      </c>
      <c r="I964" s="9">
        <f>MAX(original!I964,piwebapi_edit!I964,car_edit!I964)</f>
        <v>68750.970902080095</v>
      </c>
      <c r="J964" s="9">
        <f>MAX(original!J964,piwebapi_edit!J964,car_edit!J964)</f>
        <v>1061</v>
      </c>
      <c r="K964" s="17"/>
    </row>
    <row r="965" spans="1:11" ht="30" x14ac:dyDescent="0.25">
      <c r="A965" s="3" t="s">
        <v>1949</v>
      </c>
      <c r="B965" s="4" t="s">
        <v>1950</v>
      </c>
      <c r="C965" s="5">
        <v>38145</v>
      </c>
      <c r="D965" s="6" t="s">
        <v>11</v>
      </c>
      <c r="E965" s="6" t="s">
        <v>12</v>
      </c>
      <c r="F965" s="7">
        <v>39290</v>
      </c>
      <c r="G965" s="8">
        <f t="shared" si="15"/>
        <v>39290</v>
      </c>
      <c r="H965" s="6" t="s">
        <v>776</v>
      </c>
      <c r="I965" s="9">
        <f>MAX(original!I965,piwebapi_edit!I965,car_edit!I965)</f>
        <v>6157.7981802015202</v>
      </c>
      <c r="J965" s="9">
        <f>MAX(original!J965,piwebapi_edit!J965,car_edit!J965)</f>
        <v>44.399257330231102</v>
      </c>
      <c r="K965" s="17"/>
    </row>
    <row r="966" spans="1:11" x14ac:dyDescent="0.25">
      <c r="A966" s="3" t="s">
        <v>1951</v>
      </c>
      <c r="B966" s="4" t="s">
        <v>1952</v>
      </c>
      <c r="C966" s="14">
        <v>1203</v>
      </c>
      <c r="D966" s="6" t="s">
        <v>31</v>
      </c>
      <c r="E966" s="6" t="s">
        <v>17</v>
      </c>
      <c r="F966" s="7">
        <v>27395</v>
      </c>
      <c r="G966" s="8">
        <f t="shared" si="15"/>
        <v>27395</v>
      </c>
      <c r="H966" s="6" t="s">
        <v>13</v>
      </c>
      <c r="I966" s="9">
        <f>MAX(original!I966,piwebapi_edit!I966,car_edit!I966)</f>
        <v>182891.805683805</v>
      </c>
      <c r="J966" s="9">
        <f>MAX(original!J966,piwebapi_edit!J966,car_edit!J966)</f>
        <v>862.820943853676</v>
      </c>
      <c r="K966" s="17"/>
    </row>
    <row r="967" spans="1:11" x14ac:dyDescent="0.25">
      <c r="A967" s="3" t="s">
        <v>1953</v>
      </c>
      <c r="B967" s="4" t="s">
        <v>1954</v>
      </c>
      <c r="C967" s="5">
        <v>1140</v>
      </c>
      <c r="D967" s="6" t="s">
        <v>31</v>
      </c>
      <c r="E967" s="6" t="s">
        <v>17</v>
      </c>
      <c r="F967" s="7">
        <v>25569</v>
      </c>
      <c r="G967" s="8">
        <f t="shared" si="15"/>
        <v>25569</v>
      </c>
      <c r="H967" s="6" t="s">
        <v>13</v>
      </c>
      <c r="I967" s="9">
        <f>MAX(original!I967,piwebapi_edit!I967,car_edit!I967)</f>
        <v>26117.895809420901</v>
      </c>
      <c r="J967" s="9">
        <f>MAX(original!J967,piwebapi_edit!J967,car_edit!J967)</f>
        <v>79.458495954717307</v>
      </c>
      <c r="K967" s="17"/>
    </row>
    <row r="968" spans="1:11" x14ac:dyDescent="0.25">
      <c r="A968" s="3" t="s">
        <v>1955</v>
      </c>
      <c r="B968" s="4" t="s">
        <v>1956</v>
      </c>
      <c r="C968" s="5">
        <v>54624</v>
      </c>
      <c r="D968" s="6" t="s">
        <v>28</v>
      </c>
      <c r="E968" s="6" t="s">
        <v>17</v>
      </c>
      <c r="F968" s="7">
        <v>38199</v>
      </c>
      <c r="G968" s="8">
        <f t="shared" si="15"/>
        <v>38199</v>
      </c>
      <c r="H968" s="6" t="s">
        <v>13</v>
      </c>
      <c r="I968" s="9">
        <f>MAX(original!I968,piwebapi_edit!I968,car_edit!I968)</f>
        <v>8647.8645032572094</v>
      </c>
      <c r="J968" s="9">
        <f>MAX(original!J968,piwebapi_edit!J968,car_edit!J968)</f>
        <v>66.930200368082893</v>
      </c>
      <c r="K968" s="17"/>
    </row>
    <row r="969" spans="1:11" x14ac:dyDescent="0.25">
      <c r="A969" s="3" t="s">
        <v>1957</v>
      </c>
      <c r="B969" s="4" t="s">
        <v>1958</v>
      </c>
      <c r="C969" s="5">
        <v>1583</v>
      </c>
      <c r="D969" s="6" t="s">
        <v>31</v>
      </c>
      <c r="E969" s="6" t="s">
        <v>17</v>
      </c>
      <c r="F969" s="7">
        <v>25569</v>
      </c>
      <c r="G969" s="8">
        <f t="shared" si="15"/>
        <v>25569</v>
      </c>
      <c r="H969" s="6" t="s">
        <v>13</v>
      </c>
      <c r="I969" s="9">
        <f>MAX(original!I969,piwebapi_edit!I969,car_edit!I969)</f>
        <v>90974.360776225687</v>
      </c>
      <c r="J969" s="9">
        <f>MAX(original!J969,piwebapi_edit!J969,car_edit!J969)</f>
        <v>290.07601774106899</v>
      </c>
      <c r="K969" s="17"/>
    </row>
    <row r="970" spans="1:11" x14ac:dyDescent="0.25">
      <c r="A970" s="3" t="s">
        <v>1959</v>
      </c>
      <c r="B970" s="4" t="s">
        <v>1960</v>
      </c>
      <c r="C970" s="14">
        <v>54623</v>
      </c>
      <c r="D970" s="6" t="s">
        <v>11</v>
      </c>
      <c r="E970" s="6" t="s">
        <v>12</v>
      </c>
      <c r="F970" s="7">
        <v>39107</v>
      </c>
      <c r="G970" s="8">
        <f t="shared" si="15"/>
        <v>39107</v>
      </c>
      <c r="H970" s="6" t="s">
        <v>39</v>
      </c>
      <c r="I970" s="9">
        <f>MAX(original!I970,piwebapi_edit!I970,car_edit!I970)</f>
        <v>0</v>
      </c>
      <c r="J970" s="9">
        <f>MAX(original!J970,piwebapi_edit!J970,car_edit!J970)</f>
        <v>0</v>
      </c>
      <c r="K970" s="17"/>
    </row>
    <row r="971" spans="1:11" x14ac:dyDescent="0.25">
      <c r="A971" s="3" t="s">
        <v>1961</v>
      </c>
      <c r="B971" s="4" t="s">
        <v>1962</v>
      </c>
      <c r="C971" s="5">
        <v>17603</v>
      </c>
      <c r="D971" s="6" t="s">
        <v>31</v>
      </c>
      <c r="E971" s="6" t="s">
        <v>17</v>
      </c>
      <c r="F971" s="7">
        <v>30608</v>
      </c>
      <c r="G971" s="8">
        <f t="shared" si="15"/>
        <v>30608</v>
      </c>
      <c r="H971" s="6" t="s">
        <v>13</v>
      </c>
      <c r="I971" s="9">
        <f>MAX(original!I971,piwebapi_edit!I971,car_edit!I971)</f>
        <v>1691.22647787916</v>
      </c>
      <c r="J971" s="9">
        <f>MAX(original!J971,piwebapi_edit!J971,car_edit!J971)</f>
        <v>382.20619319365397</v>
      </c>
      <c r="K971" s="17"/>
    </row>
    <row r="972" spans="1:11" x14ac:dyDescent="0.25">
      <c r="A972" s="3" t="s">
        <v>1963</v>
      </c>
      <c r="B972" s="4" t="s">
        <v>1964</v>
      </c>
      <c r="C972" s="5">
        <v>1508</v>
      </c>
      <c r="D972" s="6" t="s">
        <v>28</v>
      </c>
      <c r="E972" s="6" t="s">
        <v>17</v>
      </c>
      <c r="F972" s="7">
        <v>29221</v>
      </c>
      <c r="G972" s="8">
        <f t="shared" si="15"/>
        <v>29221</v>
      </c>
      <c r="H972" s="6" t="s">
        <v>13</v>
      </c>
      <c r="I972" s="9">
        <f>MAX(original!I972,piwebapi_edit!I972,car_edit!I972)</f>
        <v>4811.2580717982491</v>
      </c>
      <c r="J972" s="9">
        <f>MAX(original!J972,piwebapi_edit!J972,car_edit!J972)</f>
        <v>36.938907679485098</v>
      </c>
      <c r="K972" s="17"/>
    </row>
    <row r="973" spans="1:11" x14ac:dyDescent="0.25">
      <c r="A973" s="3" t="s">
        <v>1965</v>
      </c>
      <c r="B973" s="4" t="s">
        <v>1966</v>
      </c>
      <c r="C973" s="5">
        <v>1335</v>
      </c>
      <c r="D973" s="6" t="s">
        <v>31</v>
      </c>
      <c r="E973" s="6" t="s">
        <v>17</v>
      </c>
      <c r="F973" s="7">
        <v>25569</v>
      </c>
      <c r="G973" s="8">
        <f t="shared" si="15"/>
        <v>25569</v>
      </c>
      <c r="H973" s="6" t="s">
        <v>13</v>
      </c>
      <c r="I973" s="9">
        <f>MAX(original!I973,piwebapi_edit!I973,car_edit!I973)</f>
        <v>13988.8235348485</v>
      </c>
      <c r="J973" s="9">
        <f>MAX(original!J973,piwebapi_edit!J973,car_edit!J973)</f>
        <v>252.46739896148</v>
      </c>
      <c r="K973" s="17"/>
    </row>
    <row r="974" spans="1:11" x14ac:dyDescent="0.25">
      <c r="A974" s="3" t="s">
        <v>1967</v>
      </c>
      <c r="B974" s="4" t="s">
        <v>1968</v>
      </c>
      <c r="C974" s="5">
        <v>1558</v>
      </c>
      <c r="D974" s="6" t="s">
        <v>28</v>
      </c>
      <c r="E974" s="6" t="s">
        <v>17</v>
      </c>
      <c r="F974" s="7">
        <v>18264</v>
      </c>
      <c r="G974" s="8">
        <f t="shared" si="15"/>
        <v>18264</v>
      </c>
      <c r="H974" s="6" t="s">
        <v>13</v>
      </c>
      <c r="I974" s="9">
        <f>MAX(original!I974,piwebapi_edit!I974,car_edit!I974)</f>
        <v>4967.5007653898601</v>
      </c>
      <c r="J974" s="9">
        <f>MAX(original!J974,piwebapi_edit!J974,car_edit!J974)</f>
        <v>15.4080298987235</v>
      </c>
      <c r="K974" s="17"/>
    </row>
    <row r="975" spans="1:11" x14ac:dyDescent="0.25">
      <c r="A975" s="3" t="s">
        <v>1969</v>
      </c>
      <c r="B975" s="4" t="s">
        <v>1970</v>
      </c>
      <c r="C975" s="5">
        <v>10561</v>
      </c>
      <c r="D975" s="6" t="s">
        <v>34</v>
      </c>
      <c r="E975" s="6" t="s">
        <v>17</v>
      </c>
      <c r="F975" s="7">
        <v>37510</v>
      </c>
      <c r="G975" s="8">
        <f t="shared" si="15"/>
        <v>37510</v>
      </c>
      <c r="H975" s="6" t="s">
        <v>13</v>
      </c>
      <c r="I975" s="9">
        <f>MAX(original!I975,piwebapi_edit!I975,car_edit!I975)</f>
        <v>7281.3471681244</v>
      </c>
      <c r="J975" s="9">
        <f>MAX(original!J975,piwebapi_edit!J975,car_edit!J975)</f>
        <v>59.445534391212398</v>
      </c>
      <c r="K975" s="17"/>
    </row>
    <row r="976" spans="1:11" x14ac:dyDescent="0.25">
      <c r="A976" s="3" t="s">
        <v>1971</v>
      </c>
      <c r="B976" s="4" t="s">
        <v>1972</v>
      </c>
      <c r="C976" s="5">
        <v>10567</v>
      </c>
      <c r="D976" s="6" t="s">
        <v>31</v>
      </c>
      <c r="E976" s="6" t="s">
        <v>17</v>
      </c>
      <c r="F976" s="7">
        <v>37537</v>
      </c>
      <c r="G976" s="8">
        <f t="shared" si="15"/>
        <v>37537</v>
      </c>
      <c r="H976" s="6" t="s">
        <v>13</v>
      </c>
      <c r="I976" s="9">
        <f>MAX(original!I976,piwebapi_edit!I976,car_edit!I976)</f>
        <v>8866.9200954605094</v>
      </c>
      <c r="J976" s="9">
        <f>MAX(original!J976,piwebapi_edit!J976,car_edit!J976)</f>
        <v>26.215914243833701</v>
      </c>
      <c r="K976" s="17"/>
    </row>
    <row r="977" spans="1:11" ht="30" x14ac:dyDescent="0.25">
      <c r="A977" s="18" t="s">
        <v>1973</v>
      </c>
      <c r="B977" s="19" t="s">
        <v>1974</v>
      </c>
      <c r="C977" s="20">
        <v>1721</v>
      </c>
      <c r="D977" s="21" t="s">
        <v>16</v>
      </c>
      <c r="E977" s="21" t="s">
        <v>17</v>
      </c>
      <c r="F977" s="22">
        <v>29221</v>
      </c>
      <c r="G977" s="23">
        <f t="shared" si="15"/>
        <v>29221</v>
      </c>
      <c r="H977" s="21" t="s">
        <v>13</v>
      </c>
      <c r="I977" s="9">
        <f>MAX(original!I977,piwebapi_edit!I977,car_edit!I977)</f>
        <v>3059.2405571841</v>
      </c>
      <c r="J977" s="9">
        <f>MAX(original!J977,piwebapi_edit!J977,car_edit!J977)</f>
        <v>302.574394085515</v>
      </c>
      <c r="K977" s="25"/>
    </row>
    <row r="978" spans="1:11" x14ac:dyDescent="0.25">
      <c r="A978" s="3" t="s">
        <v>1975</v>
      </c>
      <c r="B978" s="4" t="s">
        <v>1976</v>
      </c>
      <c r="C978" s="5">
        <v>1433</v>
      </c>
      <c r="D978" s="6" t="s">
        <v>16</v>
      </c>
      <c r="E978" s="6" t="s">
        <v>17</v>
      </c>
      <c r="F978" s="7">
        <v>25569</v>
      </c>
      <c r="G978" s="8">
        <f t="shared" si="15"/>
        <v>25569</v>
      </c>
      <c r="H978" s="6" t="s">
        <v>13</v>
      </c>
      <c r="I978" s="9">
        <f>MAX(original!I978,piwebapi_edit!I978,car_edit!I978)</f>
        <v>18611.5321623296</v>
      </c>
      <c r="J978" s="9">
        <f>MAX(original!J978,piwebapi_edit!J978,car_edit!J978)</f>
        <v>165.508418993422</v>
      </c>
      <c r="K978" s="17"/>
    </row>
    <row r="979" spans="1:11" x14ac:dyDescent="0.25">
      <c r="A979" s="3" t="s">
        <v>1977</v>
      </c>
      <c r="B979" s="4" t="s">
        <v>1978</v>
      </c>
      <c r="C979" s="5">
        <v>1283</v>
      </c>
      <c r="D979" s="6" t="s">
        <v>34</v>
      </c>
      <c r="E979" s="6" t="s">
        <v>17</v>
      </c>
      <c r="F979" s="7">
        <v>25569</v>
      </c>
      <c r="G979" s="8">
        <f t="shared" si="15"/>
        <v>25569</v>
      </c>
      <c r="H979" s="6" t="s">
        <v>13</v>
      </c>
      <c r="I979" s="9">
        <f>MAX(original!I979,piwebapi_edit!I979,car_edit!I979)</f>
        <v>8279.9983637709811</v>
      </c>
      <c r="J979" s="9">
        <f>MAX(original!J979,piwebapi_edit!J979,car_edit!J979)</f>
        <v>93.206956088605807</v>
      </c>
      <c r="K979" s="17"/>
    </row>
    <row r="980" spans="1:11" ht="30" x14ac:dyDescent="0.25">
      <c r="A980" s="3" t="s">
        <v>1979</v>
      </c>
      <c r="B980" s="4" t="s">
        <v>1980</v>
      </c>
      <c r="C980" s="5">
        <v>37185</v>
      </c>
      <c r="D980" s="6" t="s">
        <v>11</v>
      </c>
      <c r="E980" s="6" t="s">
        <v>12</v>
      </c>
      <c r="F980" s="7">
        <v>35199</v>
      </c>
      <c r="G980" s="8">
        <f t="shared" si="15"/>
        <v>35199</v>
      </c>
      <c r="H980" s="6" t="s">
        <v>776</v>
      </c>
      <c r="I980" s="9">
        <f>MAX(original!I980,piwebapi_edit!I980,car_edit!I980)</f>
        <v>16853.306578656098</v>
      </c>
      <c r="J980" s="9">
        <f>MAX(original!J980,piwebapi_edit!J980,car_edit!J980)</f>
        <v>141.17093064941201</v>
      </c>
      <c r="K980" s="17"/>
    </row>
    <row r="981" spans="1:11" x14ac:dyDescent="0.25">
      <c r="A981" s="3" t="s">
        <v>1981</v>
      </c>
      <c r="B981" s="4" t="s">
        <v>1982</v>
      </c>
      <c r="C981" s="5">
        <v>1291</v>
      </c>
      <c r="D981" s="6" t="s">
        <v>28</v>
      </c>
      <c r="E981" s="6" t="s">
        <v>17</v>
      </c>
      <c r="F981" s="7">
        <v>18264</v>
      </c>
      <c r="G981" s="8">
        <f t="shared" si="15"/>
        <v>18264</v>
      </c>
      <c r="H981" s="6" t="s">
        <v>13</v>
      </c>
      <c r="I981" s="9">
        <f>MAX(original!I981,piwebapi_edit!I981,car_edit!I981)</f>
        <v>19686.127263581402</v>
      </c>
      <c r="J981" s="9">
        <f>MAX(original!J981,piwebapi_edit!J981,car_edit!J981)</f>
        <v>41.585185150177701</v>
      </c>
      <c r="K981" s="17"/>
    </row>
    <row r="982" spans="1:11" x14ac:dyDescent="0.25">
      <c r="A982" s="26" t="s">
        <v>1983</v>
      </c>
      <c r="B982" s="27" t="s">
        <v>1984</v>
      </c>
      <c r="C982" s="34">
        <v>1838</v>
      </c>
      <c r="D982" s="28" t="s">
        <v>16</v>
      </c>
      <c r="E982" s="28" t="s">
        <v>17</v>
      </c>
      <c r="F982" s="29">
        <v>29221</v>
      </c>
      <c r="G982" s="30">
        <f t="shared" si="15"/>
        <v>29221</v>
      </c>
      <c r="H982" s="28" t="s">
        <v>13</v>
      </c>
      <c r="I982" s="9">
        <f>MAX(original!I982,piwebapi_edit!I982,car_edit!I982)</f>
        <v>76118.426896831093</v>
      </c>
      <c r="J982" s="9">
        <f>MAX(original!J982,piwebapi_edit!J982,car_edit!J982)</f>
        <v>173.70033984333099</v>
      </c>
      <c r="K982" s="33"/>
    </row>
    <row r="983" spans="1:11" x14ac:dyDescent="0.25">
      <c r="A983" s="3" t="s">
        <v>1985</v>
      </c>
      <c r="B983" s="4" t="s">
        <v>1986</v>
      </c>
      <c r="C983" s="5">
        <v>1913</v>
      </c>
      <c r="D983" s="6" t="s">
        <v>34</v>
      </c>
      <c r="E983" s="6" t="s">
        <v>17</v>
      </c>
      <c r="F983" s="7">
        <v>33212</v>
      </c>
      <c r="G983" s="8">
        <f t="shared" si="15"/>
        <v>33212</v>
      </c>
      <c r="H983" s="6" t="s">
        <v>13</v>
      </c>
      <c r="I983" s="9">
        <f>MAX(original!I983,piwebapi_edit!I983,car_edit!I983)</f>
        <v>7912.1197068471392</v>
      </c>
      <c r="J983" s="9">
        <f>MAX(original!J983,piwebapi_edit!J983,car_edit!J983)</f>
        <v>89.110282114090595</v>
      </c>
      <c r="K983" s="17"/>
    </row>
    <row r="984" spans="1:11" ht="30" x14ac:dyDescent="0.25">
      <c r="A984" s="18" t="s">
        <v>1987</v>
      </c>
      <c r="B984" s="19" t="s">
        <v>1988</v>
      </c>
      <c r="C984" s="20">
        <v>17605</v>
      </c>
      <c r="D984" s="21" t="s">
        <v>16</v>
      </c>
      <c r="E984" s="21" t="s">
        <v>17</v>
      </c>
      <c r="F984" s="22">
        <v>32666</v>
      </c>
      <c r="G984" s="23">
        <f t="shared" si="15"/>
        <v>32666</v>
      </c>
      <c r="H984" s="21" t="s">
        <v>13</v>
      </c>
      <c r="I984" s="9">
        <f>MAX(original!I984,piwebapi_edit!I984,car_edit!I984)</f>
        <v>37866.872804321094</v>
      </c>
      <c r="J984" s="9">
        <f>MAX(original!J984,piwebapi_edit!J984,car_edit!J984)</f>
        <v>139.230038658539</v>
      </c>
      <c r="K984" s="25"/>
    </row>
    <row r="985" spans="1:11" x14ac:dyDescent="0.25">
      <c r="A985" s="3" t="s">
        <v>1989</v>
      </c>
      <c r="B985" s="4" t="s">
        <v>1990</v>
      </c>
      <c r="C985" s="5">
        <v>1100</v>
      </c>
      <c r="D985" s="6" t="s">
        <v>28</v>
      </c>
      <c r="E985" s="6" t="s">
        <v>17</v>
      </c>
      <c r="F985" s="7">
        <v>25569</v>
      </c>
      <c r="G985" s="8">
        <f t="shared" si="15"/>
        <v>25569</v>
      </c>
      <c r="H985" s="6" t="s">
        <v>13</v>
      </c>
      <c r="I985" s="9">
        <f>MAX(original!I985,piwebapi_edit!I985,car_edit!I985)</f>
        <v>5794.2737315289896</v>
      </c>
      <c r="J985" s="9">
        <f>MAX(original!J985,piwebapi_edit!J985,car_edit!J985)</f>
        <v>175.11299211544599</v>
      </c>
      <c r="K985" s="17"/>
    </row>
    <row r="986" spans="1:11" x14ac:dyDescent="0.25">
      <c r="A986" s="3" t="s">
        <v>1991</v>
      </c>
      <c r="B986" s="4" t="s">
        <v>1992</v>
      </c>
      <c r="C986" s="5">
        <v>36131</v>
      </c>
      <c r="D986" s="6" t="s">
        <v>11</v>
      </c>
      <c r="E986" s="6" t="s">
        <v>17</v>
      </c>
      <c r="F986" s="7">
        <v>32902</v>
      </c>
      <c r="G986" s="8">
        <f t="shared" si="15"/>
        <v>32902</v>
      </c>
      <c r="H986" s="6" t="s">
        <v>13</v>
      </c>
      <c r="I986" s="9">
        <f>MAX(original!I986,piwebapi_edit!I986,car_edit!I986)</f>
        <v>13114.5599042373</v>
      </c>
      <c r="J986" s="9">
        <f>MAX(original!J986,piwebapi_edit!J986,car_edit!J986)</f>
        <v>74.715684363441596</v>
      </c>
      <c r="K986" s="17"/>
    </row>
    <row r="987" spans="1:11" x14ac:dyDescent="0.25">
      <c r="A987" s="3" t="s">
        <v>1993</v>
      </c>
      <c r="B987" s="4" t="s">
        <v>1994</v>
      </c>
      <c r="C987" s="5">
        <v>1763</v>
      </c>
      <c r="D987" s="6" t="s">
        <v>31</v>
      </c>
      <c r="E987" s="6" t="s">
        <v>17</v>
      </c>
      <c r="F987" s="7">
        <v>24108</v>
      </c>
      <c r="G987" s="8">
        <f t="shared" si="15"/>
        <v>24108</v>
      </c>
      <c r="H987" s="6" t="s">
        <v>13</v>
      </c>
      <c r="I987" s="9">
        <f>MAX(original!I987,piwebapi_edit!I987,car_edit!I987)</f>
        <v>12119.800234632401</v>
      </c>
      <c r="J987" s="9">
        <f>MAX(original!J987,piwebapi_edit!J987,car_edit!J987)</f>
        <v>41.4659883525621</v>
      </c>
      <c r="K987" s="17"/>
    </row>
    <row r="988" spans="1:11" x14ac:dyDescent="0.25">
      <c r="A988" s="3" t="s">
        <v>1995</v>
      </c>
      <c r="B988" s="4" t="s">
        <v>1996</v>
      </c>
      <c r="C988" s="5">
        <v>1935</v>
      </c>
      <c r="D988" s="6" t="s">
        <v>34</v>
      </c>
      <c r="E988" s="6" t="s">
        <v>17</v>
      </c>
      <c r="F988" s="7">
        <v>29952</v>
      </c>
      <c r="G988" s="8">
        <f t="shared" si="15"/>
        <v>29952</v>
      </c>
      <c r="H988" s="6" t="s">
        <v>13</v>
      </c>
      <c r="I988" s="9">
        <f>MAX(original!I988,piwebapi_edit!I988,car_edit!I988)</f>
        <v>129789.387740085</v>
      </c>
      <c r="J988" s="9">
        <f>MAX(original!J988,piwebapi_edit!J988,car_edit!J988)</f>
        <v>373.121954832342</v>
      </c>
      <c r="K988" s="17"/>
    </row>
    <row r="989" spans="1:11" x14ac:dyDescent="0.25">
      <c r="A989" s="3" t="s">
        <v>1997</v>
      </c>
      <c r="B989" s="4" t="s">
        <v>1998</v>
      </c>
      <c r="C989" s="5">
        <v>15681</v>
      </c>
      <c r="D989" s="6" t="s">
        <v>28</v>
      </c>
      <c r="E989" s="6" t="s">
        <v>17</v>
      </c>
      <c r="F989" s="7">
        <v>41360</v>
      </c>
      <c r="G989" s="8">
        <f t="shared" si="15"/>
        <v>41360</v>
      </c>
      <c r="H989" s="6" t="s">
        <v>13</v>
      </c>
      <c r="I989" s="9">
        <f>MAX(original!I989,piwebapi_edit!I989,car_edit!I989)</f>
        <v>118590.798818311</v>
      </c>
      <c r="J989" s="9">
        <f>MAX(original!J989,piwebapi_edit!J989,car_edit!J989)</f>
        <v>308.91543139298699</v>
      </c>
      <c r="K989" s="17"/>
    </row>
    <row r="990" spans="1:11" x14ac:dyDescent="0.25">
      <c r="A990" s="3" t="s">
        <v>1999</v>
      </c>
      <c r="B990" s="4" t="s">
        <v>2000</v>
      </c>
      <c r="C990" s="5">
        <v>18242</v>
      </c>
      <c r="D990" s="6" t="s">
        <v>31</v>
      </c>
      <c r="E990" s="6" t="s">
        <v>17</v>
      </c>
      <c r="F990" s="7">
        <v>32783</v>
      </c>
      <c r="G990" s="8">
        <f t="shared" si="15"/>
        <v>32783</v>
      </c>
      <c r="H990" s="6" t="s">
        <v>13</v>
      </c>
      <c r="I990" s="9">
        <f>MAX(original!I990,piwebapi_edit!I990,car_edit!I990)</f>
        <v>43376.392737186201</v>
      </c>
      <c r="J990" s="9">
        <f>MAX(original!J990,piwebapi_edit!J990,car_edit!J990)</f>
        <v>241.71571585678601</v>
      </c>
      <c r="K990" s="17"/>
    </row>
    <row r="991" spans="1:11" x14ac:dyDescent="0.25">
      <c r="A991" s="3" t="s">
        <v>2001</v>
      </c>
      <c r="B991" s="4" t="s">
        <v>2002</v>
      </c>
      <c r="C991" s="5">
        <v>1246</v>
      </c>
      <c r="D991" s="6" t="s">
        <v>28</v>
      </c>
      <c r="E991" s="6" t="s">
        <v>17</v>
      </c>
      <c r="F991" s="7">
        <v>29221</v>
      </c>
      <c r="G991" s="8">
        <f t="shared" si="15"/>
        <v>29221</v>
      </c>
      <c r="H991" s="6" t="s">
        <v>13</v>
      </c>
      <c r="I991" s="9">
        <f>MAX(original!I991,piwebapi_edit!I991,car_edit!I991)</f>
        <v>49092.606120937198</v>
      </c>
      <c r="J991" s="9">
        <f>MAX(original!J991,piwebapi_edit!J991,car_edit!J991)</f>
        <v>343.97866156945503</v>
      </c>
      <c r="K991" s="17"/>
    </row>
    <row r="992" spans="1:11" x14ac:dyDescent="0.25">
      <c r="A992" s="3" t="s">
        <v>2003</v>
      </c>
      <c r="B992" s="4" t="s">
        <v>2004</v>
      </c>
      <c r="C992" s="5">
        <v>29521</v>
      </c>
      <c r="D992" s="6" t="s">
        <v>31</v>
      </c>
      <c r="E992" s="6" t="s">
        <v>17</v>
      </c>
      <c r="F992" s="7">
        <v>30459</v>
      </c>
      <c r="G992" s="8">
        <f t="shared" si="15"/>
        <v>30459</v>
      </c>
      <c r="H992" s="6" t="s">
        <v>13</v>
      </c>
      <c r="I992" s="9">
        <f>MAX(original!I992,piwebapi_edit!I992,car_edit!I992)</f>
        <v>6398.5887325371696</v>
      </c>
      <c r="J992" s="9">
        <f>MAX(original!J992,piwebapi_edit!J992,car_edit!J992)</f>
        <v>164.223423484639</v>
      </c>
      <c r="K992" s="17"/>
    </row>
    <row r="993" spans="1:11" x14ac:dyDescent="0.25">
      <c r="A993" s="3" t="s">
        <v>2005</v>
      </c>
      <c r="B993" s="4" t="s">
        <v>2006</v>
      </c>
      <c r="C993" s="5">
        <v>48097</v>
      </c>
      <c r="D993" s="6" t="s">
        <v>28</v>
      </c>
      <c r="E993" s="6" t="s">
        <v>17</v>
      </c>
      <c r="F993" s="7">
        <v>37895</v>
      </c>
      <c r="G993" s="8">
        <f t="shared" si="15"/>
        <v>37895</v>
      </c>
      <c r="H993" s="6" t="s">
        <v>13</v>
      </c>
      <c r="I993" s="9">
        <f>MAX(original!I993,piwebapi_edit!I993,car_edit!I993)</f>
        <v>14898.836242285701</v>
      </c>
      <c r="J993" s="9">
        <f>MAX(original!J993,piwebapi_edit!J993,car_edit!J993)</f>
        <v>208.906573442781</v>
      </c>
      <c r="K993" s="17"/>
    </row>
    <row r="994" spans="1:11" x14ac:dyDescent="0.25">
      <c r="A994" s="3" t="s">
        <v>2007</v>
      </c>
      <c r="B994" s="4" t="s">
        <v>2008</v>
      </c>
      <c r="C994" s="5">
        <v>72109</v>
      </c>
      <c r="D994" s="6" t="s">
        <v>11</v>
      </c>
      <c r="E994" s="6" t="s">
        <v>17</v>
      </c>
      <c r="F994" s="7">
        <v>39169</v>
      </c>
      <c r="G994" s="8">
        <f t="shared" si="15"/>
        <v>39169</v>
      </c>
      <c r="H994" s="6" t="s">
        <v>13</v>
      </c>
      <c r="I994" s="9">
        <f>MAX(original!I994,piwebapi_edit!I994,car_edit!I994)</f>
        <v>103848.92068357801</v>
      </c>
      <c r="J994" s="9">
        <f>MAX(original!J994,piwebapi_edit!J994,car_edit!J994)</f>
        <v>484.34282861736301</v>
      </c>
      <c r="K994" s="17"/>
    </row>
    <row r="995" spans="1:11" x14ac:dyDescent="0.25">
      <c r="A995" s="3" t="s">
        <v>2009</v>
      </c>
      <c r="B995" s="4" t="s">
        <v>2010</v>
      </c>
      <c r="C995" s="14">
        <v>11841</v>
      </c>
      <c r="D995" s="6" t="s">
        <v>16</v>
      </c>
      <c r="E995" s="6" t="s">
        <v>17</v>
      </c>
      <c r="F995" s="7">
        <v>36892</v>
      </c>
      <c r="G995" s="8">
        <f t="shared" si="15"/>
        <v>36892</v>
      </c>
      <c r="H995" s="6" t="s">
        <v>13</v>
      </c>
      <c r="I995" s="9">
        <f>MAX(original!I995,piwebapi_edit!I995,car_edit!I995)</f>
        <v>83024.728301390292</v>
      </c>
      <c r="J995" s="9">
        <f>MAX(original!J995,piwebapi_edit!J995,car_edit!J995)</f>
        <v>222.01269509344601</v>
      </c>
      <c r="K995" s="17"/>
    </row>
    <row r="996" spans="1:11" ht="30" x14ac:dyDescent="0.25">
      <c r="A996" s="18" t="s">
        <v>2011</v>
      </c>
      <c r="B996" s="19" t="s">
        <v>2012</v>
      </c>
      <c r="C996" s="20">
        <v>1104</v>
      </c>
      <c r="D996" s="21" t="s">
        <v>28</v>
      </c>
      <c r="E996" s="21" t="s">
        <v>17</v>
      </c>
      <c r="F996" s="22">
        <v>29952</v>
      </c>
      <c r="G996" s="23">
        <f t="shared" si="15"/>
        <v>29952</v>
      </c>
      <c r="H996" s="21" t="s">
        <v>13</v>
      </c>
      <c r="I996" s="9">
        <f>MAX(original!I996,piwebapi_edit!I996,car_edit!I996)</f>
        <v>3294.5004313594</v>
      </c>
      <c r="J996" s="9">
        <f>MAX(original!J996,piwebapi_edit!J996,car_edit!J996)</f>
        <v>165.75637104664</v>
      </c>
      <c r="K996" s="25"/>
    </row>
    <row r="997" spans="1:11" x14ac:dyDescent="0.25">
      <c r="A997" s="3" t="s">
        <v>2013</v>
      </c>
      <c r="B997" s="4" t="s">
        <v>2014</v>
      </c>
      <c r="C997" s="5">
        <v>1563</v>
      </c>
      <c r="D997" s="6" t="s">
        <v>28</v>
      </c>
      <c r="E997" s="6" t="s">
        <v>17</v>
      </c>
      <c r="F997" s="7">
        <v>32143</v>
      </c>
      <c r="G997" s="8">
        <f t="shared" si="15"/>
        <v>32143</v>
      </c>
      <c r="H997" s="6" t="s">
        <v>13</v>
      </c>
      <c r="I997" s="9">
        <f>MAX(original!I997,piwebapi_edit!I997,car_edit!I997)</f>
        <v>33638.628124804098</v>
      </c>
      <c r="J997" s="9">
        <f>MAX(original!J997,piwebapi_edit!J997,car_edit!J997)</f>
        <v>317.57599059170201</v>
      </c>
      <c r="K997" s="11"/>
    </row>
    <row r="998" spans="1:11" x14ac:dyDescent="0.25">
      <c r="A998" s="3" t="s">
        <v>2015</v>
      </c>
      <c r="B998" s="4" t="s">
        <v>2016</v>
      </c>
      <c r="C998" s="5">
        <v>1115</v>
      </c>
      <c r="D998" s="6" t="s">
        <v>28</v>
      </c>
      <c r="E998" s="6" t="s">
        <v>17</v>
      </c>
      <c r="F998" s="7">
        <v>34700</v>
      </c>
      <c r="G998" s="8">
        <f t="shared" si="15"/>
        <v>34700</v>
      </c>
      <c r="H998" s="6" t="s">
        <v>13</v>
      </c>
      <c r="I998" s="9">
        <f>MAX(original!I998,piwebapi_edit!I998,car_edit!I998)</f>
        <v>14838.7583064764</v>
      </c>
      <c r="J998" s="9">
        <f>MAX(original!J998,piwebapi_edit!J998,car_edit!J998)</f>
        <v>90.691081824581303</v>
      </c>
      <c r="K998" s="17"/>
    </row>
    <row r="999" spans="1:11" x14ac:dyDescent="0.25">
      <c r="A999" s="3" t="s">
        <v>2017</v>
      </c>
      <c r="B999" s="4" t="s">
        <v>2018</v>
      </c>
      <c r="C999" s="5">
        <v>45201</v>
      </c>
      <c r="D999" s="6" t="s">
        <v>31</v>
      </c>
      <c r="E999" s="6" t="s">
        <v>17</v>
      </c>
      <c r="F999" s="7">
        <v>33490</v>
      </c>
      <c r="G999" s="8">
        <f t="shared" si="15"/>
        <v>33490</v>
      </c>
      <c r="H999" s="6" t="s">
        <v>13</v>
      </c>
      <c r="I999" s="9">
        <f>MAX(original!I999,piwebapi_edit!I999,car_edit!I999)</f>
        <v>8081.0917451535006</v>
      </c>
      <c r="J999" s="9">
        <f>MAX(original!J999,piwebapi_edit!J999,car_edit!J999)</f>
        <v>74.578226636312195</v>
      </c>
      <c r="K999" s="17"/>
    </row>
    <row r="1000" spans="1:11" x14ac:dyDescent="0.25">
      <c r="A1000" s="3" t="s">
        <v>2019</v>
      </c>
      <c r="B1000" s="4" t="s">
        <v>2020</v>
      </c>
      <c r="C1000" s="5">
        <v>44241</v>
      </c>
      <c r="D1000" s="6" t="s">
        <v>31</v>
      </c>
      <c r="E1000" s="6" t="s">
        <v>17</v>
      </c>
      <c r="F1000" s="7">
        <v>33490</v>
      </c>
      <c r="G1000" s="8">
        <f t="shared" si="15"/>
        <v>33490</v>
      </c>
      <c r="H1000" s="6" t="s">
        <v>13</v>
      </c>
      <c r="I1000" s="9">
        <f>MAX(original!I1000,piwebapi_edit!I1000,car_edit!I1000)</f>
        <v>39287.882370990999</v>
      </c>
      <c r="J1000" s="9">
        <f>MAX(original!J1000,piwebapi_edit!J1000,car_edit!J1000)</f>
        <v>157.02392919848299</v>
      </c>
      <c r="K1000" s="17"/>
    </row>
    <row r="1001" spans="1:11" x14ac:dyDescent="0.25">
      <c r="A1001" s="3" t="s">
        <v>2021</v>
      </c>
      <c r="B1001" s="4" t="s">
        <v>2022</v>
      </c>
      <c r="C1001" s="5">
        <v>44881</v>
      </c>
      <c r="D1001" s="6" t="s">
        <v>31</v>
      </c>
      <c r="E1001" s="6" t="s">
        <v>17</v>
      </c>
      <c r="F1001" s="7">
        <v>33490</v>
      </c>
      <c r="G1001" s="8">
        <f t="shared" si="15"/>
        <v>33490</v>
      </c>
      <c r="H1001" s="6" t="s">
        <v>13</v>
      </c>
      <c r="I1001" s="9">
        <f>MAX(original!I1001,piwebapi_edit!I1001,car_edit!I1001)</f>
        <v>26811.174454415097</v>
      </c>
      <c r="J1001" s="9">
        <f>MAX(original!J1001,piwebapi_edit!J1001,car_edit!J1001)</f>
        <v>131.89018717969299</v>
      </c>
      <c r="K1001" s="17"/>
    </row>
    <row r="1002" spans="1:11" x14ac:dyDescent="0.25">
      <c r="A1002" s="3" t="s">
        <v>2023</v>
      </c>
      <c r="B1002" s="4" t="s">
        <v>2024</v>
      </c>
      <c r="C1002" s="5">
        <v>2064</v>
      </c>
      <c r="D1002" s="6" t="s">
        <v>34</v>
      </c>
      <c r="E1002" s="6" t="s">
        <v>17</v>
      </c>
      <c r="F1002" s="7">
        <v>29221</v>
      </c>
      <c r="G1002" s="8">
        <f t="shared" si="15"/>
        <v>29221</v>
      </c>
      <c r="H1002" s="6" t="s">
        <v>13</v>
      </c>
      <c r="I1002" s="9">
        <f>MAX(original!I1002,piwebapi_edit!I1002,car_edit!I1002)</f>
        <v>12083.209811215</v>
      </c>
      <c r="J1002" s="9">
        <f>MAX(original!J1002,piwebapi_edit!J1002,car_edit!J1002)</f>
        <v>42.230644021578598</v>
      </c>
      <c r="K1002" s="17"/>
    </row>
    <row r="1003" spans="1:11" x14ac:dyDescent="0.25">
      <c r="A1003" s="3" t="s">
        <v>2025</v>
      </c>
      <c r="B1003" s="4" t="s">
        <v>2026</v>
      </c>
      <c r="C1003" s="5">
        <v>1774</v>
      </c>
      <c r="D1003" s="6" t="s">
        <v>34</v>
      </c>
      <c r="E1003" s="6" t="s">
        <v>17</v>
      </c>
      <c r="F1003" s="7">
        <v>36579</v>
      </c>
      <c r="G1003" s="8">
        <f t="shared" si="15"/>
        <v>36579</v>
      </c>
      <c r="H1003" s="6" t="s">
        <v>13</v>
      </c>
      <c r="I1003" s="9">
        <f>MAX(original!I1003,piwebapi_edit!I1003,car_edit!I1003)</f>
        <v>745.28279521775903</v>
      </c>
      <c r="J1003" s="9">
        <f>MAX(original!J1003,piwebapi_edit!J1003,car_edit!J1003)</f>
        <v>212.20695674643099</v>
      </c>
      <c r="K1003" s="17"/>
    </row>
    <row r="1004" spans="1:11" x14ac:dyDescent="0.25">
      <c r="A1004" s="3" t="s">
        <v>2027</v>
      </c>
      <c r="B1004" s="4" t="s">
        <v>2028</v>
      </c>
      <c r="C1004" s="5">
        <v>54657</v>
      </c>
      <c r="D1004" s="6" t="s">
        <v>28</v>
      </c>
      <c r="E1004" s="6" t="s">
        <v>17</v>
      </c>
      <c r="F1004" s="7">
        <v>38355</v>
      </c>
      <c r="G1004" s="8">
        <f t="shared" si="15"/>
        <v>38355</v>
      </c>
      <c r="H1004" s="6" t="s">
        <v>13</v>
      </c>
      <c r="I1004" s="9">
        <f>MAX(original!I1004,piwebapi_edit!I1004,car_edit!I1004)</f>
        <v>6632.4696598371193</v>
      </c>
      <c r="J1004" s="9">
        <f>MAX(original!J1004,piwebapi_edit!J1004,car_edit!J1004)</f>
        <v>118.87775280231099</v>
      </c>
      <c r="K1004" s="17"/>
    </row>
    <row r="1005" spans="1:11" x14ac:dyDescent="0.25">
      <c r="A1005" s="3" t="s">
        <v>2029</v>
      </c>
      <c r="B1005" s="4" t="s">
        <v>2030</v>
      </c>
      <c r="C1005" s="5">
        <v>72131</v>
      </c>
      <c r="D1005" s="6" t="s">
        <v>34</v>
      </c>
      <c r="E1005" s="6" t="s">
        <v>17</v>
      </c>
      <c r="F1005" s="7">
        <v>39017</v>
      </c>
      <c r="G1005" s="8">
        <f t="shared" si="15"/>
        <v>39017</v>
      </c>
      <c r="H1005" s="6" t="s">
        <v>13</v>
      </c>
      <c r="I1005" s="9">
        <f>MAX(original!I1005,piwebapi_edit!I1005,car_edit!I1005)</f>
        <v>5675.0390163396296</v>
      </c>
      <c r="J1005" s="9">
        <f>MAX(original!J1005,piwebapi_edit!J1005,car_edit!J1005)</f>
        <v>136.248527209408</v>
      </c>
      <c r="K1005" s="17"/>
    </row>
    <row r="1006" spans="1:11" x14ac:dyDescent="0.25">
      <c r="A1006" s="3" t="s">
        <v>2031</v>
      </c>
      <c r="B1006" s="4" t="s">
        <v>2032</v>
      </c>
      <c r="C1006" s="5">
        <v>10564</v>
      </c>
      <c r="D1006" s="6" t="s">
        <v>16</v>
      </c>
      <c r="E1006" s="6" t="s">
        <v>17</v>
      </c>
      <c r="F1006" s="7">
        <v>37312</v>
      </c>
      <c r="G1006" s="8">
        <f t="shared" si="15"/>
        <v>37312</v>
      </c>
      <c r="H1006" s="6" t="s">
        <v>13</v>
      </c>
      <c r="I1006" s="9">
        <f>MAX(original!I1006,piwebapi_edit!I1006,car_edit!I1006)</f>
        <v>20120.974589374899</v>
      </c>
      <c r="J1006" s="9">
        <f>MAX(original!J1006,piwebapi_edit!J1006,car_edit!J1006)</f>
        <v>128.48449486615999</v>
      </c>
      <c r="K1006" s="17"/>
    </row>
    <row r="1007" spans="1:11" x14ac:dyDescent="0.25">
      <c r="A1007" s="3" t="s">
        <v>2033</v>
      </c>
      <c r="B1007" s="4" t="s">
        <v>2034</v>
      </c>
      <c r="C1007" s="5">
        <v>1728</v>
      </c>
      <c r="D1007" s="6" t="s">
        <v>16</v>
      </c>
      <c r="E1007" s="6" t="s">
        <v>17</v>
      </c>
      <c r="F1007" s="7">
        <v>29221</v>
      </c>
      <c r="G1007" s="8">
        <f t="shared" si="15"/>
        <v>29221</v>
      </c>
      <c r="H1007" s="6" t="s">
        <v>13</v>
      </c>
      <c r="I1007" s="9">
        <f>MAX(original!I1007,piwebapi_edit!I1007,car_edit!I1007)</f>
        <v>47220.037800640806</v>
      </c>
      <c r="J1007" s="9">
        <f>MAX(original!J1007,piwebapi_edit!J1007,car_edit!J1007)</f>
        <v>208.95035791510799</v>
      </c>
      <c r="K1007" s="17"/>
    </row>
    <row r="1008" spans="1:11" x14ac:dyDescent="0.25">
      <c r="A1008" s="3" t="s">
        <v>2035</v>
      </c>
      <c r="B1008" s="4" t="s">
        <v>2036</v>
      </c>
      <c r="C1008" s="5">
        <v>1051</v>
      </c>
      <c r="D1008" s="6" t="s">
        <v>16</v>
      </c>
      <c r="E1008" s="6" t="s">
        <v>17</v>
      </c>
      <c r="F1008" s="7">
        <v>36355</v>
      </c>
      <c r="G1008" s="8">
        <f t="shared" si="15"/>
        <v>36355</v>
      </c>
      <c r="H1008" s="6" t="s">
        <v>13</v>
      </c>
      <c r="I1008" s="9">
        <f>MAX(original!I1008,piwebapi_edit!I1008,car_edit!I1008)</f>
        <v>18715.617287898</v>
      </c>
      <c r="J1008" s="9">
        <f>MAX(original!J1008,piwebapi_edit!J1008,car_edit!J1008)</f>
        <v>366.84804299367801</v>
      </c>
      <c r="K1008" s="17"/>
    </row>
    <row r="1009" spans="1:11" x14ac:dyDescent="0.25">
      <c r="A1009" s="3" t="s">
        <v>2037</v>
      </c>
      <c r="B1009" s="4" t="s">
        <v>2038</v>
      </c>
      <c r="C1009" s="5">
        <v>52949</v>
      </c>
      <c r="D1009" s="6" t="s">
        <v>34</v>
      </c>
      <c r="E1009" s="6" t="s">
        <v>17</v>
      </c>
      <c r="F1009" s="7">
        <v>39017</v>
      </c>
      <c r="G1009" s="8">
        <f t="shared" si="15"/>
        <v>39017</v>
      </c>
      <c r="H1009" s="6" t="s">
        <v>13</v>
      </c>
      <c r="I1009" s="9">
        <f>MAX(original!I1009,piwebapi_edit!I1009,car_edit!I1009)</f>
        <v>5644.1080898403907</v>
      </c>
      <c r="J1009" s="9">
        <f>MAX(original!J1009,piwebapi_edit!J1009,car_edit!J1009)</f>
        <v>67.501171618431002</v>
      </c>
      <c r="K1009" s="17"/>
    </row>
    <row r="1010" spans="1:11" x14ac:dyDescent="0.25">
      <c r="A1010" s="3" t="s">
        <v>2039</v>
      </c>
      <c r="B1010" s="4" t="s">
        <v>2040</v>
      </c>
      <c r="C1010" s="5">
        <v>17927</v>
      </c>
      <c r="D1010" s="6" t="s">
        <v>16</v>
      </c>
      <c r="E1010" s="6" t="s">
        <v>17</v>
      </c>
      <c r="F1010" s="7">
        <v>21178</v>
      </c>
      <c r="G1010" s="8">
        <f t="shared" si="15"/>
        <v>21178</v>
      </c>
      <c r="H1010" s="6" t="s">
        <v>13</v>
      </c>
      <c r="I1010" s="9">
        <f>MAX(original!I1010,piwebapi_edit!I1010,car_edit!I1010)</f>
        <v>18900.209446508699</v>
      </c>
      <c r="J1010" s="9">
        <f>MAX(original!J1010,piwebapi_edit!J1010,car_edit!J1010)</f>
        <v>79.007897546280105</v>
      </c>
      <c r="K1010" s="17"/>
    </row>
    <row r="1011" spans="1:11" x14ac:dyDescent="0.25">
      <c r="A1011" s="3" t="s">
        <v>2041</v>
      </c>
      <c r="B1011" s="4" t="s">
        <v>2042</v>
      </c>
      <c r="C1011" s="5">
        <v>27569</v>
      </c>
      <c r="D1011" s="6" t="s">
        <v>11</v>
      </c>
      <c r="E1011" s="6" t="s">
        <v>12</v>
      </c>
      <c r="F1011" s="7">
        <v>36677</v>
      </c>
      <c r="G1011" s="8">
        <f t="shared" si="15"/>
        <v>36677</v>
      </c>
      <c r="H1011" s="6" t="s">
        <v>39</v>
      </c>
      <c r="I1011" s="9">
        <f>MAX(original!I1011,piwebapi_edit!I1011,car_edit!I1011)</f>
        <v>44910.412102226095</v>
      </c>
      <c r="J1011" s="9">
        <f>MAX(original!J1011,piwebapi_edit!J1011,car_edit!J1011)</f>
        <v>299.20427788934097</v>
      </c>
      <c r="K1011" s="17"/>
    </row>
    <row r="1012" spans="1:11" x14ac:dyDescent="0.25">
      <c r="A1012" s="3" t="s">
        <v>2043</v>
      </c>
      <c r="B1012" s="4" t="s">
        <v>2044</v>
      </c>
      <c r="C1012" s="5">
        <v>54664</v>
      </c>
      <c r="D1012" s="6" t="s">
        <v>11</v>
      </c>
      <c r="E1012" s="6" t="s">
        <v>12</v>
      </c>
      <c r="F1012" s="7">
        <v>38013</v>
      </c>
      <c r="G1012" s="8">
        <f t="shared" si="15"/>
        <v>38013</v>
      </c>
      <c r="H1012" s="6" t="s">
        <v>39</v>
      </c>
      <c r="I1012" s="9">
        <f>MAX(original!I1012,piwebapi_edit!I1012,car_edit!I1012)</f>
        <v>25454.877164865302</v>
      </c>
      <c r="J1012" s="9">
        <f>MAX(original!J1012,piwebapi_edit!J1012,car_edit!J1012)</f>
        <v>150.53598132916599</v>
      </c>
      <c r="K1012" s="17"/>
    </row>
    <row r="1013" spans="1:11" ht="30" x14ac:dyDescent="0.25">
      <c r="A1013" s="3" t="s">
        <v>2045</v>
      </c>
      <c r="B1013" s="4" t="s">
        <v>2046</v>
      </c>
      <c r="C1013" s="5">
        <v>54665</v>
      </c>
      <c r="D1013" s="6" t="s">
        <v>11</v>
      </c>
      <c r="E1013" s="6" t="s">
        <v>12</v>
      </c>
      <c r="F1013" s="7">
        <v>37426</v>
      </c>
      <c r="G1013" s="8">
        <f t="shared" si="15"/>
        <v>37426</v>
      </c>
      <c r="H1013" s="6" t="s">
        <v>776</v>
      </c>
      <c r="I1013" s="9">
        <f>MAX(original!I1013,piwebapi_edit!I1013,car_edit!I1013)</f>
        <v>10608.229715317499</v>
      </c>
      <c r="J1013" s="9">
        <f>MAX(original!J1013,piwebapi_edit!J1013,car_edit!J1013)</f>
        <v>244.52843558695801</v>
      </c>
      <c r="K1013" s="17"/>
    </row>
    <row r="1014" spans="1:11" x14ac:dyDescent="0.25">
      <c r="A1014" s="3" t="s">
        <v>2047</v>
      </c>
      <c r="B1014" s="4" t="s">
        <v>2048</v>
      </c>
      <c r="C1014" s="5">
        <v>1047</v>
      </c>
      <c r="D1014" s="6" t="s">
        <v>16</v>
      </c>
      <c r="E1014" s="6" t="s">
        <v>17</v>
      </c>
      <c r="F1014" s="7">
        <v>29221</v>
      </c>
      <c r="G1014" s="8">
        <f t="shared" si="15"/>
        <v>29221</v>
      </c>
      <c r="H1014" s="6" t="s">
        <v>13</v>
      </c>
      <c r="I1014" s="9">
        <f>MAX(original!I1014,piwebapi_edit!I1014,car_edit!I1014)</f>
        <v>7577.1474382701399</v>
      </c>
      <c r="J1014" s="9">
        <f>MAX(original!J1014,piwebapi_edit!J1014,car_edit!J1014)</f>
        <v>90.647011861042202</v>
      </c>
      <c r="K1014" s="17"/>
    </row>
    <row r="1015" spans="1:11" x14ac:dyDescent="0.25">
      <c r="A1015" s="3" t="s">
        <v>2049</v>
      </c>
      <c r="B1015" s="4" t="s">
        <v>2050</v>
      </c>
      <c r="C1015" s="14">
        <v>1424</v>
      </c>
      <c r="D1015" s="6" t="s">
        <v>16</v>
      </c>
      <c r="E1015" s="6" t="s">
        <v>17</v>
      </c>
      <c r="F1015" s="7">
        <v>29221</v>
      </c>
      <c r="G1015" s="8">
        <f t="shared" si="15"/>
        <v>29221</v>
      </c>
      <c r="H1015" s="6" t="s">
        <v>13</v>
      </c>
      <c r="I1015" s="9">
        <f>MAX(original!I1015,piwebapi_edit!I1015,car_edit!I1015)</f>
        <v>86911.472306181589</v>
      </c>
      <c r="J1015" s="9">
        <f>MAX(original!J1015,piwebapi_edit!J1015,car_edit!J1015)</f>
        <v>450.93619136507198</v>
      </c>
      <c r="K1015" s="17"/>
    </row>
    <row r="1016" spans="1:11" x14ac:dyDescent="0.25">
      <c r="A1016" s="3" t="s">
        <v>2051</v>
      </c>
      <c r="B1016" s="4" t="s">
        <v>2052</v>
      </c>
      <c r="C1016" s="14">
        <v>13122</v>
      </c>
      <c r="D1016" s="6" t="s">
        <v>11</v>
      </c>
      <c r="E1016" s="6" t="s">
        <v>17</v>
      </c>
      <c r="F1016" s="7">
        <v>38243</v>
      </c>
      <c r="G1016" s="8">
        <f t="shared" si="15"/>
        <v>38243</v>
      </c>
      <c r="H1016" s="6" t="s">
        <v>13</v>
      </c>
      <c r="I1016" s="9">
        <f>MAX(original!I1016,piwebapi_edit!I1016,car_edit!I1016)</f>
        <v>122004.33413054</v>
      </c>
      <c r="J1016" s="9">
        <f>MAX(original!J1016,piwebapi_edit!J1016,car_edit!J1016)</f>
        <v>792.23104287113097</v>
      </c>
      <c r="K1016" s="17"/>
    </row>
    <row r="1017" spans="1:11" x14ac:dyDescent="0.25">
      <c r="A1017" s="3" t="s">
        <v>2053</v>
      </c>
      <c r="B1017" s="4" t="s">
        <v>2054</v>
      </c>
      <c r="C1017" s="5">
        <v>25601</v>
      </c>
      <c r="D1017" s="6" t="s">
        <v>11</v>
      </c>
      <c r="E1017" s="6" t="s">
        <v>17</v>
      </c>
      <c r="F1017" s="7">
        <v>35004</v>
      </c>
      <c r="G1017" s="8">
        <f t="shared" si="15"/>
        <v>35004</v>
      </c>
      <c r="H1017" s="6" t="s">
        <v>13</v>
      </c>
      <c r="I1017" s="9">
        <f>MAX(original!I1017,piwebapi_edit!I1017,car_edit!I1017)</f>
        <v>26690.309694929299</v>
      </c>
      <c r="J1017" s="9">
        <f>MAX(original!J1017,piwebapi_edit!J1017,car_edit!J1017)</f>
        <v>91.435515539382195</v>
      </c>
      <c r="K1017" s="17"/>
    </row>
    <row r="1018" spans="1:11" x14ac:dyDescent="0.25">
      <c r="A1018" s="3" t="s">
        <v>2055</v>
      </c>
      <c r="B1018" s="4" t="s">
        <v>2056</v>
      </c>
      <c r="C1018" s="5">
        <v>1711</v>
      </c>
      <c r="D1018" s="6" t="s">
        <v>16</v>
      </c>
      <c r="E1018" s="6" t="s">
        <v>17</v>
      </c>
      <c r="F1018" s="7">
        <v>29221</v>
      </c>
      <c r="G1018" s="8">
        <f t="shared" si="15"/>
        <v>29221</v>
      </c>
      <c r="H1018" s="6" t="s">
        <v>13</v>
      </c>
      <c r="I1018" s="9">
        <f>MAX(original!I1018,piwebapi_edit!I1018,car_edit!I1018)</f>
        <v>65709.0431557462</v>
      </c>
      <c r="J1018" s="9">
        <f>MAX(original!J1018,piwebapi_edit!J1018,car_edit!J1018)</f>
        <v>459.67695456165302</v>
      </c>
      <c r="K1018" s="17"/>
    </row>
    <row r="1019" spans="1:11" x14ac:dyDescent="0.25">
      <c r="A1019" s="3" t="s">
        <v>2057</v>
      </c>
      <c r="B1019" s="4" t="s">
        <v>2058</v>
      </c>
      <c r="C1019" s="14">
        <v>19213</v>
      </c>
      <c r="D1019" s="6" t="s">
        <v>16</v>
      </c>
      <c r="E1019" s="6" t="s">
        <v>17</v>
      </c>
      <c r="F1019" s="7">
        <v>33162</v>
      </c>
      <c r="G1019" s="8">
        <f t="shared" si="15"/>
        <v>33162</v>
      </c>
      <c r="H1019" s="6" t="s">
        <v>13</v>
      </c>
      <c r="I1019" s="9">
        <f>MAX(original!I1019,piwebapi_edit!I1019,car_edit!I1019)</f>
        <v>39080.481379107201</v>
      </c>
      <c r="J1019" s="9">
        <f>MAX(original!J1019,piwebapi_edit!J1019,car_edit!J1019)</f>
        <v>109.287830470035</v>
      </c>
      <c r="K1019" s="17"/>
    </row>
    <row r="1020" spans="1:11" x14ac:dyDescent="0.25">
      <c r="A1020" s="3" t="s">
        <v>2059</v>
      </c>
      <c r="B1020" s="4" t="s">
        <v>2060</v>
      </c>
      <c r="C1020" s="5">
        <v>2013</v>
      </c>
      <c r="D1020" s="6" t="s">
        <v>16</v>
      </c>
      <c r="E1020" s="6" t="s">
        <v>17</v>
      </c>
      <c r="F1020" s="7">
        <v>30317</v>
      </c>
      <c r="G1020" s="8">
        <f t="shared" si="15"/>
        <v>30317</v>
      </c>
      <c r="H1020" s="6" t="s">
        <v>13</v>
      </c>
      <c r="I1020" s="9">
        <f>MAX(original!I1020,piwebapi_edit!I1020,car_edit!I1020)</f>
        <v>21190.5812166625</v>
      </c>
      <c r="J1020" s="9">
        <f>MAX(original!J1020,piwebapi_edit!J1020,car_edit!J1020)</f>
        <v>321.80329329011801</v>
      </c>
      <c r="K1020" s="17"/>
    </row>
    <row r="1021" spans="1:11" x14ac:dyDescent="0.25">
      <c r="A1021" s="3" t="s">
        <v>2061</v>
      </c>
      <c r="B1021" s="4" t="s">
        <v>2062</v>
      </c>
      <c r="C1021" s="5">
        <v>1717</v>
      </c>
      <c r="D1021" s="6" t="s">
        <v>16</v>
      </c>
      <c r="E1021" s="6" t="s">
        <v>17</v>
      </c>
      <c r="F1021" s="7">
        <v>31734</v>
      </c>
      <c r="G1021" s="8">
        <f t="shared" si="15"/>
        <v>31734</v>
      </c>
      <c r="H1021" s="6" t="s">
        <v>13</v>
      </c>
      <c r="I1021" s="9">
        <f>MAX(original!I1021,piwebapi_edit!I1021,car_edit!I1021)</f>
        <v>1037962.8600000001</v>
      </c>
      <c r="J1021" s="9">
        <f>MAX(original!J1021,piwebapi_edit!J1021,car_edit!J1021)</f>
        <v>3150</v>
      </c>
      <c r="K1021" s="17"/>
    </row>
    <row r="1022" spans="1:11" x14ac:dyDescent="0.25">
      <c r="A1022" s="3" t="s">
        <v>2063</v>
      </c>
      <c r="B1022" s="4" t="s">
        <v>2064</v>
      </c>
      <c r="C1022" s="14">
        <v>54689</v>
      </c>
      <c r="D1022" s="6" t="s">
        <v>16</v>
      </c>
      <c r="E1022" s="6" t="s">
        <v>17</v>
      </c>
      <c r="F1022" s="7">
        <v>29221</v>
      </c>
      <c r="G1022" s="8">
        <f t="shared" si="15"/>
        <v>29221</v>
      </c>
      <c r="H1022" s="6" t="s">
        <v>13</v>
      </c>
      <c r="I1022" s="9">
        <f>MAX(original!I1022,piwebapi_edit!I1022,car_edit!I1022)</f>
        <v>3763.9975704580497</v>
      </c>
      <c r="J1022" s="9">
        <f>MAX(original!J1022,piwebapi_edit!J1022,car_edit!J1022)</f>
        <v>199.031840173327</v>
      </c>
      <c r="K1022" s="17"/>
    </row>
    <row r="1023" spans="1:11" x14ac:dyDescent="0.25">
      <c r="A1023" s="3" t="s">
        <v>2065</v>
      </c>
      <c r="B1023" s="4" t="s">
        <v>2066</v>
      </c>
      <c r="C1023" s="5">
        <v>17923</v>
      </c>
      <c r="D1023" s="6" t="s">
        <v>16</v>
      </c>
      <c r="E1023" s="6" t="s">
        <v>17</v>
      </c>
      <c r="F1023" s="7">
        <v>30243</v>
      </c>
      <c r="G1023" s="8">
        <f t="shared" si="15"/>
        <v>30243</v>
      </c>
      <c r="H1023" s="6" t="s">
        <v>13</v>
      </c>
      <c r="I1023" s="9">
        <f>MAX(original!I1023,piwebapi_edit!I1023,car_edit!I1023)</f>
        <v>36531.126311025997</v>
      </c>
      <c r="J1023" s="9">
        <f>MAX(original!J1023,piwebapi_edit!J1023,car_edit!J1023)</f>
        <v>213.101128740447</v>
      </c>
      <c r="K1023" s="17"/>
    </row>
    <row r="1024" spans="1:11" x14ac:dyDescent="0.25">
      <c r="A1024" s="3" t="s">
        <v>2067</v>
      </c>
      <c r="B1024" s="4" t="s">
        <v>2068</v>
      </c>
      <c r="C1024" s="5">
        <v>18243</v>
      </c>
      <c r="D1024" s="6" t="s">
        <v>16</v>
      </c>
      <c r="E1024" s="6" t="s">
        <v>17</v>
      </c>
      <c r="F1024" s="7">
        <v>30706</v>
      </c>
      <c r="G1024" s="8">
        <f t="shared" si="15"/>
        <v>30706</v>
      </c>
      <c r="H1024" s="6" t="s">
        <v>13</v>
      </c>
      <c r="I1024" s="9">
        <f>MAX(original!I1024,piwebapi_edit!I1024,car_edit!I1024)</f>
        <v>11067.4957877333</v>
      </c>
      <c r="J1024" s="9">
        <f>MAX(original!J1024,piwebapi_edit!J1024,car_edit!J1024)</f>
        <v>254.44882386856801</v>
      </c>
      <c r="K1024" s="17"/>
    </row>
    <row r="1025" spans="1:11" x14ac:dyDescent="0.25">
      <c r="A1025" s="3" t="s">
        <v>2069</v>
      </c>
      <c r="B1025" s="4" t="s">
        <v>2070</v>
      </c>
      <c r="C1025" s="14">
        <v>19212</v>
      </c>
      <c r="D1025" s="6" t="s">
        <v>16</v>
      </c>
      <c r="E1025" s="6" t="s">
        <v>17</v>
      </c>
      <c r="F1025" s="7">
        <v>33108</v>
      </c>
      <c r="G1025" s="8">
        <f t="shared" si="15"/>
        <v>33108</v>
      </c>
      <c r="H1025" s="6" t="s">
        <v>13</v>
      </c>
      <c r="I1025" s="9">
        <f>MAX(original!I1025,piwebapi_edit!I1025,car_edit!I1025)</f>
        <v>87977.5304190108</v>
      </c>
      <c r="J1025" s="9">
        <f>MAX(original!J1025,piwebapi_edit!J1025,car_edit!J1025)</f>
        <v>419.25330147010197</v>
      </c>
      <c r="K1025" s="17"/>
    </row>
    <row r="1026" spans="1:11" x14ac:dyDescent="0.25">
      <c r="A1026" s="3" t="s">
        <v>2071</v>
      </c>
      <c r="B1026" s="4" t="s">
        <v>2072</v>
      </c>
      <c r="C1026" s="14">
        <v>1322</v>
      </c>
      <c r="D1026" s="6" t="s">
        <v>16</v>
      </c>
      <c r="E1026" s="6" t="s">
        <v>17</v>
      </c>
      <c r="F1026" s="7">
        <v>29221</v>
      </c>
      <c r="G1026" s="8">
        <f t="shared" ref="G1026:G1089" si="16">F1026</f>
        <v>29221</v>
      </c>
      <c r="H1026" s="6" t="s">
        <v>13</v>
      </c>
      <c r="I1026" s="9">
        <f>MAX(original!I1026,piwebapi_edit!I1026,car_edit!I1026)</f>
        <v>320536.73</v>
      </c>
      <c r="J1026" s="9">
        <f>MAX(original!J1026,piwebapi_edit!J1026,car_edit!J1026)</f>
        <v>900</v>
      </c>
      <c r="K1026" s="17"/>
    </row>
    <row r="1027" spans="1:11" x14ac:dyDescent="0.25">
      <c r="A1027" s="3" t="s">
        <v>2073</v>
      </c>
      <c r="B1027" s="4" t="s">
        <v>2074</v>
      </c>
      <c r="C1027" s="5">
        <v>1519</v>
      </c>
      <c r="D1027" s="6" t="s">
        <v>11</v>
      </c>
      <c r="E1027" s="6" t="s">
        <v>17</v>
      </c>
      <c r="F1027" s="7">
        <v>36600</v>
      </c>
      <c r="G1027" s="8">
        <f t="shared" si="16"/>
        <v>36600</v>
      </c>
      <c r="H1027" s="6" t="s">
        <v>13</v>
      </c>
      <c r="I1027" s="9">
        <f>MAX(original!I1027,piwebapi_edit!I1027,car_edit!I1027)</f>
        <v>67483.606936196913</v>
      </c>
      <c r="J1027" s="9">
        <f>MAX(original!J1027,piwebapi_edit!J1027,car_edit!J1027)</f>
        <v>365.587458178416</v>
      </c>
      <c r="K1027" s="17"/>
    </row>
    <row r="1028" spans="1:11" x14ac:dyDescent="0.25">
      <c r="A1028" s="3" t="s">
        <v>2075</v>
      </c>
      <c r="B1028" s="4" t="s">
        <v>2076</v>
      </c>
      <c r="C1028" s="5">
        <v>52905</v>
      </c>
      <c r="D1028" s="6" t="s">
        <v>34</v>
      </c>
      <c r="E1028" s="6" t="s">
        <v>17</v>
      </c>
      <c r="F1028" s="7">
        <v>39209</v>
      </c>
      <c r="G1028" s="8">
        <f t="shared" si="16"/>
        <v>39209</v>
      </c>
      <c r="H1028" s="6" t="s">
        <v>13</v>
      </c>
      <c r="I1028" s="9">
        <f>MAX(original!I1028,piwebapi_edit!I1028,car_edit!I1028)</f>
        <v>14934.390141014501</v>
      </c>
      <c r="J1028" s="9">
        <f>MAX(original!J1028,piwebapi_edit!J1028,car_edit!J1028)</f>
        <v>161.101279942567</v>
      </c>
      <c r="K1028" s="17"/>
    </row>
    <row r="1029" spans="1:11" x14ac:dyDescent="0.25">
      <c r="A1029" s="26" t="s">
        <v>2077</v>
      </c>
      <c r="B1029" s="27" t="s">
        <v>2078</v>
      </c>
      <c r="C1029" s="5">
        <v>54690</v>
      </c>
      <c r="D1029" s="28" t="s">
        <v>31</v>
      </c>
      <c r="E1029" s="28" t="s">
        <v>17</v>
      </c>
      <c r="F1029" s="29">
        <v>39735</v>
      </c>
      <c r="G1029" s="30">
        <f t="shared" si="16"/>
        <v>39735</v>
      </c>
      <c r="H1029" s="28" t="s">
        <v>13</v>
      </c>
      <c r="I1029" s="9">
        <f>MAX(original!I1029,piwebapi_edit!I1029,car_edit!I1029)</f>
        <v>43402.188559851296</v>
      </c>
      <c r="J1029" s="9">
        <f>MAX(original!J1029,piwebapi_edit!J1029,car_edit!J1029)</f>
        <v>485.15904222836298</v>
      </c>
      <c r="K1029" s="33"/>
    </row>
    <row r="1030" spans="1:11" x14ac:dyDescent="0.25">
      <c r="A1030" s="3" t="s">
        <v>2079</v>
      </c>
      <c r="B1030" s="4" t="s">
        <v>2080</v>
      </c>
      <c r="C1030" s="14">
        <v>1227</v>
      </c>
      <c r="D1030" s="6" t="s">
        <v>31</v>
      </c>
      <c r="E1030" s="6" t="s">
        <v>17</v>
      </c>
      <c r="F1030" s="7">
        <v>39735</v>
      </c>
      <c r="G1030" s="8">
        <f t="shared" si="16"/>
        <v>39735</v>
      </c>
      <c r="H1030" s="6" t="s">
        <v>13</v>
      </c>
      <c r="I1030" s="9">
        <f>MAX(original!I1030,piwebapi_edit!I1030,car_edit!I1030)</f>
        <v>1462275.1900000002</v>
      </c>
      <c r="J1030" s="9">
        <f>MAX(original!J1030,piwebapi_edit!J1030,car_edit!J1030)</f>
        <v>6000</v>
      </c>
      <c r="K1030" s="17"/>
    </row>
    <row r="1031" spans="1:11" x14ac:dyDescent="0.25">
      <c r="A1031" s="3" t="s">
        <v>2081</v>
      </c>
      <c r="B1031" s="4" t="s">
        <v>2082</v>
      </c>
      <c r="C1031" s="14">
        <v>1542</v>
      </c>
      <c r="D1031" s="6" t="s">
        <v>28</v>
      </c>
      <c r="E1031" s="6" t="s">
        <v>17</v>
      </c>
      <c r="F1031" s="7">
        <v>35065</v>
      </c>
      <c r="G1031" s="8">
        <f t="shared" si="16"/>
        <v>35065</v>
      </c>
      <c r="H1031" s="6" t="s">
        <v>13</v>
      </c>
      <c r="I1031" s="9">
        <f>MAX(original!I1031,piwebapi_edit!I1031,car_edit!I1031)</f>
        <v>232623.18</v>
      </c>
      <c r="J1031" s="9">
        <f>MAX(original!J1031,piwebapi_edit!J1031,car_edit!J1031)</f>
        <v>2050</v>
      </c>
      <c r="K1031" s="17"/>
    </row>
    <row r="1032" spans="1:11" x14ac:dyDescent="0.25">
      <c r="A1032" s="3" t="s">
        <v>2083</v>
      </c>
      <c r="B1032" s="4" t="s">
        <v>2084</v>
      </c>
      <c r="C1032" s="14">
        <v>72147</v>
      </c>
      <c r="D1032" s="6" t="s">
        <v>11</v>
      </c>
      <c r="E1032" s="6" t="s">
        <v>12</v>
      </c>
      <c r="F1032" s="7">
        <v>36923</v>
      </c>
      <c r="G1032" s="8">
        <f t="shared" si="16"/>
        <v>36923</v>
      </c>
      <c r="H1032" s="6" t="s">
        <v>39</v>
      </c>
      <c r="I1032" s="9">
        <f>MAX(original!I1032,piwebapi_edit!I1032,car_edit!I1032)</f>
        <v>4013.7245416557998</v>
      </c>
      <c r="J1032" s="9">
        <f>MAX(original!J1032,piwebapi_edit!J1032,car_edit!J1032)</f>
        <v>116.163814429646</v>
      </c>
      <c r="K1032" s="17"/>
    </row>
    <row r="1033" spans="1:11" x14ac:dyDescent="0.25">
      <c r="A1033" s="3" t="s">
        <v>2085</v>
      </c>
      <c r="B1033" s="4" t="s">
        <v>2086</v>
      </c>
      <c r="C1033" s="14">
        <v>41713</v>
      </c>
      <c r="D1033" s="6" t="s">
        <v>11</v>
      </c>
      <c r="E1033" s="6" t="s">
        <v>17</v>
      </c>
      <c r="F1033" s="7">
        <v>36419</v>
      </c>
      <c r="G1033" s="8">
        <f t="shared" si="16"/>
        <v>36419</v>
      </c>
      <c r="H1033" s="6" t="s">
        <v>13</v>
      </c>
      <c r="I1033" s="9">
        <f>MAX(original!I1033,piwebapi_edit!I1033,car_edit!I1033)</f>
        <v>37772.607990246499</v>
      </c>
      <c r="J1033" s="9">
        <f>MAX(original!J1033,piwebapi_edit!J1033,car_edit!J1033)</f>
        <v>483.54560301321499</v>
      </c>
      <c r="K1033" s="17"/>
    </row>
    <row r="1034" spans="1:11" x14ac:dyDescent="0.25">
      <c r="A1034" s="3" t="s">
        <v>2087</v>
      </c>
      <c r="B1034" s="4" t="s">
        <v>2088</v>
      </c>
      <c r="C1034" s="5">
        <v>52290</v>
      </c>
      <c r="D1034" s="6" t="s">
        <v>37</v>
      </c>
      <c r="E1034" s="6" t="s">
        <v>38</v>
      </c>
      <c r="F1034" s="7">
        <v>37970</v>
      </c>
      <c r="G1034" s="8">
        <f t="shared" si="16"/>
        <v>37970</v>
      </c>
      <c r="H1034" s="6" t="s">
        <v>39</v>
      </c>
      <c r="I1034" s="9">
        <f>MAX(original!I1034,piwebapi_edit!I1034,car_edit!I1034)</f>
        <v>9205.0336723933306</v>
      </c>
      <c r="J1034" s="9">
        <f>MAX(original!J1034,piwebapi_edit!J1034,car_edit!J1034)</f>
        <v>289.34439495802599</v>
      </c>
      <c r="K1034" s="17"/>
    </row>
    <row r="1035" spans="1:11" x14ac:dyDescent="0.25">
      <c r="A1035" s="3" t="s">
        <v>2089</v>
      </c>
      <c r="B1035" s="4" t="s">
        <v>2090</v>
      </c>
      <c r="C1035" s="14">
        <v>30543</v>
      </c>
      <c r="D1035" s="6" t="s">
        <v>37</v>
      </c>
      <c r="E1035" s="6" t="s">
        <v>38</v>
      </c>
      <c r="F1035" s="7">
        <v>38132</v>
      </c>
      <c r="G1035" s="8">
        <f t="shared" si="16"/>
        <v>38132</v>
      </c>
      <c r="H1035" s="6" t="s">
        <v>39</v>
      </c>
      <c r="I1035" s="9">
        <f>MAX(original!I1035,piwebapi_edit!I1035,car_edit!I1035)</f>
        <v>13521.179115297899</v>
      </c>
      <c r="J1035" s="9">
        <f>MAX(original!J1035,piwebapi_edit!J1035,car_edit!J1035)</f>
        <v>119.319264696543</v>
      </c>
      <c r="K1035" s="17"/>
    </row>
    <row r="1036" spans="1:11" x14ac:dyDescent="0.25">
      <c r="A1036" s="3" t="s">
        <v>2091</v>
      </c>
      <c r="B1036" s="4" t="s">
        <v>2092</v>
      </c>
      <c r="C1036" s="5">
        <v>52291</v>
      </c>
      <c r="D1036" s="6" t="s">
        <v>37</v>
      </c>
      <c r="E1036" s="6" t="s">
        <v>38</v>
      </c>
      <c r="F1036" s="7">
        <v>38132</v>
      </c>
      <c r="G1036" s="8">
        <f t="shared" si="16"/>
        <v>38132</v>
      </c>
      <c r="H1036" s="6" t="s">
        <v>39</v>
      </c>
      <c r="I1036" s="9">
        <f>MAX(original!I1036,piwebapi_edit!I1036,car_edit!I1036)</f>
        <v>248.37128888339799</v>
      </c>
      <c r="J1036" s="9">
        <f>MAX(original!J1036,piwebapi_edit!J1036,car_edit!J1036)</f>
        <v>54.101283221918401</v>
      </c>
      <c r="K1036" s="17"/>
    </row>
    <row r="1037" spans="1:11" x14ac:dyDescent="0.25">
      <c r="A1037" s="3" t="s">
        <v>2093</v>
      </c>
      <c r="B1037" s="4" t="s">
        <v>2094</v>
      </c>
      <c r="C1037" s="5">
        <v>52292</v>
      </c>
      <c r="D1037" s="6" t="s">
        <v>37</v>
      </c>
      <c r="E1037" s="6" t="s">
        <v>38</v>
      </c>
      <c r="F1037" s="7">
        <v>39475</v>
      </c>
      <c r="G1037" s="8">
        <f t="shared" si="16"/>
        <v>39475</v>
      </c>
      <c r="H1037" s="6" t="s">
        <v>39</v>
      </c>
      <c r="I1037" s="9">
        <f>MAX(original!I1037,piwebapi_edit!I1037,car_edit!I1037)</f>
        <v>111.172747777081</v>
      </c>
      <c r="J1037" s="9">
        <f>MAX(original!J1037,piwebapi_edit!J1037,car_edit!J1037)</f>
        <v>13.9418553569518</v>
      </c>
      <c r="K1037" s="17"/>
    </row>
    <row r="1038" spans="1:11" x14ac:dyDescent="0.25">
      <c r="A1038" s="3" t="s">
        <v>2095</v>
      </c>
      <c r="B1038" s="4" t="s">
        <v>2096</v>
      </c>
      <c r="C1038" s="5">
        <v>47138</v>
      </c>
      <c r="D1038" s="6" t="s">
        <v>37</v>
      </c>
      <c r="E1038" s="6" t="s">
        <v>38</v>
      </c>
      <c r="F1038" s="7">
        <v>38687</v>
      </c>
      <c r="G1038" s="8">
        <f t="shared" si="16"/>
        <v>38687</v>
      </c>
      <c r="H1038" s="6" t="s">
        <v>39</v>
      </c>
      <c r="I1038" s="9">
        <f>MAX(original!I1038,piwebapi_edit!I1038,car_edit!I1038)</f>
        <v>32626.814713884301</v>
      </c>
      <c r="J1038" s="9">
        <f>MAX(original!J1038,piwebapi_edit!J1038,car_edit!J1038)</f>
        <v>535.53947886826495</v>
      </c>
      <c r="K1038" s="17"/>
    </row>
    <row r="1039" spans="1:11" x14ac:dyDescent="0.25">
      <c r="A1039" s="3" t="s">
        <v>2097</v>
      </c>
      <c r="B1039" s="4" t="s">
        <v>2098</v>
      </c>
      <c r="C1039" s="5">
        <v>33217</v>
      </c>
      <c r="D1039" s="6" t="s">
        <v>37</v>
      </c>
      <c r="E1039" s="6" t="s">
        <v>38</v>
      </c>
      <c r="F1039" s="7">
        <v>35517</v>
      </c>
      <c r="G1039" s="8">
        <f t="shared" si="16"/>
        <v>35517</v>
      </c>
      <c r="H1039" s="6" t="s">
        <v>39</v>
      </c>
      <c r="I1039" s="9">
        <f>MAX(original!I1039,piwebapi_edit!I1039,car_edit!I1039)</f>
        <v>15056.377007609701</v>
      </c>
      <c r="J1039" s="9">
        <f>MAX(original!J1039,piwebapi_edit!J1039,car_edit!J1039)</f>
        <v>373.67271722881202</v>
      </c>
      <c r="K1039" s="17"/>
    </row>
    <row r="1040" spans="1:11" x14ac:dyDescent="0.25">
      <c r="A1040" s="3" t="s">
        <v>2099</v>
      </c>
      <c r="B1040" s="4" t="s">
        <v>2100</v>
      </c>
      <c r="C1040" s="5">
        <v>1316</v>
      </c>
      <c r="D1040" s="6" t="s">
        <v>16</v>
      </c>
      <c r="E1040" s="6" t="s">
        <v>17</v>
      </c>
      <c r="F1040" s="7">
        <v>31048</v>
      </c>
      <c r="G1040" s="8">
        <f t="shared" si="16"/>
        <v>31048</v>
      </c>
      <c r="H1040" s="6" t="s">
        <v>13</v>
      </c>
      <c r="I1040" s="9">
        <f>MAX(original!I1040,piwebapi_edit!I1040,car_edit!I1040)</f>
        <v>24533.052752263</v>
      </c>
      <c r="J1040" s="9">
        <f>MAX(original!J1040,piwebapi_edit!J1040,car_edit!J1040)</f>
        <v>131.99301644847</v>
      </c>
      <c r="K1040" s="17"/>
    </row>
    <row r="1041" spans="1:11" x14ac:dyDescent="0.25">
      <c r="A1041" s="3" t="s">
        <v>2101</v>
      </c>
      <c r="B1041" s="4" t="s">
        <v>2102</v>
      </c>
      <c r="C1041" s="14">
        <v>1619</v>
      </c>
      <c r="D1041" s="6" t="s">
        <v>16</v>
      </c>
      <c r="E1041" s="6" t="s">
        <v>17</v>
      </c>
      <c r="F1041" s="7">
        <v>29221</v>
      </c>
      <c r="G1041" s="8">
        <f t="shared" si="16"/>
        <v>29221</v>
      </c>
      <c r="H1041" s="6" t="s">
        <v>13</v>
      </c>
      <c r="I1041" s="9">
        <f>MAX(original!I1041,piwebapi_edit!I1041,car_edit!I1041)</f>
        <v>227753.38999999998</v>
      </c>
      <c r="J1041" s="9">
        <f>MAX(original!J1041,piwebapi_edit!J1041,car_edit!J1041)</f>
        <v>2400</v>
      </c>
      <c r="K1041" s="17"/>
    </row>
    <row r="1042" spans="1:11" x14ac:dyDescent="0.25">
      <c r="A1042" s="3" t="s">
        <v>2103</v>
      </c>
      <c r="B1042" s="4" t="s">
        <v>2104</v>
      </c>
      <c r="C1042" s="5">
        <v>1447</v>
      </c>
      <c r="D1042" s="6" t="s">
        <v>16</v>
      </c>
      <c r="E1042" s="6" t="s">
        <v>17</v>
      </c>
      <c r="F1042" s="7">
        <v>25569</v>
      </c>
      <c r="G1042" s="8">
        <f t="shared" si="16"/>
        <v>25569</v>
      </c>
      <c r="H1042" s="6" t="s">
        <v>13</v>
      </c>
      <c r="I1042" s="9">
        <f>MAX(original!I1042,piwebapi_edit!I1042,car_edit!I1042)</f>
        <v>2601.35374628913</v>
      </c>
      <c r="J1042" s="9">
        <f>MAX(original!J1042,piwebapi_edit!J1042,car_edit!J1042)</f>
        <v>230.72779823012601</v>
      </c>
      <c r="K1042" s="17"/>
    </row>
    <row r="1043" spans="1:11" x14ac:dyDescent="0.25">
      <c r="A1043" s="3" t="s">
        <v>2105</v>
      </c>
      <c r="B1043" s="4" t="s">
        <v>2106</v>
      </c>
      <c r="C1043" s="14">
        <v>1169</v>
      </c>
      <c r="D1043" s="6" t="s">
        <v>31</v>
      </c>
      <c r="E1043" s="6" t="s">
        <v>17</v>
      </c>
      <c r="F1043" s="7">
        <v>35065</v>
      </c>
      <c r="G1043" s="8">
        <f t="shared" si="16"/>
        <v>35065</v>
      </c>
      <c r="H1043" s="6" t="s">
        <v>13</v>
      </c>
      <c r="I1043" s="9">
        <f>MAX(original!I1043,piwebapi_edit!I1043,car_edit!I1043)</f>
        <v>24339.1805363823</v>
      </c>
      <c r="J1043" s="9">
        <f>MAX(original!J1043,piwebapi_edit!J1043,car_edit!J1043)</f>
        <v>188.34878121674799</v>
      </c>
      <c r="K1043" s="17"/>
    </row>
    <row r="1044" spans="1:11" x14ac:dyDescent="0.25">
      <c r="A1044" s="3" t="s">
        <v>2107</v>
      </c>
      <c r="B1044" s="4" t="s">
        <v>2108</v>
      </c>
      <c r="C1044" s="5">
        <v>14723</v>
      </c>
      <c r="D1044" s="6" t="s">
        <v>11</v>
      </c>
      <c r="E1044" s="6" t="s">
        <v>17</v>
      </c>
      <c r="F1044" s="7">
        <v>38274</v>
      </c>
      <c r="G1044" s="8">
        <f t="shared" si="16"/>
        <v>38274</v>
      </c>
      <c r="H1044" s="6" t="s">
        <v>13</v>
      </c>
      <c r="I1044" s="9">
        <f>MAX(original!I1044,piwebapi_edit!I1044,car_edit!I1044)</f>
        <v>45981.254945014596</v>
      </c>
      <c r="J1044" s="9">
        <f>MAX(original!J1044,piwebapi_edit!J1044,car_edit!J1044)</f>
        <v>312.163477043032</v>
      </c>
      <c r="K1044" s="17"/>
    </row>
    <row r="1045" spans="1:11" x14ac:dyDescent="0.25">
      <c r="A1045" s="3" t="s">
        <v>2109</v>
      </c>
      <c r="B1045" s="4" t="s">
        <v>2110</v>
      </c>
      <c r="C1045" s="5">
        <v>54692</v>
      </c>
      <c r="D1045" s="6" t="s">
        <v>11</v>
      </c>
      <c r="E1045" s="6" t="s">
        <v>17</v>
      </c>
      <c r="F1045" s="7">
        <v>38976</v>
      </c>
      <c r="G1045" s="8">
        <f t="shared" si="16"/>
        <v>38976</v>
      </c>
      <c r="H1045" s="6" t="s">
        <v>13</v>
      </c>
      <c r="I1045" s="9">
        <f>MAX(original!I1045,piwebapi_edit!I1045,car_edit!I1045)</f>
        <v>36343.079420494803</v>
      </c>
      <c r="J1045" s="9">
        <f>MAX(original!J1045,piwebapi_edit!J1045,car_edit!J1045)</f>
        <v>185.234142569374</v>
      </c>
      <c r="K1045" s="17"/>
    </row>
    <row r="1046" spans="1:11" ht="30" x14ac:dyDescent="0.25">
      <c r="A1046" s="18" t="s">
        <v>2111</v>
      </c>
      <c r="B1046" s="19" t="s">
        <v>2112</v>
      </c>
      <c r="C1046" s="20">
        <v>54691</v>
      </c>
      <c r="D1046" s="21" t="s">
        <v>11</v>
      </c>
      <c r="E1046" s="21" t="s">
        <v>12</v>
      </c>
      <c r="F1046" s="22">
        <v>36826</v>
      </c>
      <c r="G1046" s="23">
        <f t="shared" si="16"/>
        <v>36826</v>
      </c>
      <c r="H1046" s="21" t="s">
        <v>39</v>
      </c>
      <c r="I1046" s="9">
        <f>MAX(original!I1046,piwebapi_edit!I1046,car_edit!I1046)</f>
        <v>21457.314380360098</v>
      </c>
      <c r="J1046" s="9">
        <f>MAX(original!J1046,piwebapi_edit!J1046,car_edit!J1046)</f>
        <v>98.619600477097293</v>
      </c>
      <c r="K1046" s="25"/>
    </row>
    <row r="1047" spans="1:11" x14ac:dyDescent="0.25">
      <c r="A1047" s="3" t="s">
        <v>2113</v>
      </c>
      <c r="B1047" s="4" t="s">
        <v>2114</v>
      </c>
      <c r="C1047" s="5">
        <v>1572</v>
      </c>
      <c r="D1047" s="6" t="s">
        <v>16</v>
      </c>
      <c r="E1047" s="6" t="s">
        <v>17</v>
      </c>
      <c r="F1047" s="7">
        <v>18264</v>
      </c>
      <c r="G1047" s="8">
        <f t="shared" si="16"/>
        <v>18264</v>
      </c>
      <c r="H1047" s="6" t="s">
        <v>13</v>
      </c>
      <c r="I1047" s="9">
        <f>MAX(original!I1047,piwebapi_edit!I1047,car_edit!I1047)</f>
        <v>47988.546250017302</v>
      </c>
      <c r="J1047" s="9">
        <f>MAX(original!J1047,piwebapi_edit!J1047,car_edit!J1047)</f>
        <v>228.76623742691001</v>
      </c>
      <c r="K1047" s="17"/>
    </row>
    <row r="1048" spans="1:11" x14ac:dyDescent="0.25">
      <c r="A1048" s="3" t="s">
        <v>2115</v>
      </c>
      <c r="B1048" s="4" t="s">
        <v>2116</v>
      </c>
      <c r="C1048" s="5">
        <v>51601</v>
      </c>
      <c r="D1048" s="6" t="s">
        <v>37</v>
      </c>
      <c r="E1048" s="6" t="s">
        <v>38</v>
      </c>
      <c r="F1048" s="7">
        <v>33682</v>
      </c>
      <c r="G1048" s="8">
        <f t="shared" si="16"/>
        <v>33682</v>
      </c>
      <c r="H1048" s="6" t="s">
        <v>39</v>
      </c>
      <c r="I1048" s="9">
        <f>MAX(original!I1048,piwebapi_edit!I1048,car_edit!I1048)</f>
        <v>14958.0278518123</v>
      </c>
      <c r="J1048" s="9">
        <f>MAX(original!J1048,piwebapi_edit!J1048,car_edit!J1048)</f>
        <v>183.71807112496799</v>
      </c>
      <c r="K1048" s="17"/>
    </row>
    <row r="1049" spans="1:11" x14ac:dyDescent="0.25">
      <c r="A1049" s="3" t="s">
        <v>2117</v>
      </c>
      <c r="B1049" s="4" t="s">
        <v>2118</v>
      </c>
      <c r="C1049" s="14">
        <v>46161</v>
      </c>
      <c r="D1049" s="6" t="s">
        <v>11</v>
      </c>
      <c r="E1049" s="6" t="s">
        <v>17</v>
      </c>
      <c r="F1049" s="7">
        <v>39133</v>
      </c>
      <c r="G1049" s="8">
        <f t="shared" si="16"/>
        <v>39133</v>
      </c>
      <c r="H1049" s="6" t="s">
        <v>13</v>
      </c>
      <c r="I1049" s="9">
        <f>MAX(original!I1049,piwebapi_edit!I1049,car_edit!I1049)</f>
        <v>233396.34879683101</v>
      </c>
      <c r="J1049" s="9">
        <f>MAX(original!J1049,piwebapi_edit!J1049,car_edit!J1049)</f>
        <v>1842.093544247</v>
      </c>
      <c r="K1049" s="11"/>
    </row>
    <row r="1050" spans="1:11" x14ac:dyDescent="0.25">
      <c r="A1050" s="3" t="s">
        <v>2119</v>
      </c>
      <c r="B1050" s="4" t="s">
        <v>2120</v>
      </c>
      <c r="C1050" s="14">
        <v>21767</v>
      </c>
      <c r="D1050" s="6" t="s">
        <v>31</v>
      </c>
      <c r="E1050" s="6" t="s">
        <v>17</v>
      </c>
      <c r="F1050" s="7">
        <v>38771</v>
      </c>
      <c r="G1050" s="8">
        <f t="shared" si="16"/>
        <v>38771</v>
      </c>
      <c r="H1050" s="6" t="s">
        <v>13</v>
      </c>
      <c r="I1050" s="9">
        <f>MAX(original!I1050,piwebapi_edit!I1050,car_edit!I1050)</f>
        <v>61808.076762340301</v>
      </c>
      <c r="J1050" s="9">
        <f>MAX(original!J1050,piwebapi_edit!J1050,car_edit!J1050)</f>
        <v>168.47369976791299</v>
      </c>
      <c r="K1050" s="17"/>
    </row>
    <row r="1051" spans="1:11" x14ac:dyDescent="0.25">
      <c r="A1051" s="3" t="s">
        <v>2121</v>
      </c>
      <c r="B1051" s="4" t="s">
        <v>2122</v>
      </c>
      <c r="C1051" s="5">
        <v>22721</v>
      </c>
      <c r="D1051" s="6" t="s">
        <v>31</v>
      </c>
      <c r="E1051" s="6" t="s">
        <v>17</v>
      </c>
      <c r="F1051" s="7">
        <v>38783</v>
      </c>
      <c r="G1051" s="8">
        <f t="shared" si="16"/>
        <v>38783</v>
      </c>
      <c r="H1051" s="6" t="s">
        <v>13</v>
      </c>
      <c r="I1051" s="9">
        <f>MAX(original!I1051,piwebapi_edit!I1051,car_edit!I1051)</f>
        <v>3549.14229600509</v>
      </c>
      <c r="J1051" s="9">
        <f>MAX(original!J1051,piwebapi_edit!J1051,car_edit!J1051)</f>
        <v>24.341905610936699</v>
      </c>
      <c r="K1051" s="17"/>
    </row>
    <row r="1052" spans="1:11" x14ac:dyDescent="0.25">
      <c r="A1052" s="12" t="s">
        <v>2123</v>
      </c>
      <c r="B1052" s="4" t="s">
        <v>2124</v>
      </c>
      <c r="C1052" s="14">
        <v>1156</v>
      </c>
      <c r="D1052" s="6" t="s">
        <v>34</v>
      </c>
      <c r="E1052" s="6" t="s">
        <v>17</v>
      </c>
      <c r="F1052" s="7">
        <v>35590</v>
      </c>
      <c r="G1052" s="8">
        <f t="shared" si="16"/>
        <v>35590</v>
      </c>
      <c r="H1052" s="6" t="s">
        <v>13</v>
      </c>
      <c r="I1052" s="9">
        <f>MAX(original!I1052,piwebapi_edit!I1052,car_edit!I1052)</f>
        <v>1705608.6</v>
      </c>
      <c r="J1052" s="9">
        <f>MAX(original!J1052,piwebapi_edit!J1052,car_edit!J1052)</f>
        <v>18500</v>
      </c>
      <c r="K1052" s="17"/>
    </row>
    <row r="1053" spans="1:11" x14ac:dyDescent="0.25">
      <c r="A1053" s="3" t="s">
        <v>2125</v>
      </c>
      <c r="B1053" s="4" t="s">
        <v>2126</v>
      </c>
      <c r="C1053" s="14">
        <v>1299</v>
      </c>
      <c r="D1053" s="6" t="s">
        <v>31</v>
      </c>
      <c r="E1053" s="6" t="s">
        <v>17</v>
      </c>
      <c r="F1053" s="7">
        <v>18264</v>
      </c>
      <c r="G1053" s="8">
        <f t="shared" si="16"/>
        <v>18264</v>
      </c>
      <c r="H1053" s="6" t="s">
        <v>13</v>
      </c>
      <c r="I1053" s="9">
        <f>MAX(original!I1053,piwebapi_edit!I1053,car_edit!I1053)</f>
        <v>461211.98</v>
      </c>
      <c r="J1053" s="9">
        <f>MAX(original!J1053,piwebapi_edit!J1053,car_edit!J1053)</f>
        <v>1260</v>
      </c>
      <c r="K1053" s="17"/>
    </row>
    <row r="1054" spans="1:11" x14ac:dyDescent="0.25">
      <c r="A1054" s="3" t="s">
        <v>2127</v>
      </c>
      <c r="B1054" s="4" t="s">
        <v>2128</v>
      </c>
      <c r="C1054" s="5">
        <v>28545</v>
      </c>
      <c r="D1054" s="6" t="s">
        <v>28</v>
      </c>
      <c r="E1054" s="6" t="s">
        <v>17</v>
      </c>
      <c r="F1054" s="7">
        <v>38547</v>
      </c>
      <c r="G1054" s="8">
        <f t="shared" si="16"/>
        <v>38547</v>
      </c>
      <c r="H1054" s="6" t="s">
        <v>13</v>
      </c>
      <c r="I1054" s="9">
        <f>MAX(original!I1054,piwebapi_edit!I1054,car_edit!I1054)</f>
        <v>27714.0650495712</v>
      </c>
      <c r="J1054" s="9">
        <f>MAX(original!J1054,piwebapi_edit!J1054,car_edit!J1054)</f>
        <v>221.00670683366599</v>
      </c>
      <c r="K1054" s="17"/>
    </row>
    <row r="1055" spans="1:11" x14ac:dyDescent="0.25">
      <c r="A1055" s="3" t="s">
        <v>2129</v>
      </c>
      <c r="B1055" s="4" t="s">
        <v>2130</v>
      </c>
      <c r="C1055" s="5">
        <v>24369</v>
      </c>
      <c r="D1055" s="6" t="s">
        <v>31</v>
      </c>
      <c r="E1055" s="6" t="s">
        <v>17</v>
      </c>
      <c r="F1055" s="7">
        <v>33023</v>
      </c>
      <c r="G1055" s="8">
        <f t="shared" si="16"/>
        <v>33023</v>
      </c>
      <c r="H1055" s="6" t="s">
        <v>13</v>
      </c>
      <c r="I1055" s="9">
        <f>MAX(original!I1055,piwebapi_edit!I1055,car_edit!I1055)</f>
        <v>290120.98173229798</v>
      </c>
      <c r="J1055" s="9">
        <f>MAX(original!J1055,piwebapi_edit!J1055,car_edit!J1055)</f>
        <v>618.67711078654997</v>
      </c>
      <c r="K1055" s="17"/>
    </row>
    <row r="1056" spans="1:11" x14ac:dyDescent="0.25">
      <c r="A1056" s="3" t="s">
        <v>2131</v>
      </c>
      <c r="B1056" s="4" t="s">
        <v>2132</v>
      </c>
      <c r="C1056" s="5">
        <v>30659</v>
      </c>
      <c r="D1056" s="6" t="s">
        <v>34</v>
      </c>
      <c r="E1056" s="6" t="s">
        <v>17</v>
      </c>
      <c r="F1056" s="7">
        <v>38804</v>
      </c>
      <c r="G1056" s="8">
        <f t="shared" si="16"/>
        <v>38804</v>
      </c>
      <c r="H1056" s="6" t="s">
        <v>13</v>
      </c>
      <c r="I1056" s="9">
        <f>MAX(original!I1056,piwebapi_edit!I1056,car_edit!I1056)</f>
        <v>1251.7490243299901</v>
      </c>
      <c r="J1056" s="9">
        <f>MAX(original!J1056,piwebapi_edit!J1056,car_edit!J1056)</f>
        <v>29.625800107883901</v>
      </c>
      <c r="K1056" s="17"/>
    </row>
    <row r="1057" spans="1:11" x14ac:dyDescent="0.25">
      <c r="A1057" s="3" t="s">
        <v>2133</v>
      </c>
      <c r="B1057" s="4" t="s">
        <v>2134</v>
      </c>
      <c r="C1057" s="14">
        <v>2060</v>
      </c>
      <c r="D1057" s="6" t="s">
        <v>34</v>
      </c>
      <c r="E1057" s="6" t="s">
        <v>17</v>
      </c>
      <c r="F1057" s="7">
        <v>35632</v>
      </c>
      <c r="G1057" s="8">
        <f t="shared" si="16"/>
        <v>35632</v>
      </c>
      <c r="H1057" s="6" t="s">
        <v>13</v>
      </c>
      <c r="I1057" s="9">
        <f>MAX(original!I1057,piwebapi_edit!I1057,car_edit!I1057)</f>
        <v>11634.513878191599</v>
      </c>
      <c r="J1057" s="9">
        <f>MAX(original!J1057,piwebapi_edit!J1057,car_edit!J1057)</f>
        <v>210.06863828493599</v>
      </c>
      <c r="K1057" s="17"/>
    </row>
    <row r="1058" spans="1:11" x14ac:dyDescent="0.25">
      <c r="A1058" s="3" t="s">
        <v>2135</v>
      </c>
      <c r="B1058" s="4" t="s">
        <v>2136</v>
      </c>
      <c r="C1058" s="14">
        <v>10894</v>
      </c>
      <c r="D1058" s="6" t="s">
        <v>28</v>
      </c>
      <c r="E1058" s="6" t="s">
        <v>17</v>
      </c>
      <c r="F1058" s="7">
        <v>37608</v>
      </c>
      <c r="G1058" s="8">
        <f t="shared" si="16"/>
        <v>37608</v>
      </c>
      <c r="H1058" s="6" t="s">
        <v>13</v>
      </c>
      <c r="I1058" s="9">
        <f>MAX(original!I1058,piwebapi_edit!I1058,car_edit!I1058)</f>
        <v>3932.1039995927299</v>
      </c>
      <c r="J1058" s="9">
        <f>MAX(original!J1058,piwebapi_edit!J1058,car_edit!J1058)</f>
        <v>97.1574980725931</v>
      </c>
      <c r="K1058" s="17"/>
    </row>
    <row r="1059" spans="1:11" x14ac:dyDescent="0.25">
      <c r="A1059" s="3" t="s">
        <v>2137</v>
      </c>
      <c r="B1059" s="4" t="s">
        <v>2138</v>
      </c>
      <c r="C1059" s="5">
        <v>2004</v>
      </c>
      <c r="D1059" s="6" t="s">
        <v>16</v>
      </c>
      <c r="E1059" s="6" t="s">
        <v>17</v>
      </c>
      <c r="F1059" s="7">
        <v>25569</v>
      </c>
      <c r="G1059" s="8">
        <f t="shared" si="16"/>
        <v>25569</v>
      </c>
      <c r="H1059" s="6" t="s">
        <v>13</v>
      </c>
      <c r="I1059" s="9">
        <f>MAX(original!I1059,piwebapi_edit!I1059,car_edit!I1059)</f>
        <v>4219.2496131286498</v>
      </c>
      <c r="J1059" s="9">
        <f>MAX(original!J1059,piwebapi_edit!J1059,car_edit!J1059)</f>
        <v>292.01839457806801</v>
      </c>
      <c r="K1059" s="17"/>
    </row>
    <row r="1060" spans="1:11" x14ac:dyDescent="0.25">
      <c r="A1060" s="3" t="s">
        <v>2139</v>
      </c>
      <c r="B1060" s="4" t="s">
        <v>2140</v>
      </c>
      <c r="C1060" s="5">
        <v>54693</v>
      </c>
      <c r="D1060" s="6" t="s">
        <v>28</v>
      </c>
      <c r="E1060" s="6" t="s">
        <v>508</v>
      </c>
      <c r="F1060" s="7">
        <v>37573</v>
      </c>
      <c r="G1060" s="8">
        <f t="shared" si="16"/>
        <v>37573</v>
      </c>
      <c r="H1060" s="6" t="s">
        <v>509</v>
      </c>
      <c r="I1060" s="9">
        <f>MAX(original!I1060,piwebapi_edit!I1060,car_edit!I1060)</f>
        <v>66590.204135631502</v>
      </c>
      <c r="J1060" s="9">
        <f>MAX(original!J1060,piwebapi_edit!J1060,car_edit!J1060)</f>
        <v>338.95773602939801</v>
      </c>
      <c r="K1060" s="17"/>
    </row>
    <row r="1061" spans="1:11" x14ac:dyDescent="0.25">
      <c r="A1061" s="3" t="s">
        <v>2141</v>
      </c>
      <c r="B1061" s="4" t="s">
        <v>2142</v>
      </c>
      <c r="C1061" s="14">
        <v>1795</v>
      </c>
      <c r="D1061" s="6" t="s">
        <v>16</v>
      </c>
      <c r="E1061" s="6" t="s">
        <v>17</v>
      </c>
      <c r="F1061" s="7">
        <v>29952</v>
      </c>
      <c r="G1061" s="8">
        <f t="shared" si="16"/>
        <v>29952</v>
      </c>
      <c r="H1061" s="6" t="s">
        <v>13</v>
      </c>
      <c r="I1061" s="9">
        <f>MAX(original!I1061,piwebapi_edit!I1061,car_edit!I1061)</f>
        <v>66468.037431333898</v>
      </c>
      <c r="J1061" s="9">
        <f>MAX(original!J1061,piwebapi_edit!J1061,car_edit!J1061)</f>
        <v>314.01722327053301</v>
      </c>
      <c r="K1061" s="17"/>
    </row>
    <row r="1062" spans="1:11" x14ac:dyDescent="0.25">
      <c r="A1062" s="3" t="s">
        <v>2143</v>
      </c>
      <c r="B1062" s="4" t="s">
        <v>2144</v>
      </c>
      <c r="C1062" s="5">
        <v>52242</v>
      </c>
      <c r="D1062" s="6" t="s">
        <v>37</v>
      </c>
      <c r="E1062" s="6" t="s">
        <v>38</v>
      </c>
      <c r="F1062" s="7">
        <v>39175</v>
      </c>
      <c r="G1062" s="8">
        <f t="shared" si="16"/>
        <v>39175</v>
      </c>
      <c r="H1062" s="6" t="s">
        <v>39</v>
      </c>
      <c r="I1062" s="9">
        <f>MAX(original!I1062,piwebapi_edit!I1062,car_edit!I1062)</f>
        <v>19261.587995283</v>
      </c>
      <c r="J1062" s="9">
        <f>MAX(original!J1062,piwebapi_edit!J1062,car_edit!J1062)</f>
        <v>152.343121336492</v>
      </c>
      <c r="K1062" s="17"/>
    </row>
    <row r="1063" spans="1:11" x14ac:dyDescent="0.25">
      <c r="A1063" s="26" t="s">
        <v>2145</v>
      </c>
      <c r="B1063" s="27" t="s">
        <v>2146</v>
      </c>
      <c r="C1063" s="34">
        <v>20170</v>
      </c>
      <c r="D1063" s="28" t="s">
        <v>34</v>
      </c>
      <c r="E1063" s="28" t="s">
        <v>17</v>
      </c>
      <c r="F1063" s="29">
        <v>20821</v>
      </c>
      <c r="G1063" s="30">
        <f t="shared" si="16"/>
        <v>20821</v>
      </c>
      <c r="H1063" s="28" t="s">
        <v>13</v>
      </c>
      <c r="I1063" s="9">
        <f>MAX(original!I1063,piwebapi_edit!I1063,car_edit!I1063)</f>
        <v>1435.3780569621599</v>
      </c>
      <c r="J1063" s="9">
        <f>MAX(original!J1063,piwebapi_edit!J1063,car_edit!J1063)</f>
        <v>48.757217250231299</v>
      </c>
      <c r="K1063" s="33"/>
    </row>
    <row r="1064" spans="1:11" x14ac:dyDescent="0.25">
      <c r="A1064" s="3" t="s">
        <v>2147</v>
      </c>
      <c r="B1064" s="4" t="s">
        <v>2148</v>
      </c>
      <c r="C1064" s="5">
        <v>49681</v>
      </c>
      <c r="D1064" s="6" t="s">
        <v>28</v>
      </c>
      <c r="E1064" s="6" t="s">
        <v>17</v>
      </c>
      <c r="F1064" s="7">
        <v>38899</v>
      </c>
      <c r="G1064" s="8">
        <f t="shared" si="16"/>
        <v>38899</v>
      </c>
      <c r="H1064" s="6" t="s">
        <v>13</v>
      </c>
      <c r="I1064" s="9">
        <f>MAX(original!I1064,piwebapi_edit!I1064,car_edit!I1064)</f>
        <v>1053.3296880083701</v>
      </c>
      <c r="J1064" s="9">
        <f>MAX(original!J1064,piwebapi_edit!J1064,car_edit!J1064)</f>
        <v>76.793556525621796</v>
      </c>
      <c r="K1064" s="17"/>
    </row>
    <row r="1065" spans="1:11" x14ac:dyDescent="0.25">
      <c r="A1065" s="3" t="s">
        <v>2149</v>
      </c>
      <c r="B1065" s="4" t="s">
        <v>2150</v>
      </c>
      <c r="C1065" s="5">
        <v>1958</v>
      </c>
      <c r="D1065" s="6" t="s">
        <v>28</v>
      </c>
      <c r="E1065" s="6" t="s">
        <v>17</v>
      </c>
      <c r="F1065" s="7">
        <v>19725</v>
      </c>
      <c r="G1065" s="8">
        <f t="shared" si="16"/>
        <v>19725</v>
      </c>
      <c r="H1065" s="6" t="s">
        <v>13</v>
      </c>
      <c r="I1065" s="9">
        <f>MAX(original!I1065,piwebapi_edit!I1065,car_edit!I1065)</f>
        <v>14699.084873342499</v>
      </c>
      <c r="J1065" s="9">
        <f>MAX(original!J1065,piwebapi_edit!J1065,car_edit!J1065)</f>
        <v>42.809780666862302</v>
      </c>
      <c r="K1065" s="11"/>
    </row>
    <row r="1066" spans="1:11" x14ac:dyDescent="0.25">
      <c r="A1066" s="3" t="s">
        <v>2151</v>
      </c>
      <c r="B1066" s="4" t="s">
        <v>2152</v>
      </c>
      <c r="C1066" s="5">
        <v>10571</v>
      </c>
      <c r="D1066" s="6" t="s">
        <v>28</v>
      </c>
      <c r="E1066" s="6" t="s">
        <v>17</v>
      </c>
      <c r="F1066" s="7">
        <v>37312</v>
      </c>
      <c r="G1066" s="8">
        <f t="shared" si="16"/>
        <v>37312</v>
      </c>
      <c r="H1066" s="6" t="s">
        <v>13</v>
      </c>
      <c r="I1066" s="9">
        <f>MAX(original!I1066,piwebapi_edit!I1066,car_edit!I1066)</f>
        <v>17430.83880505</v>
      </c>
      <c r="J1066" s="9">
        <f>MAX(original!J1066,piwebapi_edit!J1066,car_edit!J1066)</f>
        <v>284.914179072114</v>
      </c>
      <c r="K1066" s="17"/>
    </row>
    <row r="1067" spans="1:11" x14ac:dyDescent="0.25">
      <c r="A1067" s="3" t="s">
        <v>2153</v>
      </c>
      <c r="B1067" s="4" t="s">
        <v>2154</v>
      </c>
      <c r="C1067" s="5">
        <v>19523</v>
      </c>
      <c r="D1067" s="6" t="s">
        <v>16</v>
      </c>
      <c r="E1067" s="6" t="s">
        <v>17</v>
      </c>
      <c r="F1067" s="7">
        <v>38507</v>
      </c>
      <c r="G1067" s="8">
        <f t="shared" si="16"/>
        <v>38507</v>
      </c>
      <c r="H1067" s="6" t="s">
        <v>13</v>
      </c>
      <c r="I1067" s="9">
        <f>MAX(original!I1067,piwebapi_edit!I1067,car_edit!I1067)</f>
        <v>25273.3600673619</v>
      </c>
      <c r="J1067" s="9">
        <f>MAX(original!J1067,piwebapi_edit!J1067,car_edit!J1067)</f>
        <v>282.59059393157099</v>
      </c>
      <c r="K1067" s="17"/>
    </row>
    <row r="1068" spans="1:11" x14ac:dyDescent="0.25">
      <c r="A1068" s="3" t="s">
        <v>2155</v>
      </c>
      <c r="B1068" s="4" t="s">
        <v>2156</v>
      </c>
      <c r="C1068" s="5">
        <v>10887</v>
      </c>
      <c r="D1068" s="6" t="s">
        <v>34</v>
      </c>
      <c r="E1068" s="6" t="s">
        <v>17</v>
      </c>
      <c r="F1068" s="7">
        <v>37768</v>
      </c>
      <c r="G1068" s="8">
        <f t="shared" si="16"/>
        <v>37768</v>
      </c>
      <c r="H1068" s="6" t="s">
        <v>13</v>
      </c>
      <c r="I1068" s="9">
        <f>MAX(original!I1068,piwebapi_edit!I1068,car_edit!I1068)</f>
        <v>31889.026788994401</v>
      </c>
      <c r="J1068" s="9">
        <f>MAX(original!J1068,piwebapi_edit!J1068,car_edit!J1068)</f>
        <v>211.28833411764199</v>
      </c>
      <c r="K1068" s="17"/>
    </row>
    <row r="1069" spans="1:11" x14ac:dyDescent="0.25">
      <c r="A1069" s="3" t="s">
        <v>2157</v>
      </c>
      <c r="B1069" s="4" t="s">
        <v>2158</v>
      </c>
      <c r="C1069" s="14">
        <v>52355</v>
      </c>
      <c r="D1069" s="6" t="s">
        <v>31</v>
      </c>
      <c r="E1069" s="6" t="s">
        <v>17</v>
      </c>
      <c r="F1069" s="7">
        <v>39476</v>
      </c>
      <c r="G1069" s="8">
        <f t="shared" si="16"/>
        <v>39476</v>
      </c>
      <c r="H1069" s="6" t="s">
        <v>13</v>
      </c>
      <c r="I1069" s="9">
        <f>MAX(original!I1069,piwebapi_edit!I1069,car_edit!I1069)</f>
        <v>71387.313973537297</v>
      </c>
      <c r="J1069" s="9">
        <f>MAX(original!J1069,piwebapi_edit!J1069,car_edit!J1069)</f>
        <v>1298.3775731118101</v>
      </c>
      <c r="K1069" s="11"/>
    </row>
    <row r="1070" spans="1:11" x14ac:dyDescent="0.25">
      <c r="A1070" s="3" t="s">
        <v>2159</v>
      </c>
      <c r="B1070" s="4" t="s">
        <v>2160</v>
      </c>
      <c r="C1070" s="5">
        <v>1634</v>
      </c>
      <c r="D1070" s="6" t="s">
        <v>31</v>
      </c>
      <c r="E1070" s="6" t="s">
        <v>17</v>
      </c>
      <c r="F1070" s="7">
        <v>18264</v>
      </c>
      <c r="G1070" s="8">
        <f t="shared" si="16"/>
        <v>18264</v>
      </c>
      <c r="H1070" s="6" t="s">
        <v>13</v>
      </c>
      <c r="I1070" s="9">
        <f>MAX(original!I1070,piwebapi_edit!I1070,car_edit!I1070)</f>
        <v>55580.2065122145</v>
      </c>
      <c r="J1070" s="9">
        <f>MAX(original!J1070,piwebapi_edit!J1070,car_edit!J1070)</f>
        <v>337.53721286248799</v>
      </c>
      <c r="K1070" s="17"/>
    </row>
    <row r="1071" spans="1:11" x14ac:dyDescent="0.25">
      <c r="A1071" s="3" t="s">
        <v>2161</v>
      </c>
      <c r="B1071" s="4" t="s">
        <v>2162</v>
      </c>
      <c r="C1071" s="14">
        <v>1059</v>
      </c>
      <c r="D1071" s="6" t="s">
        <v>16</v>
      </c>
      <c r="E1071" s="6" t="s">
        <v>17</v>
      </c>
      <c r="F1071" s="7">
        <v>31048</v>
      </c>
      <c r="G1071" s="8">
        <f t="shared" si="16"/>
        <v>31048</v>
      </c>
      <c r="H1071" s="6" t="s">
        <v>13</v>
      </c>
      <c r="I1071" s="9">
        <f>MAX(original!I1071,piwebapi_edit!I1071,car_edit!I1071)</f>
        <v>144421.06662709801</v>
      </c>
      <c r="J1071" s="9">
        <f>MAX(original!J1071,piwebapi_edit!J1071,car_edit!J1071)</f>
        <v>391.46720748924503</v>
      </c>
      <c r="K1071" s="17"/>
    </row>
    <row r="1072" spans="1:11" x14ac:dyDescent="0.25">
      <c r="A1072" s="3" t="s">
        <v>2163</v>
      </c>
      <c r="B1072" s="4" t="s">
        <v>2164</v>
      </c>
      <c r="C1072" s="5">
        <v>2015</v>
      </c>
      <c r="D1072" s="6" t="s">
        <v>16</v>
      </c>
      <c r="E1072" s="6" t="s">
        <v>17</v>
      </c>
      <c r="F1072" s="7">
        <v>29221</v>
      </c>
      <c r="G1072" s="8">
        <f t="shared" si="16"/>
        <v>29221</v>
      </c>
      <c r="H1072" s="6" t="s">
        <v>13</v>
      </c>
      <c r="I1072" s="9">
        <f>MAX(original!I1072,piwebapi_edit!I1072,car_edit!I1072)</f>
        <v>7979.6530920303703</v>
      </c>
      <c r="J1072" s="9">
        <f>MAX(original!J1072,piwebapi_edit!J1072,car_edit!J1072)</f>
        <v>310.23940763824203</v>
      </c>
      <c r="K1072" s="17"/>
    </row>
    <row r="1073" spans="1:11" x14ac:dyDescent="0.25">
      <c r="A1073" s="3" t="s">
        <v>2165</v>
      </c>
      <c r="B1073" s="4" t="s">
        <v>2166</v>
      </c>
      <c r="C1073" s="14">
        <v>52914</v>
      </c>
      <c r="D1073" s="6" t="s">
        <v>31</v>
      </c>
      <c r="E1073" s="6" t="s">
        <v>17</v>
      </c>
      <c r="F1073" s="7">
        <v>38854</v>
      </c>
      <c r="G1073" s="8">
        <f t="shared" si="16"/>
        <v>38854</v>
      </c>
      <c r="H1073" s="6" t="s">
        <v>13</v>
      </c>
      <c r="I1073" s="9">
        <f>MAX(original!I1073,piwebapi_edit!I1073,car_edit!I1073)</f>
        <v>76719.532245606097</v>
      </c>
      <c r="J1073" s="9">
        <f>MAX(original!J1073,piwebapi_edit!J1073,car_edit!J1073)</f>
        <v>348.59333109195501</v>
      </c>
      <c r="K1073" s="17"/>
    </row>
    <row r="1074" spans="1:11" x14ac:dyDescent="0.25">
      <c r="A1074" s="3" t="s">
        <v>2167</v>
      </c>
      <c r="B1074" s="4" t="s">
        <v>2168</v>
      </c>
      <c r="C1074" s="5">
        <v>2043</v>
      </c>
      <c r="D1074" s="6" t="s">
        <v>34</v>
      </c>
      <c r="E1074" s="6" t="s">
        <v>17</v>
      </c>
      <c r="F1074" s="7">
        <v>29221</v>
      </c>
      <c r="G1074" s="8">
        <f t="shared" si="16"/>
        <v>29221</v>
      </c>
      <c r="H1074" s="6" t="s">
        <v>13</v>
      </c>
      <c r="I1074" s="9">
        <f>MAX(original!I1074,piwebapi_edit!I1074,car_edit!I1074)</f>
        <v>25963.689894215498</v>
      </c>
      <c r="J1074" s="9">
        <f>MAX(original!J1074,piwebapi_edit!J1074,car_edit!J1074)</f>
        <v>205.02160335894499</v>
      </c>
      <c r="K1074" s="17"/>
    </row>
    <row r="1075" spans="1:11" x14ac:dyDescent="0.25">
      <c r="A1075" s="3" t="s">
        <v>2169</v>
      </c>
      <c r="B1075" s="4" t="s">
        <v>2170</v>
      </c>
      <c r="C1075" s="5">
        <v>72171</v>
      </c>
      <c r="D1075" s="6" t="s">
        <v>16</v>
      </c>
      <c r="E1075" s="6" t="s">
        <v>17</v>
      </c>
      <c r="F1075" s="7">
        <v>38630</v>
      </c>
      <c r="G1075" s="8">
        <f t="shared" si="16"/>
        <v>38630</v>
      </c>
      <c r="H1075" s="6" t="s">
        <v>13</v>
      </c>
      <c r="I1075" s="9">
        <f>MAX(original!I1075,piwebapi_edit!I1075,car_edit!I1075)</f>
        <v>26274.416580705099</v>
      </c>
      <c r="J1075" s="9">
        <f>MAX(original!J1075,piwebapi_edit!J1075,car_edit!J1075)</f>
        <v>235.98571096336599</v>
      </c>
      <c r="K1075" s="17"/>
    </row>
    <row r="1076" spans="1:11" x14ac:dyDescent="0.25">
      <c r="A1076" s="3" t="s">
        <v>2171</v>
      </c>
      <c r="B1076" s="4" t="s">
        <v>2172</v>
      </c>
      <c r="C1076" s="5">
        <v>1920</v>
      </c>
      <c r="D1076" s="6" t="s">
        <v>31</v>
      </c>
      <c r="E1076" s="6" t="s">
        <v>17</v>
      </c>
      <c r="F1076" s="7">
        <v>29221</v>
      </c>
      <c r="G1076" s="8">
        <f t="shared" si="16"/>
        <v>29221</v>
      </c>
      <c r="H1076" s="6" t="s">
        <v>13</v>
      </c>
      <c r="I1076" s="9">
        <f>MAX(original!I1076,piwebapi_edit!I1076,car_edit!I1076)</f>
        <v>103089.546493015</v>
      </c>
      <c r="J1076" s="9">
        <f>MAX(original!J1076,piwebapi_edit!J1076,car_edit!J1076)</f>
        <v>707.36349579137698</v>
      </c>
      <c r="K1076" s="17"/>
    </row>
    <row r="1077" spans="1:11" x14ac:dyDescent="0.25">
      <c r="A1077" s="3" t="s">
        <v>2173</v>
      </c>
      <c r="B1077" s="4" t="s">
        <v>2174</v>
      </c>
      <c r="C1077" s="14">
        <v>1615</v>
      </c>
      <c r="D1077" s="6" t="s">
        <v>31</v>
      </c>
      <c r="E1077" s="6" t="s">
        <v>17</v>
      </c>
      <c r="F1077" s="7">
        <v>29221</v>
      </c>
      <c r="G1077" s="8">
        <f t="shared" si="16"/>
        <v>29221</v>
      </c>
      <c r="H1077" s="6" t="s">
        <v>13</v>
      </c>
      <c r="I1077" s="9">
        <f>MAX(original!I1077,piwebapi_edit!I1077,car_edit!I1077)</f>
        <v>696150.03</v>
      </c>
      <c r="J1077" s="9">
        <f>MAX(original!J1077,piwebapi_edit!J1077,car_edit!J1077)</f>
        <v>1700</v>
      </c>
      <c r="K1077" s="17"/>
    </row>
    <row r="1078" spans="1:11" x14ac:dyDescent="0.25">
      <c r="A1078" s="3" t="s">
        <v>2175</v>
      </c>
      <c r="B1078" s="4" t="s">
        <v>2176</v>
      </c>
      <c r="C1078" s="5">
        <v>1650</v>
      </c>
      <c r="D1078" s="6" t="s">
        <v>28</v>
      </c>
      <c r="E1078" s="6" t="s">
        <v>17</v>
      </c>
      <c r="F1078" s="7">
        <v>29587</v>
      </c>
      <c r="G1078" s="8">
        <f t="shared" si="16"/>
        <v>29587</v>
      </c>
      <c r="H1078" s="6" t="s">
        <v>13</v>
      </c>
      <c r="I1078" s="9">
        <f>MAX(original!I1078,piwebapi_edit!I1078,car_edit!I1078)</f>
        <v>179814.910465425</v>
      </c>
      <c r="J1078" s="9">
        <f>MAX(original!J1078,piwebapi_edit!J1078,car_edit!J1078)</f>
        <v>452.19155840204002</v>
      </c>
      <c r="K1078" s="17"/>
    </row>
    <row r="1079" spans="1:11" x14ac:dyDescent="0.25">
      <c r="A1079" s="3" t="s">
        <v>2177</v>
      </c>
      <c r="B1079" s="4" t="s">
        <v>2178</v>
      </c>
      <c r="C1079" s="5">
        <v>1512</v>
      </c>
      <c r="D1079" s="6" t="s">
        <v>28</v>
      </c>
      <c r="E1079" s="6" t="s">
        <v>17</v>
      </c>
      <c r="F1079" s="7">
        <v>31778</v>
      </c>
      <c r="G1079" s="8">
        <f t="shared" si="16"/>
        <v>31778</v>
      </c>
      <c r="H1079" s="6" t="s">
        <v>13</v>
      </c>
      <c r="I1079" s="9">
        <f>MAX(original!I1079,piwebapi_edit!I1079,car_edit!I1079)</f>
        <v>24941.095501531501</v>
      </c>
      <c r="J1079" s="9">
        <f>MAX(original!J1079,piwebapi_edit!J1079,car_edit!J1079)</f>
        <v>221.52619235593301</v>
      </c>
      <c r="K1079" s="17"/>
    </row>
    <row r="1080" spans="1:11" x14ac:dyDescent="0.25">
      <c r="A1080" s="3" t="s">
        <v>2179</v>
      </c>
      <c r="B1080" s="4" t="s">
        <v>2180</v>
      </c>
      <c r="C1080" s="5">
        <v>1852</v>
      </c>
      <c r="D1080" s="6" t="s">
        <v>16</v>
      </c>
      <c r="E1080" s="6" t="s">
        <v>17</v>
      </c>
      <c r="F1080" s="7">
        <v>25569</v>
      </c>
      <c r="G1080" s="8">
        <f t="shared" si="16"/>
        <v>25569</v>
      </c>
      <c r="H1080" s="6" t="s">
        <v>13</v>
      </c>
      <c r="I1080" s="9">
        <f>MAX(original!I1080,piwebapi_edit!I1080,car_edit!I1080)</f>
        <v>45315.530741148003</v>
      </c>
      <c r="J1080" s="9">
        <f>MAX(original!J1080,piwebapi_edit!J1080,car_edit!J1080)</f>
        <v>220.665057267945</v>
      </c>
      <c r="K1080" s="17"/>
    </row>
    <row r="1081" spans="1:11" ht="30" x14ac:dyDescent="0.25">
      <c r="A1081" s="18" t="s">
        <v>2181</v>
      </c>
      <c r="B1081" s="19" t="s">
        <v>2182</v>
      </c>
      <c r="C1081" s="5">
        <v>1552</v>
      </c>
      <c r="D1081" s="21" t="s">
        <v>28</v>
      </c>
      <c r="E1081" s="21" t="s">
        <v>17</v>
      </c>
      <c r="F1081" s="22">
        <v>28126</v>
      </c>
      <c r="G1081" s="23">
        <f t="shared" si="16"/>
        <v>28126</v>
      </c>
      <c r="H1081" s="21" t="s">
        <v>13</v>
      </c>
      <c r="I1081" s="9">
        <f>MAX(original!I1081,piwebapi_edit!I1081,car_edit!I1081)</f>
        <v>66201.575449607102</v>
      </c>
      <c r="J1081" s="9">
        <f>MAX(original!J1081,piwebapi_edit!J1081,car_edit!J1081)</f>
        <v>564.15262049090904</v>
      </c>
      <c r="K1081" s="25"/>
    </row>
    <row r="1082" spans="1:11" x14ac:dyDescent="0.25">
      <c r="A1082" s="12" t="s">
        <v>2183</v>
      </c>
      <c r="B1082" s="4" t="s">
        <v>2184</v>
      </c>
      <c r="C1082" s="14">
        <v>1276</v>
      </c>
      <c r="D1082" s="6" t="s">
        <v>34</v>
      </c>
      <c r="E1082" s="6" t="s">
        <v>17</v>
      </c>
      <c r="F1082" s="7">
        <v>24108</v>
      </c>
      <c r="G1082" s="8">
        <f t="shared" si="16"/>
        <v>24108</v>
      </c>
      <c r="H1082" s="6" t="s">
        <v>13</v>
      </c>
      <c r="I1082" s="9">
        <f>MAX(original!I1082,piwebapi_edit!I1082,car_edit!I1082)</f>
        <v>8275871.3399999999</v>
      </c>
      <c r="J1082" s="9">
        <f>MAX(original!J1082,piwebapi_edit!J1082,car_edit!J1082)</f>
        <v>46000</v>
      </c>
      <c r="K1082" s="17"/>
    </row>
    <row r="1083" spans="1:11" x14ac:dyDescent="0.25">
      <c r="A1083" s="3" t="s">
        <v>2185</v>
      </c>
      <c r="B1083" s="4" t="s">
        <v>2186</v>
      </c>
      <c r="C1083" s="5">
        <v>1530</v>
      </c>
      <c r="D1083" s="6" t="s">
        <v>34</v>
      </c>
      <c r="E1083" s="6" t="s">
        <v>17</v>
      </c>
      <c r="F1083" s="7">
        <v>18264</v>
      </c>
      <c r="G1083" s="8">
        <f t="shared" si="16"/>
        <v>18264</v>
      </c>
      <c r="H1083" s="6" t="s">
        <v>13</v>
      </c>
      <c r="I1083" s="9">
        <f>MAX(original!I1083,piwebapi_edit!I1083,car_edit!I1083)</f>
        <v>209196.65</v>
      </c>
      <c r="J1083" s="9">
        <f>MAX(original!J1083,piwebapi_edit!J1083,car_edit!J1083)</f>
        <v>800</v>
      </c>
      <c r="K1083" s="17"/>
    </row>
    <row r="1084" spans="1:11" x14ac:dyDescent="0.25">
      <c r="A1084" s="3" t="s">
        <v>2187</v>
      </c>
      <c r="B1084" s="4" t="s">
        <v>2188</v>
      </c>
      <c r="C1084" s="14">
        <v>17925</v>
      </c>
      <c r="D1084" s="6" t="s">
        <v>28</v>
      </c>
      <c r="E1084" s="6" t="s">
        <v>17</v>
      </c>
      <c r="F1084" s="7">
        <v>39995</v>
      </c>
      <c r="G1084" s="8">
        <f t="shared" si="16"/>
        <v>39995</v>
      </c>
      <c r="H1084" s="6" t="s">
        <v>13</v>
      </c>
      <c r="I1084" s="9">
        <f>MAX(original!I1084,piwebapi_edit!I1084,car_edit!I1084)</f>
        <v>424532.38</v>
      </c>
      <c r="J1084" s="9">
        <f>MAX(original!J1084,piwebapi_edit!J1084,car_edit!J1084)</f>
        <v>1490</v>
      </c>
      <c r="K1084" s="17"/>
    </row>
    <row r="1085" spans="1:11" x14ac:dyDescent="0.25">
      <c r="A1085" s="3" t="s">
        <v>2189</v>
      </c>
      <c r="B1085" s="4" t="s">
        <v>2190</v>
      </c>
      <c r="C1085" s="5">
        <v>1734</v>
      </c>
      <c r="D1085" s="6" t="s">
        <v>16</v>
      </c>
      <c r="E1085" s="6" t="s">
        <v>17</v>
      </c>
      <c r="F1085" s="7">
        <v>29221</v>
      </c>
      <c r="G1085" s="8">
        <f t="shared" si="16"/>
        <v>29221</v>
      </c>
      <c r="H1085" s="6" t="s">
        <v>13</v>
      </c>
      <c r="I1085" s="9">
        <f>MAX(original!I1085,piwebapi_edit!I1085,car_edit!I1085)</f>
        <v>2094.6197179527699</v>
      </c>
      <c r="J1085" s="9">
        <f>MAX(original!J1085,piwebapi_edit!J1085,car_edit!J1085)</f>
        <v>133.158461928289</v>
      </c>
      <c r="K1085" s="17"/>
    </row>
    <row r="1086" spans="1:11" x14ac:dyDescent="0.25">
      <c r="A1086" s="3" t="s">
        <v>2191</v>
      </c>
      <c r="B1086" s="4" t="s">
        <v>2192</v>
      </c>
      <c r="C1086" s="5">
        <v>1559</v>
      </c>
      <c r="D1086" s="6" t="s">
        <v>28</v>
      </c>
      <c r="E1086" s="6" t="s">
        <v>17</v>
      </c>
      <c r="F1086" s="7">
        <v>28856</v>
      </c>
      <c r="G1086" s="8">
        <f t="shared" si="16"/>
        <v>28856</v>
      </c>
      <c r="H1086" s="6" t="s">
        <v>13</v>
      </c>
      <c r="I1086" s="9">
        <f>MAX(original!I1086,piwebapi_edit!I1086,car_edit!I1086)</f>
        <v>18197.854917145603</v>
      </c>
      <c r="J1086" s="9">
        <f>MAX(original!J1086,piwebapi_edit!J1086,car_edit!J1086)</f>
        <v>101.465986607068</v>
      </c>
      <c r="K1086" s="17"/>
    </row>
    <row r="1087" spans="1:11" x14ac:dyDescent="0.25">
      <c r="A1087" s="3" t="s">
        <v>2193</v>
      </c>
      <c r="B1087" s="4" t="s">
        <v>2194</v>
      </c>
      <c r="C1087" s="5">
        <v>1628</v>
      </c>
      <c r="D1087" s="6" t="s">
        <v>16</v>
      </c>
      <c r="E1087" s="6" t="s">
        <v>17</v>
      </c>
      <c r="F1087" s="7">
        <v>36617</v>
      </c>
      <c r="G1087" s="8">
        <f t="shared" si="16"/>
        <v>36617</v>
      </c>
      <c r="H1087" s="6" t="s">
        <v>13</v>
      </c>
      <c r="I1087" s="9">
        <f>MAX(original!I1087,piwebapi_edit!I1087,car_edit!I1087)</f>
        <v>36062.441776591601</v>
      </c>
      <c r="J1087" s="9">
        <f>MAX(original!J1087,piwebapi_edit!J1087,car_edit!J1087)</f>
        <v>269.01873541442302</v>
      </c>
      <c r="K1087" s="17"/>
    </row>
    <row r="1088" spans="1:11" ht="30" x14ac:dyDescent="0.25">
      <c r="A1088" s="18" t="s">
        <v>2195</v>
      </c>
      <c r="B1088" s="19" t="s">
        <v>2196</v>
      </c>
      <c r="C1088" s="5">
        <v>50001</v>
      </c>
      <c r="D1088" s="21" t="s">
        <v>11</v>
      </c>
      <c r="E1088" s="21" t="s">
        <v>12</v>
      </c>
      <c r="F1088" s="22">
        <v>39294</v>
      </c>
      <c r="G1088" s="23">
        <f t="shared" si="16"/>
        <v>39294</v>
      </c>
      <c r="H1088" s="21" t="s">
        <v>39</v>
      </c>
      <c r="I1088" s="9">
        <f>MAX(original!I1088,piwebapi_edit!I1088,car_edit!I1088)</f>
        <v>91436.040034196689</v>
      </c>
      <c r="J1088" s="9">
        <f>MAX(original!J1088,piwebapi_edit!J1088,car_edit!J1088)</f>
        <v>257.61041729434902</v>
      </c>
      <c r="K1088" s="25"/>
    </row>
    <row r="1089" spans="1:11" x14ac:dyDescent="0.25">
      <c r="A1089" s="3" t="s">
        <v>2197</v>
      </c>
      <c r="B1089" s="4" t="s">
        <v>2198</v>
      </c>
      <c r="C1089" s="5">
        <v>1377</v>
      </c>
      <c r="D1089" s="6" t="s">
        <v>28</v>
      </c>
      <c r="E1089" s="6" t="s">
        <v>17</v>
      </c>
      <c r="F1089" s="7">
        <v>25569</v>
      </c>
      <c r="G1089" s="8">
        <f t="shared" si="16"/>
        <v>25569</v>
      </c>
      <c r="H1089" s="6" t="s">
        <v>13</v>
      </c>
      <c r="I1089" s="9">
        <f>MAX(original!I1089,piwebapi_edit!I1089,car_edit!I1089)</f>
        <v>47476.277617651198</v>
      </c>
      <c r="J1089" s="9">
        <f>MAX(original!J1089,piwebapi_edit!J1089,car_edit!J1089)</f>
        <v>201.818163956045</v>
      </c>
      <c r="K1089" s="17"/>
    </row>
    <row r="1090" spans="1:11" x14ac:dyDescent="0.25">
      <c r="A1090" s="3" t="s">
        <v>2199</v>
      </c>
      <c r="B1090" s="4" t="s">
        <v>2200</v>
      </c>
      <c r="C1090" s="5">
        <v>54695</v>
      </c>
      <c r="D1090" s="6" t="s">
        <v>28</v>
      </c>
      <c r="E1090" s="6" t="s">
        <v>17</v>
      </c>
      <c r="F1090" s="7">
        <v>39520</v>
      </c>
      <c r="G1090" s="8">
        <f t="shared" ref="G1090:G1153" si="17">F1090</f>
        <v>39520</v>
      </c>
      <c r="H1090" s="6" t="s">
        <v>13</v>
      </c>
      <c r="I1090" s="9">
        <f>MAX(original!I1090,piwebapi_edit!I1090,car_edit!I1090)</f>
        <v>1850.9093494117901</v>
      </c>
      <c r="J1090" s="9">
        <f>MAX(original!J1090,piwebapi_edit!J1090,car_edit!J1090)</f>
        <v>25.976656955659401</v>
      </c>
      <c r="K1090" s="17"/>
    </row>
    <row r="1091" spans="1:11" ht="30" x14ac:dyDescent="0.25">
      <c r="A1091" s="18" t="s">
        <v>2201</v>
      </c>
      <c r="B1091" s="19" t="s">
        <v>2202</v>
      </c>
      <c r="C1091" s="20">
        <v>1271</v>
      </c>
      <c r="D1091" s="21" t="s">
        <v>16</v>
      </c>
      <c r="E1091" s="21" t="s">
        <v>17</v>
      </c>
      <c r="F1091" s="22">
        <v>29221</v>
      </c>
      <c r="G1091" s="23">
        <f t="shared" si="17"/>
        <v>29221</v>
      </c>
      <c r="H1091" s="21" t="s">
        <v>13</v>
      </c>
      <c r="I1091" s="9">
        <f>MAX(original!I1091,piwebapi_edit!I1091,car_edit!I1091)</f>
        <v>92722.331143948788</v>
      </c>
      <c r="J1091" s="9">
        <f>MAX(original!J1091,piwebapi_edit!J1091,car_edit!J1091)</f>
        <v>364.48181291026799</v>
      </c>
      <c r="K1091" s="25"/>
    </row>
    <row r="1092" spans="1:11" x14ac:dyDescent="0.25">
      <c r="A1092" s="3" t="s">
        <v>2203</v>
      </c>
      <c r="B1092" s="4" t="s">
        <v>2204</v>
      </c>
      <c r="C1092" s="5">
        <v>1827</v>
      </c>
      <c r="D1092" s="6" t="s">
        <v>31</v>
      </c>
      <c r="E1092" s="6" t="s">
        <v>17</v>
      </c>
      <c r="F1092" s="7">
        <v>18264</v>
      </c>
      <c r="G1092" s="8">
        <f t="shared" si="17"/>
        <v>18264</v>
      </c>
      <c r="H1092" s="6" t="s">
        <v>13</v>
      </c>
      <c r="I1092" s="9">
        <f>MAX(original!I1092,piwebapi_edit!I1092,car_edit!I1092)</f>
        <v>22050.434018202999</v>
      </c>
      <c r="J1092" s="9">
        <f>MAX(original!J1092,piwebapi_edit!J1092,car_edit!J1092)</f>
        <v>63.276876894624898</v>
      </c>
      <c r="K1092" s="17"/>
    </row>
    <row r="1093" spans="1:11" x14ac:dyDescent="0.25">
      <c r="A1093" s="3" t="s">
        <v>2205</v>
      </c>
      <c r="B1093" s="4" t="s">
        <v>2206</v>
      </c>
      <c r="C1093" s="5">
        <v>1830</v>
      </c>
      <c r="D1093" s="6" t="s">
        <v>31</v>
      </c>
      <c r="E1093" s="6" t="s">
        <v>17</v>
      </c>
      <c r="F1093" s="7">
        <v>29221</v>
      </c>
      <c r="G1093" s="8">
        <f t="shared" si="17"/>
        <v>29221</v>
      </c>
      <c r="H1093" s="6" t="s">
        <v>13</v>
      </c>
      <c r="I1093" s="9">
        <f>MAX(original!I1093,piwebapi_edit!I1093,car_edit!I1093)</f>
        <v>29275.2592534504</v>
      </c>
      <c r="J1093" s="9">
        <f>MAX(original!J1093,piwebapi_edit!J1093,car_edit!J1093)</f>
        <v>172.65667116145701</v>
      </c>
      <c r="K1093" s="17"/>
    </row>
    <row r="1094" spans="1:11" x14ac:dyDescent="0.25">
      <c r="A1094" s="3" t="s">
        <v>2207</v>
      </c>
      <c r="B1094" s="4" t="s">
        <v>2208</v>
      </c>
      <c r="C1094" s="5">
        <v>1724</v>
      </c>
      <c r="D1094" s="6" t="s">
        <v>16</v>
      </c>
      <c r="E1094" s="6" t="s">
        <v>17</v>
      </c>
      <c r="F1094" s="7">
        <v>31048</v>
      </c>
      <c r="G1094" s="8">
        <f t="shared" si="17"/>
        <v>31048</v>
      </c>
      <c r="H1094" s="6" t="s">
        <v>13</v>
      </c>
      <c r="I1094" s="9">
        <f>MAX(original!I1094,piwebapi_edit!I1094,car_edit!I1094)</f>
        <v>20226.515577321501</v>
      </c>
      <c r="J1094" s="9">
        <f>MAX(original!J1094,piwebapi_edit!J1094,car_edit!J1094)</f>
        <v>111.935682482128</v>
      </c>
      <c r="K1094" s="17"/>
    </row>
    <row r="1095" spans="1:11" x14ac:dyDescent="0.25">
      <c r="A1095" s="3" t="s">
        <v>2209</v>
      </c>
      <c r="B1095" s="4" t="s">
        <v>2210</v>
      </c>
      <c r="C1095" s="5">
        <v>1807</v>
      </c>
      <c r="D1095" s="6" t="s">
        <v>28</v>
      </c>
      <c r="E1095" s="6" t="s">
        <v>17</v>
      </c>
      <c r="F1095" s="7">
        <v>29221</v>
      </c>
      <c r="G1095" s="8">
        <f t="shared" si="17"/>
        <v>29221</v>
      </c>
      <c r="H1095" s="6" t="s">
        <v>13</v>
      </c>
      <c r="I1095" s="9">
        <f>MAX(original!I1095,piwebapi_edit!I1095,car_edit!I1095)</f>
        <v>74866.636712876207</v>
      </c>
      <c r="J1095" s="9">
        <f>MAX(original!J1095,piwebapi_edit!J1095,car_edit!J1095)</f>
        <v>480.01833207630199</v>
      </c>
      <c r="K1095" s="17"/>
    </row>
    <row r="1096" spans="1:11" x14ac:dyDescent="0.25">
      <c r="A1096" s="3" t="s">
        <v>2211</v>
      </c>
      <c r="B1096" s="4" t="s">
        <v>2212</v>
      </c>
      <c r="C1096" s="5">
        <v>21447</v>
      </c>
      <c r="D1096" s="6" t="s">
        <v>11</v>
      </c>
      <c r="E1096" s="6" t="s">
        <v>12</v>
      </c>
      <c r="F1096" s="7">
        <v>32356</v>
      </c>
      <c r="G1096" s="8">
        <f t="shared" si="17"/>
        <v>32356</v>
      </c>
      <c r="H1096" s="6" t="s">
        <v>39</v>
      </c>
      <c r="I1096" s="9">
        <f>MAX(original!I1096,piwebapi_edit!I1096,car_edit!I1096)</f>
        <v>3805.3104843138599</v>
      </c>
      <c r="J1096" s="9">
        <f>MAX(original!J1096,piwebapi_edit!J1096,car_edit!J1096)</f>
        <v>159.33670056589301</v>
      </c>
      <c r="K1096" s="17"/>
    </row>
    <row r="1097" spans="1:11" x14ac:dyDescent="0.25">
      <c r="A1097" s="3" t="s">
        <v>2213</v>
      </c>
      <c r="B1097" s="4" t="s">
        <v>2214</v>
      </c>
      <c r="C1097" s="14">
        <v>33537</v>
      </c>
      <c r="D1097" s="6" t="s">
        <v>37</v>
      </c>
      <c r="E1097" s="6" t="s">
        <v>38</v>
      </c>
      <c r="F1097" s="7">
        <v>38322</v>
      </c>
      <c r="G1097" s="8">
        <f t="shared" si="17"/>
        <v>38322</v>
      </c>
      <c r="H1097" s="6" t="s">
        <v>39</v>
      </c>
      <c r="I1097" s="9">
        <f>MAX(original!I1097,piwebapi_edit!I1097,car_edit!I1097)</f>
        <v>0</v>
      </c>
      <c r="J1097" s="9">
        <f>MAX(original!J1097,piwebapi_edit!J1097,car_edit!J1097)</f>
        <v>0</v>
      </c>
      <c r="K1097" s="17"/>
    </row>
    <row r="1098" spans="1:11" x14ac:dyDescent="0.25">
      <c r="A1098" s="3" t="s">
        <v>2215</v>
      </c>
      <c r="B1098" s="4" t="s">
        <v>2216</v>
      </c>
      <c r="C1098" s="5">
        <v>1195</v>
      </c>
      <c r="D1098" s="6" t="s">
        <v>16</v>
      </c>
      <c r="E1098" s="6" t="s">
        <v>17</v>
      </c>
      <c r="F1098" s="7">
        <v>36356</v>
      </c>
      <c r="G1098" s="8">
        <f t="shared" si="17"/>
        <v>36356</v>
      </c>
      <c r="H1098" s="6" t="s">
        <v>13</v>
      </c>
      <c r="I1098" s="9">
        <f>MAX(original!I1098,piwebapi_edit!I1098,car_edit!I1098)</f>
        <v>30912.243227581701</v>
      </c>
      <c r="J1098" s="9">
        <f>MAX(original!J1098,piwebapi_edit!J1098,car_edit!J1098)</f>
        <v>221.377019534097</v>
      </c>
      <c r="K1098" s="17"/>
    </row>
    <row r="1099" spans="1:11" x14ac:dyDescent="0.25">
      <c r="A1099" s="3" t="s">
        <v>2217</v>
      </c>
      <c r="B1099" s="4" t="s">
        <v>2218</v>
      </c>
      <c r="C1099" s="5">
        <v>1111</v>
      </c>
      <c r="D1099" s="6" t="s">
        <v>28</v>
      </c>
      <c r="E1099" s="6" t="s">
        <v>17</v>
      </c>
      <c r="F1099" s="7">
        <v>27395</v>
      </c>
      <c r="G1099" s="8">
        <f t="shared" si="17"/>
        <v>27395</v>
      </c>
      <c r="H1099" s="6" t="s">
        <v>13</v>
      </c>
      <c r="I1099" s="9">
        <f>MAX(original!I1099,piwebapi_edit!I1099,car_edit!I1099)</f>
        <v>1082895.40933539</v>
      </c>
      <c r="J1099" s="9">
        <f>MAX(original!J1099,piwebapi_edit!J1099,car_edit!J1099)</f>
        <v>6444.5078771843901</v>
      </c>
      <c r="K1099" s="17"/>
    </row>
    <row r="1100" spans="1:11" x14ac:dyDescent="0.25">
      <c r="A1100" s="3" t="s">
        <v>2219</v>
      </c>
      <c r="B1100" s="4" t="s">
        <v>2220</v>
      </c>
      <c r="C1100" s="14">
        <v>1375</v>
      </c>
      <c r="D1100" s="6" t="s">
        <v>28</v>
      </c>
      <c r="E1100" s="6" t="s">
        <v>17</v>
      </c>
      <c r="F1100" s="7">
        <v>23743</v>
      </c>
      <c r="G1100" s="8">
        <f t="shared" si="17"/>
        <v>23743</v>
      </c>
      <c r="H1100" s="6" t="s">
        <v>13</v>
      </c>
      <c r="I1100" s="9">
        <f>MAX(original!I1100,piwebapi_edit!I1100,car_edit!I1100)</f>
        <v>45918.063535082903</v>
      </c>
      <c r="J1100" s="9">
        <f>MAX(original!J1100,piwebapi_edit!J1100,car_edit!J1100)</f>
        <v>484.07475469673301</v>
      </c>
      <c r="K1100" s="17"/>
    </row>
    <row r="1101" spans="1:11" x14ac:dyDescent="0.25">
      <c r="A1101" s="3" t="s">
        <v>2221</v>
      </c>
      <c r="B1101" s="4" t="s">
        <v>2222</v>
      </c>
      <c r="C1101" s="5">
        <v>52916</v>
      </c>
      <c r="D1101" s="6" t="s">
        <v>11</v>
      </c>
      <c r="E1101" s="6" t="s">
        <v>17</v>
      </c>
      <c r="F1101" s="7">
        <v>39133</v>
      </c>
      <c r="G1101" s="8">
        <f t="shared" si="17"/>
        <v>39133</v>
      </c>
      <c r="H1101" s="6" t="s">
        <v>13</v>
      </c>
      <c r="I1101" s="9">
        <f>MAX(original!I1101,piwebapi_edit!I1101,car_edit!I1101)</f>
        <v>9162.5980732069711</v>
      </c>
      <c r="J1101" s="9">
        <f>MAX(original!J1101,piwebapi_edit!J1101,car_edit!J1101)</f>
        <v>43.875879616645598</v>
      </c>
      <c r="K1101" s="17"/>
    </row>
    <row r="1102" spans="1:11" x14ac:dyDescent="0.25">
      <c r="A1102" s="3" t="s">
        <v>2223</v>
      </c>
      <c r="B1102" s="4" t="s">
        <v>2224</v>
      </c>
      <c r="C1102" s="5">
        <v>1581</v>
      </c>
      <c r="D1102" s="6" t="s">
        <v>31</v>
      </c>
      <c r="E1102" s="6" t="s">
        <v>17</v>
      </c>
      <c r="F1102" s="7">
        <v>25569</v>
      </c>
      <c r="G1102" s="8">
        <f t="shared" si="17"/>
        <v>25569</v>
      </c>
      <c r="H1102" s="6" t="s">
        <v>13</v>
      </c>
      <c r="I1102" s="9">
        <f>MAX(original!I1102,piwebapi_edit!I1102,car_edit!I1102)</f>
        <v>3454.84770773931</v>
      </c>
      <c r="J1102" s="9">
        <f>MAX(original!J1102,piwebapi_edit!J1102,car_edit!J1102)</f>
        <v>184.80522063529301</v>
      </c>
      <c r="K1102" s="17"/>
    </row>
    <row r="1103" spans="1:11" x14ac:dyDescent="0.25">
      <c r="A1103" s="3" t="s">
        <v>2225</v>
      </c>
      <c r="B1103" s="4" t="s">
        <v>2226</v>
      </c>
      <c r="C1103" s="5">
        <v>1746</v>
      </c>
      <c r="D1103" s="6" t="s">
        <v>34</v>
      </c>
      <c r="E1103" s="6" t="s">
        <v>17</v>
      </c>
      <c r="F1103" s="7">
        <v>29221</v>
      </c>
      <c r="G1103" s="8">
        <f t="shared" si="17"/>
        <v>29221</v>
      </c>
      <c r="H1103" s="6" t="s">
        <v>13</v>
      </c>
      <c r="I1103" s="9">
        <f>MAX(original!I1103,piwebapi_edit!I1103,car_edit!I1103)</f>
        <v>9739.6653431869709</v>
      </c>
      <c r="J1103" s="9">
        <f>MAX(original!J1103,piwebapi_edit!J1103,car_edit!J1103)</f>
        <v>119.294970253912</v>
      </c>
      <c r="K1103" s="17"/>
    </row>
    <row r="1104" spans="1:11" x14ac:dyDescent="0.25">
      <c r="A1104" s="3" t="s">
        <v>2227</v>
      </c>
      <c r="B1104" s="4" t="s">
        <v>2228</v>
      </c>
      <c r="C1104" s="5">
        <v>12806</v>
      </c>
      <c r="D1104" s="6" t="s">
        <v>16</v>
      </c>
      <c r="E1104" s="6" t="s">
        <v>17</v>
      </c>
      <c r="F1104" s="7">
        <v>37790</v>
      </c>
      <c r="G1104" s="8">
        <f t="shared" si="17"/>
        <v>37790</v>
      </c>
      <c r="H1104" s="6" t="s">
        <v>13</v>
      </c>
      <c r="I1104" s="9">
        <f>MAX(original!I1104,piwebapi_edit!I1104,car_edit!I1104)</f>
        <v>170669.52258050401</v>
      </c>
      <c r="J1104" s="9">
        <f>MAX(original!J1104,piwebapi_edit!J1104,car_edit!J1104)</f>
        <v>2375.2079014455699</v>
      </c>
      <c r="K1104" s="17"/>
    </row>
    <row r="1105" spans="1:11" x14ac:dyDescent="0.25">
      <c r="A1105" s="3" t="s">
        <v>2229</v>
      </c>
      <c r="B1105" s="4" t="s">
        <v>2230</v>
      </c>
      <c r="C1105" s="14">
        <v>1426</v>
      </c>
      <c r="D1105" s="6" t="s">
        <v>16</v>
      </c>
      <c r="E1105" s="6" t="s">
        <v>17</v>
      </c>
      <c r="F1105" s="7">
        <v>29952</v>
      </c>
      <c r="G1105" s="8">
        <f t="shared" si="17"/>
        <v>29952</v>
      </c>
      <c r="H1105" s="6" t="s">
        <v>13</v>
      </c>
      <c r="I1105" s="9">
        <f>MAX(original!I1105,piwebapi_edit!I1105,car_edit!I1105)</f>
        <v>167690.72807194901</v>
      </c>
      <c r="J1105" s="9">
        <f>MAX(original!J1105,piwebapi_edit!J1105,car_edit!J1105)</f>
        <v>962.07412197557505</v>
      </c>
      <c r="K1105" s="17"/>
    </row>
    <row r="1106" spans="1:11" x14ac:dyDescent="0.25">
      <c r="A1106" s="3" t="s">
        <v>2231</v>
      </c>
      <c r="B1106" s="4" t="s">
        <v>2232</v>
      </c>
      <c r="C1106" s="14">
        <v>1612</v>
      </c>
      <c r="D1106" s="6" t="s">
        <v>16</v>
      </c>
      <c r="E1106" s="6" t="s">
        <v>17</v>
      </c>
      <c r="F1106" s="7">
        <v>29952</v>
      </c>
      <c r="G1106" s="8">
        <f t="shared" si="17"/>
        <v>29952</v>
      </c>
      <c r="H1106" s="6" t="s">
        <v>13</v>
      </c>
      <c r="I1106" s="9">
        <f>MAX(original!I1106,piwebapi_edit!I1106,car_edit!I1106)</f>
        <v>150685.54739742199</v>
      </c>
      <c r="J1106" s="9">
        <f>MAX(original!J1106,piwebapi_edit!J1106,car_edit!J1106)</f>
        <v>1051.5673310772499</v>
      </c>
      <c r="K1106" s="17"/>
    </row>
    <row r="1107" spans="1:11" x14ac:dyDescent="0.25">
      <c r="A1107" s="3" t="s">
        <v>2233</v>
      </c>
      <c r="B1107" s="4" t="s">
        <v>2234</v>
      </c>
      <c r="C1107" s="14">
        <v>29843</v>
      </c>
      <c r="D1107" s="6" t="s">
        <v>16</v>
      </c>
      <c r="E1107" s="6" t="s">
        <v>17</v>
      </c>
      <c r="F1107" s="7">
        <v>38258</v>
      </c>
      <c r="G1107" s="8">
        <f t="shared" si="17"/>
        <v>38258</v>
      </c>
      <c r="H1107" s="6" t="s">
        <v>13</v>
      </c>
      <c r="I1107" s="9">
        <f>MAX(original!I1107,piwebapi_edit!I1107,car_edit!I1107)</f>
        <v>462275.51</v>
      </c>
      <c r="J1107" s="9">
        <f>MAX(original!J1107,piwebapi_edit!J1107,car_edit!J1107)</f>
        <v>1500</v>
      </c>
      <c r="K1107" s="17"/>
    </row>
    <row r="1108" spans="1:11" ht="30" x14ac:dyDescent="0.25">
      <c r="A1108" s="18" t="s">
        <v>2235</v>
      </c>
      <c r="B1108" s="19" t="s">
        <v>2236</v>
      </c>
      <c r="C1108" s="5">
        <v>377644</v>
      </c>
      <c r="D1108" s="21" t="s">
        <v>31</v>
      </c>
      <c r="E1108" s="21" t="s">
        <v>17</v>
      </c>
      <c r="F1108" s="22">
        <v>45555</v>
      </c>
      <c r="G1108" s="23">
        <f t="shared" si="17"/>
        <v>45555</v>
      </c>
      <c r="H1108" s="21" t="s">
        <v>13</v>
      </c>
      <c r="I1108" s="9">
        <f>MAX(original!I1108,piwebapi_edit!I1108,car_edit!I1108)</f>
        <v>404226.79433188</v>
      </c>
      <c r="J1108" s="9">
        <f>MAX(original!J1108,piwebapi_edit!J1108,car_edit!J1108)</f>
        <v>700</v>
      </c>
      <c r="K1108" s="25"/>
    </row>
    <row r="1109" spans="1:11" x14ac:dyDescent="0.25">
      <c r="A1109" s="3" t="s">
        <v>2237</v>
      </c>
      <c r="B1109" s="4" t="s">
        <v>2238</v>
      </c>
      <c r="C1109" s="5">
        <v>26257</v>
      </c>
      <c r="D1109" s="6" t="s">
        <v>28</v>
      </c>
      <c r="E1109" s="6" t="s">
        <v>17</v>
      </c>
      <c r="F1109" s="7">
        <v>36412</v>
      </c>
      <c r="G1109" s="8">
        <f t="shared" si="17"/>
        <v>36412</v>
      </c>
      <c r="H1109" s="6" t="s">
        <v>13</v>
      </c>
      <c r="I1109" s="9">
        <f>MAX(original!I1109,piwebapi_edit!I1109,car_edit!I1109)</f>
        <v>108081.01852883899</v>
      </c>
      <c r="J1109" s="9">
        <f>MAX(original!J1109,piwebapi_edit!J1109,car_edit!J1109)</f>
        <v>356.47008442167203</v>
      </c>
      <c r="K1109" s="17"/>
    </row>
    <row r="1110" spans="1:11" x14ac:dyDescent="0.25">
      <c r="A1110" s="3" t="s">
        <v>2239</v>
      </c>
      <c r="B1110" s="4" t="s">
        <v>2240</v>
      </c>
      <c r="C1110" s="5">
        <v>8961</v>
      </c>
      <c r="D1110" s="6" t="s">
        <v>28</v>
      </c>
      <c r="E1110" s="6" t="s">
        <v>17</v>
      </c>
      <c r="F1110" s="7">
        <v>37712</v>
      </c>
      <c r="G1110" s="8">
        <f t="shared" si="17"/>
        <v>37712</v>
      </c>
      <c r="H1110" s="6" t="s">
        <v>13</v>
      </c>
      <c r="I1110" s="9">
        <f>MAX(original!I1110,piwebapi_edit!I1110,car_edit!I1110)</f>
        <v>9273.3418582691502</v>
      </c>
      <c r="J1110" s="9">
        <f>MAX(original!J1110,piwebapi_edit!J1110,car_edit!J1110)</f>
        <v>22.573770581066402</v>
      </c>
      <c r="K1110" s="17"/>
    </row>
    <row r="1111" spans="1:11" x14ac:dyDescent="0.25">
      <c r="A1111" s="3" t="s">
        <v>2241</v>
      </c>
      <c r="B1111" s="4" t="s">
        <v>2242</v>
      </c>
      <c r="C1111" s="5">
        <v>8964</v>
      </c>
      <c r="D1111" s="6" t="s">
        <v>28</v>
      </c>
      <c r="E1111" s="6" t="s">
        <v>17</v>
      </c>
      <c r="F1111" s="7">
        <v>37725</v>
      </c>
      <c r="G1111" s="8">
        <f t="shared" si="17"/>
        <v>37725</v>
      </c>
      <c r="H1111" s="6" t="s">
        <v>13</v>
      </c>
      <c r="I1111" s="9">
        <f>MAX(original!I1111,piwebapi_edit!I1111,car_edit!I1111)</f>
        <v>17574.5761746674</v>
      </c>
      <c r="J1111" s="9">
        <f>MAX(original!J1111,piwebapi_edit!J1111,car_edit!J1111)</f>
        <v>115.18438122954601</v>
      </c>
      <c r="K1111" s="17"/>
    </row>
    <row r="1112" spans="1:11" x14ac:dyDescent="0.25">
      <c r="A1112" s="3" t="s">
        <v>2243</v>
      </c>
      <c r="B1112" s="4" t="s">
        <v>2244</v>
      </c>
      <c r="C1112" s="14">
        <v>1582</v>
      </c>
      <c r="D1112" s="6" t="s">
        <v>31</v>
      </c>
      <c r="E1112" s="6" t="s">
        <v>17</v>
      </c>
      <c r="F1112" s="7">
        <v>29221</v>
      </c>
      <c r="G1112" s="8">
        <f t="shared" si="17"/>
        <v>29221</v>
      </c>
      <c r="H1112" s="6" t="s">
        <v>13</v>
      </c>
      <c r="I1112" s="9">
        <f>MAX(original!I1112,piwebapi_edit!I1112,car_edit!I1112)</f>
        <v>48946.036626087</v>
      </c>
      <c r="J1112" s="9">
        <f>MAX(original!J1112,piwebapi_edit!J1112,car_edit!J1112)</f>
        <v>572.52843433161695</v>
      </c>
      <c r="K1112" s="17"/>
    </row>
    <row r="1113" spans="1:11" x14ac:dyDescent="0.25">
      <c r="A1113" s="3" t="s">
        <v>2245</v>
      </c>
      <c r="B1113" s="4" t="s">
        <v>2246</v>
      </c>
      <c r="C1113" s="5">
        <v>54697</v>
      </c>
      <c r="D1113" s="6" t="s">
        <v>31</v>
      </c>
      <c r="E1113" s="6" t="s">
        <v>17</v>
      </c>
      <c r="F1113" s="7">
        <v>35583</v>
      </c>
      <c r="G1113" s="8">
        <f t="shared" si="17"/>
        <v>35583</v>
      </c>
      <c r="H1113" s="6" t="s">
        <v>13</v>
      </c>
      <c r="I1113" s="9">
        <f>MAX(original!I1113,piwebapi_edit!I1113,car_edit!I1113)</f>
        <v>31764.772444591697</v>
      </c>
      <c r="J1113" s="9">
        <f>MAX(original!J1113,piwebapi_edit!J1113,car_edit!J1113)</f>
        <v>89.730008893836199</v>
      </c>
      <c r="K1113" s="17"/>
    </row>
    <row r="1114" spans="1:11" x14ac:dyDescent="0.25">
      <c r="A1114" s="3" t="s">
        <v>2247</v>
      </c>
      <c r="B1114" s="4" t="s">
        <v>2248</v>
      </c>
      <c r="C1114" s="5">
        <v>10576</v>
      </c>
      <c r="D1114" s="6" t="s">
        <v>34</v>
      </c>
      <c r="E1114" s="6" t="s">
        <v>17</v>
      </c>
      <c r="F1114" s="7">
        <v>37006</v>
      </c>
      <c r="G1114" s="8">
        <f t="shared" si="17"/>
        <v>37006</v>
      </c>
      <c r="H1114" s="6" t="s">
        <v>13</v>
      </c>
      <c r="I1114" s="9">
        <f>MAX(original!I1114,piwebapi_edit!I1114,car_edit!I1114)</f>
        <v>23010.513535069302</v>
      </c>
      <c r="J1114" s="9">
        <f>MAX(original!J1114,piwebapi_edit!J1114,car_edit!J1114)</f>
        <v>167.57926285209899</v>
      </c>
      <c r="K1114" s="17"/>
    </row>
    <row r="1115" spans="1:11" x14ac:dyDescent="0.25">
      <c r="A1115" s="3" t="s">
        <v>2249</v>
      </c>
      <c r="B1115" s="4" t="s">
        <v>2250</v>
      </c>
      <c r="C1115" s="14">
        <v>1351</v>
      </c>
      <c r="D1115" s="6" t="s">
        <v>31</v>
      </c>
      <c r="E1115" s="6" t="s">
        <v>17</v>
      </c>
      <c r="F1115" s="7">
        <v>31560</v>
      </c>
      <c r="G1115" s="8">
        <f t="shared" si="17"/>
        <v>31560</v>
      </c>
      <c r="H1115" s="6" t="s">
        <v>13</v>
      </c>
      <c r="I1115" s="9">
        <f>MAX(original!I1115,piwebapi_edit!I1115,car_edit!I1115)</f>
        <v>403029.78</v>
      </c>
      <c r="J1115" s="9">
        <f>MAX(original!J1115,piwebapi_edit!J1115,car_edit!J1115)</f>
        <v>1930</v>
      </c>
      <c r="K1115" s="17"/>
    </row>
    <row r="1116" spans="1:11" x14ac:dyDescent="0.25">
      <c r="A1116" s="3" t="s">
        <v>2251</v>
      </c>
      <c r="B1116" s="4" t="s">
        <v>2252</v>
      </c>
      <c r="C1116" s="5">
        <v>1701</v>
      </c>
      <c r="D1116" s="6" t="s">
        <v>31</v>
      </c>
      <c r="E1116" s="6" t="s">
        <v>17</v>
      </c>
      <c r="F1116" s="7">
        <v>29952</v>
      </c>
      <c r="G1116" s="8">
        <f t="shared" si="17"/>
        <v>29952</v>
      </c>
      <c r="H1116" s="6" t="s">
        <v>13</v>
      </c>
      <c r="I1116" s="9">
        <f>MAX(original!I1116,piwebapi_edit!I1116,car_edit!I1116)</f>
        <v>544161.75</v>
      </c>
      <c r="J1116" s="9">
        <f>MAX(original!J1116,piwebapi_edit!J1116,car_edit!J1116)</f>
        <v>2560</v>
      </c>
      <c r="K1116" s="17"/>
    </row>
    <row r="1117" spans="1:11" x14ac:dyDescent="0.25">
      <c r="A1117" s="3" t="s">
        <v>2253</v>
      </c>
      <c r="B1117" s="4" t="s">
        <v>2254</v>
      </c>
      <c r="C1117" s="14">
        <v>21761</v>
      </c>
      <c r="D1117" s="6" t="s">
        <v>11</v>
      </c>
      <c r="E1117" s="6" t="s">
        <v>12</v>
      </c>
      <c r="F1117" s="7">
        <v>31935</v>
      </c>
      <c r="G1117" s="8">
        <f t="shared" si="17"/>
        <v>31935</v>
      </c>
      <c r="H1117" s="6" t="s">
        <v>39</v>
      </c>
      <c r="I1117" s="9">
        <f>MAX(original!I1117,piwebapi_edit!I1117,car_edit!I1117)</f>
        <v>38442.986782211301</v>
      </c>
      <c r="J1117" s="9">
        <f>MAX(original!J1117,piwebapi_edit!J1117,car_edit!J1117)</f>
        <v>117.54276850724099</v>
      </c>
      <c r="K1117" s="17"/>
    </row>
    <row r="1118" spans="1:11" x14ac:dyDescent="0.25">
      <c r="A1118" s="3" t="s">
        <v>2255</v>
      </c>
      <c r="B1118" s="4" t="s">
        <v>2256</v>
      </c>
      <c r="C1118" s="5">
        <v>1880</v>
      </c>
      <c r="D1118" s="6" t="s">
        <v>34</v>
      </c>
      <c r="E1118" s="6" t="s">
        <v>17</v>
      </c>
      <c r="F1118" s="7">
        <v>29952</v>
      </c>
      <c r="G1118" s="8">
        <f t="shared" si="17"/>
        <v>29952</v>
      </c>
      <c r="H1118" s="6" t="s">
        <v>13</v>
      </c>
      <c r="I1118" s="9">
        <f>MAX(original!I1118,piwebapi_edit!I1118,car_edit!I1118)</f>
        <v>24581.076192996199</v>
      </c>
      <c r="J1118" s="9">
        <f>MAX(original!J1118,piwebapi_edit!J1118,car_edit!J1118)</f>
        <v>154.999641160891</v>
      </c>
      <c r="K1118" s="17"/>
    </row>
    <row r="1119" spans="1:11" x14ac:dyDescent="0.25">
      <c r="A1119" s="3" t="s">
        <v>2257</v>
      </c>
      <c r="B1119" s="4" t="s">
        <v>2258</v>
      </c>
      <c r="C1119" s="5">
        <v>1671</v>
      </c>
      <c r="D1119" s="6" t="s">
        <v>31</v>
      </c>
      <c r="E1119" s="6" t="s">
        <v>17</v>
      </c>
      <c r="F1119" s="7">
        <v>25569</v>
      </c>
      <c r="G1119" s="8">
        <f t="shared" si="17"/>
        <v>25569</v>
      </c>
      <c r="H1119" s="6" t="s">
        <v>13</v>
      </c>
      <c r="I1119" s="9">
        <f>MAX(original!I1119,piwebapi_edit!I1119,car_edit!I1119)</f>
        <v>13331.640974985599</v>
      </c>
      <c r="J1119" s="9">
        <f>MAX(original!J1119,piwebapi_edit!J1119,car_edit!J1119)</f>
        <v>92.743693026540697</v>
      </c>
      <c r="K1119" s="17"/>
    </row>
    <row r="1120" spans="1:11" x14ac:dyDescent="0.25">
      <c r="A1120" s="3" t="s">
        <v>2259</v>
      </c>
      <c r="B1120" s="4" t="s">
        <v>2260</v>
      </c>
      <c r="C1120" s="5">
        <v>9281</v>
      </c>
      <c r="D1120" s="6" t="s">
        <v>28</v>
      </c>
      <c r="E1120" s="6" t="s">
        <v>17</v>
      </c>
      <c r="F1120" s="7">
        <v>37697</v>
      </c>
      <c r="G1120" s="8">
        <f t="shared" si="17"/>
        <v>37697</v>
      </c>
      <c r="H1120" s="6" t="s">
        <v>13</v>
      </c>
      <c r="I1120" s="9">
        <f>MAX(original!I1120,piwebapi_edit!I1120,car_edit!I1120)</f>
        <v>167941.79490507001</v>
      </c>
      <c r="J1120" s="9">
        <f>MAX(original!J1120,piwebapi_edit!J1120,car_edit!J1120)</f>
        <v>762.64037781479999</v>
      </c>
      <c r="K1120" s="17"/>
    </row>
    <row r="1121" spans="1:11" x14ac:dyDescent="0.25">
      <c r="A1121" s="3" t="s">
        <v>2261</v>
      </c>
      <c r="B1121" s="4" t="s">
        <v>2262</v>
      </c>
      <c r="C1121" s="5">
        <v>29825</v>
      </c>
      <c r="D1121" s="6" t="s">
        <v>31</v>
      </c>
      <c r="E1121" s="6" t="s">
        <v>17</v>
      </c>
      <c r="F1121" s="7">
        <v>25143</v>
      </c>
      <c r="G1121" s="8">
        <f t="shared" si="17"/>
        <v>25143</v>
      </c>
      <c r="H1121" s="6" t="s">
        <v>13</v>
      </c>
      <c r="I1121" s="9">
        <f>MAX(original!I1121,piwebapi_edit!I1121,car_edit!I1121)</f>
        <v>14122.456522128599</v>
      </c>
      <c r="J1121" s="9">
        <f>MAX(original!J1121,piwebapi_edit!J1121,car_edit!J1121)</f>
        <v>242.105315529351</v>
      </c>
      <c r="K1121" s="17"/>
    </row>
    <row r="1122" spans="1:11" x14ac:dyDescent="0.25">
      <c r="A1122" s="3" t="s">
        <v>2263</v>
      </c>
      <c r="B1122" s="4" t="s">
        <v>2264</v>
      </c>
      <c r="C1122" s="14">
        <v>54698</v>
      </c>
      <c r="D1122" s="6" t="s">
        <v>31</v>
      </c>
      <c r="E1122" s="6" t="s">
        <v>17</v>
      </c>
      <c r="F1122" s="7">
        <v>32492</v>
      </c>
      <c r="G1122" s="8">
        <f t="shared" si="17"/>
        <v>32492</v>
      </c>
      <c r="H1122" s="6" t="s">
        <v>13</v>
      </c>
      <c r="I1122" s="9">
        <f>MAX(original!I1122,piwebapi_edit!I1122,car_edit!I1122)</f>
        <v>10790.5759176539</v>
      </c>
      <c r="J1122" s="9">
        <f>MAX(original!J1122,piwebapi_edit!J1122,car_edit!J1122)</f>
        <v>64.175567737243895</v>
      </c>
      <c r="K1122" s="17"/>
    </row>
    <row r="1123" spans="1:11" ht="30" x14ac:dyDescent="0.25">
      <c r="A1123" s="18" t="s">
        <v>2265</v>
      </c>
      <c r="B1123" s="19" t="s">
        <v>2266</v>
      </c>
      <c r="C1123" s="5">
        <v>15364</v>
      </c>
      <c r="D1123" s="21" t="s">
        <v>31</v>
      </c>
      <c r="E1123" s="21" t="s">
        <v>17</v>
      </c>
      <c r="F1123" s="22">
        <v>26599</v>
      </c>
      <c r="G1123" s="23">
        <f t="shared" si="17"/>
        <v>26599</v>
      </c>
      <c r="H1123" s="21" t="s">
        <v>13</v>
      </c>
      <c r="I1123" s="9">
        <f>MAX(original!I1123,piwebapi_edit!I1123,car_edit!I1123)</f>
        <v>71132.915617646198</v>
      </c>
      <c r="J1123" s="9">
        <f>MAX(original!J1123,piwebapi_edit!J1123,car_edit!J1123)</f>
        <v>281.59561230416301</v>
      </c>
      <c r="K1123" s="25"/>
    </row>
    <row r="1124" spans="1:11" x14ac:dyDescent="0.25">
      <c r="A1124" s="3" t="s">
        <v>2267</v>
      </c>
      <c r="B1124" s="4" t="s">
        <v>2268</v>
      </c>
      <c r="C1124" s="5">
        <v>31361</v>
      </c>
      <c r="D1124" s="6" t="s">
        <v>31</v>
      </c>
      <c r="E1124" s="6" t="s">
        <v>17</v>
      </c>
      <c r="F1124" s="7">
        <v>26100</v>
      </c>
      <c r="G1124" s="8">
        <f t="shared" si="17"/>
        <v>26100</v>
      </c>
      <c r="H1124" s="6" t="s">
        <v>13</v>
      </c>
      <c r="I1124" s="9">
        <f>MAX(original!I1124,piwebapi_edit!I1124,car_edit!I1124)</f>
        <v>35488.766728432798</v>
      </c>
      <c r="J1124" s="9">
        <f>MAX(original!J1124,piwebapi_edit!J1124,car_edit!J1124)</f>
        <v>510.69350124005001</v>
      </c>
      <c r="K1124" s="17"/>
    </row>
    <row r="1125" spans="1:11" x14ac:dyDescent="0.25">
      <c r="A1125" s="3" t="s">
        <v>2269</v>
      </c>
      <c r="B1125" s="4" t="s">
        <v>2270</v>
      </c>
      <c r="C1125" s="5">
        <v>29505</v>
      </c>
      <c r="D1125" s="6" t="s">
        <v>31</v>
      </c>
      <c r="E1125" s="6" t="s">
        <v>17</v>
      </c>
      <c r="F1125" s="7">
        <v>29517</v>
      </c>
      <c r="G1125" s="8">
        <f t="shared" si="17"/>
        <v>29517</v>
      </c>
      <c r="H1125" s="6" t="s">
        <v>13</v>
      </c>
      <c r="I1125" s="9">
        <f>MAX(original!I1125,piwebapi_edit!I1125,car_edit!I1125)</f>
        <v>4741.0073319358698</v>
      </c>
      <c r="J1125" s="9">
        <f>MAX(original!J1125,piwebapi_edit!J1125,car_edit!J1125)</f>
        <v>116.915240240215</v>
      </c>
      <c r="K1125" s="17"/>
    </row>
    <row r="1126" spans="1:11" x14ac:dyDescent="0.25">
      <c r="A1126" s="26" t="s">
        <v>2271</v>
      </c>
      <c r="B1126" s="27" t="s">
        <v>2272</v>
      </c>
      <c r="C1126" s="34">
        <v>54699</v>
      </c>
      <c r="D1126" s="28" t="s">
        <v>31</v>
      </c>
      <c r="E1126" s="28" t="s">
        <v>17</v>
      </c>
      <c r="F1126" s="29">
        <v>33512</v>
      </c>
      <c r="G1126" s="30">
        <f t="shared" si="17"/>
        <v>33512</v>
      </c>
      <c r="H1126" s="28" t="s">
        <v>13</v>
      </c>
      <c r="I1126" s="9">
        <f>MAX(original!I1126,piwebapi_edit!I1126,car_edit!I1126)</f>
        <v>18311.988996224802</v>
      </c>
      <c r="J1126" s="9">
        <f>MAX(original!J1126,piwebapi_edit!J1126,car_edit!J1126)</f>
        <v>140.9221126345</v>
      </c>
      <c r="K1126" s="33"/>
    </row>
    <row r="1127" spans="1:11" x14ac:dyDescent="0.25">
      <c r="A1127" s="3" t="s">
        <v>2273</v>
      </c>
      <c r="B1127" s="4" t="s">
        <v>2274</v>
      </c>
      <c r="C1127" s="14">
        <v>13121</v>
      </c>
      <c r="D1127" s="6" t="s">
        <v>31</v>
      </c>
      <c r="E1127" s="6" t="s">
        <v>17</v>
      </c>
      <c r="F1127" s="7">
        <v>32360</v>
      </c>
      <c r="G1127" s="8">
        <f t="shared" si="17"/>
        <v>32360</v>
      </c>
      <c r="H1127" s="6" t="s">
        <v>13</v>
      </c>
      <c r="I1127" s="9">
        <f>MAX(original!I1127,piwebapi_edit!I1127,car_edit!I1127)</f>
        <v>36627.056504897402</v>
      </c>
      <c r="J1127" s="9">
        <f>MAX(original!J1127,piwebapi_edit!J1127,car_edit!J1127)</f>
        <v>178.70115016830599</v>
      </c>
      <c r="K1127" s="17"/>
    </row>
    <row r="1128" spans="1:11" x14ac:dyDescent="0.25">
      <c r="A1128" s="3" t="s">
        <v>2275</v>
      </c>
      <c r="B1128" s="4" t="s">
        <v>2276</v>
      </c>
      <c r="C1128" s="5">
        <v>1580</v>
      </c>
      <c r="D1128" s="6" t="s">
        <v>31</v>
      </c>
      <c r="E1128" s="6" t="s">
        <v>17</v>
      </c>
      <c r="F1128" s="7">
        <v>31058</v>
      </c>
      <c r="G1128" s="8">
        <f t="shared" si="17"/>
        <v>31058</v>
      </c>
      <c r="H1128" s="6" t="s">
        <v>13</v>
      </c>
      <c r="I1128" s="9">
        <f>MAX(original!I1128,piwebapi_edit!I1128,car_edit!I1128)</f>
        <v>37746.505047946797</v>
      </c>
      <c r="J1128" s="9">
        <f>MAX(original!J1128,piwebapi_edit!J1128,car_edit!J1128)</f>
        <v>155.80142958323199</v>
      </c>
      <c r="K1128" s="17"/>
    </row>
    <row r="1129" spans="1:11" x14ac:dyDescent="0.25">
      <c r="A1129" s="3" t="s">
        <v>2277</v>
      </c>
      <c r="B1129" s="4" t="s">
        <v>2278</v>
      </c>
      <c r="C1129" s="5">
        <v>1926</v>
      </c>
      <c r="D1129" s="6" t="s">
        <v>31</v>
      </c>
      <c r="E1129" s="6" t="s">
        <v>17</v>
      </c>
      <c r="F1129" s="7">
        <v>29221</v>
      </c>
      <c r="G1129" s="8">
        <f t="shared" si="17"/>
        <v>29221</v>
      </c>
      <c r="H1129" s="6" t="s">
        <v>13</v>
      </c>
      <c r="I1129" s="9">
        <f>MAX(original!I1129,piwebapi_edit!I1129,car_edit!I1129)</f>
        <v>68476.677999902298</v>
      </c>
      <c r="J1129" s="9">
        <f>MAX(original!J1129,piwebapi_edit!J1129,car_edit!J1129)</f>
        <v>299.05972007085802</v>
      </c>
      <c r="K1129" s="17"/>
    </row>
    <row r="1130" spans="1:11" x14ac:dyDescent="0.25">
      <c r="A1130" s="3" t="s">
        <v>2279</v>
      </c>
      <c r="B1130" s="4" t="s">
        <v>2280</v>
      </c>
      <c r="C1130" s="5">
        <v>15373</v>
      </c>
      <c r="D1130" s="6" t="s">
        <v>16</v>
      </c>
      <c r="E1130" s="6" t="s">
        <v>17</v>
      </c>
      <c r="F1130" s="7">
        <v>25883</v>
      </c>
      <c r="G1130" s="8">
        <f t="shared" si="17"/>
        <v>25883</v>
      </c>
      <c r="H1130" s="6" t="s">
        <v>13</v>
      </c>
      <c r="I1130" s="9">
        <f>MAX(original!I1130,piwebapi_edit!I1130,car_edit!I1130)</f>
        <v>16239.608466590698</v>
      </c>
      <c r="J1130" s="9">
        <f>MAX(original!J1130,piwebapi_edit!J1130,car_edit!J1130)</f>
        <v>47.698339532578899</v>
      </c>
      <c r="K1130" s="17"/>
    </row>
    <row r="1131" spans="1:11" x14ac:dyDescent="0.25">
      <c r="A1131" s="3" t="s">
        <v>2281</v>
      </c>
      <c r="B1131" s="4" t="s">
        <v>2282</v>
      </c>
      <c r="C1131" s="5">
        <v>15691</v>
      </c>
      <c r="D1131" s="6" t="s">
        <v>31</v>
      </c>
      <c r="E1131" s="6" t="s">
        <v>17</v>
      </c>
      <c r="F1131" s="7">
        <v>26501</v>
      </c>
      <c r="G1131" s="8">
        <f t="shared" si="17"/>
        <v>26501</v>
      </c>
      <c r="H1131" s="6" t="s">
        <v>13</v>
      </c>
      <c r="I1131" s="9">
        <f>MAX(original!I1131,piwebapi_edit!I1131,car_edit!I1131)</f>
        <v>7441.8725218009004</v>
      </c>
      <c r="J1131" s="9">
        <f>MAX(original!J1131,piwebapi_edit!J1131,car_edit!J1131)</f>
        <v>46.201309990112797</v>
      </c>
      <c r="K1131" s="17"/>
    </row>
    <row r="1132" spans="1:11" x14ac:dyDescent="0.25">
      <c r="A1132" s="3" t="s">
        <v>2283</v>
      </c>
      <c r="B1132" s="4" t="s">
        <v>2284</v>
      </c>
      <c r="C1132" s="5">
        <v>1835</v>
      </c>
      <c r="D1132" s="6" t="s">
        <v>31</v>
      </c>
      <c r="E1132" s="6" t="s">
        <v>17</v>
      </c>
      <c r="F1132" s="7">
        <v>25569</v>
      </c>
      <c r="G1132" s="8">
        <f t="shared" si="17"/>
        <v>25569</v>
      </c>
      <c r="H1132" s="6" t="s">
        <v>13</v>
      </c>
      <c r="I1132" s="9">
        <f>MAX(original!I1132,piwebapi_edit!I1132,car_edit!I1132)</f>
        <v>60256.145830127301</v>
      </c>
      <c r="J1132" s="9">
        <f>MAX(original!J1132,piwebapi_edit!J1132,car_edit!J1132)</f>
        <v>356.05934066924499</v>
      </c>
      <c r="K1132" s="17"/>
    </row>
    <row r="1133" spans="1:11" x14ac:dyDescent="0.25">
      <c r="A1133" s="12" t="s">
        <v>2285</v>
      </c>
      <c r="B1133" s="4" t="s">
        <v>2286</v>
      </c>
      <c r="C1133" s="14">
        <v>2054</v>
      </c>
      <c r="D1133" s="6" t="s">
        <v>31</v>
      </c>
      <c r="E1133" s="6" t="s">
        <v>17</v>
      </c>
      <c r="F1133" s="7">
        <v>29952</v>
      </c>
      <c r="G1133" s="8">
        <f t="shared" si="17"/>
        <v>29952</v>
      </c>
      <c r="H1133" s="6" t="s">
        <v>13</v>
      </c>
      <c r="I1133" s="9">
        <f>MAX(original!I1133,piwebapi_edit!I1133,car_edit!I1133)</f>
        <v>3916588.26</v>
      </c>
      <c r="J1133" s="9">
        <f>MAX(original!J1133,piwebapi_edit!J1133,car_edit!J1133)</f>
        <v>28500</v>
      </c>
      <c r="K1133" s="17"/>
    </row>
    <row r="1134" spans="1:11" x14ac:dyDescent="0.25">
      <c r="A1134" s="3" t="s">
        <v>2287</v>
      </c>
      <c r="B1134" s="4" t="s">
        <v>2288</v>
      </c>
      <c r="C1134" s="5">
        <v>1815</v>
      </c>
      <c r="D1134" s="6" t="s">
        <v>28</v>
      </c>
      <c r="E1134" s="6" t="s">
        <v>17</v>
      </c>
      <c r="F1134" s="7">
        <v>36510</v>
      </c>
      <c r="G1134" s="8">
        <f t="shared" si="17"/>
        <v>36510</v>
      </c>
      <c r="H1134" s="6" t="s">
        <v>13</v>
      </c>
      <c r="I1134" s="9">
        <f>MAX(original!I1134,piwebapi_edit!I1134,car_edit!I1134)</f>
        <v>6297.5153148337895</v>
      </c>
      <c r="J1134" s="9">
        <f>MAX(original!J1134,piwebapi_edit!J1134,car_edit!J1134)</f>
        <v>27.437547991799299</v>
      </c>
      <c r="K1134" s="17"/>
    </row>
    <row r="1135" spans="1:11" x14ac:dyDescent="0.25">
      <c r="A1135" s="3" t="s">
        <v>2289</v>
      </c>
      <c r="B1135" s="4" t="s">
        <v>2290</v>
      </c>
      <c r="C1135" s="5">
        <v>54700</v>
      </c>
      <c r="D1135" s="6" t="s">
        <v>37</v>
      </c>
      <c r="E1135" s="6" t="s">
        <v>17</v>
      </c>
      <c r="F1135" s="7">
        <v>39037</v>
      </c>
      <c r="G1135" s="8">
        <f t="shared" si="17"/>
        <v>39037</v>
      </c>
      <c r="H1135" s="6" t="s">
        <v>39</v>
      </c>
      <c r="I1135" s="9">
        <f>MAX(original!I1135,piwebapi_edit!I1135,car_edit!I1135)</f>
        <v>50352.368089089701</v>
      </c>
      <c r="J1135" s="9">
        <f>MAX(original!J1135,piwebapi_edit!J1135,car_edit!J1135)</f>
        <v>478.63248442235101</v>
      </c>
      <c r="K1135" s="11"/>
    </row>
    <row r="1136" spans="1:11" x14ac:dyDescent="0.25">
      <c r="A1136" s="3" t="s">
        <v>2291</v>
      </c>
      <c r="B1136" s="4" t="s">
        <v>2292</v>
      </c>
      <c r="C1136" s="5">
        <v>72124</v>
      </c>
      <c r="D1136" s="6" t="s">
        <v>11</v>
      </c>
      <c r="E1136" s="6" t="s">
        <v>17</v>
      </c>
      <c r="F1136" s="7">
        <v>39184</v>
      </c>
      <c r="G1136" s="8">
        <f t="shared" si="17"/>
        <v>39184</v>
      </c>
      <c r="H1136" s="6" t="s">
        <v>13</v>
      </c>
      <c r="I1136" s="9">
        <f>MAX(original!I1136,piwebapi_edit!I1136,car_edit!I1136)</f>
        <v>23458.5232524149</v>
      </c>
      <c r="J1136" s="9">
        <f>MAX(original!J1136,piwebapi_edit!J1136,car_edit!J1136)</f>
        <v>366.34654326614998</v>
      </c>
      <c r="K1136" s="17"/>
    </row>
    <row r="1137" spans="1:11" x14ac:dyDescent="0.25">
      <c r="A1137" s="3" t="s">
        <v>2293</v>
      </c>
      <c r="B1137" s="4" t="s">
        <v>2294</v>
      </c>
      <c r="C1137" s="5">
        <v>16642</v>
      </c>
      <c r="D1137" s="6" t="s">
        <v>16</v>
      </c>
      <c r="E1137" s="6" t="s">
        <v>17</v>
      </c>
      <c r="F1137" s="7">
        <v>29007</v>
      </c>
      <c r="G1137" s="8">
        <f t="shared" si="17"/>
        <v>29007</v>
      </c>
      <c r="H1137" s="6" t="s">
        <v>13</v>
      </c>
      <c r="I1137" s="9">
        <f>MAX(original!I1137,piwebapi_edit!I1137,car_edit!I1137)</f>
        <v>28146.447733121098</v>
      </c>
      <c r="J1137" s="9">
        <f>MAX(original!J1137,piwebapi_edit!J1137,car_edit!J1137)</f>
        <v>108.155640316709</v>
      </c>
      <c r="K1137" s="17"/>
    </row>
    <row r="1138" spans="1:11" x14ac:dyDescent="0.25">
      <c r="A1138" s="3" t="s">
        <v>2295</v>
      </c>
      <c r="B1138" s="4" t="s">
        <v>2296</v>
      </c>
      <c r="C1138" s="5">
        <v>10882</v>
      </c>
      <c r="D1138" s="6" t="s">
        <v>34</v>
      </c>
      <c r="E1138" s="6" t="s">
        <v>17</v>
      </c>
      <c r="F1138" s="7">
        <v>37843</v>
      </c>
      <c r="G1138" s="8">
        <f t="shared" si="17"/>
        <v>37843</v>
      </c>
      <c r="H1138" s="6" t="s">
        <v>13</v>
      </c>
      <c r="I1138" s="9">
        <f>MAX(original!I1138,piwebapi_edit!I1138,car_edit!I1138)</f>
        <v>66105.43690848221</v>
      </c>
      <c r="J1138" s="9">
        <f>MAX(original!J1138,piwebapi_edit!J1138,car_edit!J1138)</f>
        <v>317.193234495323</v>
      </c>
      <c r="K1138" s="17"/>
    </row>
    <row r="1139" spans="1:11" x14ac:dyDescent="0.25">
      <c r="A1139" s="26" t="s">
        <v>2297</v>
      </c>
      <c r="B1139" s="27" t="s">
        <v>2298</v>
      </c>
      <c r="C1139" s="34">
        <v>54702</v>
      </c>
      <c r="D1139" s="28" t="s">
        <v>16</v>
      </c>
      <c r="E1139" s="28" t="s">
        <v>17</v>
      </c>
      <c r="F1139" s="29">
        <v>39520</v>
      </c>
      <c r="G1139" s="30">
        <f t="shared" si="17"/>
        <v>39520</v>
      </c>
      <c r="H1139" s="28" t="s">
        <v>13</v>
      </c>
      <c r="I1139" s="9">
        <f>MAX(original!I1139,piwebapi_edit!I1139,car_edit!I1139)</f>
        <v>31823.517679526802</v>
      </c>
      <c r="J1139" s="9">
        <f>MAX(original!J1139,piwebapi_edit!J1139,car_edit!J1139)</f>
        <v>89.888216257394006</v>
      </c>
      <c r="K1139" s="33"/>
    </row>
    <row r="1140" spans="1:11" x14ac:dyDescent="0.25">
      <c r="A1140" s="3" t="s">
        <v>2299</v>
      </c>
      <c r="B1140" s="4" t="s">
        <v>2300</v>
      </c>
      <c r="C1140" s="5">
        <v>11842</v>
      </c>
      <c r="D1140" s="6" t="s">
        <v>28</v>
      </c>
      <c r="E1140" s="6" t="s">
        <v>17</v>
      </c>
      <c r="F1140" s="7">
        <v>37978</v>
      </c>
      <c r="G1140" s="8">
        <f t="shared" si="17"/>
        <v>37978</v>
      </c>
      <c r="H1140" s="6" t="s">
        <v>13</v>
      </c>
      <c r="I1140" s="9">
        <f>MAX(original!I1140,piwebapi_edit!I1140,car_edit!I1140)</f>
        <v>1442.41918129635</v>
      </c>
      <c r="J1140" s="9">
        <f>MAX(original!J1140,piwebapi_edit!J1140,car_edit!J1140)</f>
        <v>118.437148724064</v>
      </c>
      <c r="K1140" s="17"/>
    </row>
    <row r="1141" spans="1:11" x14ac:dyDescent="0.25">
      <c r="A1141" s="3" t="s">
        <v>2301</v>
      </c>
      <c r="B1141" s="4" t="s">
        <v>2302</v>
      </c>
      <c r="C1141" s="5">
        <v>50641</v>
      </c>
      <c r="D1141" s="6" t="s">
        <v>11</v>
      </c>
      <c r="E1141" s="6" t="s">
        <v>12</v>
      </c>
      <c r="F1141" s="7">
        <v>39400</v>
      </c>
      <c r="G1141" s="8">
        <f t="shared" si="17"/>
        <v>39400</v>
      </c>
      <c r="H1141" s="6" t="s">
        <v>39</v>
      </c>
      <c r="I1141" s="9">
        <f>MAX(original!I1141,piwebapi_edit!I1141,car_edit!I1141)</f>
        <v>16037.2495274799</v>
      </c>
      <c r="J1141" s="9">
        <f>MAX(original!J1141,piwebapi_edit!J1141,car_edit!J1141)</f>
        <v>145.69989416605</v>
      </c>
      <c r="K1141" s="17"/>
    </row>
    <row r="1142" spans="1:11" x14ac:dyDescent="0.25">
      <c r="A1142" s="3" t="s">
        <v>2303</v>
      </c>
      <c r="B1142" s="4" t="s">
        <v>2304</v>
      </c>
      <c r="C1142" s="14">
        <v>23394</v>
      </c>
      <c r="D1142" s="6" t="s">
        <v>11</v>
      </c>
      <c r="E1142" s="6" t="s">
        <v>17</v>
      </c>
      <c r="F1142" s="7">
        <v>35199</v>
      </c>
      <c r="G1142" s="8">
        <f t="shared" si="17"/>
        <v>35199</v>
      </c>
      <c r="H1142" s="6" t="s">
        <v>13</v>
      </c>
      <c r="I1142" s="9">
        <f>MAX(original!I1142,piwebapi_edit!I1142,car_edit!I1142)</f>
        <v>73930.92970234371</v>
      </c>
      <c r="J1142" s="9">
        <f>MAX(original!J1142,piwebapi_edit!J1142,car_edit!J1142)</f>
        <v>341.10028836073099</v>
      </c>
      <c r="K1142" s="17"/>
    </row>
    <row r="1143" spans="1:11" x14ac:dyDescent="0.25">
      <c r="A1143" s="3" t="s">
        <v>2305</v>
      </c>
      <c r="B1143" s="4" t="s">
        <v>2306</v>
      </c>
      <c r="C1143" s="5">
        <v>107317</v>
      </c>
      <c r="D1143" s="6" t="s">
        <v>34</v>
      </c>
      <c r="E1143" s="6" t="s">
        <v>17</v>
      </c>
      <c r="F1143" s="7">
        <v>40655</v>
      </c>
      <c r="G1143" s="8">
        <f t="shared" si="17"/>
        <v>40655</v>
      </c>
      <c r="H1143" s="6" t="s">
        <v>13</v>
      </c>
      <c r="I1143" s="9">
        <f>MAX(original!I1143,piwebapi_edit!I1143,car_edit!I1143)</f>
        <v>45297.7034329136</v>
      </c>
      <c r="J1143" s="9">
        <f>MAX(original!J1143,piwebapi_edit!J1143,car_edit!J1143)</f>
        <v>543.47492495130098</v>
      </c>
      <c r="K1143" s="11"/>
    </row>
    <row r="1144" spans="1:11" x14ac:dyDescent="0.25">
      <c r="A1144" s="3" t="s">
        <v>2307</v>
      </c>
      <c r="B1144" s="4" t="s">
        <v>2308</v>
      </c>
      <c r="C1144" s="5">
        <v>10885</v>
      </c>
      <c r="D1144" s="6" t="s">
        <v>34</v>
      </c>
      <c r="E1144" s="6" t="s">
        <v>17</v>
      </c>
      <c r="F1144" s="7">
        <v>37377</v>
      </c>
      <c r="G1144" s="8">
        <f t="shared" si="17"/>
        <v>37377</v>
      </c>
      <c r="H1144" s="6" t="s">
        <v>13</v>
      </c>
      <c r="I1144" s="9">
        <f>MAX(original!I1144,piwebapi_edit!I1144,car_edit!I1144)</f>
        <v>3153.45037622173</v>
      </c>
      <c r="J1144" s="9">
        <f>MAX(original!J1144,piwebapi_edit!J1144,car_edit!J1144)</f>
        <v>37.413198129284602</v>
      </c>
      <c r="K1144" s="17"/>
    </row>
    <row r="1145" spans="1:11" x14ac:dyDescent="0.25">
      <c r="A1145" s="3" t="s">
        <v>2309</v>
      </c>
      <c r="B1145" s="4" t="s">
        <v>2310</v>
      </c>
      <c r="C1145" s="14">
        <v>54703</v>
      </c>
      <c r="D1145" s="6" t="s">
        <v>28</v>
      </c>
      <c r="E1145" s="6" t="s">
        <v>508</v>
      </c>
      <c r="F1145" s="7">
        <v>37573</v>
      </c>
      <c r="G1145" s="8">
        <f t="shared" si="17"/>
        <v>37573</v>
      </c>
      <c r="H1145" s="6" t="s">
        <v>509</v>
      </c>
      <c r="I1145" s="9">
        <f>MAX(original!I1145,piwebapi_edit!I1145,car_edit!I1145)</f>
        <v>53604.635690431598</v>
      </c>
      <c r="J1145" s="9">
        <f>MAX(original!J1145,piwebapi_edit!J1145,car_edit!J1145)</f>
        <v>266.44735904802002</v>
      </c>
      <c r="K1145" s="17"/>
    </row>
    <row r="1146" spans="1:11" x14ac:dyDescent="0.25">
      <c r="A1146" s="26" t="s">
        <v>2311</v>
      </c>
      <c r="B1146" s="27" t="s">
        <v>2312</v>
      </c>
      <c r="C1146" s="5">
        <v>1588</v>
      </c>
      <c r="D1146" s="28" t="s">
        <v>34</v>
      </c>
      <c r="E1146" s="28" t="s">
        <v>17</v>
      </c>
      <c r="F1146" s="29">
        <v>29221</v>
      </c>
      <c r="G1146" s="30">
        <f t="shared" si="17"/>
        <v>29221</v>
      </c>
      <c r="H1146" s="28" t="s">
        <v>13</v>
      </c>
      <c r="I1146" s="9">
        <f>MAX(original!I1146,piwebapi_edit!I1146,car_edit!I1146)</f>
        <v>28776.769540103</v>
      </c>
      <c r="J1146" s="9">
        <f>MAX(original!J1146,piwebapi_edit!J1146,car_edit!J1146)</f>
        <v>125.423429809555</v>
      </c>
      <c r="K1146" s="33"/>
    </row>
    <row r="1147" spans="1:11" x14ac:dyDescent="0.25">
      <c r="A1147" s="18" t="s">
        <v>2313</v>
      </c>
      <c r="B1147" s="19" t="s">
        <v>2314</v>
      </c>
      <c r="C1147" s="5">
        <v>54704</v>
      </c>
      <c r="D1147" s="21" t="s">
        <v>11</v>
      </c>
      <c r="E1147" s="21" t="s">
        <v>17</v>
      </c>
      <c r="F1147" s="22">
        <v>38871</v>
      </c>
      <c r="G1147" s="8">
        <f t="shared" si="17"/>
        <v>38871</v>
      </c>
      <c r="H1147" s="21" t="s">
        <v>13</v>
      </c>
      <c r="I1147" s="9">
        <f>MAX(original!I1147,piwebapi_edit!I1147,car_edit!I1147)</f>
        <v>42601.0865922019</v>
      </c>
      <c r="J1147" s="9">
        <f>MAX(original!J1147,piwebapi_edit!J1147,car_edit!J1147)</f>
        <v>399.44517476160098</v>
      </c>
      <c r="K1147" s="17"/>
    </row>
    <row r="1148" spans="1:11" x14ac:dyDescent="0.25">
      <c r="A1148" s="3" t="s">
        <v>2315</v>
      </c>
      <c r="B1148" s="4" t="s">
        <v>2316</v>
      </c>
      <c r="C1148" s="5">
        <v>1334</v>
      </c>
      <c r="D1148" s="6" t="s">
        <v>31</v>
      </c>
      <c r="E1148" s="6" t="s">
        <v>17</v>
      </c>
      <c r="F1148" s="7">
        <v>31048</v>
      </c>
      <c r="G1148" s="8">
        <f t="shared" si="17"/>
        <v>31048</v>
      </c>
      <c r="H1148" s="6" t="s">
        <v>13</v>
      </c>
      <c r="I1148" s="9">
        <f>MAX(original!I1148,piwebapi_edit!I1148,car_edit!I1148)</f>
        <v>29803.655362948499</v>
      </c>
      <c r="J1148" s="9">
        <f>MAX(original!J1148,piwebapi_edit!J1148,car_edit!J1148)</f>
        <v>99.691822841845905</v>
      </c>
      <c r="K1148" s="17"/>
    </row>
    <row r="1149" spans="1:11" x14ac:dyDescent="0.25">
      <c r="A1149" s="3" t="s">
        <v>2317</v>
      </c>
      <c r="B1149" s="4" t="s">
        <v>2318</v>
      </c>
      <c r="C1149" s="5">
        <v>1184</v>
      </c>
      <c r="D1149" s="6" t="s">
        <v>16</v>
      </c>
      <c r="E1149" s="6" t="s">
        <v>17</v>
      </c>
      <c r="F1149" s="7">
        <v>31048</v>
      </c>
      <c r="G1149" s="8">
        <f t="shared" si="17"/>
        <v>31048</v>
      </c>
      <c r="H1149" s="6" t="s">
        <v>13</v>
      </c>
      <c r="I1149" s="9">
        <f>MAX(original!I1149,piwebapi_edit!I1149,car_edit!I1149)</f>
        <v>16162.213935229101</v>
      </c>
      <c r="J1149" s="9">
        <f>MAX(original!J1149,piwebapi_edit!J1149,car_edit!J1149)</f>
        <v>338.20150613500198</v>
      </c>
      <c r="K1149" s="17"/>
    </row>
    <row r="1150" spans="1:11" x14ac:dyDescent="0.25">
      <c r="A1150" s="3" t="s">
        <v>2319</v>
      </c>
      <c r="B1150" s="4" t="s">
        <v>2320</v>
      </c>
      <c r="C1150" s="5">
        <v>1167</v>
      </c>
      <c r="D1150" s="6" t="s">
        <v>34</v>
      </c>
      <c r="E1150" s="6" t="s">
        <v>17</v>
      </c>
      <c r="F1150" s="7">
        <v>29221</v>
      </c>
      <c r="G1150" s="8">
        <f t="shared" si="17"/>
        <v>29221</v>
      </c>
      <c r="H1150" s="6" t="s">
        <v>13</v>
      </c>
      <c r="I1150" s="9">
        <f>MAX(original!I1150,piwebapi_edit!I1150,car_edit!I1150)</f>
        <v>6925.3525850756796</v>
      </c>
      <c r="J1150" s="9">
        <f>MAX(original!J1150,piwebapi_edit!J1150,car_edit!J1150)</f>
        <v>163.499866527877</v>
      </c>
      <c r="K1150" s="17"/>
    </row>
    <row r="1151" spans="1:11" x14ac:dyDescent="0.25">
      <c r="A1151" s="3" t="s">
        <v>2321</v>
      </c>
      <c r="B1151" s="4" t="s">
        <v>2322</v>
      </c>
      <c r="C1151" s="5">
        <v>54705</v>
      </c>
      <c r="D1151" s="6" t="s">
        <v>16</v>
      </c>
      <c r="E1151" s="6" t="s">
        <v>17</v>
      </c>
      <c r="F1151" s="7">
        <v>38240</v>
      </c>
      <c r="G1151" s="8">
        <f t="shared" si="17"/>
        <v>38240</v>
      </c>
      <c r="H1151" s="6" t="s">
        <v>13</v>
      </c>
      <c r="I1151" s="9">
        <f>MAX(original!I1151,piwebapi_edit!I1151,car_edit!I1151)</f>
        <v>5792.0620865218607</v>
      </c>
      <c r="J1151" s="9">
        <f>MAX(original!J1151,piwebapi_edit!J1151,car_edit!J1151)</f>
        <v>95.850899978002104</v>
      </c>
      <c r="K1151" s="17"/>
    </row>
    <row r="1152" spans="1:11" x14ac:dyDescent="0.25">
      <c r="A1152" s="3" t="s">
        <v>2323</v>
      </c>
      <c r="B1152" s="4" t="s">
        <v>2324</v>
      </c>
      <c r="C1152" s="5">
        <v>12816</v>
      </c>
      <c r="D1152" s="6" t="s">
        <v>16</v>
      </c>
      <c r="E1152" s="6" t="s">
        <v>17</v>
      </c>
      <c r="F1152" s="7">
        <v>38084</v>
      </c>
      <c r="G1152" s="8">
        <f t="shared" si="17"/>
        <v>38084</v>
      </c>
      <c r="H1152" s="6" t="s">
        <v>13</v>
      </c>
      <c r="I1152" s="9">
        <f>MAX(original!I1152,piwebapi_edit!I1152,car_edit!I1152)</f>
        <v>12812.690222191699</v>
      </c>
      <c r="J1152" s="9">
        <f>MAX(original!J1152,piwebapi_edit!J1152,car_edit!J1152)</f>
        <v>124.508572878368</v>
      </c>
      <c r="K1152" s="17"/>
    </row>
    <row r="1153" spans="1:11" x14ac:dyDescent="0.25">
      <c r="A1153" s="3" t="s">
        <v>2325</v>
      </c>
      <c r="B1153" s="4" t="s">
        <v>2326</v>
      </c>
      <c r="C1153" s="14">
        <v>1420</v>
      </c>
      <c r="D1153" s="6" t="s">
        <v>34</v>
      </c>
      <c r="E1153" s="6" t="s">
        <v>17</v>
      </c>
      <c r="F1153" s="7">
        <v>29952</v>
      </c>
      <c r="G1153" s="8">
        <f t="shared" si="17"/>
        <v>29952</v>
      </c>
      <c r="H1153" s="6" t="s">
        <v>13</v>
      </c>
      <c r="I1153" s="9">
        <f>MAX(original!I1153,piwebapi_edit!I1153,car_edit!I1153)</f>
        <v>437539.28</v>
      </c>
      <c r="J1153" s="9">
        <f>MAX(original!J1153,piwebapi_edit!J1153,car_edit!J1153)</f>
        <v>3500</v>
      </c>
      <c r="K1153" s="17"/>
    </row>
    <row r="1154" spans="1:11" x14ac:dyDescent="0.25">
      <c r="A1154" s="3" t="s">
        <v>2327</v>
      </c>
      <c r="B1154" s="4" t="s">
        <v>2328</v>
      </c>
      <c r="C1154" s="5">
        <v>1250</v>
      </c>
      <c r="D1154" s="6" t="s">
        <v>28</v>
      </c>
      <c r="E1154" s="6" t="s">
        <v>17</v>
      </c>
      <c r="F1154" s="7">
        <v>31778</v>
      </c>
      <c r="G1154" s="8">
        <f t="shared" ref="G1154:G1217" si="18">F1154</f>
        <v>31778</v>
      </c>
      <c r="H1154" s="6" t="s">
        <v>13</v>
      </c>
      <c r="I1154" s="9">
        <f>MAX(original!I1154,piwebapi_edit!I1154,car_edit!I1154)</f>
        <v>4272.9998561032899</v>
      </c>
      <c r="J1154" s="9">
        <f>MAX(original!J1154,piwebapi_edit!J1154,car_edit!J1154)</f>
        <v>20.6553181901361</v>
      </c>
      <c r="K1154" s="17"/>
    </row>
    <row r="1155" spans="1:11" x14ac:dyDescent="0.25">
      <c r="A1155" s="3" t="s">
        <v>2329</v>
      </c>
      <c r="B1155" s="4" t="s">
        <v>2330</v>
      </c>
      <c r="C1155" s="14">
        <v>54706</v>
      </c>
      <c r="D1155" s="6" t="s">
        <v>31</v>
      </c>
      <c r="E1155" s="6" t="s">
        <v>17</v>
      </c>
      <c r="F1155" s="7">
        <v>32766</v>
      </c>
      <c r="G1155" s="8">
        <f t="shared" si="18"/>
        <v>32766</v>
      </c>
      <c r="H1155" s="6" t="s">
        <v>13</v>
      </c>
      <c r="I1155" s="9">
        <f>MAX(original!I1155,piwebapi_edit!I1155,car_edit!I1155)</f>
        <v>65781.363320805991</v>
      </c>
      <c r="J1155" s="9">
        <f>MAX(original!J1155,piwebapi_edit!J1155,car_edit!J1155)</f>
        <v>141.05629219513</v>
      </c>
      <c r="K1155" s="17"/>
    </row>
    <row r="1156" spans="1:11" x14ac:dyDescent="0.25">
      <c r="A1156" s="3" t="s">
        <v>2331</v>
      </c>
      <c r="B1156" s="4" t="s">
        <v>2332</v>
      </c>
      <c r="C1156" s="5">
        <v>1198</v>
      </c>
      <c r="D1156" s="6" t="s">
        <v>16</v>
      </c>
      <c r="E1156" s="6" t="s">
        <v>17</v>
      </c>
      <c r="F1156" s="7">
        <v>29221</v>
      </c>
      <c r="G1156" s="8">
        <f t="shared" si="18"/>
        <v>29221</v>
      </c>
      <c r="H1156" s="6" t="s">
        <v>13</v>
      </c>
      <c r="I1156" s="9">
        <f>MAX(original!I1156,piwebapi_edit!I1156,car_edit!I1156)</f>
        <v>17297.4772978658</v>
      </c>
      <c r="J1156" s="9">
        <f>MAX(original!J1156,piwebapi_edit!J1156,car_edit!J1156)</f>
        <v>209.43364012858399</v>
      </c>
      <c r="K1156" s="17"/>
    </row>
    <row r="1157" spans="1:11" x14ac:dyDescent="0.25">
      <c r="A1157" s="3" t="s">
        <v>2333</v>
      </c>
      <c r="B1157" s="4" t="s">
        <v>2334</v>
      </c>
      <c r="C1157" s="5">
        <v>1243</v>
      </c>
      <c r="D1157" s="6" t="s">
        <v>28</v>
      </c>
      <c r="E1157" s="6" t="s">
        <v>17</v>
      </c>
      <c r="F1157" s="7">
        <v>35065</v>
      </c>
      <c r="G1157" s="8">
        <f t="shared" si="18"/>
        <v>35065</v>
      </c>
      <c r="H1157" s="6" t="s">
        <v>13</v>
      </c>
      <c r="I1157" s="9">
        <f>MAX(original!I1157,piwebapi_edit!I1157,car_edit!I1157)</f>
        <v>24475.5167844428</v>
      </c>
      <c r="J1157" s="9">
        <f>MAX(original!J1157,piwebapi_edit!J1157,car_edit!J1157)</f>
        <v>332.161118180355</v>
      </c>
      <c r="K1157" s="17"/>
    </row>
    <row r="1158" spans="1:11" x14ac:dyDescent="0.25">
      <c r="A1158" s="3" t="s">
        <v>2335</v>
      </c>
      <c r="B1158" s="4" t="s">
        <v>2336</v>
      </c>
      <c r="C1158" s="5">
        <v>1551</v>
      </c>
      <c r="D1158" s="6" t="s">
        <v>28</v>
      </c>
      <c r="E1158" s="6" t="s">
        <v>17</v>
      </c>
      <c r="F1158" s="7">
        <v>32874</v>
      </c>
      <c r="G1158" s="8">
        <f t="shared" si="18"/>
        <v>32874</v>
      </c>
      <c r="H1158" s="6" t="s">
        <v>13</v>
      </c>
      <c r="I1158" s="9">
        <f>MAX(original!I1158,piwebapi_edit!I1158,car_edit!I1158)</f>
        <v>5661.9959940240396</v>
      </c>
      <c r="J1158" s="9">
        <f>MAX(original!J1158,piwebapi_edit!J1158,car_edit!J1158)</f>
        <v>153.15505405377701</v>
      </c>
      <c r="K1158" s="17"/>
    </row>
    <row r="1159" spans="1:11" x14ac:dyDescent="0.25">
      <c r="A1159" s="3" t="s">
        <v>2337</v>
      </c>
      <c r="B1159" s="4" t="s">
        <v>2338</v>
      </c>
      <c r="C1159" s="5">
        <v>1587</v>
      </c>
      <c r="D1159" s="6" t="s">
        <v>34</v>
      </c>
      <c r="E1159" s="6" t="s">
        <v>17</v>
      </c>
      <c r="F1159" s="7">
        <v>18264</v>
      </c>
      <c r="G1159" s="8">
        <f t="shared" si="18"/>
        <v>18264</v>
      </c>
      <c r="H1159" s="6" t="s">
        <v>13</v>
      </c>
      <c r="I1159" s="9">
        <f>MAX(original!I1159,piwebapi_edit!I1159,car_edit!I1159)</f>
        <v>11059.658491903299</v>
      </c>
      <c r="J1159" s="9">
        <f>MAX(original!J1159,piwebapi_edit!J1159,car_edit!J1159)</f>
        <v>178.538939826361</v>
      </c>
      <c r="K1159" s="11"/>
    </row>
    <row r="1160" spans="1:11" x14ac:dyDescent="0.25">
      <c r="A1160" s="3" t="s">
        <v>2339</v>
      </c>
      <c r="B1160" s="4" t="s">
        <v>2340</v>
      </c>
      <c r="C1160" s="5">
        <v>1663</v>
      </c>
      <c r="D1160" s="6" t="s">
        <v>16</v>
      </c>
      <c r="E1160" s="6" t="s">
        <v>17</v>
      </c>
      <c r="F1160" s="7">
        <v>36607</v>
      </c>
      <c r="G1160" s="8">
        <f t="shared" si="18"/>
        <v>36607</v>
      </c>
      <c r="H1160" s="6" t="s">
        <v>13</v>
      </c>
      <c r="I1160" s="9">
        <f>MAX(original!I1160,piwebapi_edit!I1160,car_edit!I1160)</f>
        <v>3806.65913633944</v>
      </c>
      <c r="J1160" s="9">
        <f>MAX(original!J1160,piwebapi_edit!J1160,car_edit!J1160)</f>
        <v>103.015947771648</v>
      </c>
      <c r="K1160" s="17"/>
    </row>
    <row r="1161" spans="1:11" x14ac:dyDescent="0.25">
      <c r="A1161" s="3" t="s">
        <v>2341</v>
      </c>
      <c r="B1161" s="4" t="s">
        <v>2342</v>
      </c>
      <c r="C1161" s="14">
        <v>19208</v>
      </c>
      <c r="D1161" s="6" t="s">
        <v>16</v>
      </c>
      <c r="E1161" s="6" t="s">
        <v>17</v>
      </c>
      <c r="F1161" s="7">
        <v>31453</v>
      </c>
      <c r="G1161" s="8">
        <f t="shared" si="18"/>
        <v>31453</v>
      </c>
      <c r="H1161" s="6" t="s">
        <v>13</v>
      </c>
      <c r="I1161" s="9">
        <f>MAX(original!I1161,piwebapi_edit!I1161,car_edit!I1161)</f>
        <v>79500</v>
      </c>
      <c r="J1161" s="9">
        <f>MAX(original!J1161,piwebapi_edit!J1161,car_edit!J1161)</f>
        <v>721.52366894842396</v>
      </c>
      <c r="K1161" s="17"/>
    </row>
    <row r="1162" spans="1:11" x14ac:dyDescent="0.25">
      <c r="A1162" s="3" t="s">
        <v>2343</v>
      </c>
      <c r="B1162" s="4" t="s">
        <v>2344</v>
      </c>
      <c r="C1162" s="5">
        <v>18883</v>
      </c>
      <c r="D1162" s="6" t="s">
        <v>16</v>
      </c>
      <c r="E1162" s="6" t="s">
        <v>17</v>
      </c>
      <c r="F1162" s="7">
        <v>32701</v>
      </c>
      <c r="G1162" s="8">
        <f t="shared" si="18"/>
        <v>32701</v>
      </c>
      <c r="H1162" s="6" t="s">
        <v>13</v>
      </c>
      <c r="I1162" s="9">
        <f>MAX(original!I1162,piwebapi_edit!I1162,car_edit!I1162)</f>
        <v>34773.968248356199</v>
      </c>
      <c r="J1162" s="9">
        <f>MAX(original!J1162,piwebapi_edit!J1162,car_edit!J1162)</f>
        <v>404.68938372223101</v>
      </c>
      <c r="K1162" s="17"/>
    </row>
    <row r="1163" spans="1:11" x14ac:dyDescent="0.25">
      <c r="A1163" s="3" t="s">
        <v>2345</v>
      </c>
      <c r="B1163" s="4" t="s">
        <v>2346</v>
      </c>
      <c r="C1163" s="5">
        <v>1502</v>
      </c>
      <c r="D1163" s="6" t="s">
        <v>28</v>
      </c>
      <c r="E1163" s="6" t="s">
        <v>17</v>
      </c>
      <c r="F1163" s="7">
        <v>18264</v>
      </c>
      <c r="G1163" s="8">
        <f t="shared" si="18"/>
        <v>18264</v>
      </c>
      <c r="H1163" s="6" t="s">
        <v>13</v>
      </c>
      <c r="I1163" s="9">
        <f>MAX(original!I1163,piwebapi_edit!I1163,car_edit!I1163)</f>
        <v>74006.130767090304</v>
      </c>
      <c r="J1163" s="9">
        <f>MAX(original!J1163,piwebapi_edit!J1163,car_edit!J1163)</f>
        <v>233.496440699857</v>
      </c>
      <c r="K1163" s="17"/>
    </row>
    <row r="1164" spans="1:11" x14ac:dyDescent="0.25">
      <c r="A1164" s="3" t="s">
        <v>2347</v>
      </c>
      <c r="B1164" s="4" t="s">
        <v>2348</v>
      </c>
      <c r="C1164" s="5">
        <v>1495</v>
      </c>
      <c r="D1164" s="6" t="s">
        <v>28</v>
      </c>
      <c r="E1164" s="6" t="s">
        <v>17</v>
      </c>
      <c r="F1164" s="7">
        <v>29221</v>
      </c>
      <c r="G1164" s="8">
        <f t="shared" si="18"/>
        <v>29221</v>
      </c>
      <c r="H1164" s="6" t="s">
        <v>13</v>
      </c>
      <c r="I1164" s="9">
        <f>MAX(original!I1164,piwebapi_edit!I1164,car_edit!I1164)</f>
        <v>426181.48000000004</v>
      </c>
      <c r="J1164" s="9">
        <f>MAX(original!J1164,piwebapi_edit!J1164,car_edit!J1164)</f>
        <v>1600</v>
      </c>
      <c r="K1164" s="17"/>
    </row>
    <row r="1165" spans="1:11" x14ac:dyDescent="0.25">
      <c r="A1165" s="3" t="s">
        <v>2349</v>
      </c>
      <c r="B1165" s="4" t="s">
        <v>2350</v>
      </c>
      <c r="C1165" s="5">
        <v>21445</v>
      </c>
      <c r="D1165" s="6" t="s">
        <v>28</v>
      </c>
      <c r="E1165" s="6" t="s">
        <v>17</v>
      </c>
      <c r="F1165" s="7">
        <v>38958</v>
      </c>
      <c r="G1165" s="8">
        <f t="shared" si="18"/>
        <v>38958</v>
      </c>
      <c r="H1165" s="6" t="s">
        <v>13</v>
      </c>
      <c r="I1165" s="9">
        <f>MAX(original!I1165,piwebapi_edit!I1165,car_edit!I1165)</f>
        <v>37194.229130493099</v>
      </c>
      <c r="J1165" s="9">
        <f>MAX(original!J1165,piwebapi_edit!J1165,car_edit!J1165)</f>
        <v>334.11353254636202</v>
      </c>
      <c r="K1165" s="17"/>
    </row>
    <row r="1166" spans="1:11" x14ac:dyDescent="0.25">
      <c r="A1166" s="3" t="s">
        <v>2351</v>
      </c>
      <c r="B1166" s="4" t="s">
        <v>2352</v>
      </c>
      <c r="C1166" s="5">
        <v>1937</v>
      </c>
      <c r="D1166" s="6" t="s">
        <v>34</v>
      </c>
      <c r="E1166" s="6" t="s">
        <v>17</v>
      </c>
      <c r="F1166" s="7">
        <v>36395</v>
      </c>
      <c r="G1166" s="8">
        <f t="shared" si="18"/>
        <v>36395</v>
      </c>
      <c r="H1166" s="6" t="s">
        <v>13</v>
      </c>
      <c r="I1166" s="9">
        <f>MAX(original!I1166,piwebapi_edit!I1166,car_edit!I1166)</f>
        <v>13574.325885013301</v>
      </c>
      <c r="J1166" s="9">
        <f>MAX(original!J1166,piwebapi_edit!J1166,car_edit!J1166)</f>
        <v>152.49257678310499</v>
      </c>
      <c r="K1166" s="17"/>
    </row>
    <row r="1167" spans="1:11" x14ac:dyDescent="0.25">
      <c r="A1167" s="3" t="s">
        <v>2353</v>
      </c>
      <c r="B1167" s="4" t="s">
        <v>2354</v>
      </c>
      <c r="C1167" s="5">
        <v>1853</v>
      </c>
      <c r="D1167" s="6" t="s">
        <v>16</v>
      </c>
      <c r="E1167" s="6" t="s">
        <v>17</v>
      </c>
      <c r="F1167" s="7">
        <v>31048</v>
      </c>
      <c r="G1167" s="8">
        <f t="shared" si="18"/>
        <v>31048</v>
      </c>
      <c r="H1167" s="6" t="s">
        <v>13</v>
      </c>
      <c r="I1167" s="9">
        <f>MAX(original!I1167,piwebapi_edit!I1167,car_edit!I1167)</f>
        <v>83923.589805809796</v>
      </c>
      <c r="J1167" s="9">
        <f>MAX(original!J1167,piwebapi_edit!J1167,car_edit!J1167)</f>
        <v>326.17791712233901</v>
      </c>
      <c r="K1167" s="17"/>
    </row>
    <row r="1168" spans="1:11" x14ac:dyDescent="0.25">
      <c r="A1168" s="3" t="s">
        <v>2355</v>
      </c>
      <c r="B1168" s="4" t="s">
        <v>2356</v>
      </c>
      <c r="C1168" s="5">
        <v>1669</v>
      </c>
      <c r="D1168" s="6" t="s">
        <v>31</v>
      </c>
      <c r="E1168" s="6" t="s">
        <v>17</v>
      </c>
      <c r="F1168" s="7">
        <v>18264</v>
      </c>
      <c r="G1168" s="8">
        <f t="shared" si="18"/>
        <v>18264</v>
      </c>
      <c r="H1168" s="6" t="s">
        <v>13</v>
      </c>
      <c r="I1168" s="9">
        <f>MAX(original!I1168,piwebapi_edit!I1168,car_edit!I1168)</f>
        <v>9007.5494665548304</v>
      </c>
      <c r="J1168" s="9">
        <f>MAX(original!J1168,piwebapi_edit!J1168,car_edit!J1168)</f>
        <v>106.509462478518</v>
      </c>
      <c r="K1168" s="17"/>
    </row>
    <row r="1169" spans="1:11" x14ac:dyDescent="0.25">
      <c r="A1169" s="3" t="s">
        <v>2357</v>
      </c>
      <c r="B1169" s="4" t="s">
        <v>2358</v>
      </c>
      <c r="C1169" s="5">
        <v>1451</v>
      </c>
      <c r="D1169" s="6" t="s">
        <v>31</v>
      </c>
      <c r="E1169" s="6" t="s">
        <v>17</v>
      </c>
      <c r="F1169" s="7">
        <v>19725</v>
      </c>
      <c r="G1169" s="8">
        <f t="shared" si="18"/>
        <v>19725</v>
      </c>
      <c r="H1169" s="6" t="s">
        <v>13</v>
      </c>
      <c r="I1169" s="9">
        <f>MAX(original!I1169,piwebapi_edit!I1169,car_edit!I1169)</f>
        <v>12100.385216799299</v>
      </c>
      <c r="J1169" s="9">
        <f>MAX(original!J1169,piwebapi_edit!J1169,car_edit!J1169)</f>
        <v>169.25760315352699</v>
      </c>
      <c r="K1169" s="17"/>
    </row>
    <row r="1170" spans="1:11" x14ac:dyDescent="0.25">
      <c r="A1170" s="3" t="s">
        <v>2359</v>
      </c>
      <c r="B1170" s="4" t="s">
        <v>2360</v>
      </c>
      <c r="C1170" s="5">
        <v>2246</v>
      </c>
      <c r="D1170" s="6" t="s">
        <v>31</v>
      </c>
      <c r="E1170" s="6" t="s">
        <v>17</v>
      </c>
      <c r="F1170" s="7">
        <v>37054</v>
      </c>
      <c r="G1170" s="8">
        <f t="shared" si="18"/>
        <v>37054</v>
      </c>
      <c r="H1170" s="6" t="s">
        <v>13</v>
      </c>
      <c r="I1170" s="9">
        <f>MAX(original!I1170,piwebapi_edit!I1170,car_edit!I1170)</f>
        <v>14070.121688135099</v>
      </c>
      <c r="J1170" s="9">
        <f>MAX(original!J1170,piwebapi_edit!J1170,car_edit!J1170)</f>
        <v>155.28382787359001</v>
      </c>
      <c r="K1170" s="17"/>
    </row>
    <row r="1171" spans="1:11" x14ac:dyDescent="0.25">
      <c r="A1171" s="3" t="s">
        <v>2361</v>
      </c>
      <c r="B1171" s="4" t="s">
        <v>2362</v>
      </c>
      <c r="C1171" s="5">
        <v>72100</v>
      </c>
      <c r="D1171" s="6" t="s">
        <v>37</v>
      </c>
      <c r="E1171" s="6" t="s">
        <v>38</v>
      </c>
      <c r="F1171" s="7">
        <v>39003</v>
      </c>
      <c r="G1171" s="8">
        <f t="shared" si="18"/>
        <v>39003</v>
      </c>
      <c r="H1171" s="6" t="s">
        <v>39</v>
      </c>
      <c r="I1171" s="9">
        <f>MAX(original!I1171,piwebapi_edit!I1171,car_edit!I1171)</f>
        <v>17545.5842852061</v>
      </c>
      <c r="J1171" s="9">
        <f>MAX(original!J1171,piwebapi_edit!J1171,car_edit!J1171)</f>
        <v>262.27336585563</v>
      </c>
      <c r="K1171" s="17"/>
    </row>
    <row r="1172" spans="1:11" x14ac:dyDescent="0.25">
      <c r="A1172" s="26" t="s">
        <v>2363</v>
      </c>
      <c r="B1172" s="27" t="s">
        <v>2364</v>
      </c>
      <c r="C1172" s="5">
        <v>1832</v>
      </c>
      <c r="D1172" s="28" t="s">
        <v>31</v>
      </c>
      <c r="E1172" s="28" t="s">
        <v>17</v>
      </c>
      <c r="F1172" s="29">
        <v>32070</v>
      </c>
      <c r="G1172" s="30">
        <f t="shared" si="18"/>
        <v>32070</v>
      </c>
      <c r="H1172" s="28" t="s">
        <v>13</v>
      </c>
      <c r="I1172" s="9">
        <f>MAX(original!I1172,piwebapi_edit!I1172,car_edit!I1172)</f>
        <v>32841.803971544003</v>
      </c>
      <c r="J1172" s="9">
        <f>MAX(original!J1172,piwebapi_edit!J1172,car_edit!J1172)</f>
        <v>101.098394834337</v>
      </c>
      <c r="K1172" s="33"/>
    </row>
    <row r="1173" spans="1:11" x14ac:dyDescent="0.25">
      <c r="A1173" s="3" t="s">
        <v>2365</v>
      </c>
      <c r="B1173" s="4" t="s">
        <v>2366</v>
      </c>
      <c r="C1173" s="5">
        <v>1921</v>
      </c>
      <c r="D1173" s="6" t="s">
        <v>31</v>
      </c>
      <c r="E1173" s="6" t="s">
        <v>17</v>
      </c>
      <c r="F1173" s="7">
        <v>36945</v>
      </c>
      <c r="G1173" s="8">
        <f t="shared" si="18"/>
        <v>36945</v>
      </c>
      <c r="H1173" s="6" t="s">
        <v>13</v>
      </c>
      <c r="I1173" s="9">
        <f>MAX(original!I1173,piwebapi_edit!I1173,car_edit!I1173)</f>
        <v>85239.592148001902</v>
      </c>
      <c r="J1173" s="9">
        <f>MAX(original!J1173,piwebapi_edit!J1173,car_edit!J1173)</f>
        <v>546.18889976298499</v>
      </c>
      <c r="K1173" s="17"/>
    </row>
    <row r="1174" spans="1:11" x14ac:dyDescent="0.25">
      <c r="A1174" s="3" t="s">
        <v>2367</v>
      </c>
      <c r="B1174" s="4" t="s">
        <v>2368</v>
      </c>
      <c r="C1174" s="14">
        <v>39745</v>
      </c>
      <c r="D1174" s="6" t="s">
        <v>37</v>
      </c>
      <c r="E1174" s="6" t="s">
        <v>38</v>
      </c>
      <c r="F1174" s="7">
        <v>36903</v>
      </c>
      <c r="G1174" s="8">
        <f t="shared" si="18"/>
        <v>36903</v>
      </c>
      <c r="H1174" s="6" t="s">
        <v>39</v>
      </c>
      <c r="I1174" s="9">
        <f>MAX(original!I1174,piwebapi_edit!I1174,car_edit!I1174)</f>
        <v>1497.6733920013701</v>
      </c>
      <c r="J1174" s="9">
        <f>MAX(original!J1174,piwebapi_edit!J1174,car_edit!J1174)</f>
        <v>495.58631516709602</v>
      </c>
      <c r="K1174" s="11"/>
    </row>
    <row r="1175" spans="1:11" x14ac:dyDescent="0.25">
      <c r="A1175" s="3" t="s">
        <v>2369</v>
      </c>
      <c r="B1175" s="4" t="s">
        <v>2370</v>
      </c>
      <c r="C1175" s="5">
        <v>12494</v>
      </c>
      <c r="D1175" s="6" t="s">
        <v>37</v>
      </c>
      <c r="E1175" s="6" t="s">
        <v>38</v>
      </c>
      <c r="F1175" s="7">
        <v>37425</v>
      </c>
      <c r="G1175" s="8">
        <f t="shared" si="18"/>
        <v>37425</v>
      </c>
      <c r="H1175" s="6" t="s">
        <v>39</v>
      </c>
      <c r="I1175" s="9">
        <f>MAX(original!I1175,piwebapi_edit!I1175,car_edit!I1175)</f>
        <v>30528.0909676679</v>
      </c>
      <c r="J1175" s="9">
        <f>MAX(original!J1175,piwebapi_edit!J1175,car_edit!J1175)</f>
        <v>726.39028886547499</v>
      </c>
      <c r="K1175" s="17"/>
    </row>
    <row r="1176" spans="1:11" x14ac:dyDescent="0.25">
      <c r="A1176" s="3" t="s">
        <v>2371</v>
      </c>
      <c r="B1176" s="4" t="s">
        <v>2372</v>
      </c>
      <c r="C1176" s="5">
        <v>1845</v>
      </c>
      <c r="D1176" s="6" t="s">
        <v>31</v>
      </c>
      <c r="E1176" s="6" t="s">
        <v>17</v>
      </c>
      <c r="F1176" s="7">
        <v>31048</v>
      </c>
      <c r="G1176" s="8">
        <f t="shared" si="18"/>
        <v>31048</v>
      </c>
      <c r="H1176" s="6" t="s">
        <v>13</v>
      </c>
      <c r="I1176" s="9">
        <f>MAX(original!I1176,piwebapi_edit!I1176,car_edit!I1176)</f>
        <v>88182.582760921214</v>
      </c>
      <c r="J1176" s="9">
        <f>MAX(original!J1176,piwebapi_edit!J1176,car_edit!J1176)</f>
        <v>258.826942846355</v>
      </c>
      <c r="K1176" s="17"/>
    </row>
    <row r="1177" spans="1:11" x14ac:dyDescent="0.25">
      <c r="A1177" s="3" t="s">
        <v>2373</v>
      </c>
      <c r="B1177" s="4" t="s">
        <v>2374</v>
      </c>
      <c r="C1177" s="14">
        <v>1843</v>
      </c>
      <c r="D1177" s="6" t="s">
        <v>31</v>
      </c>
      <c r="E1177" s="6" t="s">
        <v>17</v>
      </c>
      <c r="F1177" s="7">
        <v>33055</v>
      </c>
      <c r="G1177" s="8">
        <f t="shared" si="18"/>
        <v>33055</v>
      </c>
      <c r="H1177" s="6" t="s">
        <v>13</v>
      </c>
      <c r="I1177" s="9">
        <f>MAX(original!I1177,piwebapi_edit!I1177,car_edit!I1177)</f>
        <v>77936.419667535607</v>
      </c>
      <c r="J1177" s="9">
        <f>MAX(original!J1177,piwebapi_edit!J1177,car_edit!J1177)</f>
        <v>609.49791917473203</v>
      </c>
      <c r="K1177" s="17"/>
    </row>
    <row r="1178" spans="1:11" x14ac:dyDescent="0.25">
      <c r="A1178" s="3" t="s">
        <v>2375</v>
      </c>
      <c r="B1178" s="4" t="s">
        <v>2376</v>
      </c>
      <c r="C1178" s="5">
        <v>1180</v>
      </c>
      <c r="D1178" s="6" t="s">
        <v>31</v>
      </c>
      <c r="E1178" s="6" t="s">
        <v>17</v>
      </c>
      <c r="F1178" s="7">
        <v>32874</v>
      </c>
      <c r="G1178" s="8">
        <f t="shared" si="18"/>
        <v>32874</v>
      </c>
      <c r="H1178" s="6" t="s">
        <v>13</v>
      </c>
      <c r="I1178" s="9">
        <f>MAX(original!I1178,piwebapi_edit!I1178,car_edit!I1178)</f>
        <v>9710.3695094097802</v>
      </c>
      <c r="J1178" s="9">
        <f>MAX(original!J1178,piwebapi_edit!J1178,car_edit!J1178)</f>
        <v>337.65833913752698</v>
      </c>
      <c r="K1178" s="17"/>
    </row>
    <row r="1179" spans="1:11" x14ac:dyDescent="0.25">
      <c r="A1179" s="3" t="s">
        <v>2377</v>
      </c>
      <c r="B1179" s="4" t="s">
        <v>2378</v>
      </c>
      <c r="C1179" s="14">
        <v>53843</v>
      </c>
      <c r="D1179" s="6" t="s">
        <v>34</v>
      </c>
      <c r="E1179" s="6" t="s">
        <v>17</v>
      </c>
      <c r="F1179" s="7">
        <v>37196</v>
      </c>
      <c r="G1179" s="8">
        <f t="shared" si="18"/>
        <v>37196</v>
      </c>
      <c r="H1179" s="6" t="s">
        <v>13</v>
      </c>
      <c r="I1179" s="9">
        <f>MAX(original!I1179,piwebapi_edit!I1179,car_edit!I1179)</f>
        <v>593.09011513239</v>
      </c>
      <c r="J1179" s="9">
        <f>MAX(original!J1179,piwebapi_edit!J1179,car_edit!J1179)</f>
        <v>107.181215005486</v>
      </c>
      <c r="K1179" s="17"/>
    </row>
    <row r="1180" spans="1:11" x14ac:dyDescent="0.25">
      <c r="A1180" s="3" t="s">
        <v>2379</v>
      </c>
      <c r="B1180" s="4" t="s">
        <v>2380</v>
      </c>
      <c r="C1180" s="5">
        <v>15372</v>
      </c>
      <c r="D1180" s="6" t="s">
        <v>34</v>
      </c>
      <c r="E1180" s="6" t="s">
        <v>17</v>
      </c>
      <c r="F1180" s="7">
        <v>37196</v>
      </c>
      <c r="G1180" s="8">
        <f t="shared" si="18"/>
        <v>37196</v>
      </c>
      <c r="H1180" s="6" t="s">
        <v>13</v>
      </c>
      <c r="I1180" s="9">
        <f>MAX(original!I1180,piwebapi_edit!I1180,car_edit!I1180)</f>
        <v>947.21629307481498</v>
      </c>
      <c r="J1180" s="9">
        <f>MAX(original!J1180,piwebapi_edit!J1180,car_edit!J1180)</f>
        <v>33.125498430027903</v>
      </c>
      <c r="K1180" s="17"/>
    </row>
    <row r="1181" spans="1:11" x14ac:dyDescent="0.25">
      <c r="A1181" s="3" t="s">
        <v>2381</v>
      </c>
      <c r="B1181" s="4" t="s">
        <v>2382</v>
      </c>
      <c r="C1181" s="5">
        <v>15370</v>
      </c>
      <c r="D1181" s="6" t="s">
        <v>34</v>
      </c>
      <c r="E1181" s="6" t="s">
        <v>17</v>
      </c>
      <c r="F1181" s="7">
        <v>37196</v>
      </c>
      <c r="G1181" s="8">
        <f t="shared" si="18"/>
        <v>37196</v>
      </c>
      <c r="H1181" s="6" t="s">
        <v>13</v>
      </c>
      <c r="I1181" s="9">
        <f>MAX(original!I1181,piwebapi_edit!I1181,car_edit!I1181)</f>
        <v>17406.689163733801</v>
      </c>
      <c r="J1181" s="9">
        <f>MAX(original!J1181,piwebapi_edit!J1181,car_edit!J1181)</f>
        <v>315.54212167571302</v>
      </c>
      <c r="K1181" s="17"/>
    </row>
    <row r="1182" spans="1:11" x14ac:dyDescent="0.25">
      <c r="A1182" s="18" t="s">
        <v>2383</v>
      </c>
      <c r="B1182" s="19" t="s">
        <v>2384</v>
      </c>
      <c r="C1182" s="5">
        <v>1825</v>
      </c>
      <c r="D1182" s="21" t="s">
        <v>28</v>
      </c>
      <c r="E1182" s="21" t="s">
        <v>17</v>
      </c>
      <c r="F1182" s="22">
        <v>37951</v>
      </c>
      <c r="G1182" s="23">
        <f t="shared" si="18"/>
        <v>37951</v>
      </c>
      <c r="H1182" s="21" t="s">
        <v>13</v>
      </c>
      <c r="I1182" s="9">
        <f>MAX(original!I1182,piwebapi_edit!I1182,car_edit!I1182)</f>
        <v>204756.54</v>
      </c>
      <c r="J1182" s="9">
        <f>MAX(original!J1182,piwebapi_edit!J1182,car_edit!J1182)</f>
        <v>940</v>
      </c>
      <c r="K1182" s="41"/>
    </row>
    <row r="1183" spans="1:11" x14ac:dyDescent="0.25">
      <c r="A1183" s="3" t="s">
        <v>2385</v>
      </c>
      <c r="B1183" s="4" t="s">
        <v>2386</v>
      </c>
      <c r="C1183" s="5">
        <v>1789</v>
      </c>
      <c r="D1183" s="6" t="s">
        <v>28</v>
      </c>
      <c r="E1183" s="6" t="s">
        <v>17</v>
      </c>
      <c r="F1183" s="7">
        <v>29221</v>
      </c>
      <c r="G1183" s="8">
        <f t="shared" si="18"/>
        <v>29221</v>
      </c>
      <c r="H1183" s="6" t="s">
        <v>13</v>
      </c>
      <c r="I1183" s="9">
        <f>MAX(original!I1183,piwebapi_edit!I1183,car_edit!I1183)</f>
        <v>56345.567350164303</v>
      </c>
      <c r="J1183" s="9">
        <f>MAX(original!J1183,piwebapi_edit!J1183,car_edit!J1183)</f>
        <v>105.748562168399</v>
      </c>
      <c r="K1183" s="17"/>
    </row>
    <row r="1184" spans="1:11" x14ac:dyDescent="0.25">
      <c r="A1184" s="3" t="s">
        <v>2387</v>
      </c>
      <c r="B1184" s="4" t="s">
        <v>2388</v>
      </c>
      <c r="C1184" s="14">
        <v>1788</v>
      </c>
      <c r="D1184" s="6" t="s">
        <v>28</v>
      </c>
      <c r="E1184" s="6" t="s">
        <v>17</v>
      </c>
      <c r="F1184" s="7">
        <v>24108</v>
      </c>
      <c r="G1184" s="8">
        <f t="shared" si="18"/>
        <v>24108</v>
      </c>
      <c r="H1184" s="6" t="s">
        <v>13</v>
      </c>
      <c r="I1184" s="9">
        <f>MAX(original!I1184,piwebapi_edit!I1184,car_edit!I1184)</f>
        <v>1002580.4</v>
      </c>
      <c r="J1184" s="9">
        <f>MAX(original!J1184,piwebapi_edit!J1184,car_edit!J1184)</f>
        <v>2360</v>
      </c>
      <c r="K1184" s="17"/>
    </row>
    <row r="1185" spans="1:11" x14ac:dyDescent="0.25">
      <c r="A1185" s="3" t="s">
        <v>2389</v>
      </c>
      <c r="B1185" s="4" t="s">
        <v>2390</v>
      </c>
      <c r="C1185" s="5">
        <v>1814</v>
      </c>
      <c r="D1185" s="6" t="s">
        <v>28</v>
      </c>
      <c r="E1185" s="6" t="s">
        <v>17</v>
      </c>
      <c r="F1185" s="7">
        <v>29221</v>
      </c>
      <c r="G1185" s="8">
        <f t="shared" si="18"/>
        <v>29221</v>
      </c>
      <c r="H1185" s="6" t="s">
        <v>13</v>
      </c>
      <c r="I1185" s="9">
        <f>MAX(original!I1185,piwebapi_edit!I1185,car_edit!I1185)</f>
        <v>7848.3077939270606</v>
      </c>
      <c r="J1185" s="9">
        <f>MAX(original!J1185,piwebapi_edit!J1185,car_edit!J1185)</f>
        <v>286.57439586032802</v>
      </c>
      <c r="K1185" s="17"/>
    </row>
    <row r="1186" spans="1:11" x14ac:dyDescent="0.25">
      <c r="A1186" s="3" t="s">
        <v>2391</v>
      </c>
      <c r="B1186" s="4" t="s">
        <v>2392</v>
      </c>
      <c r="C1186" s="5">
        <v>54708</v>
      </c>
      <c r="D1186" s="6" t="s">
        <v>34</v>
      </c>
      <c r="E1186" s="6" t="s">
        <v>17</v>
      </c>
      <c r="F1186" s="7">
        <v>39520</v>
      </c>
      <c r="G1186" s="8">
        <f t="shared" si="18"/>
        <v>39520</v>
      </c>
      <c r="H1186" s="6" t="s">
        <v>13</v>
      </c>
      <c r="I1186" s="9">
        <f>MAX(original!I1186,piwebapi_edit!I1186,car_edit!I1186)</f>
        <v>28079.8954705816</v>
      </c>
      <c r="J1186" s="9">
        <f>MAX(original!J1186,piwebapi_edit!J1186,car_edit!J1186)</f>
        <v>397.63902166813602</v>
      </c>
      <c r="K1186" s="11"/>
    </row>
    <row r="1187" spans="1:11" x14ac:dyDescent="0.25">
      <c r="A1187" s="3" t="s">
        <v>2393</v>
      </c>
      <c r="B1187" s="4" t="s">
        <v>2394</v>
      </c>
      <c r="C1187" s="5">
        <v>54709</v>
      </c>
      <c r="D1187" s="6" t="s">
        <v>11</v>
      </c>
      <c r="E1187" s="6" t="s">
        <v>12</v>
      </c>
      <c r="F1187" s="7">
        <v>37413</v>
      </c>
      <c r="G1187" s="8">
        <f t="shared" si="18"/>
        <v>37413</v>
      </c>
      <c r="H1187" s="6" t="s">
        <v>39</v>
      </c>
      <c r="I1187" s="9">
        <f>MAX(original!I1187,piwebapi_edit!I1187,car_edit!I1187)</f>
        <v>6181.5361643271599</v>
      </c>
      <c r="J1187" s="9">
        <f>MAX(original!J1187,piwebapi_edit!J1187,car_edit!J1187)</f>
        <v>104.133801513558</v>
      </c>
      <c r="K1187" s="17"/>
    </row>
    <row r="1188" spans="1:11" x14ac:dyDescent="0.25">
      <c r="A1188" s="3" t="s">
        <v>2395</v>
      </c>
      <c r="B1188" s="4" t="s">
        <v>2396</v>
      </c>
      <c r="C1188" s="5">
        <v>1163</v>
      </c>
      <c r="D1188" s="6" t="s">
        <v>31</v>
      </c>
      <c r="E1188" s="6" t="s">
        <v>17</v>
      </c>
      <c r="F1188" s="7">
        <v>29221</v>
      </c>
      <c r="G1188" s="8">
        <f t="shared" si="18"/>
        <v>29221</v>
      </c>
      <c r="H1188" s="6" t="s">
        <v>13</v>
      </c>
      <c r="I1188" s="9">
        <f>MAX(original!I1188,piwebapi_edit!I1188,car_edit!I1188)</f>
        <v>16066.036185327101</v>
      </c>
      <c r="J1188" s="9">
        <f>MAX(original!J1188,piwebapi_edit!J1188,car_edit!J1188)</f>
        <v>88.700714534344002</v>
      </c>
      <c r="K1188" s="17"/>
    </row>
    <row r="1189" spans="1:11" x14ac:dyDescent="0.25">
      <c r="A1189" s="3" t="s">
        <v>2397</v>
      </c>
      <c r="B1189" s="4" t="s">
        <v>2398</v>
      </c>
      <c r="C1189" s="5">
        <v>10565</v>
      </c>
      <c r="D1189" s="6" t="s">
        <v>11</v>
      </c>
      <c r="E1189" s="6" t="s">
        <v>17</v>
      </c>
      <c r="F1189" s="7">
        <v>37503</v>
      </c>
      <c r="G1189" s="8">
        <f t="shared" si="18"/>
        <v>37503</v>
      </c>
      <c r="H1189" s="6" t="s">
        <v>13</v>
      </c>
      <c r="I1189" s="9">
        <f>MAX(original!I1189,piwebapi_edit!I1189,car_edit!I1189)</f>
        <v>37609.8837880102</v>
      </c>
      <c r="J1189" s="9">
        <f>MAX(original!J1189,piwebapi_edit!J1189,car_edit!J1189)</f>
        <v>212.09237776989301</v>
      </c>
      <c r="K1189" s="17"/>
    </row>
    <row r="1190" spans="1:11" x14ac:dyDescent="0.25">
      <c r="A1190" s="3" t="s">
        <v>2399</v>
      </c>
      <c r="B1190" s="4" t="s">
        <v>2400</v>
      </c>
      <c r="C1190" s="5">
        <v>1916</v>
      </c>
      <c r="D1190" s="6" t="s">
        <v>34</v>
      </c>
      <c r="E1190" s="6" t="s">
        <v>17</v>
      </c>
      <c r="F1190" s="7">
        <v>29221</v>
      </c>
      <c r="G1190" s="8">
        <f t="shared" si="18"/>
        <v>29221</v>
      </c>
      <c r="H1190" s="6" t="s">
        <v>13</v>
      </c>
      <c r="I1190" s="9">
        <f>MAX(original!I1190,piwebapi_edit!I1190,car_edit!I1190)</f>
        <v>21016.568981670003</v>
      </c>
      <c r="J1190" s="9">
        <f>MAX(original!J1190,piwebapi_edit!J1190,car_edit!J1190)</f>
        <v>194.98032901553199</v>
      </c>
      <c r="K1190" s="17"/>
    </row>
    <row r="1191" spans="1:11" x14ac:dyDescent="0.25">
      <c r="A1191" s="3" t="s">
        <v>2401</v>
      </c>
      <c r="B1191" s="4" t="s">
        <v>2402</v>
      </c>
      <c r="C1191" s="5">
        <v>1248</v>
      </c>
      <c r="D1191" s="6" t="s">
        <v>28</v>
      </c>
      <c r="E1191" s="6" t="s">
        <v>17</v>
      </c>
      <c r="F1191" s="7">
        <v>32874</v>
      </c>
      <c r="G1191" s="8">
        <f t="shared" si="18"/>
        <v>32874</v>
      </c>
      <c r="H1191" s="6" t="s">
        <v>13</v>
      </c>
      <c r="I1191" s="9">
        <f>MAX(original!I1191,piwebapi_edit!I1191,car_edit!I1191)</f>
        <v>48704.581614786905</v>
      </c>
      <c r="J1191" s="9">
        <f>MAX(original!J1191,piwebapi_edit!J1191,car_edit!J1191)</f>
        <v>209.82150966446599</v>
      </c>
      <c r="K1191" s="17"/>
    </row>
    <row r="1192" spans="1:11" x14ac:dyDescent="0.25">
      <c r="A1192" s="3" t="s">
        <v>2403</v>
      </c>
      <c r="B1192" s="4" t="s">
        <v>2404</v>
      </c>
      <c r="C1192" s="5">
        <v>54710</v>
      </c>
      <c r="D1192" s="6" t="s">
        <v>11</v>
      </c>
      <c r="E1192" s="6" t="s">
        <v>17</v>
      </c>
      <c r="F1192" s="7">
        <v>30621</v>
      </c>
      <c r="G1192" s="8">
        <f t="shared" si="18"/>
        <v>30621</v>
      </c>
      <c r="H1192" s="6" t="s">
        <v>13</v>
      </c>
      <c r="I1192" s="9">
        <f>MAX(original!I1192,piwebapi_edit!I1192,car_edit!I1192)</f>
        <v>12938.021071342</v>
      </c>
      <c r="J1192" s="9">
        <f>MAX(original!J1192,piwebapi_edit!J1192,car_edit!J1192)</f>
        <v>54.129987205996798</v>
      </c>
      <c r="K1192" s="17"/>
    </row>
    <row r="1193" spans="1:11" x14ac:dyDescent="0.25">
      <c r="A1193" s="3" t="s">
        <v>2405</v>
      </c>
      <c r="B1193" s="4" t="s">
        <v>2406</v>
      </c>
      <c r="C1193" s="14">
        <v>72158</v>
      </c>
      <c r="D1193" s="6" t="s">
        <v>37</v>
      </c>
      <c r="E1193" s="6" t="s">
        <v>38</v>
      </c>
      <c r="F1193" s="7">
        <v>38469</v>
      </c>
      <c r="G1193" s="8">
        <f t="shared" si="18"/>
        <v>38469</v>
      </c>
      <c r="H1193" s="6" t="s">
        <v>39</v>
      </c>
      <c r="I1193" s="9">
        <f>MAX(original!I1193,piwebapi_edit!I1193,car_edit!I1193)</f>
        <v>75396.322014175195</v>
      </c>
      <c r="J1193" s="9">
        <f>MAX(original!J1193,piwebapi_edit!J1193,car_edit!J1193)</f>
        <v>437.16964949346402</v>
      </c>
      <c r="K1193" s="17"/>
    </row>
    <row r="1194" spans="1:11" ht="30" x14ac:dyDescent="0.25">
      <c r="A1194" s="18" t="s">
        <v>2407</v>
      </c>
      <c r="B1194" s="19" t="s">
        <v>2408</v>
      </c>
      <c r="C1194" s="20">
        <v>24977</v>
      </c>
      <c r="D1194" s="21" t="s">
        <v>31</v>
      </c>
      <c r="E1194" s="21" t="s">
        <v>17</v>
      </c>
      <c r="F1194" s="22">
        <v>22920</v>
      </c>
      <c r="G1194" s="23">
        <f t="shared" si="18"/>
        <v>22920</v>
      </c>
      <c r="H1194" s="21" t="s">
        <v>13</v>
      </c>
      <c r="I1194" s="9">
        <f>MAX(original!I1194,piwebapi_edit!I1194,car_edit!I1194)</f>
        <v>40326.474996041499</v>
      </c>
      <c r="J1194" s="9">
        <f>MAX(original!J1194,piwebapi_edit!J1194,car_edit!J1194)</f>
        <v>89.831428827776605</v>
      </c>
      <c r="K1194" s="25"/>
    </row>
    <row r="1195" spans="1:11" x14ac:dyDescent="0.25">
      <c r="A1195" s="3" t="s">
        <v>2409</v>
      </c>
      <c r="B1195" s="4" t="s">
        <v>2410</v>
      </c>
      <c r="C1195" s="5">
        <v>24657</v>
      </c>
      <c r="D1195" s="6" t="s">
        <v>31</v>
      </c>
      <c r="E1195" s="6" t="s">
        <v>17</v>
      </c>
      <c r="F1195" s="7">
        <v>22920</v>
      </c>
      <c r="G1195" s="8">
        <f t="shared" si="18"/>
        <v>22920</v>
      </c>
      <c r="H1195" s="6" t="s">
        <v>13</v>
      </c>
      <c r="I1195" s="9">
        <f>MAX(original!I1195,piwebapi_edit!I1195,car_edit!I1195)</f>
        <v>11050.7189800167</v>
      </c>
      <c r="J1195" s="9">
        <f>MAX(original!J1195,piwebapi_edit!J1195,car_edit!J1195)</f>
        <v>60.820254069387502</v>
      </c>
      <c r="K1195" s="17"/>
    </row>
    <row r="1196" spans="1:11" x14ac:dyDescent="0.25">
      <c r="A1196" s="3" t="s">
        <v>2411</v>
      </c>
      <c r="B1196" s="4" t="s">
        <v>2412</v>
      </c>
      <c r="C1196" s="5">
        <v>1233</v>
      </c>
      <c r="D1196" s="6" t="s">
        <v>34</v>
      </c>
      <c r="E1196" s="6" t="s">
        <v>17</v>
      </c>
      <c r="F1196" s="7">
        <v>36635</v>
      </c>
      <c r="G1196" s="8">
        <f t="shared" si="18"/>
        <v>36635</v>
      </c>
      <c r="H1196" s="6" t="s">
        <v>13</v>
      </c>
      <c r="I1196" s="9">
        <f>MAX(original!I1196,piwebapi_edit!I1196,car_edit!I1196)</f>
        <v>0</v>
      </c>
      <c r="J1196" s="9">
        <f>MAX(original!J1196,piwebapi_edit!J1196,car_edit!J1196)</f>
        <v>0</v>
      </c>
      <c r="K1196" s="17"/>
    </row>
    <row r="1197" spans="1:11" ht="30" x14ac:dyDescent="0.25">
      <c r="A1197" s="18" t="s">
        <v>2413</v>
      </c>
      <c r="B1197" s="19" t="s">
        <v>2414</v>
      </c>
      <c r="C1197" s="5">
        <v>1954</v>
      </c>
      <c r="D1197" s="21" t="s">
        <v>28</v>
      </c>
      <c r="E1197" s="21" t="s">
        <v>17</v>
      </c>
      <c r="F1197" s="22">
        <v>19725</v>
      </c>
      <c r="G1197" s="23">
        <f t="shared" si="18"/>
        <v>19725</v>
      </c>
      <c r="H1197" s="21" t="s">
        <v>13</v>
      </c>
      <c r="I1197" s="9">
        <f>MAX(original!I1197,piwebapi_edit!I1197,car_edit!I1197)</f>
        <v>181959.49</v>
      </c>
      <c r="J1197" s="9">
        <f>MAX(original!J1197,piwebapi_edit!J1197,car_edit!J1197)</f>
        <v>1400</v>
      </c>
      <c r="K1197" s="25"/>
    </row>
    <row r="1198" spans="1:11" x14ac:dyDescent="0.25">
      <c r="A1198" s="3" t="s">
        <v>2415</v>
      </c>
      <c r="B1198" s="4" t="s">
        <v>2416</v>
      </c>
      <c r="C1198" s="5">
        <v>27889</v>
      </c>
      <c r="D1198" s="6" t="s">
        <v>31</v>
      </c>
      <c r="E1198" s="6" t="s">
        <v>17</v>
      </c>
      <c r="F1198" s="7">
        <v>22685</v>
      </c>
      <c r="G1198" s="8">
        <f t="shared" si="18"/>
        <v>22685</v>
      </c>
      <c r="H1198" s="6" t="s">
        <v>13</v>
      </c>
      <c r="I1198" s="9">
        <f>MAX(original!I1198,piwebapi_edit!I1198,car_edit!I1198)</f>
        <v>17023.650594794799</v>
      </c>
      <c r="J1198" s="9">
        <f>MAX(original!J1198,piwebapi_edit!J1198,car_edit!J1198)</f>
        <v>192.489556466609</v>
      </c>
      <c r="K1198" s="17"/>
    </row>
    <row r="1199" spans="1:11" x14ac:dyDescent="0.25">
      <c r="A1199" s="3" t="s">
        <v>2417</v>
      </c>
      <c r="B1199" s="4" t="s">
        <v>2418</v>
      </c>
      <c r="C1199" s="5">
        <v>72141</v>
      </c>
      <c r="D1199" s="6" t="s">
        <v>11</v>
      </c>
      <c r="E1199" s="6" t="s">
        <v>12</v>
      </c>
      <c r="F1199" s="7">
        <v>38685</v>
      </c>
      <c r="G1199" s="8">
        <f t="shared" si="18"/>
        <v>38685</v>
      </c>
      <c r="H1199" s="6" t="s">
        <v>39</v>
      </c>
      <c r="I1199" s="9">
        <f>MAX(original!I1199,piwebapi_edit!I1199,car_edit!I1199)</f>
        <v>26889.689117255901</v>
      </c>
      <c r="J1199" s="9">
        <f>MAX(original!J1199,piwebapi_edit!J1199,car_edit!J1199)</f>
        <v>538.96999028521805</v>
      </c>
      <c r="K1199" s="17"/>
    </row>
    <row r="1200" spans="1:11" x14ac:dyDescent="0.25">
      <c r="A1200" s="3" t="s">
        <v>2419</v>
      </c>
      <c r="B1200" s="4" t="s">
        <v>2420</v>
      </c>
      <c r="C1200" s="5">
        <v>1314</v>
      </c>
      <c r="D1200" s="6" t="s">
        <v>16</v>
      </c>
      <c r="E1200" s="6" t="s">
        <v>17</v>
      </c>
      <c r="F1200" s="7">
        <v>29221</v>
      </c>
      <c r="G1200" s="8">
        <f t="shared" si="18"/>
        <v>29221</v>
      </c>
      <c r="H1200" s="6" t="s">
        <v>13</v>
      </c>
      <c r="I1200" s="9">
        <f>MAX(original!I1200,piwebapi_edit!I1200,car_edit!I1200)</f>
        <v>12943.763568345499</v>
      </c>
      <c r="J1200" s="9">
        <f>MAX(original!J1200,piwebapi_edit!J1200,car_edit!J1200)</f>
        <v>365.16553253792398</v>
      </c>
      <c r="K1200" s="17"/>
    </row>
    <row r="1201" spans="1:11" x14ac:dyDescent="0.25">
      <c r="A1201" s="3" t="s">
        <v>2421</v>
      </c>
      <c r="B1201" s="4" t="s">
        <v>2422</v>
      </c>
      <c r="C1201" s="5">
        <v>1326</v>
      </c>
      <c r="D1201" s="6" t="s">
        <v>16</v>
      </c>
      <c r="E1201" s="6" t="s">
        <v>17</v>
      </c>
      <c r="F1201" s="7">
        <v>29221</v>
      </c>
      <c r="G1201" s="8">
        <f t="shared" si="18"/>
        <v>29221</v>
      </c>
      <c r="H1201" s="6" t="s">
        <v>13</v>
      </c>
      <c r="I1201" s="9">
        <f>MAX(original!I1201,piwebapi_edit!I1201,car_edit!I1201)</f>
        <v>4913.9767598092003</v>
      </c>
      <c r="J1201" s="9">
        <f>MAX(original!J1201,piwebapi_edit!J1201,car_edit!J1201)</f>
        <v>58.505294259800401</v>
      </c>
      <c r="K1201" s="17"/>
    </row>
    <row r="1202" spans="1:11" x14ac:dyDescent="0.25">
      <c r="A1202" s="3" t="s">
        <v>2423</v>
      </c>
      <c r="B1202" s="4" t="s">
        <v>2424</v>
      </c>
      <c r="C1202" s="5">
        <v>47761</v>
      </c>
      <c r="D1202" s="6" t="s">
        <v>11</v>
      </c>
      <c r="E1202" s="6" t="s">
        <v>12</v>
      </c>
      <c r="F1202" s="7">
        <v>39051</v>
      </c>
      <c r="G1202" s="8">
        <f t="shared" si="18"/>
        <v>39051</v>
      </c>
      <c r="H1202" s="6" t="s">
        <v>39</v>
      </c>
      <c r="I1202" s="9">
        <f>MAX(original!I1202,piwebapi_edit!I1202,car_edit!I1202)</f>
        <v>2632.24943594146</v>
      </c>
      <c r="J1202" s="9">
        <f>MAX(original!J1202,piwebapi_edit!J1202,car_edit!J1202)</f>
        <v>46.151595052791897</v>
      </c>
      <c r="K1202" s="17"/>
    </row>
    <row r="1203" spans="1:11" x14ac:dyDescent="0.25">
      <c r="A1203" s="3" t="s">
        <v>2425</v>
      </c>
      <c r="B1203" s="4" t="s">
        <v>2426</v>
      </c>
      <c r="C1203" s="5">
        <v>10563</v>
      </c>
      <c r="D1203" s="6" t="s">
        <v>34</v>
      </c>
      <c r="E1203" s="6" t="s">
        <v>17</v>
      </c>
      <c r="F1203" s="7">
        <v>37124</v>
      </c>
      <c r="G1203" s="8">
        <f t="shared" si="18"/>
        <v>37124</v>
      </c>
      <c r="H1203" s="6" t="s">
        <v>13</v>
      </c>
      <c r="I1203" s="9">
        <f>MAX(original!I1203,piwebapi_edit!I1203,car_edit!I1203)</f>
        <v>26957.910939945999</v>
      </c>
      <c r="J1203" s="9">
        <f>MAX(original!J1203,piwebapi_edit!J1203,car_edit!J1203)</f>
        <v>462.65478676622399</v>
      </c>
      <c r="K1203" s="17"/>
    </row>
    <row r="1204" spans="1:11" x14ac:dyDescent="0.25">
      <c r="A1204" s="3" t="s">
        <v>2427</v>
      </c>
      <c r="B1204" s="4" t="s">
        <v>2428</v>
      </c>
      <c r="C1204" s="5">
        <v>52951</v>
      </c>
      <c r="D1204" s="6" t="s">
        <v>34</v>
      </c>
      <c r="E1204" s="6" t="s">
        <v>17</v>
      </c>
      <c r="F1204" s="7">
        <v>38903</v>
      </c>
      <c r="G1204" s="8">
        <f t="shared" si="18"/>
        <v>38903</v>
      </c>
      <c r="H1204" s="6" t="s">
        <v>13</v>
      </c>
      <c r="I1204" s="9">
        <f>MAX(original!I1204,piwebapi_edit!I1204,car_edit!I1204)</f>
        <v>22953.9280606947</v>
      </c>
      <c r="J1204" s="9">
        <f>MAX(original!J1204,piwebapi_edit!J1204,car_edit!J1204)</f>
        <v>435.05809160223203</v>
      </c>
      <c r="K1204" s="17"/>
    </row>
    <row r="1205" spans="1:11" x14ac:dyDescent="0.25">
      <c r="A1205" s="3" t="s">
        <v>2429</v>
      </c>
      <c r="B1205" s="4" t="s">
        <v>2430</v>
      </c>
      <c r="C1205" s="5">
        <v>72115</v>
      </c>
      <c r="D1205" s="6" t="s">
        <v>37</v>
      </c>
      <c r="E1205" s="6" t="s">
        <v>38</v>
      </c>
      <c r="F1205" s="7">
        <v>38491</v>
      </c>
      <c r="G1205" s="8">
        <f t="shared" si="18"/>
        <v>38491</v>
      </c>
      <c r="H1205" s="6" t="s">
        <v>39</v>
      </c>
      <c r="I1205" s="9">
        <f>MAX(original!I1205,piwebapi_edit!I1205,car_edit!I1205)</f>
        <v>8596.266428823601</v>
      </c>
      <c r="J1205" s="9">
        <f>MAX(original!J1205,piwebapi_edit!J1205,car_edit!J1205)</f>
        <v>89.096456331866804</v>
      </c>
      <c r="K1205" s="17"/>
    </row>
    <row r="1206" spans="1:11" x14ac:dyDescent="0.25">
      <c r="A1206" s="3" t="s">
        <v>2431</v>
      </c>
      <c r="B1206" s="4" t="s">
        <v>2432</v>
      </c>
      <c r="C1206" s="5">
        <v>1565</v>
      </c>
      <c r="D1206" s="6" t="s">
        <v>28</v>
      </c>
      <c r="E1206" s="6" t="s">
        <v>17</v>
      </c>
      <c r="F1206" s="7">
        <v>28126</v>
      </c>
      <c r="G1206" s="8">
        <f t="shared" si="18"/>
        <v>28126</v>
      </c>
      <c r="H1206" s="6" t="s">
        <v>13</v>
      </c>
      <c r="I1206" s="9">
        <f>MAX(original!I1206,piwebapi_edit!I1206,car_edit!I1206)</f>
        <v>52573.319718369603</v>
      </c>
      <c r="J1206" s="9">
        <f>MAX(original!J1206,piwebapi_edit!J1206,car_edit!J1206)</f>
        <v>272.48191620536898</v>
      </c>
      <c r="K1206" s="17"/>
    </row>
    <row r="1207" spans="1:11" x14ac:dyDescent="0.25">
      <c r="A1207" s="3" t="s">
        <v>2433</v>
      </c>
      <c r="B1207" s="4" t="s">
        <v>2434</v>
      </c>
      <c r="C1207" s="14">
        <v>1399</v>
      </c>
      <c r="D1207" s="6" t="s">
        <v>34</v>
      </c>
      <c r="E1207" s="6" t="s">
        <v>17</v>
      </c>
      <c r="F1207" s="7">
        <v>27030</v>
      </c>
      <c r="G1207" s="8">
        <f t="shared" si="18"/>
        <v>27030</v>
      </c>
      <c r="H1207" s="6" t="s">
        <v>13</v>
      </c>
      <c r="I1207" s="9">
        <f>MAX(original!I1207,piwebapi_edit!I1207,car_edit!I1207)</f>
        <v>0</v>
      </c>
      <c r="J1207" s="9">
        <f>MAX(original!J1207,piwebapi_edit!J1207,car_edit!J1207)</f>
        <v>0</v>
      </c>
      <c r="K1207" s="17"/>
    </row>
    <row r="1208" spans="1:11" x14ac:dyDescent="0.25">
      <c r="A1208" s="3" t="s">
        <v>2435</v>
      </c>
      <c r="B1208" s="4" t="s">
        <v>2436</v>
      </c>
      <c r="C1208" s="5">
        <v>1566</v>
      </c>
      <c r="D1208" s="6" t="s">
        <v>31</v>
      </c>
      <c r="E1208" s="6" t="s">
        <v>17</v>
      </c>
      <c r="F1208" s="7">
        <v>32143</v>
      </c>
      <c r="G1208" s="8">
        <f t="shared" si="18"/>
        <v>32143</v>
      </c>
      <c r="H1208" s="6" t="s">
        <v>13</v>
      </c>
      <c r="I1208" s="9">
        <f>MAX(original!I1208,piwebapi_edit!I1208,car_edit!I1208)</f>
        <v>4049.0406648407698</v>
      </c>
      <c r="J1208" s="9">
        <f>MAX(original!J1208,piwebapi_edit!J1208,car_edit!J1208)</f>
        <v>82.7320092699116</v>
      </c>
      <c r="K1208" s="17"/>
    </row>
    <row r="1209" spans="1:11" x14ac:dyDescent="0.25">
      <c r="A1209" s="3" t="s">
        <v>2437</v>
      </c>
      <c r="B1209" s="4" t="s">
        <v>2438</v>
      </c>
      <c r="C1209" s="14">
        <v>52356</v>
      </c>
      <c r="D1209" s="6" t="s">
        <v>11</v>
      </c>
      <c r="E1209" s="6" t="s">
        <v>17</v>
      </c>
      <c r="F1209" s="7">
        <v>35929</v>
      </c>
      <c r="G1209" s="8">
        <f t="shared" si="18"/>
        <v>35929</v>
      </c>
      <c r="H1209" s="6" t="s">
        <v>13</v>
      </c>
      <c r="I1209" s="9">
        <f>MAX(original!I1209,piwebapi_edit!I1209,car_edit!I1209)</f>
        <v>251691.12999999998</v>
      </c>
      <c r="J1209" s="9">
        <f>MAX(original!J1209,piwebapi_edit!J1209,car_edit!J1209)</f>
        <v>1500</v>
      </c>
      <c r="K1209" s="17"/>
    </row>
    <row r="1210" spans="1:11" x14ac:dyDescent="0.25">
      <c r="A1210" s="3" t="s">
        <v>2439</v>
      </c>
      <c r="B1210" s="4" t="s">
        <v>21</v>
      </c>
      <c r="C1210" s="5">
        <v>204645</v>
      </c>
      <c r="D1210" s="6" t="s">
        <v>16</v>
      </c>
      <c r="E1210" s="6" t="s">
        <v>17</v>
      </c>
      <c r="F1210" s="7">
        <v>38533</v>
      </c>
      <c r="G1210" s="8">
        <f t="shared" si="18"/>
        <v>38533</v>
      </c>
      <c r="H1210" s="6" t="s">
        <v>13</v>
      </c>
      <c r="I1210" s="9">
        <f>MAX(original!I1210,piwebapi_edit!I1210,car_edit!I1210)</f>
        <v>0</v>
      </c>
      <c r="J1210" s="9">
        <f>MAX(original!J1210,piwebapi_edit!J1210,car_edit!J1210)</f>
        <v>0</v>
      </c>
      <c r="K1210" s="11"/>
    </row>
    <row r="1211" spans="1:11" x14ac:dyDescent="0.25">
      <c r="A1211" s="3" t="s">
        <v>2440</v>
      </c>
      <c r="B1211" s="4" t="s">
        <v>2441</v>
      </c>
      <c r="C1211" s="14">
        <v>54566</v>
      </c>
      <c r="D1211" s="6" t="s">
        <v>37</v>
      </c>
      <c r="E1211" s="6" t="s">
        <v>38</v>
      </c>
      <c r="F1211" s="7">
        <v>39293</v>
      </c>
      <c r="G1211" s="8">
        <f t="shared" si="18"/>
        <v>39293</v>
      </c>
      <c r="H1211" s="6" t="s">
        <v>39</v>
      </c>
      <c r="I1211" s="9">
        <f>MAX(original!I1211,piwebapi_edit!I1211,car_edit!I1211)</f>
        <v>68312.805774576496</v>
      </c>
      <c r="J1211" s="9">
        <f>MAX(original!J1211,piwebapi_edit!J1211,car_edit!J1211)</f>
        <v>547.33019389872504</v>
      </c>
      <c r="K1211" s="17"/>
    </row>
    <row r="1212" spans="1:11" x14ac:dyDescent="0.25">
      <c r="A1212" s="3" t="s">
        <v>2442</v>
      </c>
      <c r="B1212" s="4" t="s">
        <v>2443</v>
      </c>
      <c r="C1212" s="5">
        <v>45537</v>
      </c>
      <c r="D1212" s="6" t="s">
        <v>37</v>
      </c>
      <c r="E1212" s="6" t="s">
        <v>38</v>
      </c>
      <c r="F1212" s="7">
        <v>39353</v>
      </c>
      <c r="G1212" s="8">
        <f t="shared" si="18"/>
        <v>39353</v>
      </c>
      <c r="H1212" s="6" t="s">
        <v>39</v>
      </c>
      <c r="I1212" s="9">
        <f>MAX(original!I1212,piwebapi_edit!I1212,car_edit!I1212)</f>
        <v>6546.9592260444406</v>
      </c>
      <c r="J1212" s="9">
        <f>MAX(original!J1212,piwebapi_edit!J1212,car_edit!J1212)</f>
        <v>191.63875076149901</v>
      </c>
      <c r="K1212" s="17"/>
    </row>
    <row r="1213" spans="1:11" x14ac:dyDescent="0.25">
      <c r="A1213" s="3" t="s">
        <v>2444</v>
      </c>
      <c r="B1213" s="4" t="s">
        <v>2445</v>
      </c>
      <c r="C1213" s="5">
        <v>54484</v>
      </c>
      <c r="D1213" s="6" t="s">
        <v>11</v>
      </c>
      <c r="E1213" s="6" t="s">
        <v>12</v>
      </c>
      <c r="F1213" s="7">
        <v>41515</v>
      </c>
      <c r="G1213" s="8">
        <f t="shared" si="18"/>
        <v>41515</v>
      </c>
      <c r="H1213" s="6" t="s">
        <v>39</v>
      </c>
      <c r="I1213" s="9">
        <f>MAX(original!I1213,piwebapi_edit!I1213,car_edit!I1213)</f>
        <v>5855.1929686228805</v>
      </c>
      <c r="J1213" s="9">
        <f>MAX(original!J1213,piwebapi_edit!J1213,car_edit!J1213)</f>
        <v>247.89887008761801</v>
      </c>
      <c r="K1213" s="17"/>
    </row>
    <row r="1214" spans="1:11" x14ac:dyDescent="0.25">
      <c r="A1214" s="3" t="s">
        <v>2446</v>
      </c>
      <c r="B1214" s="4" t="s">
        <v>2447</v>
      </c>
      <c r="C1214" s="5">
        <v>15686</v>
      </c>
      <c r="D1214" s="6" t="s">
        <v>34</v>
      </c>
      <c r="E1214" s="6" t="s">
        <v>17</v>
      </c>
      <c r="F1214" s="7">
        <v>37196</v>
      </c>
      <c r="G1214" s="8">
        <f t="shared" si="18"/>
        <v>37196</v>
      </c>
      <c r="H1214" s="6" t="s">
        <v>13</v>
      </c>
      <c r="I1214" s="9">
        <f>MAX(original!I1214,piwebapi_edit!I1214,car_edit!I1214)</f>
        <v>2671.3859190318499</v>
      </c>
      <c r="J1214" s="9">
        <f>MAX(original!J1214,piwebapi_edit!J1214,car_edit!J1214)</f>
        <v>173.140416211391</v>
      </c>
      <c r="K1214" s="17"/>
    </row>
    <row r="1215" spans="1:11" x14ac:dyDescent="0.25">
      <c r="A1215" s="3" t="s">
        <v>2448</v>
      </c>
      <c r="B1215" s="4" t="s">
        <v>2449</v>
      </c>
      <c r="C1215" s="5">
        <v>29537</v>
      </c>
      <c r="D1215" s="6" t="s">
        <v>34</v>
      </c>
      <c r="E1215" s="6" t="s">
        <v>17</v>
      </c>
      <c r="F1215" s="7">
        <v>38531</v>
      </c>
      <c r="G1215" s="8">
        <f t="shared" si="18"/>
        <v>38531</v>
      </c>
      <c r="H1215" s="6" t="s">
        <v>13</v>
      </c>
      <c r="I1215" s="9">
        <f>MAX(original!I1215,piwebapi_edit!I1215,car_edit!I1215)</f>
        <v>60070.929807428496</v>
      </c>
      <c r="J1215" s="9">
        <f>MAX(original!J1215,piwebapi_edit!J1215,car_edit!J1215)</f>
        <v>406.87342417389402</v>
      </c>
      <c r="K1215" s="17"/>
    </row>
    <row r="1216" spans="1:11" x14ac:dyDescent="0.25">
      <c r="A1216" s="3" t="s">
        <v>2450</v>
      </c>
      <c r="B1216" s="4" t="s">
        <v>2451</v>
      </c>
      <c r="C1216" s="5">
        <v>54712</v>
      </c>
      <c r="D1216" s="6" t="s">
        <v>34</v>
      </c>
      <c r="E1216" s="6" t="s">
        <v>17</v>
      </c>
      <c r="F1216" s="7">
        <v>39278</v>
      </c>
      <c r="G1216" s="8">
        <f t="shared" si="18"/>
        <v>39278</v>
      </c>
      <c r="H1216" s="6" t="s">
        <v>13</v>
      </c>
      <c r="I1216" s="9">
        <f>MAX(original!I1216,piwebapi_edit!I1216,car_edit!I1216)</f>
        <v>4184.2171268571201</v>
      </c>
      <c r="J1216" s="9">
        <f>MAX(original!J1216,piwebapi_edit!J1216,car_edit!J1216)</f>
        <v>113.834210392936</v>
      </c>
      <c r="K1216" s="17"/>
    </row>
    <row r="1217" spans="1:11" x14ac:dyDescent="0.25">
      <c r="A1217" s="3" t="s">
        <v>2452</v>
      </c>
      <c r="B1217" s="4" t="s">
        <v>2453</v>
      </c>
      <c r="C1217" s="5">
        <v>48737</v>
      </c>
      <c r="D1217" s="6" t="s">
        <v>11</v>
      </c>
      <c r="E1217" s="6" t="s">
        <v>17</v>
      </c>
      <c r="F1217" s="7">
        <v>38999</v>
      </c>
      <c r="G1217" s="8">
        <f t="shared" si="18"/>
        <v>38999</v>
      </c>
      <c r="H1217" s="6" t="s">
        <v>13</v>
      </c>
      <c r="I1217" s="9">
        <f>MAX(original!I1217,piwebapi_edit!I1217,car_edit!I1217)</f>
        <v>56550.028952131906</v>
      </c>
      <c r="J1217" s="9">
        <f>MAX(original!J1217,piwebapi_edit!J1217,car_edit!J1217)</f>
        <v>374.076148476274</v>
      </c>
      <c r="K1217" s="17"/>
    </row>
    <row r="1218" spans="1:11" x14ac:dyDescent="0.25">
      <c r="A1218" s="3" t="s">
        <v>2454</v>
      </c>
      <c r="B1218" s="4" t="s">
        <v>2455</v>
      </c>
      <c r="C1218" s="5">
        <v>54696</v>
      </c>
      <c r="D1218" s="6" t="s">
        <v>11</v>
      </c>
      <c r="E1218" s="6" t="s">
        <v>12</v>
      </c>
      <c r="F1218" s="7">
        <v>39259</v>
      </c>
      <c r="G1218" s="8">
        <f t="shared" ref="G1218:G1281" si="19">F1218</f>
        <v>39259</v>
      </c>
      <c r="H1218" s="6" t="s">
        <v>39</v>
      </c>
      <c r="I1218" s="9">
        <f>MAX(original!I1218,piwebapi_edit!I1218,car_edit!I1218)</f>
        <v>9123.18303132847</v>
      </c>
      <c r="J1218" s="9">
        <f>MAX(original!J1218,piwebapi_edit!J1218,car_edit!J1218)</f>
        <v>394.48678775792899</v>
      </c>
      <c r="K1218" s="17"/>
    </row>
    <row r="1219" spans="1:11" x14ac:dyDescent="0.25">
      <c r="A1219" s="3" t="s">
        <v>2456</v>
      </c>
      <c r="B1219" s="4" t="s">
        <v>2457</v>
      </c>
      <c r="C1219" s="14">
        <v>53219</v>
      </c>
      <c r="D1219" s="6" t="s">
        <v>16</v>
      </c>
      <c r="E1219" s="6" t="s">
        <v>17</v>
      </c>
      <c r="F1219" s="7">
        <v>39323</v>
      </c>
      <c r="G1219" s="8">
        <f t="shared" si="19"/>
        <v>39323</v>
      </c>
      <c r="H1219" s="6" t="s">
        <v>13</v>
      </c>
      <c r="I1219" s="9">
        <f>MAX(original!I1219,piwebapi_edit!I1219,car_edit!I1219)</f>
        <v>75970.595057490107</v>
      </c>
      <c r="J1219" s="9">
        <f>MAX(original!J1219,piwebapi_edit!J1219,car_edit!J1219)</f>
        <v>283.877806584258</v>
      </c>
      <c r="K1219" s="17"/>
    </row>
    <row r="1220" spans="1:11" x14ac:dyDescent="0.25">
      <c r="A1220" s="3" t="s">
        <v>2458</v>
      </c>
      <c r="B1220" s="4" t="s">
        <v>2459</v>
      </c>
      <c r="C1220" s="14">
        <v>32577</v>
      </c>
      <c r="D1220" s="6" t="s">
        <v>28</v>
      </c>
      <c r="E1220" s="6" t="s">
        <v>17</v>
      </c>
      <c r="F1220" s="7">
        <v>38474</v>
      </c>
      <c r="G1220" s="8">
        <f t="shared" si="19"/>
        <v>38474</v>
      </c>
      <c r="H1220" s="6" t="s">
        <v>13</v>
      </c>
      <c r="I1220" s="9">
        <f>MAX(original!I1220,piwebapi_edit!I1220,car_edit!I1220)</f>
        <v>9218.45158993738</v>
      </c>
      <c r="J1220" s="9">
        <f>MAX(original!J1220,piwebapi_edit!J1220,car_edit!J1220)</f>
        <v>395.51577994570403</v>
      </c>
      <c r="K1220" s="17"/>
    </row>
    <row r="1221" spans="1:11" x14ac:dyDescent="0.25">
      <c r="A1221" s="3" t="s">
        <v>2460</v>
      </c>
      <c r="B1221" s="4" t="s">
        <v>2461</v>
      </c>
      <c r="C1221" s="14">
        <v>50002</v>
      </c>
      <c r="D1221" s="6" t="s">
        <v>11</v>
      </c>
      <c r="E1221" s="6" t="s">
        <v>12</v>
      </c>
      <c r="F1221" s="7">
        <v>39294</v>
      </c>
      <c r="G1221" s="8">
        <f t="shared" si="19"/>
        <v>39294</v>
      </c>
      <c r="H1221" s="6" t="s">
        <v>39</v>
      </c>
      <c r="I1221" s="9">
        <f>MAX(original!I1221,piwebapi_edit!I1221,car_edit!I1221)</f>
        <v>74791.463202287705</v>
      </c>
      <c r="J1221" s="9">
        <f>MAX(original!J1221,piwebapi_edit!J1221,car_edit!J1221)</f>
        <v>337.09935830281398</v>
      </c>
      <c r="K1221" s="17"/>
    </row>
    <row r="1222" spans="1:11" x14ac:dyDescent="0.25">
      <c r="A1222" s="3" t="s">
        <v>2462</v>
      </c>
      <c r="B1222" s="4" t="s">
        <v>2463</v>
      </c>
      <c r="C1222" s="5">
        <v>53217</v>
      </c>
      <c r="D1222" s="6" t="s">
        <v>34</v>
      </c>
      <c r="E1222" s="6" t="s">
        <v>17</v>
      </c>
      <c r="F1222" s="7">
        <v>38807</v>
      </c>
      <c r="G1222" s="8">
        <f t="shared" si="19"/>
        <v>38807</v>
      </c>
      <c r="H1222" s="6" t="s">
        <v>13</v>
      </c>
      <c r="I1222" s="9">
        <f>MAX(original!I1222,piwebapi_edit!I1222,car_edit!I1222)</f>
        <v>71184.297909470799</v>
      </c>
      <c r="J1222" s="9">
        <f>MAX(original!J1222,piwebapi_edit!J1222,car_edit!J1222)</f>
        <v>197.99774468456999</v>
      </c>
      <c r="K1222" s="17"/>
    </row>
    <row r="1223" spans="1:11" x14ac:dyDescent="0.25">
      <c r="A1223" s="3" t="s">
        <v>2464</v>
      </c>
      <c r="B1223" s="4" t="s">
        <v>2465</v>
      </c>
      <c r="C1223" s="5">
        <v>58017</v>
      </c>
      <c r="D1223" s="6" t="s">
        <v>37</v>
      </c>
      <c r="E1223" s="6" t="s">
        <v>38</v>
      </c>
      <c r="F1223" s="7">
        <v>39507</v>
      </c>
      <c r="G1223" s="8">
        <f t="shared" si="19"/>
        <v>39507</v>
      </c>
      <c r="H1223" s="6" t="s">
        <v>39</v>
      </c>
      <c r="I1223" s="9">
        <f>MAX(original!I1223,piwebapi_edit!I1223,car_edit!I1223)</f>
        <v>39289.379870036595</v>
      </c>
      <c r="J1223" s="9">
        <f>MAX(original!J1223,piwebapi_edit!J1223,car_edit!J1223)</f>
        <v>1036.04953804461</v>
      </c>
      <c r="K1223" s="17"/>
    </row>
    <row r="1224" spans="1:11" x14ac:dyDescent="0.25">
      <c r="A1224" s="3" t="s">
        <v>2466</v>
      </c>
      <c r="B1224" s="4" t="s">
        <v>2467</v>
      </c>
      <c r="C1224" s="5">
        <v>55473</v>
      </c>
      <c r="D1224" s="6" t="s">
        <v>37</v>
      </c>
      <c r="E1224" s="6" t="s">
        <v>38</v>
      </c>
      <c r="F1224" s="7">
        <v>39507</v>
      </c>
      <c r="G1224" s="8">
        <f t="shared" si="19"/>
        <v>39507</v>
      </c>
      <c r="H1224" s="6" t="s">
        <v>39</v>
      </c>
      <c r="I1224" s="9">
        <f>MAX(original!I1224,piwebapi_edit!I1224,car_edit!I1224)</f>
        <v>8659.5742840991497</v>
      </c>
      <c r="J1224" s="9">
        <f>MAX(original!J1224,piwebapi_edit!J1224,car_edit!J1224)</f>
        <v>132.90720443626901</v>
      </c>
      <c r="K1224" s="17"/>
    </row>
    <row r="1225" spans="1:11" x14ac:dyDescent="0.25">
      <c r="A1225" s="3" t="s">
        <v>2468</v>
      </c>
      <c r="B1225" s="4" t="s">
        <v>2469</v>
      </c>
      <c r="C1225" s="5">
        <v>207528</v>
      </c>
      <c r="D1225" s="6" t="s">
        <v>28</v>
      </c>
      <c r="E1225" s="6" t="s">
        <v>17</v>
      </c>
      <c r="F1225" s="7">
        <v>39329</v>
      </c>
      <c r="G1225" s="8">
        <f t="shared" si="19"/>
        <v>39329</v>
      </c>
      <c r="H1225" s="6" t="s">
        <v>13</v>
      </c>
      <c r="I1225" s="9">
        <f>MAX(original!I1225,piwebapi_edit!I1225,car_edit!I1225)</f>
        <v>6273.0129020038994</v>
      </c>
      <c r="J1225" s="9">
        <f>MAX(original!J1225,piwebapi_edit!J1225,car_edit!J1225)</f>
        <v>254.52854413657701</v>
      </c>
      <c r="K1225" s="11"/>
    </row>
    <row r="1226" spans="1:11" x14ac:dyDescent="0.25">
      <c r="A1226" s="3" t="s">
        <v>2470</v>
      </c>
      <c r="B1226" s="4" t="s">
        <v>2471</v>
      </c>
      <c r="C1226" s="5">
        <v>207529</v>
      </c>
      <c r="D1226" s="6" t="s">
        <v>28</v>
      </c>
      <c r="E1226" s="6" t="s">
        <v>17</v>
      </c>
      <c r="F1226" s="7">
        <v>25569</v>
      </c>
      <c r="G1226" s="8">
        <f t="shared" si="19"/>
        <v>25569</v>
      </c>
      <c r="H1226" s="6" t="s">
        <v>13</v>
      </c>
      <c r="I1226" s="9">
        <f>MAX(original!I1226,piwebapi_edit!I1226,car_edit!I1226)</f>
        <v>1620.5602508864001</v>
      </c>
      <c r="J1226" s="9">
        <f>MAX(original!J1226,piwebapi_edit!J1226,car_edit!J1226)</f>
        <v>78.027700642633903</v>
      </c>
      <c r="K1226" s="6"/>
    </row>
    <row r="1227" spans="1:11" x14ac:dyDescent="0.25">
      <c r="A1227" s="3" t="s">
        <v>2472</v>
      </c>
      <c r="B1227" s="4" t="s">
        <v>2473</v>
      </c>
      <c r="C1227" s="5">
        <v>54817</v>
      </c>
      <c r="D1227" s="6" t="s">
        <v>28</v>
      </c>
      <c r="E1227" s="6" t="s">
        <v>17</v>
      </c>
      <c r="F1227" s="7">
        <v>39050</v>
      </c>
      <c r="G1227" s="8">
        <f t="shared" si="19"/>
        <v>39050</v>
      </c>
      <c r="H1227" s="6" t="s">
        <v>13</v>
      </c>
      <c r="I1227" s="9">
        <f>MAX(original!I1227,piwebapi_edit!I1227,car_edit!I1227)</f>
        <v>32445.480057443299</v>
      </c>
      <c r="J1227" s="9">
        <f>MAX(original!J1227,piwebapi_edit!J1227,car_edit!J1227)</f>
        <v>259.78889646513602</v>
      </c>
      <c r="K1227" s="17"/>
    </row>
    <row r="1228" spans="1:11" x14ac:dyDescent="0.25">
      <c r="A1228" s="3" t="s">
        <v>2474</v>
      </c>
      <c r="B1228" s="4" t="s">
        <v>2475</v>
      </c>
      <c r="C1228" s="5">
        <v>53537</v>
      </c>
      <c r="D1228" s="6" t="s">
        <v>37</v>
      </c>
      <c r="E1228" s="6" t="s">
        <v>38</v>
      </c>
      <c r="F1228" s="7">
        <v>39483</v>
      </c>
      <c r="G1228" s="8">
        <f t="shared" si="19"/>
        <v>39483</v>
      </c>
      <c r="H1228" s="6" t="s">
        <v>39</v>
      </c>
      <c r="I1228" s="9">
        <f>MAX(original!I1228,piwebapi_edit!I1228,car_edit!I1228)</f>
        <v>6630.7423815211905</v>
      </c>
      <c r="J1228" s="9">
        <f>MAX(original!J1228,piwebapi_edit!J1228,car_edit!J1228)</f>
        <v>99.501955501770297</v>
      </c>
      <c r="K1228" s="17"/>
    </row>
    <row r="1229" spans="1:11" x14ac:dyDescent="0.25">
      <c r="A1229" s="3" t="s">
        <v>2476</v>
      </c>
      <c r="B1229" s="4" t="s">
        <v>2477</v>
      </c>
      <c r="C1229" s="5">
        <v>59617</v>
      </c>
      <c r="D1229" s="6" t="s">
        <v>16</v>
      </c>
      <c r="E1229" s="6" t="s">
        <v>17</v>
      </c>
      <c r="F1229" s="7">
        <v>39580</v>
      </c>
      <c r="G1229" s="8">
        <f t="shared" si="19"/>
        <v>39580</v>
      </c>
      <c r="H1229" s="6" t="s">
        <v>13</v>
      </c>
      <c r="I1229" s="9">
        <f>MAX(original!I1229,piwebapi_edit!I1229,car_edit!I1229)</f>
        <v>23211.1211853325</v>
      </c>
      <c r="J1229" s="9">
        <f>MAX(original!J1229,piwebapi_edit!J1229,car_edit!J1229)</f>
        <v>526.24196077239299</v>
      </c>
      <c r="K1229" s="17"/>
    </row>
    <row r="1230" spans="1:11" x14ac:dyDescent="0.25">
      <c r="A1230" s="3" t="s">
        <v>2478</v>
      </c>
      <c r="B1230" s="4" t="s">
        <v>2479</v>
      </c>
      <c r="C1230" s="14">
        <v>46484</v>
      </c>
      <c r="D1230" s="6" t="s">
        <v>37</v>
      </c>
      <c r="E1230" s="6" t="s">
        <v>38</v>
      </c>
      <c r="F1230" s="7">
        <v>39114</v>
      </c>
      <c r="G1230" s="8">
        <f t="shared" si="19"/>
        <v>39114</v>
      </c>
      <c r="H1230" s="6" t="s">
        <v>39</v>
      </c>
      <c r="I1230" s="9">
        <f>MAX(original!I1230,piwebapi_edit!I1230,car_edit!I1230)</f>
        <v>18753.17934165</v>
      </c>
      <c r="J1230" s="9">
        <f>MAX(original!J1230,piwebapi_edit!J1230,car_edit!J1230)</f>
        <v>316.76893007490003</v>
      </c>
      <c r="K1230" s="17"/>
    </row>
    <row r="1231" spans="1:11" x14ac:dyDescent="0.25">
      <c r="A1231" s="3" t="s">
        <v>2480</v>
      </c>
      <c r="B1231" s="4" t="s">
        <v>2481</v>
      </c>
      <c r="C1231" s="5">
        <v>55457</v>
      </c>
      <c r="D1231" s="6" t="s">
        <v>11</v>
      </c>
      <c r="E1231" s="6" t="s">
        <v>12</v>
      </c>
      <c r="F1231" s="7">
        <v>39525</v>
      </c>
      <c r="G1231" s="8">
        <f t="shared" si="19"/>
        <v>39525</v>
      </c>
      <c r="H1231" s="6" t="s">
        <v>39</v>
      </c>
      <c r="I1231" s="9">
        <f>MAX(original!I1231,piwebapi_edit!I1231,car_edit!I1231)</f>
        <v>42018.731441360105</v>
      </c>
      <c r="J1231" s="9">
        <f>MAX(original!J1231,piwebapi_edit!J1231,car_edit!J1231)</f>
        <v>247.75279655121199</v>
      </c>
      <c r="K1231" s="17"/>
    </row>
    <row r="1232" spans="1:11" x14ac:dyDescent="0.25">
      <c r="A1232" s="3" t="s">
        <v>2482</v>
      </c>
      <c r="B1232" s="4" t="s">
        <v>2483</v>
      </c>
      <c r="C1232" s="5">
        <v>60257</v>
      </c>
      <c r="D1232" s="6" t="s">
        <v>28</v>
      </c>
      <c r="E1232" s="6" t="s">
        <v>17</v>
      </c>
      <c r="F1232" s="7">
        <v>39600</v>
      </c>
      <c r="G1232" s="8">
        <f t="shared" si="19"/>
        <v>39600</v>
      </c>
      <c r="H1232" s="6" t="s">
        <v>13</v>
      </c>
      <c r="I1232" s="9">
        <f>MAX(original!I1232,piwebapi_edit!I1232,car_edit!I1232)</f>
        <v>7084.1804824295496</v>
      </c>
      <c r="J1232" s="9">
        <f>MAX(original!J1232,piwebapi_edit!J1232,car_edit!J1232)</f>
        <v>145.102778553561</v>
      </c>
      <c r="K1232" s="17"/>
    </row>
    <row r="1233" spans="1:11" x14ac:dyDescent="0.25">
      <c r="A1233" s="3" t="s">
        <v>2484</v>
      </c>
      <c r="B1233" s="4" t="s">
        <v>2485</v>
      </c>
      <c r="C1233" s="5">
        <v>49361</v>
      </c>
      <c r="D1233" s="6" t="s">
        <v>31</v>
      </c>
      <c r="E1233" s="6" t="s">
        <v>17</v>
      </c>
      <c r="F1233" s="7">
        <v>39356</v>
      </c>
      <c r="G1233" s="8">
        <f t="shared" si="19"/>
        <v>39356</v>
      </c>
      <c r="H1233" s="6" t="s">
        <v>13</v>
      </c>
      <c r="I1233" s="9">
        <f>MAX(original!I1233,piwebapi_edit!I1233,car_edit!I1233)</f>
        <v>3971.7302880167699</v>
      </c>
      <c r="J1233" s="9">
        <f>MAX(original!J1233,piwebapi_edit!J1233,car_edit!J1233)</f>
        <v>65.456598177590294</v>
      </c>
      <c r="K1233" s="17"/>
    </row>
    <row r="1234" spans="1:11" x14ac:dyDescent="0.25">
      <c r="A1234" s="3" t="s">
        <v>2486</v>
      </c>
      <c r="B1234" s="4" t="s">
        <v>2487</v>
      </c>
      <c r="C1234" s="5">
        <v>70817</v>
      </c>
      <c r="D1234" s="6" t="s">
        <v>34</v>
      </c>
      <c r="E1234" s="6" t="s">
        <v>17</v>
      </c>
      <c r="F1234" s="7">
        <v>39748</v>
      </c>
      <c r="G1234" s="8">
        <f t="shared" si="19"/>
        <v>39748</v>
      </c>
      <c r="H1234" s="6" t="s">
        <v>13</v>
      </c>
      <c r="I1234" s="9">
        <f>MAX(original!I1234,piwebapi_edit!I1234,car_edit!I1234)</f>
        <v>2121.4663032859298</v>
      </c>
      <c r="J1234" s="9">
        <f>MAX(original!J1234,piwebapi_edit!J1234,car_edit!J1234)</f>
        <v>59.855500296656501</v>
      </c>
      <c r="K1234" s="17"/>
    </row>
    <row r="1235" spans="1:11" x14ac:dyDescent="0.25">
      <c r="A1235" s="3" t="s">
        <v>2488</v>
      </c>
      <c r="B1235" s="4" t="s">
        <v>2489</v>
      </c>
      <c r="C1235" s="5">
        <v>62177</v>
      </c>
      <c r="D1235" s="6" t="s">
        <v>34</v>
      </c>
      <c r="E1235" s="6" t="s">
        <v>17</v>
      </c>
      <c r="F1235" s="7">
        <v>39569</v>
      </c>
      <c r="G1235" s="8">
        <f t="shared" si="19"/>
        <v>39569</v>
      </c>
      <c r="H1235" s="6" t="s">
        <v>13</v>
      </c>
      <c r="I1235" s="9">
        <f>MAX(original!I1235,piwebapi_edit!I1235,car_edit!I1235)</f>
        <v>4250.9762100858698</v>
      </c>
      <c r="J1235" s="9">
        <f>MAX(original!J1235,piwebapi_edit!J1235,car_edit!J1235)</f>
        <v>52.836419653808299</v>
      </c>
      <c r="K1235" s="17"/>
    </row>
    <row r="1236" spans="1:11" x14ac:dyDescent="0.25">
      <c r="A1236" s="3" t="s">
        <v>2490</v>
      </c>
      <c r="B1236" s="4" t="s">
        <v>2491</v>
      </c>
      <c r="C1236" s="5">
        <v>1756</v>
      </c>
      <c r="D1236" s="6" t="s">
        <v>31</v>
      </c>
      <c r="E1236" s="6" t="s">
        <v>17</v>
      </c>
      <c r="F1236" s="7">
        <v>18264</v>
      </c>
      <c r="G1236" s="8">
        <f t="shared" si="19"/>
        <v>18264</v>
      </c>
      <c r="H1236" s="6" t="s">
        <v>13</v>
      </c>
      <c r="I1236" s="9">
        <f>MAX(original!I1236,piwebapi_edit!I1236,car_edit!I1236)</f>
        <v>121313.63283392299</v>
      </c>
      <c r="J1236" s="9">
        <f>MAX(original!J1236,piwebapi_edit!J1236,car_edit!J1236)</f>
        <v>417.64427215175402</v>
      </c>
      <c r="K1236" s="17"/>
    </row>
    <row r="1237" spans="1:11" x14ac:dyDescent="0.25">
      <c r="A1237" s="3" t="s">
        <v>2492</v>
      </c>
      <c r="B1237" s="4" t="s">
        <v>2493</v>
      </c>
      <c r="C1237" s="5">
        <v>51921</v>
      </c>
      <c r="D1237" s="6" t="s">
        <v>11</v>
      </c>
      <c r="E1237" s="6" t="s">
        <v>17</v>
      </c>
      <c r="F1237" s="7">
        <v>39429</v>
      </c>
      <c r="G1237" s="8">
        <f t="shared" si="19"/>
        <v>39429</v>
      </c>
      <c r="H1237" s="6" t="s">
        <v>13</v>
      </c>
      <c r="I1237" s="9">
        <f>MAX(original!I1237,piwebapi_edit!I1237,car_edit!I1237)</f>
        <v>77279.978803188991</v>
      </c>
      <c r="J1237" s="9">
        <f>MAX(original!J1237,piwebapi_edit!J1237,car_edit!J1237)</f>
        <v>413.59169834251401</v>
      </c>
      <c r="K1237" s="17"/>
    </row>
    <row r="1238" spans="1:11" x14ac:dyDescent="0.25">
      <c r="A1238" s="3" t="s">
        <v>2494</v>
      </c>
      <c r="B1238" s="4" t="s">
        <v>2495</v>
      </c>
      <c r="C1238" s="14">
        <v>52241</v>
      </c>
      <c r="D1238" s="6" t="s">
        <v>11</v>
      </c>
      <c r="E1238" s="6" t="s">
        <v>17</v>
      </c>
      <c r="F1238" s="7">
        <v>39429</v>
      </c>
      <c r="G1238" s="8">
        <f t="shared" si="19"/>
        <v>39429</v>
      </c>
      <c r="H1238" s="6" t="s">
        <v>13</v>
      </c>
      <c r="I1238" s="9">
        <f>MAX(original!I1238,piwebapi_edit!I1238,car_edit!I1238)</f>
        <v>42943.34</v>
      </c>
      <c r="J1238" s="9">
        <f>MAX(original!J1238,piwebapi_edit!J1238,car_edit!J1238)</f>
        <v>1140</v>
      </c>
      <c r="K1238" s="17"/>
    </row>
    <row r="1239" spans="1:11" x14ac:dyDescent="0.25">
      <c r="A1239" s="3" t="s">
        <v>2496</v>
      </c>
      <c r="B1239" s="4" t="s">
        <v>2497</v>
      </c>
      <c r="C1239" s="14">
        <v>67618</v>
      </c>
      <c r="D1239" s="6" t="s">
        <v>11</v>
      </c>
      <c r="E1239" s="6" t="s">
        <v>12</v>
      </c>
      <c r="F1239" s="7">
        <v>39630</v>
      </c>
      <c r="G1239" s="8">
        <f t="shared" si="19"/>
        <v>39630</v>
      </c>
      <c r="H1239" s="6" t="s">
        <v>39</v>
      </c>
      <c r="I1239" s="9">
        <f>MAX(original!I1239,piwebapi_edit!I1239,car_edit!I1239)</f>
        <v>51983.969997107699</v>
      </c>
      <c r="J1239" s="9">
        <f>MAX(original!J1239,piwebapi_edit!J1239,car_edit!J1239)</f>
        <v>411.38599999232599</v>
      </c>
      <c r="K1239" s="17"/>
    </row>
    <row r="1240" spans="1:11" x14ac:dyDescent="0.25">
      <c r="A1240" s="3" t="s">
        <v>2498</v>
      </c>
      <c r="B1240" s="4" t="s">
        <v>2499</v>
      </c>
      <c r="C1240" s="5">
        <v>79139</v>
      </c>
      <c r="D1240" s="6" t="s">
        <v>11</v>
      </c>
      <c r="E1240" s="6" t="s">
        <v>17</v>
      </c>
      <c r="F1240" s="7">
        <v>39755</v>
      </c>
      <c r="G1240" s="8">
        <f t="shared" si="19"/>
        <v>39755</v>
      </c>
      <c r="H1240" s="6" t="s">
        <v>13</v>
      </c>
      <c r="I1240" s="9">
        <f>MAX(original!I1240,piwebapi_edit!I1240,car_edit!I1240)</f>
        <v>6606.2739559953507</v>
      </c>
      <c r="J1240" s="9">
        <f>MAX(original!J1240,piwebapi_edit!J1240,car_edit!J1240)</f>
        <v>178.782936131372</v>
      </c>
      <c r="K1240" s="17"/>
    </row>
    <row r="1241" spans="1:11" x14ac:dyDescent="0.25">
      <c r="A1241" s="3" t="s">
        <v>2500</v>
      </c>
      <c r="B1241" s="4" t="s">
        <v>2501</v>
      </c>
      <c r="C1241" s="5">
        <v>65377</v>
      </c>
      <c r="D1241" s="6" t="s">
        <v>28</v>
      </c>
      <c r="E1241" s="6" t="s">
        <v>17</v>
      </c>
      <c r="F1241" s="7">
        <v>39233</v>
      </c>
      <c r="G1241" s="8">
        <f t="shared" si="19"/>
        <v>39233</v>
      </c>
      <c r="H1241" s="6" t="s">
        <v>13</v>
      </c>
      <c r="I1241" s="9">
        <f>MAX(original!I1241,piwebapi_edit!I1241,car_edit!I1241)</f>
        <v>2419.0249291606301</v>
      </c>
      <c r="J1241" s="9">
        <f>MAX(original!J1241,piwebapi_edit!J1241,car_edit!J1241)</f>
        <v>109.47529806435401</v>
      </c>
      <c r="K1241" s="17"/>
    </row>
    <row r="1242" spans="1:11" x14ac:dyDescent="0.25">
      <c r="A1242" s="3" t="s">
        <v>2502</v>
      </c>
      <c r="B1242" s="4" t="s">
        <v>2503</v>
      </c>
      <c r="C1242" s="5">
        <v>121716</v>
      </c>
      <c r="D1242" s="6" t="s">
        <v>31</v>
      </c>
      <c r="E1242" s="6" t="s">
        <v>17</v>
      </c>
      <c r="F1242" s="7">
        <v>40217</v>
      </c>
      <c r="G1242" s="8">
        <f t="shared" si="19"/>
        <v>40217</v>
      </c>
      <c r="H1242" s="6" t="s">
        <v>13</v>
      </c>
      <c r="I1242" s="9">
        <f>MAX(original!I1242,piwebapi_edit!I1242,car_edit!I1242)</f>
        <v>4255.9463724174002</v>
      </c>
      <c r="J1242" s="9">
        <f>MAX(original!J1242,piwebapi_edit!J1242,car_edit!J1242)</f>
        <v>28.295336003429199</v>
      </c>
      <c r="K1242" s="17"/>
    </row>
    <row r="1243" spans="1:11" x14ac:dyDescent="0.25">
      <c r="A1243" s="3" t="s">
        <v>2504</v>
      </c>
      <c r="B1243" s="4" t="s">
        <v>2505</v>
      </c>
      <c r="C1243" s="14">
        <v>99972</v>
      </c>
      <c r="D1243" s="6" t="s">
        <v>31</v>
      </c>
      <c r="E1243" s="6" t="s">
        <v>17</v>
      </c>
      <c r="F1243" s="7">
        <v>40042</v>
      </c>
      <c r="G1243" s="8">
        <f t="shared" si="19"/>
        <v>40042</v>
      </c>
      <c r="H1243" s="6" t="s">
        <v>13</v>
      </c>
      <c r="I1243" s="9">
        <f>MAX(original!I1243,piwebapi_edit!I1243,car_edit!I1243)</f>
        <v>35374.828624797701</v>
      </c>
      <c r="J1243" s="9">
        <f>MAX(original!J1243,piwebapi_edit!J1243,car_edit!J1243)</f>
        <v>367.20245269541499</v>
      </c>
      <c r="K1243" s="17"/>
    </row>
    <row r="1244" spans="1:11" x14ac:dyDescent="0.25">
      <c r="A1244" s="3" t="s">
        <v>2506</v>
      </c>
      <c r="B1244" s="4" t="s">
        <v>2507</v>
      </c>
      <c r="C1244" s="5">
        <v>120452</v>
      </c>
      <c r="D1244" s="6" t="s">
        <v>31</v>
      </c>
      <c r="E1244" s="6" t="s">
        <v>17</v>
      </c>
      <c r="F1244" s="7">
        <v>40217</v>
      </c>
      <c r="G1244" s="8">
        <f t="shared" si="19"/>
        <v>40217</v>
      </c>
      <c r="H1244" s="6" t="s">
        <v>13</v>
      </c>
      <c r="I1244" s="9">
        <f>MAX(original!I1244,piwebapi_edit!I1244,car_edit!I1244)</f>
        <v>9157.0379244673295</v>
      </c>
      <c r="J1244" s="9">
        <f>MAX(original!J1244,piwebapi_edit!J1244,car_edit!J1244)</f>
        <v>116.61055926840299</v>
      </c>
      <c r="K1244" s="17"/>
    </row>
    <row r="1245" spans="1:11" x14ac:dyDescent="0.25">
      <c r="A1245" s="3" t="s">
        <v>2508</v>
      </c>
      <c r="B1245" s="4" t="s">
        <v>2509</v>
      </c>
      <c r="C1245" s="5">
        <v>120119</v>
      </c>
      <c r="D1245" s="6" t="s">
        <v>31</v>
      </c>
      <c r="E1245" s="6" t="s">
        <v>17</v>
      </c>
      <c r="F1245" s="7">
        <v>40217</v>
      </c>
      <c r="G1245" s="8">
        <f t="shared" si="19"/>
        <v>40217</v>
      </c>
      <c r="H1245" s="6" t="s">
        <v>13</v>
      </c>
      <c r="I1245" s="9">
        <f>MAX(original!I1245,piwebapi_edit!I1245,car_edit!I1245)</f>
        <v>5408.6340497565698</v>
      </c>
      <c r="J1245" s="9">
        <f>MAX(original!J1245,piwebapi_edit!J1245,car_edit!J1245)</f>
        <v>106.449378799615</v>
      </c>
      <c r="K1245" s="17"/>
    </row>
    <row r="1246" spans="1:11" x14ac:dyDescent="0.25">
      <c r="A1246" s="3" t="s">
        <v>2510</v>
      </c>
      <c r="B1246" s="4" t="s">
        <v>2511</v>
      </c>
      <c r="C1246" s="5">
        <v>207524</v>
      </c>
      <c r="D1246" s="6" t="s">
        <v>11</v>
      </c>
      <c r="E1246" s="6" t="s">
        <v>12</v>
      </c>
      <c r="F1246" s="7">
        <v>39973</v>
      </c>
      <c r="G1246" s="8">
        <f t="shared" si="19"/>
        <v>39973</v>
      </c>
      <c r="H1246" s="6" t="s">
        <v>39</v>
      </c>
      <c r="I1246" s="9">
        <f>MAX(original!I1246,piwebapi_edit!I1246,car_edit!I1246)</f>
        <v>0</v>
      </c>
      <c r="J1246" s="9">
        <f>MAX(original!J1246,piwebapi_edit!J1246,car_edit!J1246)</f>
        <v>0</v>
      </c>
      <c r="K1246" s="11"/>
    </row>
    <row r="1247" spans="1:11" x14ac:dyDescent="0.25">
      <c r="A1247" s="3" t="s">
        <v>2512</v>
      </c>
      <c r="B1247" s="4" t="s">
        <v>2513</v>
      </c>
      <c r="C1247" s="5">
        <v>91969</v>
      </c>
      <c r="D1247" s="6" t="s">
        <v>11</v>
      </c>
      <c r="E1247" s="6" t="s">
        <v>17</v>
      </c>
      <c r="F1247" s="7">
        <v>39937</v>
      </c>
      <c r="G1247" s="8">
        <f t="shared" si="19"/>
        <v>39937</v>
      </c>
      <c r="H1247" s="6" t="s">
        <v>13</v>
      </c>
      <c r="I1247" s="9">
        <f>MAX(original!I1247,piwebapi_edit!I1247,car_edit!I1247)</f>
        <v>9070.2717718391796</v>
      </c>
      <c r="J1247" s="9">
        <f>MAX(original!J1247,piwebapi_edit!J1247,car_edit!J1247)</f>
        <v>240.70738902111799</v>
      </c>
      <c r="K1247" s="17"/>
    </row>
    <row r="1248" spans="1:11" x14ac:dyDescent="0.25">
      <c r="A1248" s="3" t="s">
        <v>2514</v>
      </c>
      <c r="B1248" s="4" t="s">
        <v>2515</v>
      </c>
      <c r="C1248" s="5">
        <v>88433</v>
      </c>
      <c r="D1248" s="6" t="s">
        <v>16</v>
      </c>
      <c r="E1248" s="6" t="s">
        <v>17</v>
      </c>
      <c r="F1248" s="7">
        <v>39016</v>
      </c>
      <c r="G1248" s="8">
        <f t="shared" si="19"/>
        <v>39016</v>
      </c>
      <c r="H1248" s="6" t="s">
        <v>13</v>
      </c>
      <c r="I1248" s="9">
        <f>MAX(original!I1248,piwebapi_edit!I1248,car_edit!I1248)</f>
        <v>25137.043259017399</v>
      </c>
      <c r="J1248" s="9">
        <f>MAX(original!J1248,piwebapi_edit!J1248,car_edit!J1248)</f>
        <v>322.127568142011</v>
      </c>
      <c r="K1248" s="17"/>
    </row>
    <row r="1249" spans="1:11" x14ac:dyDescent="0.25">
      <c r="A1249" s="3" t="s">
        <v>2516</v>
      </c>
      <c r="B1249" s="4" t="s">
        <v>2517</v>
      </c>
      <c r="C1249" s="5">
        <v>123652</v>
      </c>
      <c r="D1249" s="6" t="s">
        <v>11</v>
      </c>
      <c r="E1249" s="6" t="s">
        <v>12</v>
      </c>
      <c r="F1249" s="7">
        <v>39790</v>
      </c>
      <c r="G1249" s="8">
        <f t="shared" si="19"/>
        <v>39790</v>
      </c>
      <c r="H1249" s="6" t="s">
        <v>39</v>
      </c>
      <c r="I1249" s="9">
        <f>MAX(original!I1249,piwebapi_edit!I1249,car_edit!I1249)</f>
        <v>31388.080253001401</v>
      </c>
      <c r="J1249" s="9">
        <f>MAX(original!J1249,piwebapi_edit!J1249,car_edit!J1249)</f>
        <v>197.351791239139</v>
      </c>
      <c r="K1249" s="17"/>
    </row>
    <row r="1250" spans="1:11" x14ac:dyDescent="0.25">
      <c r="A1250" s="3" t="s">
        <v>2518</v>
      </c>
      <c r="B1250" s="4" t="s">
        <v>2519</v>
      </c>
      <c r="C1250" s="5">
        <v>98341</v>
      </c>
      <c r="D1250" s="6" t="s">
        <v>11</v>
      </c>
      <c r="E1250" s="6" t="s">
        <v>12</v>
      </c>
      <c r="F1250" s="7">
        <v>40045</v>
      </c>
      <c r="G1250" s="8">
        <f t="shared" si="19"/>
        <v>40045</v>
      </c>
      <c r="H1250" s="6" t="s">
        <v>39</v>
      </c>
      <c r="I1250" s="9">
        <f>MAX(original!I1250,piwebapi_edit!I1250,car_edit!I1250)</f>
        <v>108146.77</v>
      </c>
      <c r="J1250" s="9">
        <f>MAX(original!J1250,piwebapi_edit!J1250,car_edit!J1250)</f>
        <v>1324</v>
      </c>
      <c r="K1250" s="17"/>
    </row>
    <row r="1251" spans="1:11" x14ac:dyDescent="0.25">
      <c r="A1251" s="3" t="s">
        <v>2520</v>
      </c>
      <c r="B1251" s="4" t="s">
        <v>2521</v>
      </c>
      <c r="C1251" s="5">
        <v>81057</v>
      </c>
      <c r="D1251" s="6" t="s">
        <v>11</v>
      </c>
      <c r="E1251" s="6" t="s">
        <v>12</v>
      </c>
      <c r="F1251" s="7">
        <v>39805</v>
      </c>
      <c r="G1251" s="8">
        <f t="shared" si="19"/>
        <v>39805</v>
      </c>
      <c r="H1251" s="6" t="s">
        <v>39</v>
      </c>
      <c r="I1251" s="9">
        <f>MAX(original!I1251,piwebapi_edit!I1251,car_edit!I1251)</f>
        <v>27991.042487544099</v>
      </c>
      <c r="J1251" s="9">
        <f>MAX(original!J1251,piwebapi_edit!J1251,car_edit!J1251)</f>
        <v>185.455107634444</v>
      </c>
      <c r="K1251" s="17"/>
    </row>
    <row r="1252" spans="1:11" x14ac:dyDescent="0.25">
      <c r="A1252" s="3" t="s">
        <v>2522</v>
      </c>
      <c r="B1252" s="4" t="s">
        <v>2523</v>
      </c>
      <c r="C1252" s="14">
        <v>119156</v>
      </c>
      <c r="D1252" s="6" t="s">
        <v>11</v>
      </c>
      <c r="E1252" s="6" t="s">
        <v>17</v>
      </c>
      <c r="F1252" s="7">
        <v>40344</v>
      </c>
      <c r="G1252" s="8">
        <f t="shared" si="19"/>
        <v>40344</v>
      </c>
      <c r="H1252" s="6" t="s">
        <v>13</v>
      </c>
      <c r="I1252" s="9">
        <f>MAX(original!I1252,piwebapi_edit!I1252,car_edit!I1252)</f>
        <v>0</v>
      </c>
      <c r="J1252" s="9">
        <f>MAX(original!J1252,piwebapi_edit!J1252,car_edit!J1252)</f>
        <v>0</v>
      </c>
      <c r="K1252" s="17"/>
    </row>
    <row r="1253" spans="1:11" x14ac:dyDescent="0.25">
      <c r="A1253" s="3" t="s">
        <v>2524</v>
      </c>
      <c r="B1253" s="4" t="s">
        <v>2525</v>
      </c>
      <c r="C1253" s="5">
        <v>121748</v>
      </c>
      <c r="D1253" s="6" t="s">
        <v>31</v>
      </c>
      <c r="E1253" s="6" t="s">
        <v>17</v>
      </c>
      <c r="F1253" s="7">
        <v>40042</v>
      </c>
      <c r="G1253" s="8">
        <f t="shared" si="19"/>
        <v>40042</v>
      </c>
      <c r="H1253" s="6" t="s">
        <v>13</v>
      </c>
      <c r="I1253" s="9">
        <f>MAX(original!I1253,piwebapi_edit!I1253,car_edit!I1253)</f>
        <v>203.285346035077</v>
      </c>
      <c r="J1253" s="9">
        <f>MAX(original!J1253,piwebapi_edit!J1253,car_edit!J1253)</f>
        <v>58.329711104038402</v>
      </c>
      <c r="K1253" s="17"/>
    </row>
    <row r="1254" spans="1:11" x14ac:dyDescent="0.25">
      <c r="A1254" s="3" t="s">
        <v>2526</v>
      </c>
      <c r="B1254" s="4" t="s">
        <v>2527</v>
      </c>
      <c r="C1254" s="5">
        <v>120788</v>
      </c>
      <c r="D1254" s="6" t="s">
        <v>31</v>
      </c>
      <c r="E1254" s="6" t="s">
        <v>17</v>
      </c>
      <c r="F1254" s="7">
        <v>40217</v>
      </c>
      <c r="G1254" s="8">
        <f t="shared" si="19"/>
        <v>40217</v>
      </c>
      <c r="H1254" s="6" t="s">
        <v>13</v>
      </c>
      <c r="I1254" s="9">
        <f>MAX(original!I1254,piwebapi_edit!I1254,car_edit!I1254)</f>
        <v>2421.3369949061503</v>
      </c>
      <c r="J1254" s="9">
        <f>MAX(original!J1254,piwebapi_edit!J1254,car_edit!J1254)</f>
        <v>34.047718189562502</v>
      </c>
      <c r="K1254" s="17"/>
    </row>
    <row r="1255" spans="1:11" x14ac:dyDescent="0.25">
      <c r="A1255" s="3" t="s">
        <v>2528</v>
      </c>
      <c r="B1255" s="4" t="s">
        <v>2529</v>
      </c>
      <c r="C1255" s="5">
        <v>121078</v>
      </c>
      <c r="D1255" s="6" t="s">
        <v>31</v>
      </c>
      <c r="E1255" s="6" t="s">
        <v>17</v>
      </c>
      <c r="F1255" s="7">
        <v>40217</v>
      </c>
      <c r="G1255" s="8">
        <f t="shared" si="19"/>
        <v>40217</v>
      </c>
      <c r="H1255" s="6" t="s">
        <v>13</v>
      </c>
      <c r="I1255" s="9">
        <f>MAX(original!I1255,piwebapi_edit!I1255,car_edit!I1255)</f>
        <v>6306.2134239901197</v>
      </c>
      <c r="J1255" s="9">
        <f>MAX(original!J1255,piwebapi_edit!J1255,car_edit!J1255)</f>
        <v>135.27979183698301</v>
      </c>
      <c r="K1255" s="17"/>
    </row>
    <row r="1256" spans="1:11" x14ac:dyDescent="0.25">
      <c r="A1256" s="3" t="s">
        <v>2530</v>
      </c>
      <c r="B1256" s="4" t="s">
        <v>2531</v>
      </c>
      <c r="C1256" s="5">
        <v>120756</v>
      </c>
      <c r="D1256" s="6" t="s">
        <v>31</v>
      </c>
      <c r="E1256" s="6" t="s">
        <v>17</v>
      </c>
      <c r="F1256" s="7">
        <v>40219</v>
      </c>
      <c r="G1256" s="8">
        <f t="shared" si="19"/>
        <v>40219</v>
      </c>
      <c r="H1256" s="6" t="s">
        <v>13</v>
      </c>
      <c r="I1256" s="9">
        <f>MAX(original!I1256,piwebapi_edit!I1256,car_edit!I1256)</f>
        <v>3312.9676756922199</v>
      </c>
      <c r="J1256" s="9">
        <f>MAX(original!J1256,piwebapi_edit!J1256,car_edit!J1256)</f>
        <v>114.072363400819</v>
      </c>
      <c r="K1256" s="17"/>
    </row>
    <row r="1257" spans="1:11" x14ac:dyDescent="0.25">
      <c r="A1257" s="3" t="s">
        <v>2532</v>
      </c>
      <c r="B1257" s="4" t="s">
        <v>2533</v>
      </c>
      <c r="C1257" s="5">
        <v>121412</v>
      </c>
      <c r="D1257" s="6" t="s">
        <v>31</v>
      </c>
      <c r="E1257" s="6" t="s">
        <v>17</v>
      </c>
      <c r="F1257" s="7">
        <v>40217</v>
      </c>
      <c r="G1257" s="8">
        <f t="shared" si="19"/>
        <v>40217</v>
      </c>
      <c r="H1257" s="6" t="s">
        <v>13</v>
      </c>
      <c r="I1257" s="9">
        <f>MAX(original!I1257,piwebapi_edit!I1257,car_edit!I1257)</f>
        <v>1140.8067008397099</v>
      </c>
      <c r="J1257" s="9">
        <f>MAX(original!J1257,piwebapi_edit!J1257,car_edit!J1257)</f>
        <v>230.087080064768</v>
      </c>
      <c r="K1257" s="17"/>
    </row>
    <row r="1258" spans="1:11" x14ac:dyDescent="0.25">
      <c r="A1258" s="3" t="s">
        <v>2534</v>
      </c>
      <c r="B1258" s="4" t="s">
        <v>2535</v>
      </c>
      <c r="C1258" s="5">
        <v>119172</v>
      </c>
      <c r="D1258" s="6" t="s">
        <v>31</v>
      </c>
      <c r="E1258" s="6" t="s">
        <v>17</v>
      </c>
      <c r="F1258" s="7">
        <v>40217</v>
      </c>
      <c r="G1258" s="8">
        <f t="shared" si="19"/>
        <v>40217</v>
      </c>
      <c r="H1258" s="6" t="s">
        <v>13</v>
      </c>
      <c r="I1258" s="9">
        <f>MAX(original!I1258,piwebapi_edit!I1258,car_edit!I1258)</f>
        <v>34665.048441176601</v>
      </c>
      <c r="J1258" s="9">
        <f>MAX(original!J1258,piwebapi_edit!J1258,car_edit!J1258)</f>
        <v>254.66359596897999</v>
      </c>
      <c r="K1258" s="17"/>
    </row>
    <row r="1259" spans="1:11" x14ac:dyDescent="0.25">
      <c r="A1259" s="3" t="s">
        <v>2536</v>
      </c>
      <c r="B1259" s="4" t="s">
        <v>2537</v>
      </c>
      <c r="C1259" s="5">
        <v>179333</v>
      </c>
      <c r="D1259" s="6" t="s">
        <v>16</v>
      </c>
      <c r="E1259" s="6" t="s">
        <v>17</v>
      </c>
      <c r="F1259" s="7">
        <v>40317</v>
      </c>
      <c r="G1259" s="8">
        <f t="shared" si="19"/>
        <v>40317</v>
      </c>
      <c r="H1259" s="6" t="s">
        <v>13</v>
      </c>
      <c r="I1259" s="9">
        <f>MAX(original!I1259,piwebapi_edit!I1259,car_edit!I1259)</f>
        <v>7718.9235655351604</v>
      </c>
      <c r="J1259" s="9">
        <f>MAX(original!J1259,piwebapi_edit!J1259,car_edit!J1259)</f>
        <v>376.56858930538101</v>
      </c>
      <c r="K1259" s="17"/>
    </row>
    <row r="1260" spans="1:11" x14ac:dyDescent="0.25">
      <c r="A1260" s="3" t="s">
        <v>2538</v>
      </c>
      <c r="B1260" s="4" t="s">
        <v>2539</v>
      </c>
      <c r="C1260" s="5">
        <v>112116</v>
      </c>
      <c r="D1260" s="6" t="s">
        <v>11</v>
      </c>
      <c r="E1260" s="6" t="s">
        <v>17</v>
      </c>
      <c r="F1260" s="7">
        <v>40273</v>
      </c>
      <c r="G1260" s="8">
        <f t="shared" si="19"/>
        <v>40273</v>
      </c>
      <c r="H1260" s="6" t="s">
        <v>13</v>
      </c>
      <c r="I1260" s="9">
        <f>MAX(original!I1260,piwebapi_edit!I1260,car_edit!I1260)</f>
        <v>31049.9366362992</v>
      </c>
      <c r="J1260" s="9">
        <f>MAX(original!J1260,piwebapi_edit!J1260,car_edit!J1260)</f>
        <v>251.05263248588199</v>
      </c>
      <c r="K1260" s="17"/>
    </row>
    <row r="1261" spans="1:11" x14ac:dyDescent="0.25">
      <c r="A1261" s="3" t="s">
        <v>2540</v>
      </c>
      <c r="B1261" s="4" t="s">
        <v>2541</v>
      </c>
      <c r="C1261" s="5">
        <v>138677</v>
      </c>
      <c r="D1261" s="6" t="s">
        <v>28</v>
      </c>
      <c r="E1261" s="6" t="s">
        <v>508</v>
      </c>
      <c r="F1261" s="7">
        <v>40653</v>
      </c>
      <c r="G1261" s="8">
        <f t="shared" si="19"/>
        <v>40653</v>
      </c>
      <c r="H1261" s="6" t="s">
        <v>509</v>
      </c>
      <c r="I1261" s="9">
        <f>MAX(original!I1261,piwebapi_edit!I1261,car_edit!I1261)</f>
        <v>92979.488262068</v>
      </c>
      <c r="J1261" s="9">
        <f>MAX(original!J1261,piwebapi_edit!J1261,car_edit!J1261)</f>
        <v>444.992954495915</v>
      </c>
      <c r="K1261" s="17"/>
    </row>
    <row r="1262" spans="1:11" x14ac:dyDescent="0.25">
      <c r="A1262" s="3" t="s">
        <v>2542</v>
      </c>
      <c r="B1262" s="4" t="s">
        <v>2543</v>
      </c>
      <c r="C1262" s="5">
        <v>181556</v>
      </c>
      <c r="D1262" s="6" t="s">
        <v>37</v>
      </c>
      <c r="E1262" s="6" t="s">
        <v>38</v>
      </c>
      <c r="F1262" s="7">
        <v>41750</v>
      </c>
      <c r="G1262" s="8">
        <f t="shared" si="19"/>
        <v>41750</v>
      </c>
      <c r="H1262" s="6" t="s">
        <v>39</v>
      </c>
      <c r="I1262" s="9">
        <f>MAX(original!I1262,piwebapi_edit!I1262,car_edit!I1262)</f>
        <v>4697.9157747175605</v>
      </c>
      <c r="J1262" s="9">
        <f>MAX(original!J1262,piwebapi_edit!J1262,car_edit!J1262)</f>
        <v>214.254979672638</v>
      </c>
      <c r="K1262" s="17"/>
    </row>
    <row r="1263" spans="1:11" x14ac:dyDescent="0.25">
      <c r="A1263" s="3" t="s">
        <v>2544</v>
      </c>
      <c r="B1263" s="4" t="s">
        <v>2545</v>
      </c>
      <c r="C1263" s="5">
        <v>110516</v>
      </c>
      <c r="D1263" s="6" t="s">
        <v>31</v>
      </c>
      <c r="E1263" s="6" t="s">
        <v>17</v>
      </c>
      <c r="F1263" s="7">
        <v>40094</v>
      </c>
      <c r="G1263" s="8">
        <f t="shared" si="19"/>
        <v>40094</v>
      </c>
      <c r="H1263" s="6" t="s">
        <v>13</v>
      </c>
      <c r="I1263" s="9">
        <f>MAX(original!I1263,piwebapi_edit!I1263,car_edit!I1263)</f>
        <v>1929.2749974752701</v>
      </c>
      <c r="J1263" s="9">
        <f>MAX(original!J1263,piwebapi_edit!J1263,car_edit!J1263)</f>
        <v>44.827937162644901</v>
      </c>
      <c r="K1263" s="17"/>
    </row>
    <row r="1264" spans="1:11" x14ac:dyDescent="0.25">
      <c r="A1264" s="3" t="s">
        <v>2546</v>
      </c>
      <c r="B1264" s="4" t="s">
        <v>2547</v>
      </c>
      <c r="C1264" s="5">
        <v>107636</v>
      </c>
      <c r="D1264" s="6" t="s">
        <v>11</v>
      </c>
      <c r="E1264" s="6" t="s">
        <v>12</v>
      </c>
      <c r="F1264" s="7">
        <v>40163</v>
      </c>
      <c r="G1264" s="8">
        <f t="shared" si="19"/>
        <v>40163</v>
      </c>
      <c r="H1264" s="6" t="s">
        <v>39</v>
      </c>
      <c r="I1264" s="9">
        <f>MAX(original!I1264,piwebapi_edit!I1264,car_edit!I1264)</f>
        <v>24789.038331122101</v>
      </c>
      <c r="J1264" s="9">
        <f>MAX(original!J1264,piwebapi_edit!J1264,car_edit!J1264)</f>
        <v>225.12556564634201</v>
      </c>
      <c r="K1264" s="17"/>
    </row>
    <row r="1265" spans="1:11" x14ac:dyDescent="0.25">
      <c r="A1265" s="3" t="s">
        <v>2548</v>
      </c>
      <c r="B1265" s="4" t="s">
        <v>2549</v>
      </c>
      <c r="C1265" s="5">
        <v>126196</v>
      </c>
      <c r="D1265" s="6" t="s">
        <v>34</v>
      </c>
      <c r="E1265" s="6" t="s">
        <v>17</v>
      </c>
      <c r="F1265" s="7">
        <v>40407</v>
      </c>
      <c r="G1265" s="8">
        <f t="shared" si="19"/>
        <v>40407</v>
      </c>
      <c r="H1265" s="6" t="s">
        <v>13</v>
      </c>
      <c r="I1265" s="9">
        <f>MAX(original!I1265,piwebapi_edit!I1265,car_edit!I1265)</f>
        <v>17712.054197495501</v>
      </c>
      <c r="J1265" s="9">
        <f>MAX(original!J1265,piwebapi_edit!J1265,car_edit!J1265)</f>
        <v>213.68055156197701</v>
      </c>
      <c r="K1265" s="17"/>
    </row>
    <row r="1266" spans="1:11" x14ac:dyDescent="0.25">
      <c r="A1266" s="3" t="s">
        <v>2550</v>
      </c>
      <c r="B1266" s="4" t="s">
        <v>2551</v>
      </c>
      <c r="C1266" s="5">
        <v>140917</v>
      </c>
      <c r="D1266" s="6" t="s">
        <v>34</v>
      </c>
      <c r="E1266" s="6" t="s">
        <v>17</v>
      </c>
      <c r="F1266" s="7">
        <v>40674</v>
      </c>
      <c r="G1266" s="8">
        <f t="shared" si="19"/>
        <v>40674</v>
      </c>
      <c r="H1266" s="6" t="s">
        <v>13</v>
      </c>
      <c r="I1266" s="9">
        <f>MAX(original!I1266,piwebapi_edit!I1266,car_edit!I1266)</f>
        <v>0</v>
      </c>
      <c r="J1266" s="9">
        <f>MAX(original!J1266,piwebapi_edit!J1266,car_edit!J1266)</f>
        <v>0</v>
      </c>
      <c r="K1266" s="40"/>
    </row>
    <row r="1267" spans="1:11" x14ac:dyDescent="0.25">
      <c r="A1267" s="3" t="s">
        <v>2552</v>
      </c>
      <c r="B1267" s="4" t="s">
        <v>2553</v>
      </c>
      <c r="C1267" s="5">
        <v>129428</v>
      </c>
      <c r="D1267" s="6" t="s">
        <v>11</v>
      </c>
      <c r="E1267" s="6" t="s">
        <v>12</v>
      </c>
      <c r="F1267" s="7">
        <v>40392</v>
      </c>
      <c r="G1267" s="8">
        <f t="shared" si="19"/>
        <v>40392</v>
      </c>
      <c r="H1267" s="6" t="s">
        <v>39</v>
      </c>
      <c r="I1267" s="9">
        <f>MAX(original!I1267,piwebapi_edit!I1267,car_edit!I1267)</f>
        <v>20368.723281153598</v>
      </c>
      <c r="J1267" s="9">
        <f>MAX(original!J1267,piwebapi_edit!J1267,car_edit!J1267)</f>
        <v>234.83898736644201</v>
      </c>
      <c r="K1267" s="17"/>
    </row>
    <row r="1268" spans="1:11" x14ac:dyDescent="0.25">
      <c r="A1268" s="3" t="s">
        <v>2554</v>
      </c>
      <c r="B1268" s="4" t="s">
        <v>2555</v>
      </c>
      <c r="C1268" s="14">
        <v>130356</v>
      </c>
      <c r="D1268" s="6" t="s">
        <v>11</v>
      </c>
      <c r="E1268" s="6" t="s">
        <v>17</v>
      </c>
      <c r="F1268" s="7">
        <v>40521</v>
      </c>
      <c r="G1268" s="8">
        <f t="shared" si="19"/>
        <v>40521</v>
      </c>
      <c r="H1268" s="6" t="s">
        <v>13</v>
      </c>
      <c r="I1268" s="9">
        <f>MAX(original!I1268,piwebapi_edit!I1268,car_edit!I1268)</f>
        <v>83586.380126607299</v>
      </c>
      <c r="J1268" s="9">
        <f>MAX(original!J1268,piwebapi_edit!J1268,car_edit!J1268)</f>
        <v>361.08751120950001</v>
      </c>
      <c r="K1268" s="17"/>
    </row>
    <row r="1269" spans="1:11" x14ac:dyDescent="0.25">
      <c r="A1269" s="3" t="s">
        <v>2556</v>
      </c>
      <c r="B1269" s="4" t="s">
        <v>2557</v>
      </c>
      <c r="C1269" s="5">
        <v>71265</v>
      </c>
      <c r="D1269" s="6" t="s">
        <v>11</v>
      </c>
      <c r="E1269" s="6" t="s">
        <v>12</v>
      </c>
      <c r="F1269" s="7">
        <v>39636</v>
      </c>
      <c r="G1269" s="8">
        <f t="shared" si="19"/>
        <v>39636</v>
      </c>
      <c r="H1269" s="6" t="s">
        <v>39</v>
      </c>
      <c r="I1269" s="9">
        <f>MAX(original!I1269,piwebapi_edit!I1269,car_edit!I1269)</f>
        <v>10551.756831500701</v>
      </c>
      <c r="J1269" s="9">
        <f>MAX(original!J1269,piwebapi_edit!J1269,car_edit!J1269)</f>
        <v>141.22446276311999</v>
      </c>
      <c r="K1269" s="17"/>
    </row>
    <row r="1270" spans="1:11" x14ac:dyDescent="0.25">
      <c r="A1270" s="3" t="s">
        <v>2558</v>
      </c>
      <c r="B1270" s="4" t="s">
        <v>2559</v>
      </c>
      <c r="C1270" s="5">
        <v>79777</v>
      </c>
      <c r="D1270" s="6" t="s">
        <v>11</v>
      </c>
      <c r="E1270" s="6" t="s">
        <v>17</v>
      </c>
      <c r="F1270" s="7">
        <v>39787</v>
      </c>
      <c r="G1270" s="8">
        <f t="shared" si="19"/>
        <v>39787</v>
      </c>
      <c r="H1270" s="6" t="s">
        <v>13</v>
      </c>
      <c r="I1270" s="9">
        <f>MAX(original!I1270,piwebapi_edit!I1270,car_edit!I1270)</f>
        <v>68061.036497647612</v>
      </c>
      <c r="J1270" s="9">
        <f>MAX(original!J1270,piwebapi_edit!J1270,car_edit!J1270)</f>
        <v>239.40608571359201</v>
      </c>
      <c r="K1270" s="17"/>
    </row>
    <row r="1271" spans="1:11" x14ac:dyDescent="0.25">
      <c r="A1271" s="3" t="s">
        <v>2560</v>
      </c>
      <c r="B1271" s="4" t="s">
        <v>2561</v>
      </c>
      <c r="C1271" s="5">
        <v>140276</v>
      </c>
      <c r="D1271" s="6" t="s">
        <v>34</v>
      </c>
      <c r="E1271" s="6" t="s">
        <v>17</v>
      </c>
      <c r="F1271" s="7">
        <v>42592</v>
      </c>
      <c r="G1271" s="8">
        <f t="shared" si="19"/>
        <v>42592</v>
      </c>
      <c r="H1271" s="6" t="s">
        <v>13</v>
      </c>
      <c r="I1271" s="9">
        <f>MAX(original!I1271,piwebapi_edit!I1271,car_edit!I1271)</f>
        <v>5654.4623967111702</v>
      </c>
      <c r="J1271" s="9">
        <f>MAX(original!J1271,piwebapi_edit!J1271,car_edit!J1271)</f>
        <v>59.221661567678403</v>
      </c>
      <c r="K1271" s="17"/>
    </row>
    <row r="1272" spans="1:11" x14ac:dyDescent="0.25">
      <c r="A1272" s="3" t="s">
        <v>2562</v>
      </c>
      <c r="B1272" s="4" t="s">
        <v>2563</v>
      </c>
      <c r="C1272" s="5">
        <v>139958</v>
      </c>
      <c r="D1272" s="6" t="s">
        <v>16</v>
      </c>
      <c r="E1272" s="6" t="s">
        <v>17</v>
      </c>
      <c r="F1272" s="7">
        <v>40674</v>
      </c>
      <c r="G1272" s="8">
        <f t="shared" si="19"/>
        <v>40674</v>
      </c>
      <c r="H1272" s="6" t="s">
        <v>13</v>
      </c>
      <c r="I1272" s="9">
        <f>MAX(original!I1272,piwebapi_edit!I1272,car_edit!I1272)</f>
        <v>16044.646780742301</v>
      </c>
      <c r="J1272" s="9">
        <f>MAX(original!J1272,piwebapi_edit!J1272,car_edit!J1272)</f>
        <v>131.149398842089</v>
      </c>
      <c r="K1272" s="17"/>
    </row>
    <row r="1273" spans="1:11" x14ac:dyDescent="0.25">
      <c r="A1273" s="3" t="s">
        <v>2564</v>
      </c>
      <c r="B1273" s="4" t="s">
        <v>2565</v>
      </c>
      <c r="C1273" s="14">
        <v>145396</v>
      </c>
      <c r="D1273" s="6" t="s">
        <v>28</v>
      </c>
      <c r="E1273" s="6" t="s">
        <v>17</v>
      </c>
      <c r="F1273" s="7">
        <v>40784</v>
      </c>
      <c r="G1273" s="8">
        <f t="shared" si="19"/>
        <v>40784</v>
      </c>
      <c r="H1273" s="6" t="s">
        <v>13</v>
      </c>
      <c r="I1273" s="9">
        <f>MAX(original!I1273,piwebapi_edit!I1273,car_edit!I1273)</f>
        <v>300155.62</v>
      </c>
      <c r="J1273" s="9">
        <f>MAX(original!J1273,piwebapi_edit!J1273,car_edit!J1273)</f>
        <v>1060</v>
      </c>
      <c r="K1273" s="17"/>
    </row>
    <row r="1274" spans="1:11" x14ac:dyDescent="0.25">
      <c r="A1274" s="3" t="s">
        <v>2566</v>
      </c>
      <c r="B1274" s="4" t="s">
        <v>2567</v>
      </c>
      <c r="C1274" s="5">
        <v>149236</v>
      </c>
      <c r="D1274" s="6" t="s">
        <v>16</v>
      </c>
      <c r="E1274" s="6" t="s">
        <v>17</v>
      </c>
      <c r="F1274" s="7">
        <v>40840</v>
      </c>
      <c r="G1274" s="8">
        <f t="shared" si="19"/>
        <v>40840</v>
      </c>
      <c r="H1274" s="6" t="s">
        <v>13</v>
      </c>
      <c r="I1274" s="9">
        <f>MAX(original!I1274,piwebapi_edit!I1274,car_edit!I1274)</f>
        <v>5630.5586034947401</v>
      </c>
      <c r="J1274" s="9">
        <f>MAX(original!J1274,piwebapi_edit!J1274,car_edit!J1274)</f>
        <v>155.851353268683</v>
      </c>
      <c r="K1274" s="17"/>
    </row>
    <row r="1275" spans="1:11" x14ac:dyDescent="0.25">
      <c r="A1275" s="3" t="s">
        <v>2568</v>
      </c>
      <c r="B1275" s="4" t="s">
        <v>2569</v>
      </c>
      <c r="C1275" s="5">
        <v>143796</v>
      </c>
      <c r="D1275" s="6" t="s">
        <v>34</v>
      </c>
      <c r="E1275" s="6" t="s">
        <v>17</v>
      </c>
      <c r="F1275" s="7">
        <v>40742</v>
      </c>
      <c r="G1275" s="8">
        <f t="shared" si="19"/>
        <v>40742</v>
      </c>
      <c r="H1275" s="6" t="s">
        <v>13</v>
      </c>
      <c r="I1275" s="9">
        <f>MAX(original!I1275,piwebapi_edit!I1275,car_edit!I1275)</f>
        <v>6073.8240208519001</v>
      </c>
      <c r="J1275" s="9">
        <f>MAX(original!J1275,piwebapi_edit!J1275,car_edit!J1275)</f>
        <v>166.25164654927201</v>
      </c>
      <c r="K1275" s="17"/>
    </row>
    <row r="1276" spans="1:11" x14ac:dyDescent="0.25">
      <c r="A1276" s="3" t="s">
        <v>2570</v>
      </c>
      <c r="B1276" s="4" t="s">
        <v>2571</v>
      </c>
      <c r="C1276" s="5">
        <v>152436</v>
      </c>
      <c r="D1276" s="6" t="s">
        <v>37</v>
      </c>
      <c r="E1276" s="6" t="s">
        <v>38</v>
      </c>
      <c r="F1276" s="7">
        <v>40884</v>
      </c>
      <c r="G1276" s="8">
        <f t="shared" si="19"/>
        <v>40884</v>
      </c>
      <c r="H1276" s="6" t="s">
        <v>39</v>
      </c>
      <c r="I1276" s="9">
        <f>MAX(original!I1276,piwebapi_edit!I1276,car_edit!I1276)</f>
        <v>16998.949180652202</v>
      </c>
      <c r="J1276" s="9">
        <f>MAX(original!J1276,piwebapi_edit!J1276,car_edit!J1276)</f>
        <v>392.15922014155802</v>
      </c>
      <c r="K1276" s="17"/>
    </row>
    <row r="1277" spans="1:11" x14ac:dyDescent="0.25">
      <c r="A1277" s="3" t="s">
        <v>2572</v>
      </c>
      <c r="B1277" s="4" t="s">
        <v>2573</v>
      </c>
      <c r="C1277" s="5">
        <v>155636</v>
      </c>
      <c r="D1277" s="6" t="s">
        <v>11</v>
      </c>
      <c r="E1277" s="6" t="s">
        <v>12</v>
      </c>
      <c r="F1277" s="7">
        <v>41033</v>
      </c>
      <c r="G1277" s="8">
        <f t="shared" si="19"/>
        <v>41033</v>
      </c>
      <c r="H1277" s="6" t="s">
        <v>39</v>
      </c>
      <c r="I1277" s="9">
        <f>MAX(original!I1277,piwebapi_edit!I1277,car_edit!I1277)</f>
        <v>10923.5634967688</v>
      </c>
      <c r="J1277" s="9">
        <f>MAX(original!J1277,piwebapi_edit!J1277,car_edit!J1277)</f>
        <v>165.672620260543</v>
      </c>
      <c r="K1277" s="17"/>
    </row>
    <row r="1278" spans="1:11" x14ac:dyDescent="0.25">
      <c r="A1278" s="3" t="s">
        <v>2574</v>
      </c>
      <c r="B1278" s="4" t="s">
        <v>2575</v>
      </c>
      <c r="C1278" s="5">
        <v>157892</v>
      </c>
      <c r="D1278" s="6" t="s">
        <v>11</v>
      </c>
      <c r="E1278" s="6" t="s">
        <v>12</v>
      </c>
      <c r="F1278" s="7">
        <v>41081</v>
      </c>
      <c r="G1278" s="8">
        <f t="shared" si="19"/>
        <v>41081</v>
      </c>
      <c r="H1278" s="6" t="s">
        <v>39</v>
      </c>
      <c r="I1278" s="9">
        <f>MAX(original!I1278,piwebapi_edit!I1278,car_edit!I1278)</f>
        <v>39021.303110602195</v>
      </c>
      <c r="J1278" s="9">
        <f>MAX(original!J1278,piwebapi_edit!J1278,car_edit!J1278)</f>
        <v>231.361817607294</v>
      </c>
      <c r="K1278" s="17"/>
    </row>
    <row r="1279" spans="1:11" x14ac:dyDescent="0.25">
      <c r="A1279" s="3" t="s">
        <v>2576</v>
      </c>
      <c r="B1279" s="4" t="s">
        <v>2577</v>
      </c>
      <c r="C1279" s="5">
        <v>158516</v>
      </c>
      <c r="D1279" s="6" t="s">
        <v>16</v>
      </c>
      <c r="E1279" s="6" t="s">
        <v>17</v>
      </c>
      <c r="F1279" s="7">
        <v>41092</v>
      </c>
      <c r="G1279" s="8">
        <f t="shared" si="19"/>
        <v>41092</v>
      </c>
      <c r="H1279" s="6" t="s">
        <v>13</v>
      </c>
      <c r="I1279" s="9">
        <f>MAX(original!I1279,piwebapi_edit!I1279,car_edit!I1279)</f>
        <v>3332.06286917137</v>
      </c>
      <c r="J1279" s="9">
        <f>MAX(original!J1279,piwebapi_edit!J1279,car_edit!J1279)</f>
        <v>139.09698064039199</v>
      </c>
      <c r="K1279" s="17"/>
    </row>
    <row r="1280" spans="1:11" x14ac:dyDescent="0.25">
      <c r="A1280" s="3" t="s">
        <v>2578</v>
      </c>
      <c r="B1280" s="4" t="s">
        <v>2579</v>
      </c>
      <c r="C1280" s="14">
        <v>158196</v>
      </c>
      <c r="D1280" s="6" t="s">
        <v>34</v>
      </c>
      <c r="E1280" s="6" t="s">
        <v>17</v>
      </c>
      <c r="F1280" s="7">
        <v>40848</v>
      </c>
      <c r="G1280" s="8">
        <f t="shared" si="19"/>
        <v>40848</v>
      </c>
      <c r="H1280" s="6" t="s">
        <v>13</v>
      </c>
      <c r="I1280" s="9">
        <f>MAX(original!I1280,piwebapi_edit!I1280,car_edit!I1280)</f>
        <v>69735.168789010699</v>
      </c>
      <c r="J1280" s="9">
        <f>MAX(original!J1280,piwebapi_edit!J1280,car_edit!J1280)</f>
        <v>653.02514867598802</v>
      </c>
      <c r="K1280" s="17"/>
    </row>
    <row r="1281" spans="1:11" x14ac:dyDescent="0.25">
      <c r="A1281" s="3" t="s">
        <v>2580</v>
      </c>
      <c r="B1281" s="4" t="s">
        <v>2581</v>
      </c>
      <c r="C1281" s="5">
        <v>205590</v>
      </c>
      <c r="D1281" s="6" t="s">
        <v>34</v>
      </c>
      <c r="E1281" s="6" t="s">
        <v>17</v>
      </c>
      <c r="F1281" s="7">
        <v>41562</v>
      </c>
      <c r="G1281" s="8">
        <f t="shared" si="19"/>
        <v>41562</v>
      </c>
      <c r="H1281" s="6" t="s">
        <v>13</v>
      </c>
      <c r="I1281" s="9">
        <f>MAX(original!I1281,piwebapi_edit!I1281,car_edit!I1281)</f>
        <v>933.4606632201909</v>
      </c>
      <c r="J1281" s="9">
        <f>MAX(original!J1281,piwebapi_edit!J1281,car_edit!J1281)</f>
        <v>38.246483227731098</v>
      </c>
      <c r="K1281" s="40"/>
    </row>
    <row r="1282" spans="1:11" x14ac:dyDescent="0.25">
      <c r="A1282" s="26" t="s">
        <v>2582</v>
      </c>
      <c r="B1282" s="27" t="s">
        <v>2583</v>
      </c>
      <c r="C1282" s="5">
        <v>163316</v>
      </c>
      <c r="D1282" s="28" t="s">
        <v>16</v>
      </c>
      <c r="E1282" s="28" t="s">
        <v>17</v>
      </c>
      <c r="F1282" s="29">
        <v>41255</v>
      </c>
      <c r="G1282" s="30">
        <f t="shared" ref="G1282:G1345" si="20">F1282</f>
        <v>41255</v>
      </c>
      <c r="H1282" s="28" t="s">
        <v>13</v>
      </c>
      <c r="I1282" s="9">
        <f>MAX(original!I1282,piwebapi_edit!I1282,car_edit!I1282)</f>
        <v>268012.87</v>
      </c>
      <c r="J1282" s="9">
        <f>MAX(original!J1282,piwebapi_edit!J1282,car_edit!J1282)</f>
        <v>1360</v>
      </c>
      <c r="K1282" s="33"/>
    </row>
    <row r="1283" spans="1:11" x14ac:dyDescent="0.25">
      <c r="A1283" s="3" t="s">
        <v>2584</v>
      </c>
      <c r="B1283" s="4" t="s">
        <v>2585</v>
      </c>
      <c r="C1283" s="5">
        <v>168436</v>
      </c>
      <c r="D1283" s="6" t="s">
        <v>16</v>
      </c>
      <c r="E1283" s="6" t="s">
        <v>17</v>
      </c>
      <c r="F1283" s="7">
        <v>41382</v>
      </c>
      <c r="G1283" s="8">
        <f t="shared" si="20"/>
        <v>41382</v>
      </c>
      <c r="H1283" s="6" t="s">
        <v>13</v>
      </c>
      <c r="I1283" s="9">
        <f>MAX(original!I1283,piwebapi_edit!I1283,car_edit!I1283)</f>
        <v>3111.21544176613</v>
      </c>
      <c r="J1283" s="9">
        <f>MAX(original!J1283,piwebapi_edit!J1283,car_edit!J1283)</f>
        <v>62.016539914937802</v>
      </c>
      <c r="K1283" s="17"/>
    </row>
    <row r="1284" spans="1:11" x14ac:dyDescent="0.25">
      <c r="A1284" s="3" t="s">
        <v>2586</v>
      </c>
      <c r="B1284" s="4" t="s">
        <v>2587</v>
      </c>
      <c r="C1284" s="5">
        <v>166196</v>
      </c>
      <c r="D1284" s="6" t="s">
        <v>16</v>
      </c>
      <c r="E1284" s="6" t="s">
        <v>17</v>
      </c>
      <c r="F1284" s="7">
        <v>41339</v>
      </c>
      <c r="G1284" s="8">
        <f t="shared" si="20"/>
        <v>41339</v>
      </c>
      <c r="H1284" s="6" t="s">
        <v>13</v>
      </c>
      <c r="I1284" s="9">
        <f>MAX(original!I1284,piwebapi_edit!I1284,car_edit!I1284)</f>
        <v>3890.5661841400397</v>
      </c>
      <c r="J1284" s="9">
        <f>MAX(original!J1284,piwebapi_edit!J1284,car_edit!J1284)</f>
        <v>72.931987748480097</v>
      </c>
      <c r="K1284" s="17"/>
    </row>
    <row r="1285" spans="1:11" x14ac:dyDescent="0.25">
      <c r="A1285" s="3" t="s">
        <v>2588</v>
      </c>
      <c r="B1285" s="4" t="s">
        <v>2589</v>
      </c>
      <c r="C1285" s="5">
        <v>167156</v>
      </c>
      <c r="D1285" s="6" t="s">
        <v>34</v>
      </c>
      <c r="E1285" s="6" t="s">
        <v>17</v>
      </c>
      <c r="F1285" s="7">
        <v>41373</v>
      </c>
      <c r="G1285" s="8">
        <f t="shared" si="20"/>
        <v>41373</v>
      </c>
      <c r="H1285" s="6" t="s">
        <v>13</v>
      </c>
      <c r="I1285" s="9">
        <f>MAX(original!I1285,piwebapi_edit!I1285,car_edit!I1285)</f>
        <v>5013.2730236214302</v>
      </c>
      <c r="J1285" s="9">
        <f>MAX(original!J1285,piwebapi_edit!J1285,car_edit!J1285)</f>
        <v>227.17927650448701</v>
      </c>
      <c r="K1285" s="17"/>
    </row>
    <row r="1286" spans="1:11" x14ac:dyDescent="0.25">
      <c r="A1286" s="3" t="s">
        <v>2590</v>
      </c>
      <c r="B1286" s="4" t="s">
        <v>2591</v>
      </c>
      <c r="C1286" s="5">
        <v>168132</v>
      </c>
      <c r="D1286" s="6" t="s">
        <v>11</v>
      </c>
      <c r="E1286" s="6" t="s">
        <v>17</v>
      </c>
      <c r="F1286" s="7">
        <v>41380</v>
      </c>
      <c r="G1286" s="8">
        <f t="shared" si="20"/>
        <v>41380</v>
      </c>
      <c r="H1286" s="6" t="s">
        <v>13</v>
      </c>
      <c r="I1286" s="9">
        <f>MAX(original!I1286,piwebapi_edit!I1286,car_edit!I1286)</f>
        <v>45437.075421008405</v>
      </c>
      <c r="J1286" s="9">
        <f>MAX(original!J1286,piwebapi_edit!J1286,car_edit!J1286)</f>
        <v>272.15311323472599</v>
      </c>
      <c r="K1286" s="17"/>
    </row>
    <row r="1287" spans="1:11" x14ac:dyDescent="0.25">
      <c r="A1287" s="3" t="s">
        <v>2592</v>
      </c>
      <c r="B1287" s="4" t="s">
        <v>2593</v>
      </c>
      <c r="C1287" s="5">
        <v>204948</v>
      </c>
      <c r="D1287" s="6" t="s">
        <v>28</v>
      </c>
      <c r="E1287" s="6" t="s">
        <v>17</v>
      </c>
      <c r="F1287" s="7">
        <v>42674</v>
      </c>
      <c r="G1287" s="8">
        <f t="shared" si="20"/>
        <v>42674</v>
      </c>
      <c r="H1287" s="6" t="s">
        <v>13</v>
      </c>
      <c r="I1287" s="9">
        <f>MAX(original!I1287,piwebapi_edit!I1287,car_edit!I1287)</f>
        <v>220158.35604513899</v>
      </c>
      <c r="J1287" s="9">
        <f>MAX(original!J1287,piwebapi_edit!J1287,car_edit!J1287)</f>
        <v>221.208090181741</v>
      </c>
      <c r="K1287" s="11"/>
    </row>
    <row r="1288" spans="1:11" x14ac:dyDescent="0.25">
      <c r="A1288" s="3" t="s">
        <v>2594</v>
      </c>
      <c r="B1288" s="4" t="s">
        <v>2595</v>
      </c>
      <c r="C1288" s="5">
        <v>172916</v>
      </c>
      <c r="D1288" s="6" t="s">
        <v>11</v>
      </c>
      <c r="E1288" s="6" t="s">
        <v>12</v>
      </c>
      <c r="F1288" s="7">
        <v>41394</v>
      </c>
      <c r="G1288" s="8">
        <f t="shared" si="20"/>
        <v>41394</v>
      </c>
      <c r="H1288" s="6" t="s">
        <v>39</v>
      </c>
      <c r="I1288" s="9">
        <f>MAX(original!I1288,piwebapi_edit!I1288,car_edit!I1288)</f>
        <v>26794.712207580003</v>
      </c>
      <c r="J1288" s="9">
        <f>MAX(original!J1288,piwebapi_edit!J1288,car_edit!J1288)</f>
        <v>122.915698436612</v>
      </c>
      <c r="K1288" s="17"/>
    </row>
    <row r="1289" spans="1:11" x14ac:dyDescent="0.25">
      <c r="A1289" s="3" t="s">
        <v>2596</v>
      </c>
      <c r="B1289" s="4" t="s">
        <v>2597</v>
      </c>
      <c r="C1289" s="5">
        <v>174836</v>
      </c>
      <c r="D1289" s="6" t="s">
        <v>11</v>
      </c>
      <c r="E1289" s="6" t="s">
        <v>17</v>
      </c>
      <c r="F1289" s="7">
        <v>41466</v>
      </c>
      <c r="G1289" s="8">
        <f t="shared" si="20"/>
        <v>41466</v>
      </c>
      <c r="H1289" s="6" t="s">
        <v>13</v>
      </c>
      <c r="I1289" s="9">
        <f>MAX(original!I1289,piwebapi_edit!I1289,car_edit!I1289)</f>
        <v>21369.046420403</v>
      </c>
      <c r="J1289" s="9">
        <f>MAX(original!J1289,piwebapi_edit!J1289,car_edit!J1289)</f>
        <v>140.43814726134801</v>
      </c>
      <c r="K1289" s="17"/>
    </row>
    <row r="1290" spans="1:11" x14ac:dyDescent="0.25">
      <c r="A1290" s="3" t="s">
        <v>2598</v>
      </c>
      <c r="B1290" s="4" t="s">
        <v>2599</v>
      </c>
      <c r="C1290" s="5">
        <v>174852</v>
      </c>
      <c r="D1290" s="6" t="s">
        <v>16</v>
      </c>
      <c r="E1290" s="6" t="s">
        <v>17</v>
      </c>
      <c r="F1290" s="7">
        <v>41513</v>
      </c>
      <c r="G1290" s="8">
        <f t="shared" si="20"/>
        <v>41513</v>
      </c>
      <c r="H1290" s="6" t="s">
        <v>13</v>
      </c>
      <c r="I1290" s="9">
        <f>MAX(original!I1290,piwebapi_edit!I1290,car_edit!I1290)</f>
        <v>10426.7878151636</v>
      </c>
      <c r="J1290" s="9">
        <f>MAX(original!J1290,piwebapi_edit!J1290,car_edit!J1290)</f>
        <v>227.50154380764701</v>
      </c>
      <c r="K1290" s="17"/>
    </row>
    <row r="1291" spans="1:11" x14ac:dyDescent="0.25">
      <c r="A1291" s="3" t="s">
        <v>2600</v>
      </c>
      <c r="B1291" s="4" t="s">
        <v>2601</v>
      </c>
      <c r="C1291" s="5">
        <v>173556</v>
      </c>
      <c r="D1291" s="6" t="s">
        <v>16</v>
      </c>
      <c r="E1291" s="6" t="s">
        <v>17</v>
      </c>
      <c r="F1291" s="7">
        <v>41493</v>
      </c>
      <c r="G1291" s="8">
        <f t="shared" si="20"/>
        <v>41493</v>
      </c>
      <c r="H1291" s="6" t="s">
        <v>13</v>
      </c>
      <c r="I1291" s="9">
        <f>MAX(original!I1291,piwebapi_edit!I1291,car_edit!I1291)</f>
        <v>16829.985402364902</v>
      </c>
      <c r="J1291" s="9">
        <f>MAX(original!J1291,piwebapi_edit!J1291,car_edit!J1291)</f>
        <v>63.228402713645501</v>
      </c>
      <c r="K1291" s="17"/>
    </row>
    <row r="1292" spans="1:11" x14ac:dyDescent="0.25">
      <c r="A1292" s="3" t="s">
        <v>2602</v>
      </c>
      <c r="B1292" s="4" t="s">
        <v>2603</v>
      </c>
      <c r="C1292" s="5">
        <v>179956</v>
      </c>
      <c r="D1292" s="6" t="s">
        <v>11</v>
      </c>
      <c r="E1292" s="6" t="s">
        <v>12</v>
      </c>
      <c r="F1292" s="7">
        <v>41550</v>
      </c>
      <c r="G1292" s="8">
        <f t="shared" si="20"/>
        <v>41550</v>
      </c>
      <c r="H1292" s="6" t="s">
        <v>39</v>
      </c>
      <c r="I1292" s="9">
        <f>MAX(original!I1292,piwebapi_edit!I1292,car_edit!I1292)</f>
        <v>30844.3181820426</v>
      </c>
      <c r="J1292" s="9">
        <f>MAX(original!J1292,piwebapi_edit!J1292,car_edit!J1292)</f>
        <v>185.32533125332799</v>
      </c>
      <c r="K1292" s="17"/>
    </row>
    <row r="1293" spans="1:11" x14ac:dyDescent="0.25">
      <c r="A1293" s="3" t="s">
        <v>2604</v>
      </c>
      <c r="B1293" s="4" t="s">
        <v>2605</v>
      </c>
      <c r="C1293" s="5">
        <v>176117</v>
      </c>
      <c r="D1293" s="6" t="s">
        <v>31</v>
      </c>
      <c r="E1293" s="6" t="s">
        <v>17</v>
      </c>
      <c r="F1293" s="7">
        <v>41568</v>
      </c>
      <c r="G1293" s="8">
        <f t="shared" si="20"/>
        <v>41568</v>
      </c>
      <c r="H1293" s="6" t="s">
        <v>13</v>
      </c>
      <c r="I1293" s="9">
        <f>MAX(original!I1293,piwebapi_edit!I1293,car_edit!I1293)</f>
        <v>4521.8284464303306</v>
      </c>
      <c r="J1293" s="9">
        <f>MAX(original!J1293,piwebapi_edit!J1293,car_edit!J1293)</f>
        <v>62.532131246236503</v>
      </c>
      <c r="K1293" s="17"/>
    </row>
    <row r="1294" spans="1:11" ht="30" x14ac:dyDescent="0.25">
      <c r="A1294" s="3" t="s">
        <v>2606</v>
      </c>
      <c r="B1294" s="4" t="s">
        <v>2607</v>
      </c>
      <c r="C1294" s="5">
        <v>207532</v>
      </c>
      <c r="D1294" s="6" t="s">
        <v>11</v>
      </c>
      <c r="E1294" s="6" t="s">
        <v>12</v>
      </c>
      <c r="F1294" s="7">
        <v>38210</v>
      </c>
      <c r="G1294" s="8">
        <f t="shared" si="20"/>
        <v>38210</v>
      </c>
      <c r="H1294" s="6" t="s">
        <v>776</v>
      </c>
      <c r="I1294" s="9">
        <f>MAX(original!I1294,piwebapi_edit!I1294,car_edit!I1294)</f>
        <v>37500.425346985205</v>
      </c>
      <c r="J1294" s="9">
        <f>MAX(original!J1294,piwebapi_edit!J1294,car_edit!J1294)</f>
        <v>88.610552059656101</v>
      </c>
      <c r="K1294" s="11"/>
    </row>
    <row r="1295" spans="1:11" x14ac:dyDescent="0.25">
      <c r="A1295" s="3" t="s">
        <v>2608</v>
      </c>
      <c r="B1295" s="4" t="s">
        <v>2609</v>
      </c>
      <c r="C1295" s="5">
        <v>180276</v>
      </c>
      <c r="D1295" s="6" t="s">
        <v>31</v>
      </c>
      <c r="E1295" s="6" t="s">
        <v>17</v>
      </c>
      <c r="F1295" s="7">
        <v>41669</v>
      </c>
      <c r="G1295" s="8">
        <f t="shared" si="20"/>
        <v>41669</v>
      </c>
      <c r="H1295" s="6" t="s">
        <v>13</v>
      </c>
      <c r="I1295" s="9">
        <f>MAX(original!I1295,piwebapi_edit!I1295,car_edit!I1295)</f>
        <v>35241.0535002334</v>
      </c>
      <c r="J1295" s="9">
        <f>MAX(original!J1295,piwebapi_edit!J1295,car_edit!J1295)</f>
        <v>197.28556467002099</v>
      </c>
      <c r="K1295" s="17"/>
    </row>
    <row r="1296" spans="1:11" x14ac:dyDescent="0.25">
      <c r="A1296" s="3" t="s">
        <v>2610</v>
      </c>
      <c r="B1296" s="4" t="s">
        <v>2611</v>
      </c>
      <c r="C1296" s="5">
        <v>184116</v>
      </c>
      <c r="D1296" s="6" t="s">
        <v>11</v>
      </c>
      <c r="E1296" s="6" t="s">
        <v>17</v>
      </c>
      <c r="F1296" s="7">
        <v>41815</v>
      </c>
      <c r="G1296" s="8">
        <f t="shared" si="20"/>
        <v>41815</v>
      </c>
      <c r="H1296" s="6" t="s">
        <v>13</v>
      </c>
      <c r="I1296" s="9">
        <f>MAX(original!I1296,piwebapi_edit!I1296,car_edit!I1296)</f>
        <v>27539.422183052298</v>
      </c>
      <c r="J1296" s="9">
        <f>MAX(original!J1296,piwebapi_edit!J1296,car_edit!J1296)</f>
        <v>169.353641869043</v>
      </c>
      <c r="K1296" s="17"/>
    </row>
    <row r="1297" spans="1:11" x14ac:dyDescent="0.25">
      <c r="A1297" s="3" t="s">
        <v>2612</v>
      </c>
      <c r="B1297" s="4" t="s">
        <v>2613</v>
      </c>
      <c r="C1297" s="14">
        <v>182518</v>
      </c>
      <c r="D1297" s="6" t="s">
        <v>16</v>
      </c>
      <c r="E1297" s="6" t="s">
        <v>17</v>
      </c>
      <c r="F1297" s="7">
        <v>41788</v>
      </c>
      <c r="G1297" s="8">
        <f t="shared" si="20"/>
        <v>41788</v>
      </c>
      <c r="H1297" s="6" t="s">
        <v>13</v>
      </c>
      <c r="I1297" s="9">
        <f>MAX(original!I1297,piwebapi_edit!I1297,car_edit!I1297)</f>
        <v>5908.9749143866493</v>
      </c>
      <c r="J1297" s="9">
        <f>MAX(original!J1297,piwebapi_edit!J1297,car_edit!J1297)</f>
        <v>231.182197189882</v>
      </c>
      <c r="K1297" s="17"/>
    </row>
    <row r="1298" spans="1:11" x14ac:dyDescent="0.25">
      <c r="A1298" s="3" t="s">
        <v>2614</v>
      </c>
      <c r="B1298" s="4" t="s">
        <v>2615</v>
      </c>
      <c r="C1298" s="14">
        <v>182218</v>
      </c>
      <c r="D1298" s="6" t="s">
        <v>28</v>
      </c>
      <c r="E1298" s="6" t="s">
        <v>17</v>
      </c>
      <c r="F1298" s="7">
        <v>41649</v>
      </c>
      <c r="G1298" s="8">
        <f t="shared" si="20"/>
        <v>41649</v>
      </c>
      <c r="H1298" s="6" t="s">
        <v>13</v>
      </c>
      <c r="I1298" s="9">
        <f>MAX(original!I1298,piwebapi_edit!I1298,car_edit!I1298)</f>
        <v>92257.939750011501</v>
      </c>
      <c r="J1298" s="9">
        <f>MAX(original!J1298,piwebapi_edit!J1298,car_edit!J1298)</f>
        <v>806.85690262556204</v>
      </c>
      <c r="K1298" s="17"/>
    </row>
    <row r="1299" spans="1:11" x14ac:dyDescent="0.25">
      <c r="A1299" s="3" t="s">
        <v>2616</v>
      </c>
      <c r="B1299" s="4" t="s">
        <v>2617</v>
      </c>
      <c r="C1299" s="5">
        <v>183476</v>
      </c>
      <c r="D1299" s="6" t="s">
        <v>16</v>
      </c>
      <c r="E1299" s="6" t="s">
        <v>17</v>
      </c>
      <c r="F1299" s="7">
        <v>41836</v>
      </c>
      <c r="G1299" s="8">
        <f t="shared" si="20"/>
        <v>41836</v>
      </c>
      <c r="H1299" s="6" t="s">
        <v>13</v>
      </c>
      <c r="I1299" s="9">
        <f>MAX(original!I1299,piwebapi_edit!I1299,car_edit!I1299)</f>
        <v>6405.3750808047498</v>
      </c>
      <c r="J1299" s="9">
        <f>MAX(original!J1299,piwebapi_edit!J1299,car_edit!J1299)</f>
        <v>73.959469822647705</v>
      </c>
      <c r="K1299" s="17"/>
    </row>
    <row r="1300" spans="1:11" x14ac:dyDescent="0.25">
      <c r="A1300" s="3" t="s">
        <v>2618</v>
      </c>
      <c r="B1300" s="4" t="s">
        <v>2619</v>
      </c>
      <c r="C1300" s="5">
        <v>185429</v>
      </c>
      <c r="D1300" s="6" t="s">
        <v>34</v>
      </c>
      <c r="E1300" s="6" t="s">
        <v>17</v>
      </c>
      <c r="F1300" s="7">
        <v>41887</v>
      </c>
      <c r="G1300" s="8">
        <f t="shared" si="20"/>
        <v>41887</v>
      </c>
      <c r="H1300" s="6" t="s">
        <v>13</v>
      </c>
      <c r="I1300" s="9">
        <f>MAX(original!I1300,piwebapi_edit!I1300,car_edit!I1300)</f>
        <v>4500.7999341416698</v>
      </c>
      <c r="J1300" s="9">
        <f>MAX(original!J1300,piwebapi_edit!J1300,car_edit!J1300)</f>
        <v>48.515198176185301</v>
      </c>
      <c r="K1300" s="17"/>
    </row>
    <row r="1301" spans="1:11" x14ac:dyDescent="0.25">
      <c r="A1301" s="3" t="s">
        <v>2620</v>
      </c>
      <c r="B1301" s="4" t="s">
        <v>2621</v>
      </c>
      <c r="C1301" s="5">
        <v>183479</v>
      </c>
      <c r="D1301" s="6" t="s">
        <v>11</v>
      </c>
      <c r="E1301" s="6" t="s">
        <v>17</v>
      </c>
      <c r="F1301" s="7">
        <v>41870</v>
      </c>
      <c r="G1301" s="8">
        <f t="shared" si="20"/>
        <v>41870</v>
      </c>
      <c r="H1301" s="6" t="s">
        <v>13</v>
      </c>
      <c r="I1301" s="9">
        <f>MAX(original!I1301,piwebapi_edit!I1301,car_edit!I1301)</f>
        <v>51609.059241057599</v>
      </c>
      <c r="J1301" s="9">
        <f>MAX(original!J1301,piwebapi_edit!J1301,car_edit!J1301)</f>
        <v>546.98132481886603</v>
      </c>
      <c r="K1301" s="17"/>
    </row>
    <row r="1302" spans="1:11" x14ac:dyDescent="0.25">
      <c r="A1302" s="3" t="s">
        <v>2622</v>
      </c>
      <c r="B1302" s="4" t="s">
        <v>2623</v>
      </c>
      <c r="C1302" s="5">
        <v>185734</v>
      </c>
      <c r="D1302" s="6" t="s">
        <v>31</v>
      </c>
      <c r="E1302" s="6" t="s">
        <v>17</v>
      </c>
      <c r="F1302" s="7">
        <v>41878</v>
      </c>
      <c r="G1302" s="8">
        <f t="shared" si="20"/>
        <v>41878</v>
      </c>
      <c r="H1302" s="6" t="s">
        <v>13</v>
      </c>
      <c r="I1302" s="9">
        <f>MAX(original!I1302,piwebapi_edit!I1302,car_edit!I1302)</f>
        <v>15456.0520440091</v>
      </c>
      <c r="J1302" s="9">
        <f>MAX(original!J1302,piwebapi_edit!J1302,car_edit!J1302)</f>
        <v>82.294411518410598</v>
      </c>
      <c r="K1302" s="17"/>
    </row>
    <row r="1303" spans="1:11" x14ac:dyDescent="0.25">
      <c r="A1303" s="3" t="s">
        <v>2624</v>
      </c>
      <c r="B1303" s="4" t="s">
        <v>2625</v>
      </c>
      <c r="C1303" s="14">
        <v>186378</v>
      </c>
      <c r="D1303" s="6" t="s">
        <v>11</v>
      </c>
      <c r="E1303" s="6" t="s">
        <v>17</v>
      </c>
      <c r="F1303" s="7">
        <v>41915</v>
      </c>
      <c r="G1303" s="8">
        <f t="shared" si="20"/>
        <v>41915</v>
      </c>
      <c r="H1303" s="6" t="s">
        <v>13</v>
      </c>
      <c r="I1303" s="9">
        <f>MAX(original!I1303,piwebapi_edit!I1303,car_edit!I1303)</f>
        <v>34425.335430178398</v>
      </c>
      <c r="J1303" s="9">
        <f>MAX(original!J1303,piwebapi_edit!J1303,car_edit!J1303)</f>
        <v>177.853696838481</v>
      </c>
      <c r="K1303" s="17"/>
    </row>
    <row r="1304" spans="1:11" x14ac:dyDescent="0.25">
      <c r="A1304" s="3" t="s">
        <v>2626</v>
      </c>
      <c r="B1304" s="4" t="s">
        <v>2627</v>
      </c>
      <c r="C1304" s="14">
        <v>186052</v>
      </c>
      <c r="D1304" s="6" t="s">
        <v>31</v>
      </c>
      <c r="E1304" s="6" t="s">
        <v>17</v>
      </c>
      <c r="F1304" s="7">
        <v>41927</v>
      </c>
      <c r="G1304" s="8">
        <f t="shared" si="20"/>
        <v>41927</v>
      </c>
      <c r="H1304" s="6" t="s">
        <v>13</v>
      </c>
      <c r="I1304" s="9">
        <f>MAX(original!I1304,piwebapi_edit!I1304,car_edit!I1304)</f>
        <v>83867.583448464502</v>
      </c>
      <c r="J1304" s="9">
        <f>MAX(original!J1304,piwebapi_edit!J1304,car_edit!J1304)</f>
        <v>461.97097398450398</v>
      </c>
      <c r="K1304" s="17"/>
    </row>
    <row r="1305" spans="1:11" x14ac:dyDescent="0.25">
      <c r="A1305" s="3" t="s">
        <v>2628</v>
      </c>
      <c r="B1305" s="4" t="s">
        <v>2629</v>
      </c>
      <c r="C1305" s="14">
        <v>187348</v>
      </c>
      <c r="D1305" s="6" t="s">
        <v>11</v>
      </c>
      <c r="E1305" s="6" t="s">
        <v>17</v>
      </c>
      <c r="F1305" s="7">
        <v>41934</v>
      </c>
      <c r="G1305" s="8">
        <f t="shared" si="20"/>
        <v>41934</v>
      </c>
      <c r="H1305" s="6" t="s">
        <v>13</v>
      </c>
      <c r="I1305" s="9">
        <f>MAX(original!I1305,piwebapi_edit!I1305,car_edit!I1305)</f>
        <v>58389.867873023497</v>
      </c>
      <c r="J1305" s="9">
        <f>MAX(original!J1305,piwebapi_edit!J1305,car_edit!J1305)</f>
        <v>579.00399864007795</v>
      </c>
      <c r="K1305" s="17"/>
    </row>
    <row r="1306" spans="1:11" x14ac:dyDescent="0.25">
      <c r="A1306" s="3" t="s">
        <v>2630</v>
      </c>
      <c r="B1306" s="4" t="s">
        <v>2631</v>
      </c>
      <c r="C1306" s="5">
        <v>205270</v>
      </c>
      <c r="D1306" s="6" t="s">
        <v>11</v>
      </c>
      <c r="E1306" s="6" t="s">
        <v>17</v>
      </c>
      <c r="F1306" s="7">
        <v>41920</v>
      </c>
      <c r="G1306" s="8">
        <f t="shared" si="20"/>
        <v>41920</v>
      </c>
      <c r="H1306" s="6" t="s">
        <v>13</v>
      </c>
      <c r="I1306" s="9">
        <f>MAX(original!I1306,piwebapi_edit!I1306,car_edit!I1306)</f>
        <v>55108.1217090028</v>
      </c>
      <c r="J1306" s="9">
        <f>MAX(original!J1306,piwebapi_edit!J1306,car_edit!J1306)</f>
        <v>253.82500369318799</v>
      </c>
      <c r="K1306" s="11"/>
    </row>
    <row r="1307" spans="1:11" x14ac:dyDescent="0.25">
      <c r="A1307" s="3" t="s">
        <v>2632</v>
      </c>
      <c r="B1307" s="4" t="s">
        <v>2633</v>
      </c>
      <c r="C1307" s="5">
        <v>187976</v>
      </c>
      <c r="D1307" s="6" t="s">
        <v>11</v>
      </c>
      <c r="E1307" s="6" t="s">
        <v>12</v>
      </c>
      <c r="F1307" s="7">
        <v>41974</v>
      </c>
      <c r="G1307" s="8">
        <f t="shared" si="20"/>
        <v>41974</v>
      </c>
      <c r="H1307" s="6" t="s">
        <v>39</v>
      </c>
      <c r="I1307" s="9">
        <f>MAX(original!I1307,piwebapi_edit!I1307,car_edit!I1307)</f>
        <v>15121.486487919601</v>
      </c>
      <c r="J1307" s="9">
        <f>MAX(original!J1307,piwebapi_edit!J1307,car_edit!J1307)</f>
        <v>181.322023919777</v>
      </c>
      <c r="K1307" s="17"/>
    </row>
    <row r="1308" spans="1:11" x14ac:dyDescent="0.25">
      <c r="A1308" s="3" t="s">
        <v>2634</v>
      </c>
      <c r="B1308" s="4" t="s">
        <v>2635</v>
      </c>
      <c r="C1308" s="5">
        <v>185413</v>
      </c>
      <c r="D1308" s="6" t="s">
        <v>16</v>
      </c>
      <c r="E1308" s="6" t="s">
        <v>17</v>
      </c>
      <c r="F1308" s="7">
        <v>41992</v>
      </c>
      <c r="G1308" s="8">
        <f t="shared" si="20"/>
        <v>41992</v>
      </c>
      <c r="H1308" s="6" t="s">
        <v>13</v>
      </c>
      <c r="I1308" s="9">
        <f>MAX(original!I1308,piwebapi_edit!I1308,car_edit!I1308)</f>
        <v>1197.8297106587199</v>
      </c>
      <c r="J1308" s="9">
        <f>MAX(original!J1308,piwebapi_edit!J1308,car_edit!J1308)</f>
        <v>63.746787010617403</v>
      </c>
      <c r="K1308" s="17"/>
    </row>
    <row r="1309" spans="1:11" x14ac:dyDescent="0.25">
      <c r="A1309" s="3" t="s">
        <v>2636</v>
      </c>
      <c r="B1309" s="4" t="s">
        <v>2637</v>
      </c>
      <c r="C1309" s="5">
        <v>205271</v>
      </c>
      <c r="D1309" s="6" t="s">
        <v>37</v>
      </c>
      <c r="E1309" s="6" t="s">
        <v>38</v>
      </c>
      <c r="F1309" s="7">
        <v>41927</v>
      </c>
      <c r="G1309" s="8">
        <f t="shared" si="20"/>
        <v>41927</v>
      </c>
      <c r="H1309" s="6" t="s">
        <v>39</v>
      </c>
      <c r="I1309" s="9">
        <f>MAX(original!I1309,piwebapi_edit!I1309,car_edit!I1309)</f>
        <v>23993.920301208997</v>
      </c>
      <c r="J1309" s="9">
        <f>MAX(original!J1309,piwebapi_edit!J1309,car_edit!J1309)</f>
        <v>305.084831818417</v>
      </c>
      <c r="K1309" s="40"/>
    </row>
    <row r="1310" spans="1:11" x14ac:dyDescent="0.25">
      <c r="A1310" s="3" t="s">
        <v>2638</v>
      </c>
      <c r="B1310" s="4" t="s">
        <v>2639</v>
      </c>
      <c r="C1310" s="5">
        <v>188292</v>
      </c>
      <c r="D1310" s="6" t="s">
        <v>11</v>
      </c>
      <c r="E1310" s="6" t="s">
        <v>17</v>
      </c>
      <c r="F1310" s="7">
        <v>41962</v>
      </c>
      <c r="G1310" s="8">
        <f t="shared" si="20"/>
        <v>41962</v>
      </c>
      <c r="H1310" s="6" t="s">
        <v>13</v>
      </c>
      <c r="I1310" s="9">
        <f>MAX(original!I1310,piwebapi_edit!I1310,car_edit!I1310)</f>
        <v>6824.9188588809802</v>
      </c>
      <c r="J1310" s="9">
        <f>MAX(original!J1310,piwebapi_edit!J1310,car_edit!J1310)</f>
        <v>86.999472385510998</v>
      </c>
      <c r="K1310" s="17"/>
    </row>
    <row r="1311" spans="1:11" x14ac:dyDescent="0.25">
      <c r="A1311" s="3" t="s">
        <v>2640</v>
      </c>
      <c r="B1311" s="4" t="s">
        <v>2641</v>
      </c>
      <c r="C1311" s="5">
        <v>189252</v>
      </c>
      <c r="D1311" s="6" t="s">
        <v>11</v>
      </c>
      <c r="E1311" s="6" t="s">
        <v>12</v>
      </c>
      <c r="F1311" s="7">
        <v>42016</v>
      </c>
      <c r="G1311" s="8">
        <f t="shared" si="20"/>
        <v>42016</v>
      </c>
      <c r="H1311" s="6" t="s">
        <v>39</v>
      </c>
      <c r="I1311" s="9">
        <f>MAX(original!I1311,piwebapi_edit!I1311,car_edit!I1311)</f>
        <v>25779.360094020602</v>
      </c>
      <c r="J1311" s="9">
        <f>MAX(original!J1311,piwebapi_edit!J1311,car_edit!J1311)</f>
        <v>216.967413207319</v>
      </c>
      <c r="K1311" s="17"/>
    </row>
    <row r="1312" spans="1:11" x14ac:dyDescent="0.25">
      <c r="A1312" s="3" t="s">
        <v>2642</v>
      </c>
      <c r="B1312" s="4" t="s">
        <v>2643</v>
      </c>
      <c r="C1312" s="5">
        <v>201109</v>
      </c>
      <c r="D1312" s="6" t="s">
        <v>31</v>
      </c>
      <c r="E1312" s="6" t="s">
        <v>17</v>
      </c>
      <c r="F1312" s="7">
        <v>41919</v>
      </c>
      <c r="G1312" s="8">
        <f t="shared" si="20"/>
        <v>41919</v>
      </c>
      <c r="H1312" s="6" t="s">
        <v>13</v>
      </c>
      <c r="I1312" s="9">
        <f>MAX(original!I1312,piwebapi_edit!I1312,car_edit!I1312)</f>
        <v>30122.707983563701</v>
      </c>
      <c r="J1312" s="9">
        <f>MAX(original!J1312,piwebapi_edit!J1312,car_edit!J1312)</f>
        <v>156.78351391470599</v>
      </c>
      <c r="K1312" s="17"/>
    </row>
    <row r="1313" spans="1:11" x14ac:dyDescent="0.25">
      <c r="A1313" s="3" t="s">
        <v>2644</v>
      </c>
      <c r="B1313" s="4" t="s">
        <v>2645</v>
      </c>
      <c r="C1313" s="5">
        <v>188293</v>
      </c>
      <c r="D1313" s="6" t="s">
        <v>11</v>
      </c>
      <c r="E1313" s="6" t="s">
        <v>12</v>
      </c>
      <c r="F1313" s="7">
        <v>42002</v>
      </c>
      <c r="G1313" s="8">
        <f t="shared" si="20"/>
        <v>42002</v>
      </c>
      <c r="H1313" s="6" t="s">
        <v>39</v>
      </c>
      <c r="I1313" s="9">
        <f>MAX(original!I1313,piwebapi_edit!I1313,car_edit!I1313)</f>
        <v>17421.7694678845</v>
      </c>
      <c r="J1313" s="9">
        <f>MAX(original!J1313,piwebapi_edit!J1313,car_edit!J1313)</f>
        <v>481.4750025953</v>
      </c>
      <c r="K1313" s="17"/>
    </row>
    <row r="1314" spans="1:11" x14ac:dyDescent="0.25">
      <c r="A1314" s="3" t="s">
        <v>2646</v>
      </c>
      <c r="B1314" s="4" t="s">
        <v>2647</v>
      </c>
      <c r="C1314" s="5">
        <v>190228</v>
      </c>
      <c r="D1314" s="6" t="s">
        <v>11</v>
      </c>
      <c r="E1314" s="6" t="s">
        <v>12</v>
      </c>
      <c r="F1314" s="7">
        <v>42059</v>
      </c>
      <c r="G1314" s="8">
        <f t="shared" si="20"/>
        <v>42059</v>
      </c>
      <c r="H1314" s="6" t="s">
        <v>39</v>
      </c>
      <c r="I1314" s="9">
        <f>MAX(original!I1314,piwebapi_edit!I1314,car_edit!I1314)</f>
        <v>13346.267758309599</v>
      </c>
      <c r="J1314" s="9">
        <f>MAX(original!J1314,piwebapi_edit!J1314,car_edit!J1314)</f>
        <v>111.281376146743</v>
      </c>
      <c r="K1314" s="17"/>
    </row>
    <row r="1315" spans="1:11" x14ac:dyDescent="0.25">
      <c r="A1315" s="3" t="s">
        <v>2648</v>
      </c>
      <c r="B1315" s="4" t="s">
        <v>2649</v>
      </c>
      <c r="C1315" s="5">
        <v>188948</v>
      </c>
      <c r="D1315" s="6" t="s">
        <v>11</v>
      </c>
      <c r="E1315" s="6" t="s">
        <v>12</v>
      </c>
      <c r="F1315" s="7">
        <v>42034</v>
      </c>
      <c r="G1315" s="8">
        <f t="shared" si="20"/>
        <v>42034</v>
      </c>
      <c r="H1315" s="6" t="s">
        <v>39</v>
      </c>
      <c r="I1315" s="9">
        <f>MAX(original!I1315,piwebapi_edit!I1315,car_edit!I1315)</f>
        <v>5704.2784768582596</v>
      </c>
      <c r="J1315" s="9">
        <f>MAX(original!J1315,piwebapi_edit!J1315,car_edit!J1315)</f>
        <v>100.79294105936</v>
      </c>
      <c r="K1315" s="17"/>
    </row>
    <row r="1316" spans="1:11" x14ac:dyDescent="0.25">
      <c r="A1316" s="3" t="s">
        <v>2650</v>
      </c>
      <c r="B1316" s="4" t="s">
        <v>2651</v>
      </c>
      <c r="C1316" s="5">
        <v>191189</v>
      </c>
      <c r="D1316" s="6" t="s">
        <v>11</v>
      </c>
      <c r="E1316" s="6" t="s">
        <v>17</v>
      </c>
      <c r="F1316" s="7">
        <v>42074</v>
      </c>
      <c r="G1316" s="8">
        <f t="shared" si="20"/>
        <v>42074</v>
      </c>
      <c r="H1316" s="6" t="s">
        <v>13</v>
      </c>
      <c r="I1316" s="9">
        <f>MAX(original!I1316,piwebapi_edit!I1316,car_edit!I1316)</f>
        <v>28958.3730854766</v>
      </c>
      <c r="J1316" s="9">
        <f>MAX(original!J1316,piwebapi_edit!J1316,car_edit!J1316)</f>
        <v>283.340972679012</v>
      </c>
      <c r="K1316" s="17"/>
    </row>
    <row r="1317" spans="1:11" ht="30" x14ac:dyDescent="0.25">
      <c r="A1317" s="3" t="s">
        <v>2652</v>
      </c>
      <c r="B1317" s="4" t="s">
        <v>2653</v>
      </c>
      <c r="C1317" s="5">
        <v>187670</v>
      </c>
      <c r="D1317" s="6" t="s">
        <v>11</v>
      </c>
      <c r="E1317" s="6" t="s">
        <v>12</v>
      </c>
      <c r="F1317" s="7">
        <v>41950</v>
      </c>
      <c r="G1317" s="8">
        <f t="shared" si="20"/>
        <v>41950</v>
      </c>
      <c r="H1317" s="6" t="s">
        <v>776</v>
      </c>
      <c r="I1317" s="9">
        <f>MAX(original!I1317,piwebapi_edit!I1317,car_edit!I1317)</f>
        <v>6039.7678705096396</v>
      </c>
      <c r="J1317" s="9">
        <f>MAX(original!J1317,piwebapi_edit!J1317,car_edit!J1317)</f>
        <v>62.4575788807512</v>
      </c>
      <c r="K1317" s="17"/>
    </row>
    <row r="1318" spans="1:11" x14ac:dyDescent="0.25">
      <c r="A1318" s="3" t="s">
        <v>2654</v>
      </c>
      <c r="B1318" s="4" t="s">
        <v>2655</v>
      </c>
      <c r="C1318" s="5">
        <v>189924</v>
      </c>
      <c r="D1318" s="6" t="s">
        <v>34</v>
      </c>
      <c r="E1318" s="6" t="s">
        <v>17</v>
      </c>
      <c r="F1318" s="7">
        <v>42011</v>
      </c>
      <c r="G1318" s="8">
        <f t="shared" si="20"/>
        <v>42011</v>
      </c>
      <c r="H1318" s="6" t="s">
        <v>13</v>
      </c>
      <c r="I1318" s="9">
        <f>MAX(original!I1318,piwebapi_edit!I1318,car_edit!I1318)</f>
        <v>29182.846371043201</v>
      </c>
      <c r="J1318" s="9">
        <f>MAX(original!J1318,piwebapi_edit!J1318,car_edit!J1318)</f>
        <v>419.19302629992399</v>
      </c>
      <c r="K1318" s="17"/>
    </row>
    <row r="1319" spans="1:11" x14ac:dyDescent="0.25">
      <c r="A1319" s="3" t="s">
        <v>2656</v>
      </c>
      <c r="B1319" s="4" t="s">
        <v>2657</v>
      </c>
      <c r="C1319" s="5">
        <v>190550</v>
      </c>
      <c r="D1319" s="6" t="s">
        <v>34</v>
      </c>
      <c r="E1319" s="6" t="s">
        <v>17</v>
      </c>
      <c r="F1319" s="7">
        <v>41908</v>
      </c>
      <c r="G1319" s="8">
        <f t="shared" si="20"/>
        <v>41908</v>
      </c>
      <c r="H1319" s="6" t="s">
        <v>13</v>
      </c>
      <c r="I1319" s="9">
        <f>MAX(original!I1319,piwebapi_edit!I1319,car_edit!I1319)</f>
        <v>7934.5836490925203</v>
      </c>
      <c r="J1319" s="9">
        <f>MAX(original!J1319,piwebapi_edit!J1319,car_edit!J1319)</f>
        <v>81.930970147720501</v>
      </c>
      <c r="K1319" s="17"/>
    </row>
    <row r="1320" spans="1:11" x14ac:dyDescent="0.25">
      <c r="A1320" s="3" t="s">
        <v>2658</v>
      </c>
      <c r="B1320" s="4" t="s">
        <v>2659</v>
      </c>
      <c r="C1320" s="5">
        <v>188966</v>
      </c>
      <c r="D1320" s="6" t="s">
        <v>34</v>
      </c>
      <c r="E1320" s="6" t="s">
        <v>17</v>
      </c>
      <c r="F1320" s="7">
        <v>42016</v>
      </c>
      <c r="G1320" s="8">
        <f t="shared" si="20"/>
        <v>42016</v>
      </c>
      <c r="H1320" s="6" t="s">
        <v>13</v>
      </c>
      <c r="I1320" s="9">
        <f>MAX(original!I1320,piwebapi_edit!I1320,car_edit!I1320)</f>
        <v>3248.0835004625201</v>
      </c>
      <c r="J1320" s="9">
        <f>MAX(original!J1320,piwebapi_edit!J1320,car_edit!J1320)</f>
        <v>88.422547952645601</v>
      </c>
      <c r="K1320" s="17"/>
    </row>
    <row r="1321" spans="1:11" x14ac:dyDescent="0.25">
      <c r="A1321" s="3" t="s">
        <v>2660</v>
      </c>
      <c r="B1321" s="4" t="s">
        <v>2661</v>
      </c>
      <c r="C1321" s="5">
        <v>190551</v>
      </c>
      <c r="D1321" s="6" t="s">
        <v>11</v>
      </c>
      <c r="E1321" s="6" t="s">
        <v>17</v>
      </c>
      <c r="F1321" s="7">
        <v>42096</v>
      </c>
      <c r="G1321" s="8">
        <f t="shared" si="20"/>
        <v>42096</v>
      </c>
      <c r="H1321" s="6" t="s">
        <v>13</v>
      </c>
      <c r="I1321" s="9">
        <f>MAX(original!I1321,piwebapi_edit!I1321,car_edit!I1321)</f>
        <v>41593.7741683762</v>
      </c>
      <c r="J1321" s="9">
        <f>MAX(original!J1321,piwebapi_edit!J1321,car_edit!J1321)</f>
        <v>262.53407356724398</v>
      </c>
      <c r="K1321" s="17"/>
    </row>
    <row r="1322" spans="1:11" x14ac:dyDescent="0.25">
      <c r="A1322" s="3" t="s">
        <v>2662</v>
      </c>
      <c r="B1322" s="4" t="s">
        <v>2663</v>
      </c>
      <c r="C1322" s="14">
        <v>192148</v>
      </c>
      <c r="D1322" s="6" t="s">
        <v>11</v>
      </c>
      <c r="E1322" s="6" t="s">
        <v>17</v>
      </c>
      <c r="F1322" s="7">
        <v>42114</v>
      </c>
      <c r="G1322" s="8">
        <f t="shared" si="20"/>
        <v>42114</v>
      </c>
      <c r="H1322" s="6" t="s">
        <v>13</v>
      </c>
      <c r="I1322" s="9">
        <f>MAX(original!I1322,piwebapi_edit!I1322,car_edit!I1322)</f>
        <v>94336.03865675439</v>
      </c>
      <c r="J1322" s="9">
        <f>MAX(original!J1322,piwebapi_edit!J1322,car_edit!J1322)</f>
        <v>553.24626733108096</v>
      </c>
      <c r="K1322" s="17"/>
    </row>
    <row r="1323" spans="1:11" x14ac:dyDescent="0.25">
      <c r="A1323" s="3" t="s">
        <v>2664</v>
      </c>
      <c r="B1323" s="4" t="s">
        <v>2665</v>
      </c>
      <c r="C1323" s="5">
        <v>189604</v>
      </c>
      <c r="D1323" s="6" t="s">
        <v>37</v>
      </c>
      <c r="E1323" s="6" t="s">
        <v>38</v>
      </c>
      <c r="F1323" s="7">
        <v>42056</v>
      </c>
      <c r="G1323" s="8">
        <f t="shared" si="20"/>
        <v>42056</v>
      </c>
      <c r="H1323" s="6" t="s">
        <v>39</v>
      </c>
      <c r="I1323" s="9">
        <f>MAX(original!I1323,piwebapi_edit!I1323,car_edit!I1323)</f>
        <v>20070.5835188735</v>
      </c>
      <c r="J1323" s="9">
        <f>MAX(original!J1323,piwebapi_edit!J1323,car_edit!J1323)</f>
        <v>197.44912225919299</v>
      </c>
      <c r="K1323" s="17"/>
    </row>
    <row r="1324" spans="1:11" x14ac:dyDescent="0.25">
      <c r="A1324" s="3" t="s">
        <v>2666</v>
      </c>
      <c r="B1324" s="4" t="s">
        <v>2667</v>
      </c>
      <c r="C1324" s="5">
        <v>191844</v>
      </c>
      <c r="D1324" s="6" t="s">
        <v>11</v>
      </c>
      <c r="E1324" s="6" t="s">
        <v>17</v>
      </c>
      <c r="F1324" s="7">
        <v>42109</v>
      </c>
      <c r="G1324" s="8">
        <f t="shared" si="20"/>
        <v>42109</v>
      </c>
      <c r="H1324" s="6" t="s">
        <v>13</v>
      </c>
      <c r="I1324" s="9">
        <f>MAX(original!I1324,piwebapi_edit!I1324,car_edit!I1324)</f>
        <v>9734.6761752097591</v>
      </c>
      <c r="J1324" s="9">
        <f>MAX(original!J1324,piwebapi_edit!J1324,car_edit!J1324)</f>
        <v>106.419327628716</v>
      </c>
      <c r="K1324" s="17"/>
    </row>
    <row r="1325" spans="1:11" x14ac:dyDescent="0.25">
      <c r="A1325" s="3" t="s">
        <v>2668</v>
      </c>
      <c r="B1325" s="4" t="s">
        <v>2669</v>
      </c>
      <c r="C1325" s="5">
        <v>191861</v>
      </c>
      <c r="D1325" s="6" t="s">
        <v>16</v>
      </c>
      <c r="E1325" s="6" t="s">
        <v>17</v>
      </c>
      <c r="F1325" s="7">
        <v>42166</v>
      </c>
      <c r="G1325" s="8">
        <f t="shared" si="20"/>
        <v>42166</v>
      </c>
      <c r="H1325" s="6" t="s">
        <v>13</v>
      </c>
      <c r="I1325" s="9">
        <f>MAX(original!I1325,piwebapi_edit!I1325,car_edit!I1325)</f>
        <v>4182.1032870034696</v>
      </c>
      <c r="J1325" s="9">
        <f>MAX(original!J1325,piwebapi_edit!J1325,car_edit!J1325)</f>
        <v>75.562602762162697</v>
      </c>
      <c r="K1325" s="17"/>
    </row>
    <row r="1326" spans="1:11" x14ac:dyDescent="0.25">
      <c r="A1326" s="26" t="s">
        <v>2670</v>
      </c>
      <c r="B1326" s="27" t="s">
        <v>2671</v>
      </c>
      <c r="C1326" s="34">
        <v>191860</v>
      </c>
      <c r="D1326" s="28" t="s">
        <v>34</v>
      </c>
      <c r="E1326" s="28" t="s">
        <v>17</v>
      </c>
      <c r="F1326" s="29">
        <v>42164</v>
      </c>
      <c r="G1326" s="30">
        <f t="shared" si="20"/>
        <v>42164</v>
      </c>
      <c r="H1326" s="28" t="s">
        <v>13</v>
      </c>
      <c r="I1326" s="9">
        <f>MAX(original!I1326,piwebapi_edit!I1326,car_edit!I1326)</f>
        <v>11525.738063741799</v>
      </c>
      <c r="J1326" s="9">
        <f>MAX(original!J1326,piwebapi_edit!J1326,car_edit!J1326)</f>
        <v>95.300021141306402</v>
      </c>
      <c r="K1326" s="33"/>
    </row>
    <row r="1327" spans="1:11" x14ac:dyDescent="0.25">
      <c r="A1327" s="3" t="s">
        <v>2672</v>
      </c>
      <c r="B1327" s="4" t="s">
        <v>2673</v>
      </c>
      <c r="C1327" s="5">
        <v>192149</v>
      </c>
      <c r="D1327" s="6" t="s">
        <v>11</v>
      </c>
      <c r="E1327" s="6" t="s">
        <v>17</v>
      </c>
      <c r="F1327" s="7">
        <v>42114</v>
      </c>
      <c r="G1327" s="8">
        <f t="shared" si="20"/>
        <v>42114</v>
      </c>
      <c r="H1327" s="6" t="s">
        <v>13</v>
      </c>
      <c r="I1327" s="9">
        <f>MAX(original!I1327,piwebapi_edit!I1327,car_edit!I1327)</f>
        <v>10286.2489813542</v>
      </c>
      <c r="J1327" s="9">
        <f>MAX(original!J1327,piwebapi_edit!J1327,car_edit!J1327)</f>
        <v>107.089247026835</v>
      </c>
      <c r="K1327" s="17"/>
    </row>
    <row r="1328" spans="1:11" x14ac:dyDescent="0.25">
      <c r="A1328" s="3" t="s">
        <v>2674</v>
      </c>
      <c r="B1328" s="4" t="s">
        <v>2675</v>
      </c>
      <c r="C1328" s="5">
        <v>191845</v>
      </c>
      <c r="D1328" s="6" t="s">
        <v>28</v>
      </c>
      <c r="E1328" s="6" t="s">
        <v>17</v>
      </c>
      <c r="F1328" s="7">
        <v>42139</v>
      </c>
      <c r="G1328" s="8">
        <f t="shared" si="20"/>
        <v>42139</v>
      </c>
      <c r="H1328" s="6" t="s">
        <v>13</v>
      </c>
      <c r="I1328" s="9">
        <f>MAX(original!I1328,piwebapi_edit!I1328,car_edit!I1328)</f>
        <v>25127.1517073051</v>
      </c>
      <c r="J1328" s="9">
        <f>MAX(original!J1328,piwebapi_edit!J1328,car_edit!J1328)</f>
        <v>220.24136504408099</v>
      </c>
      <c r="K1328" s="17"/>
    </row>
    <row r="1329" spans="1:11" x14ac:dyDescent="0.25">
      <c r="A1329" s="3" t="s">
        <v>2676</v>
      </c>
      <c r="B1329" s="4" t="s">
        <v>2677</v>
      </c>
      <c r="C1329" s="5">
        <v>196660</v>
      </c>
      <c r="D1329" s="6" t="s">
        <v>16</v>
      </c>
      <c r="E1329" s="6" t="s">
        <v>17</v>
      </c>
      <c r="F1329" s="7">
        <v>42180</v>
      </c>
      <c r="G1329" s="8">
        <f t="shared" si="20"/>
        <v>42180</v>
      </c>
      <c r="H1329" s="6" t="s">
        <v>13</v>
      </c>
      <c r="I1329" s="9">
        <f>MAX(original!I1329,piwebapi_edit!I1329,car_edit!I1329)</f>
        <v>14763.6830604968</v>
      </c>
      <c r="J1329" s="9">
        <f>MAX(original!J1329,piwebapi_edit!J1329,car_edit!J1329)</f>
        <v>46.550333738319303</v>
      </c>
      <c r="K1329" s="17"/>
    </row>
    <row r="1330" spans="1:11" x14ac:dyDescent="0.25">
      <c r="A1330" s="3" t="s">
        <v>2678</v>
      </c>
      <c r="B1330" s="4" t="s">
        <v>2679</v>
      </c>
      <c r="C1330" s="5">
        <v>192157</v>
      </c>
      <c r="D1330" s="6" t="s">
        <v>11</v>
      </c>
      <c r="E1330" s="6" t="s">
        <v>17</v>
      </c>
      <c r="F1330" s="7">
        <v>42163</v>
      </c>
      <c r="G1330" s="8">
        <f t="shared" si="20"/>
        <v>42163</v>
      </c>
      <c r="H1330" s="6" t="s">
        <v>13</v>
      </c>
      <c r="I1330" s="9">
        <f>MAX(original!I1330,piwebapi_edit!I1330,car_edit!I1330)</f>
        <v>18025.107814155101</v>
      </c>
      <c r="J1330" s="9">
        <f>MAX(original!J1330,piwebapi_edit!J1330,car_edit!J1330)</f>
        <v>159.27838327027001</v>
      </c>
      <c r="K1330" s="17"/>
    </row>
    <row r="1331" spans="1:11" x14ac:dyDescent="0.25">
      <c r="A1331" s="3" t="s">
        <v>2680</v>
      </c>
      <c r="B1331" s="4" t="s">
        <v>2681</v>
      </c>
      <c r="C1331" s="5">
        <v>195991</v>
      </c>
      <c r="D1331" s="6" t="s">
        <v>11</v>
      </c>
      <c r="E1331" s="6" t="s">
        <v>17</v>
      </c>
      <c r="F1331" s="7">
        <v>42284</v>
      </c>
      <c r="G1331" s="8">
        <f t="shared" si="20"/>
        <v>42284</v>
      </c>
      <c r="H1331" s="6" t="s">
        <v>13</v>
      </c>
      <c r="I1331" s="9">
        <f>MAX(original!I1331,piwebapi_edit!I1331,car_edit!I1331)</f>
        <v>10125.823113377199</v>
      </c>
      <c r="J1331" s="9">
        <f>MAX(original!J1331,piwebapi_edit!J1331,car_edit!J1331)</f>
        <v>100.580944991447</v>
      </c>
      <c r="K1331" s="17"/>
    </row>
    <row r="1332" spans="1:11" x14ac:dyDescent="0.25">
      <c r="A1332" s="3" t="s">
        <v>2682</v>
      </c>
      <c r="B1332" s="4" t="s">
        <v>2683</v>
      </c>
      <c r="C1332" s="5">
        <v>192150</v>
      </c>
      <c r="D1332" s="6" t="s">
        <v>31</v>
      </c>
      <c r="E1332" s="6" t="s">
        <v>17</v>
      </c>
      <c r="F1332" s="7">
        <v>42101</v>
      </c>
      <c r="G1332" s="8">
        <f t="shared" si="20"/>
        <v>42101</v>
      </c>
      <c r="H1332" s="6" t="s">
        <v>13</v>
      </c>
      <c r="I1332" s="9">
        <f>MAX(original!I1332,piwebapi_edit!I1332,car_edit!I1332)</f>
        <v>5699.16911865764</v>
      </c>
      <c r="J1332" s="9">
        <f>MAX(original!J1332,piwebapi_edit!J1332,car_edit!J1332)</f>
        <v>51.5745794125055</v>
      </c>
      <c r="K1332" s="17"/>
    </row>
    <row r="1333" spans="1:11" x14ac:dyDescent="0.25">
      <c r="A1333" s="3" t="s">
        <v>2684</v>
      </c>
      <c r="B1333" s="4" t="s">
        <v>2685</v>
      </c>
      <c r="C1333" s="14">
        <v>195994</v>
      </c>
      <c r="D1333" s="6" t="s">
        <v>16</v>
      </c>
      <c r="E1333" s="6" t="s">
        <v>17</v>
      </c>
      <c r="F1333" s="7">
        <v>39849</v>
      </c>
      <c r="G1333" s="8">
        <f t="shared" si="20"/>
        <v>39849</v>
      </c>
      <c r="H1333" s="6" t="s">
        <v>13</v>
      </c>
      <c r="I1333" s="9">
        <f>MAX(original!I1333,piwebapi_edit!I1333,car_edit!I1333)</f>
        <v>47152.717943435004</v>
      </c>
      <c r="J1333" s="9">
        <f>MAX(original!J1333,piwebapi_edit!J1333,car_edit!J1333)</f>
        <v>644.79849261925494</v>
      </c>
      <c r="K1333" s="17"/>
    </row>
    <row r="1334" spans="1:11" x14ac:dyDescent="0.25">
      <c r="A1334" s="3" t="s">
        <v>2686</v>
      </c>
      <c r="B1334" s="4" t="s">
        <v>2687</v>
      </c>
      <c r="C1334" s="5">
        <v>196968</v>
      </c>
      <c r="D1334" s="6" t="s">
        <v>34</v>
      </c>
      <c r="E1334" s="6" t="s">
        <v>17</v>
      </c>
      <c r="F1334" s="7">
        <v>41939</v>
      </c>
      <c r="G1334" s="8">
        <f t="shared" si="20"/>
        <v>41939</v>
      </c>
      <c r="H1334" s="6" t="s">
        <v>13</v>
      </c>
      <c r="I1334" s="9">
        <f>MAX(original!I1334,piwebapi_edit!I1334,car_edit!I1334)</f>
        <v>78146.094402062896</v>
      </c>
      <c r="J1334" s="9">
        <f>MAX(original!J1334,piwebapi_edit!J1334,car_edit!J1334)</f>
        <v>290.44744836954101</v>
      </c>
      <c r="K1334" s="17"/>
    </row>
    <row r="1335" spans="1:11" x14ac:dyDescent="0.25">
      <c r="A1335" s="3" t="s">
        <v>2688</v>
      </c>
      <c r="B1335" s="4" t="s">
        <v>2689</v>
      </c>
      <c r="C1335" s="5">
        <v>196308</v>
      </c>
      <c r="D1335" s="6" t="s">
        <v>11</v>
      </c>
      <c r="E1335" s="6" t="s">
        <v>17</v>
      </c>
      <c r="F1335" s="7">
        <v>42345</v>
      </c>
      <c r="G1335" s="8">
        <f t="shared" si="20"/>
        <v>42345</v>
      </c>
      <c r="H1335" s="6" t="s">
        <v>13</v>
      </c>
      <c r="I1335" s="9">
        <f>MAX(original!I1335,piwebapi_edit!I1335,car_edit!I1335)</f>
        <v>17406.0022808252</v>
      </c>
      <c r="J1335" s="9">
        <f>MAX(original!J1335,piwebapi_edit!J1335,car_edit!J1335)</f>
        <v>171.940639413789</v>
      </c>
      <c r="K1335" s="17"/>
    </row>
    <row r="1336" spans="1:11" x14ac:dyDescent="0.25">
      <c r="A1336" s="3" t="s">
        <v>2690</v>
      </c>
      <c r="B1336" s="4" t="s">
        <v>2691</v>
      </c>
      <c r="C1336" s="5">
        <v>195988</v>
      </c>
      <c r="D1336" s="6" t="s">
        <v>11</v>
      </c>
      <c r="E1336" s="6" t="s">
        <v>17</v>
      </c>
      <c r="F1336" s="7">
        <v>42284</v>
      </c>
      <c r="G1336" s="8">
        <f t="shared" si="20"/>
        <v>42284</v>
      </c>
      <c r="H1336" s="6" t="s">
        <v>13</v>
      </c>
      <c r="I1336" s="9">
        <f>MAX(original!I1336,piwebapi_edit!I1336,car_edit!I1336)</f>
        <v>14834.8474055202</v>
      </c>
      <c r="J1336" s="9">
        <f>MAX(original!J1336,piwebapi_edit!J1336,car_edit!J1336)</f>
        <v>47.301739377713503</v>
      </c>
      <c r="K1336" s="17"/>
    </row>
    <row r="1337" spans="1:11" x14ac:dyDescent="0.25">
      <c r="A1337" s="3" t="s">
        <v>2692</v>
      </c>
      <c r="B1337" s="4" t="s">
        <v>2693</v>
      </c>
      <c r="C1337" s="5">
        <v>205268</v>
      </c>
      <c r="D1337" s="6" t="s">
        <v>11</v>
      </c>
      <c r="E1337" s="6" t="s">
        <v>17</v>
      </c>
      <c r="F1337" s="7">
        <v>42325</v>
      </c>
      <c r="G1337" s="8">
        <f t="shared" si="20"/>
        <v>42325</v>
      </c>
      <c r="H1337" s="6" t="s">
        <v>13</v>
      </c>
      <c r="I1337" s="9">
        <f>MAX(original!I1337,piwebapi_edit!I1337,car_edit!I1337)</f>
        <v>50903.094397544599</v>
      </c>
      <c r="J1337" s="9">
        <f>MAX(original!J1337,piwebapi_edit!J1337,car_edit!J1337)</f>
        <v>389.08080877198398</v>
      </c>
      <c r="K1337" s="11"/>
    </row>
    <row r="1338" spans="1:11" x14ac:dyDescent="0.25">
      <c r="A1338" s="3" t="s">
        <v>2694</v>
      </c>
      <c r="B1338" s="4" t="s">
        <v>2695</v>
      </c>
      <c r="C1338" s="5">
        <v>196309</v>
      </c>
      <c r="D1338" s="6" t="s">
        <v>28</v>
      </c>
      <c r="E1338" s="6" t="s">
        <v>17</v>
      </c>
      <c r="F1338" s="7">
        <v>42307</v>
      </c>
      <c r="G1338" s="8">
        <f t="shared" si="20"/>
        <v>42307</v>
      </c>
      <c r="H1338" s="6" t="s">
        <v>13</v>
      </c>
      <c r="I1338" s="9">
        <f>MAX(original!I1338,piwebapi_edit!I1338,car_edit!I1338)</f>
        <v>11054.688741412101</v>
      </c>
      <c r="J1338" s="9">
        <f>MAX(original!J1338,piwebapi_edit!J1338,car_edit!J1338)</f>
        <v>146.46695423532501</v>
      </c>
      <c r="K1338" s="17"/>
    </row>
    <row r="1339" spans="1:11" x14ac:dyDescent="0.25">
      <c r="A1339" s="3" t="s">
        <v>2696</v>
      </c>
      <c r="B1339" s="4" t="s">
        <v>2697</v>
      </c>
      <c r="C1339" s="5">
        <v>198548</v>
      </c>
      <c r="D1339" s="6" t="s">
        <v>16</v>
      </c>
      <c r="E1339" s="6" t="s">
        <v>17</v>
      </c>
      <c r="F1339" s="7">
        <v>42332</v>
      </c>
      <c r="G1339" s="8">
        <f t="shared" si="20"/>
        <v>42332</v>
      </c>
      <c r="H1339" s="6" t="s">
        <v>13</v>
      </c>
      <c r="I1339" s="9">
        <f>MAX(original!I1339,piwebapi_edit!I1339,car_edit!I1339)</f>
        <v>2876.8961242460496</v>
      </c>
      <c r="J1339" s="9">
        <f>MAX(original!J1339,piwebapi_edit!J1339,car_edit!J1339)</f>
        <v>91.193986993372903</v>
      </c>
      <c r="K1339" s="17"/>
    </row>
    <row r="1340" spans="1:11" x14ac:dyDescent="0.25">
      <c r="A1340" s="3" t="s">
        <v>2698</v>
      </c>
      <c r="B1340" s="4" t="s">
        <v>2699</v>
      </c>
      <c r="C1340" s="5">
        <v>196964</v>
      </c>
      <c r="D1340" s="6" t="s">
        <v>11</v>
      </c>
      <c r="E1340" s="6" t="s">
        <v>12</v>
      </c>
      <c r="F1340" s="7">
        <v>42346</v>
      </c>
      <c r="G1340" s="8">
        <f t="shared" si="20"/>
        <v>42346</v>
      </c>
      <c r="H1340" s="6" t="s">
        <v>39</v>
      </c>
      <c r="I1340" s="9">
        <f>MAX(original!I1340,piwebapi_edit!I1340,car_edit!I1340)</f>
        <v>242231.78</v>
      </c>
      <c r="J1340" s="9">
        <f>MAX(original!J1340,piwebapi_edit!J1340,car_edit!J1340)</f>
        <v>1600</v>
      </c>
      <c r="K1340" s="17"/>
    </row>
    <row r="1341" spans="1:11" x14ac:dyDescent="0.25">
      <c r="A1341" s="3" t="s">
        <v>2700</v>
      </c>
      <c r="B1341" s="4" t="s">
        <v>2701</v>
      </c>
      <c r="C1341" s="5">
        <v>196967</v>
      </c>
      <c r="D1341" s="6" t="s">
        <v>11</v>
      </c>
      <c r="E1341" s="6" t="s">
        <v>12</v>
      </c>
      <c r="F1341" s="7">
        <v>42346</v>
      </c>
      <c r="G1341" s="8">
        <f t="shared" si="20"/>
        <v>42346</v>
      </c>
      <c r="H1341" s="6" t="s">
        <v>39</v>
      </c>
      <c r="I1341" s="9">
        <f>MAX(original!I1341,piwebapi_edit!I1341,car_edit!I1341)</f>
        <v>86733.849098851904</v>
      </c>
      <c r="J1341" s="9">
        <f>MAX(original!J1341,piwebapi_edit!J1341,car_edit!J1341)</f>
        <v>419.37899828771799</v>
      </c>
      <c r="K1341" s="17"/>
    </row>
    <row r="1342" spans="1:11" x14ac:dyDescent="0.25">
      <c r="A1342" s="3" t="s">
        <v>2702</v>
      </c>
      <c r="B1342" s="4" t="s">
        <v>2703</v>
      </c>
      <c r="C1342" s="5">
        <v>195995</v>
      </c>
      <c r="D1342" s="6" t="s">
        <v>11</v>
      </c>
      <c r="E1342" s="6" t="s">
        <v>12</v>
      </c>
      <c r="F1342" s="7">
        <v>42327</v>
      </c>
      <c r="G1342" s="8">
        <f t="shared" si="20"/>
        <v>42327</v>
      </c>
      <c r="H1342" s="6" t="s">
        <v>39</v>
      </c>
      <c r="I1342" s="9">
        <f>MAX(original!I1342,piwebapi_edit!I1342,car_edit!I1342)</f>
        <v>16198.7580149204</v>
      </c>
      <c r="J1342" s="9">
        <f>MAX(original!J1342,piwebapi_edit!J1342,car_edit!J1342)</f>
        <v>352.313192743532</v>
      </c>
      <c r="K1342" s="17"/>
    </row>
    <row r="1343" spans="1:11" x14ac:dyDescent="0.25">
      <c r="A1343" s="3" t="s">
        <v>2704</v>
      </c>
      <c r="B1343" s="4" t="s">
        <v>2705</v>
      </c>
      <c r="C1343" s="5">
        <v>198868</v>
      </c>
      <c r="D1343" s="6" t="s">
        <v>16</v>
      </c>
      <c r="E1343" s="6" t="s">
        <v>17</v>
      </c>
      <c r="F1343" s="7">
        <v>42403</v>
      </c>
      <c r="G1343" s="8">
        <f t="shared" si="20"/>
        <v>42403</v>
      </c>
      <c r="H1343" s="6" t="s">
        <v>13</v>
      </c>
      <c r="I1343" s="9">
        <f>MAX(original!I1343,piwebapi_edit!I1343,car_edit!I1343)</f>
        <v>5324.8451807235797</v>
      </c>
      <c r="J1343" s="9">
        <f>MAX(original!J1343,piwebapi_edit!J1343,car_edit!J1343)</f>
        <v>202.882430340295</v>
      </c>
      <c r="K1343" s="17"/>
    </row>
    <row r="1344" spans="1:11" x14ac:dyDescent="0.25">
      <c r="A1344" s="3" t="s">
        <v>2706</v>
      </c>
      <c r="B1344" s="4" t="s">
        <v>2707</v>
      </c>
      <c r="C1344" s="5">
        <v>198564</v>
      </c>
      <c r="D1344" s="6" t="s">
        <v>16</v>
      </c>
      <c r="E1344" s="6" t="s">
        <v>17</v>
      </c>
      <c r="F1344" s="7">
        <v>42403</v>
      </c>
      <c r="G1344" s="8">
        <f t="shared" si="20"/>
        <v>42403</v>
      </c>
      <c r="H1344" s="6" t="s">
        <v>13</v>
      </c>
      <c r="I1344" s="9">
        <f>MAX(original!I1344,piwebapi_edit!I1344,car_edit!I1344)</f>
        <v>5500.4532048045094</v>
      </c>
      <c r="J1344" s="9">
        <f>MAX(original!J1344,piwebapi_edit!J1344,car_edit!J1344)</f>
        <v>83.266649318199299</v>
      </c>
      <c r="K1344" s="17"/>
    </row>
    <row r="1345" spans="1:11" x14ac:dyDescent="0.25">
      <c r="A1345" s="3" t="s">
        <v>2708</v>
      </c>
      <c r="B1345" s="4" t="s">
        <v>2709</v>
      </c>
      <c r="C1345" s="5">
        <v>195996</v>
      </c>
      <c r="D1345" s="6" t="s">
        <v>11</v>
      </c>
      <c r="E1345" s="6" t="s">
        <v>17</v>
      </c>
      <c r="F1345" s="7">
        <v>42376</v>
      </c>
      <c r="G1345" s="8">
        <f t="shared" si="20"/>
        <v>42376</v>
      </c>
      <c r="H1345" s="6" t="s">
        <v>13</v>
      </c>
      <c r="I1345" s="9">
        <f>MAX(original!I1345,piwebapi_edit!I1345,car_edit!I1345)</f>
        <v>37005.951893086902</v>
      </c>
      <c r="J1345" s="9">
        <f>MAX(original!J1345,piwebapi_edit!J1345,car_edit!J1345)</f>
        <v>166.635956390291</v>
      </c>
      <c r="K1345" s="17"/>
    </row>
    <row r="1346" spans="1:11" x14ac:dyDescent="0.25">
      <c r="A1346" s="3" t="s">
        <v>2710</v>
      </c>
      <c r="B1346" s="4" t="s">
        <v>2711</v>
      </c>
      <c r="C1346" s="5">
        <v>198230</v>
      </c>
      <c r="D1346" s="6" t="s">
        <v>11</v>
      </c>
      <c r="E1346" s="6" t="s">
        <v>17</v>
      </c>
      <c r="F1346" s="7">
        <v>42408</v>
      </c>
      <c r="G1346" s="8">
        <f t="shared" ref="G1346:G1409" si="21">F1346</f>
        <v>42408</v>
      </c>
      <c r="H1346" s="6" t="s">
        <v>13</v>
      </c>
      <c r="I1346" s="9">
        <f>MAX(original!I1346,piwebapi_edit!I1346,car_edit!I1346)</f>
        <v>7267.9465339885801</v>
      </c>
      <c r="J1346" s="9">
        <f>MAX(original!J1346,piwebapi_edit!J1346,car_edit!J1346)</f>
        <v>293.87499917545898</v>
      </c>
      <c r="K1346" s="17"/>
    </row>
    <row r="1347" spans="1:11" x14ac:dyDescent="0.25">
      <c r="A1347" s="3" t="s">
        <v>2712</v>
      </c>
      <c r="B1347" s="4" t="s">
        <v>2713</v>
      </c>
      <c r="C1347" s="5">
        <v>207531</v>
      </c>
      <c r="D1347" s="6" t="s">
        <v>28</v>
      </c>
      <c r="E1347" s="6" t="s">
        <v>17</v>
      </c>
      <c r="F1347" s="7">
        <v>38322</v>
      </c>
      <c r="G1347" s="8">
        <f t="shared" si="21"/>
        <v>38322</v>
      </c>
      <c r="H1347" s="6" t="s">
        <v>13</v>
      </c>
      <c r="I1347" s="9">
        <f>MAX(original!I1347,piwebapi_edit!I1347,car_edit!I1347)</f>
        <v>0</v>
      </c>
      <c r="J1347" s="9">
        <f>MAX(original!J1347,piwebapi_edit!J1347,car_edit!J1347)</f>
        <v>0</v>
      </c>
      <c r="K1347" s="11"/>
    </row>
    <row r="1348" spans="1:11" x14ac:dyDescent="0.25">
      <c r="A1348" s="3" t="s">
        <v>2714</v>
      </c>
      <c r="B1348" s="4" t="s">
        <v>2715</v>
      </c>
      <c r="C1348" s="5">
        <v>200468</v>
      </c>
      <c r="D1348" s="6" t="s">
        <v>37</v>
      </c>
      <c r="E1348" s="6" t="s">
        <v>38</v>
      </c>
      <c r="F1348" s="7">
        <v>42423</v>
      </c>
      <c r="G1348" s="8">
        <f t="shared" si="21"/>
        <v>42423</v>
      </c>
      <c r="H1348" s="6" t="s">
        <v>39</v>
      </c>
      <c r="I1348" s="9">
        <f>MAX(original!I1348,piwebapi_edit!I1348,car_edit!I1348)</f>
        <v>17231.651545633798</v>
      </c>
      <c r="J1348" s="9">
        <f>MAX(original!J1348,piwebapi_edit!J1348,car_edit!J1348)</f>
        <v>270.50099357607701</v>
      </c>
      <c r="K1348" s="17"/>
    </row>
    <row r="1349" spans="1:11" x14ac:dyDescent="0.25">
      <c r="A1349" s="3" t="s">
        <v>2716</v>
      </c>
      <c r="B1349" s="4" t="s">
        <v>2717</v>
      </c>
      <c r="C1349" s="5">
        <v>194710</v>
      </c>
      <c r="D1349" s="6" t="s">
        <v>11</v>
      </c>
      <c r="E1349" s="6" t="s">
        <v>12</v>
      </c>
      <c r="F1349" s="7">
        <v>42250</v>
      </c>
      <c r="G1349" s="8">
        <f t="shared" si="21"/>
        <v>42250</v>
      </c>
      <c r="H1349" s="6" t="s">
        <v>39</v>
      </c>
      <c r="I1349" s="9">
        <f>MAX(original!I1349,piwebapi_edit!I1349,car_edit!I1349)</f>
        <v>22860.742869645703</v>
      </c>
      <c r="J1349" s="9">
        <f>MAX(original!J1349,piwebapi_edit!J1349,car_edit!J1349)</f>
        <v>632.40427479015204</v>
      </c>
      <c r="K1349" s="17"/>
    </row>
    <row r="1350" spans="1:11" x14ac:dyDescent="0.25">
      <c r="A1350" s="3" t="s">
        <v>2718</v>
      </c>
      <c r="B1350" s="4" t="s">
        <v>2719</v>
      </c>
      <c r="C1350" s="5">
        <v>202708</v>
      </c>
      <c r="D1350" s="6" t="s">
        <v>11</v>
      </c>
      <c r="E1350" s="6" t="s">
        <v>17</v>
      </c>
      <c r="F1350" s="7">
        <v>42496</v>
      </c>
      <c r="G1350" s="8">
        <f t="shared" si="21"/>
        <v>42496</v>
      </c>
      <c r="H1350" s="6" t="s">
        <v>13</v>
      </c>
      <c r="I1350" s="9">
        <f>MAX(original!I1350,piwebapi_edit!I1350,car_edit!I1350)</f>
        <v>5123.6486329368599</v>
      </c>
      <c r="J1350" s="9">
        <f>MAX(original!J1350,piwebapi_edit!J1350,car_edit!J1350)</f>
        <v>119.380993726312</v>
      </c>
      <c r="K1350" s="17"/>
    </row>
    <row r="1351" spans="1:11" x14ac:dyDescent="0.25">
      <c r="A1351" s="3" t="s">
        <v>2720</v>
      </c>
      <c r="B1351" s="4" t="s">
        <v>2721</v>
      </c>
      <c r="C1351" s="5">
        <v>201124</v>
      </c>
      <c r="D1351" s="6" t="s">
        <v>11</v>
      </c>
      <c r="E1351" s="6" t="s">
        <v>12</v>
      </c>
      <c r="F1351" s="7">
        <v>42451</v>
      </c>
      <c r="G1351" s="8">
        <f t="shared" si="21"/>
        <v>42451</v>
      </c>
      <c r="H1351" s="6" t="s">
        <v>39</v>
      </c>
      <c r="I1351" s="9">
        <f>MAX(original!I1351,piwebapi_edit!I1351,car_edit!I1351)</f>
        <v>17763.156959584499</v>
      </c>
      <c r="J1351" s="9">
        <f>MAX(original!J1351,piwebapi_edit!J1351,car_edit!J1351)</f>
        <v>220.88210107628501</v>
      </c>
      <c r="K1351" s="17"/>
    </row>
    <row r="1352" spans="1:11" x14ac:dyDescent="0.25">
      <c r="A1352" s="3" t="s">
        <v>2722</v>
      </c>
      <c r="B1352" s="4" t="s">
        <v>2723</v>
      </c>
      <c r="C1352" s="5">
        <v>200486</v>
      </c>
      <c r="D1352" s="6" t="s">
        <v>16</v>
      </c>
      <c r="E1352" s="6" t="s">
        <v>17</v>
      </c>
      <c r="F1352" s="7">
        <v>42431</v>
      </c>
      <c r="G1352" s="8">
        <f t="shared" si="21"/>
        <v>42431</v>
      </c>
      <c r="H1352" s="6" t="s">
        <v>13</v>
      </c>
      <c r="I1352" s="9">
        <f>MAX(original!I1352,piwebapi_edit!I1352,car_edit!I1352)</f>
        <v>7054.6501241413807</v>
      </c>
      <c r="J1352" s="9">
        <f>MAX(original!J1352,piwebapi_edit!J1352,car_edit!J1352)</f>
        <v>154.78163146755301</v>
      </c>
      <c r="K1352" s="17"/>
    </row>
    <row r="1353" spans="1:11" x14ac:dyDescent="0.25">
      <c r="A1353" s="3" t="s">
        <v>2724</v>
      </c>
      <c r="B1353" s="4" t="s">
        <v>2725</v>
      </c>
      <c r="C1353" s="5">
        <v>201143</v>
      </c>
      <c r="D1353" s="6" t="s">
        <v>16</v>
      </c>
      <c r="E1353" s="6" t="s">
        <v>17</v>
      </c>
      <c r="F1353" s="7">
        <v>42458</v>
      </c>
      <c r="G1353" s="8">
        <f t="shared" si="21"/>
        <v>42458</v>
      </c>
      <c r="H1353" s="6" t="s">
        <v>13</v>
      </c>
      <c r="I1353" s="9">
        <f>MAX(original!I1353,piwebapi_edit!I1353,car_edit!I1353)</f>
        <v>2745.7455245505898</v>
      </c>
      <c r="J1353" s="9">
        <f>MAX(original!J1353,piwebapi_edit!J1353,car_edit!J1353)</f>
        <v>305.93881524637197</v>
      </c>
      <c r="K1353" s="17"/>
    </row>
    <row r="1354" spans="1:11" x14ac:dyDescent="0.25">
      <c r="A1354" s="3" t="s">
        <v>2726</v>
      </c>
      <c r="B1354" s="4" t="s">
        <v>2727</v>
      </c>
      <c r="C1354" s="5">
        <v>207530</v>
      </c>
      <c r="D1354" s="6" t="s">
        <v>11</v>
      </c>
      <c r="E1354" s="6" t="s">
        <v>17</v>
      </c>
      <c r="F1354" s="7">
        <v>42755</v>
      </c>
      <c r="G1354" s="8">
        <f t="shared" si="21"/>
        <v>42755</v>
      </c>
      <c r="H1354" s="6" t="s">
        <v>13</v>
      </c>
      <c r="I1354" s="9">
        <f>MAX(original!I1354,piwebapi_edit!I1354,car_edit!I1354)</f>
        <v>516.33583923294202</v>
      </c>
      <c r="J1354" s="9">
        <f>MAX(original!J1354,piwebapi_edit!J1354,car_edit!J1354)</f>
        <v>164.284528071436</v>
      </c>
      <c r="K1354" s="11"/>
    </row>
    <row r="1355" spans="1:11" x14ac:dyDescent="0.25">
      <c r="A1355" s="3" t="s">
        <v>2728</v>
      </c>
      <c r="B1355" s="4" t="s">
        <v>2729</v>
      </c>
      <c r="C1355" s="5">
        <v>199508</v>
      </c>
      <c r="D1355" s="6" t="s">
        <v>37</v>
      </c>
      <c r="E1355" s="6" t="s">
        <v>38</v>
      </c>
      <c r="F1355" s="7">
        <v>42410</v>
      </c>
      <c r="G1355" s="8">
        <f t="shared" si="21"/>
        <v>42410</v>
      </c>
      <c r="H1355" s="6" t="s">
        <v>39</v>
      </c>
      <c r="I1355" s="9">
        <f>MAX(original!I1355,piwebapi_edit!I1355,car_edit!I1355)</f>
        <v>32777.1765131184</v>
      </c>
      <c r="J1355" s="9">
        <f>MAX(original!J1355,piwebapi_edit!J1355,car_edit!J1355)</f>
        <v>246.98397937561501</v>
      </c>
      <c r="K1355" s="17"/>
    </row>
    <row r="1356" spans="1:11" x14ac:dyDescent="0.25">
      <c r="A1356" s="3" t="s">
        <v>2730</v>
      </c>
      <c r="B1356" s="4" t="s">
        <v>2731</v>
      </c>
      <c r="C1356" s="5">
        <v>206580</v>
      </c>
      <c r="D1356" s="6" t="s">
        <v>28</v>
      </c>
      <c r="E1356" s="6" t="s">
        <v>508</v>
      </c>
      <c r="F1356" s="7">
        <v>42599</v>
      </c>
      <c r="G1356" s="8">
        <f t="shared" si="21"/>
        <v>42599</v>
      </c>
      <c r="H1356" s="6" t="s">
        <v>509</v>
      </c>
      <c r="I1356" s="9">
        <f>MAX(original!I1356,piwebapi_edit!I1356,car_edit!I1356)</f>
        <v>43949.9398834893</v>
      </c>
      <c r="J1356" s="9">
        <f>MAX(original!J1356,piwebapi_edit!J1356,car_edit!J1356)</f>
        <v>389.31286523535999</v>
      </c>
      <c r="K1356" s="11"/>
    </row>
    <row r="1357" spans="1:11" x14ac:dyDescent="0.25">
      <c r="A1357" s="3" t="s">
        <v>2732</v>
      </c>
      <c r="B1357" s="4" t="s">
        <v>2733</v>
      </c>
      <c r="C1357" s="5">
        <v>203989</v>
      </c>
      <c r="D1357" s="6" t="s">
        <v>11</v>
      </c>
      <c r="E1357" s="6" t="s">
        <v>17</v>
      </c>
      <c r="F1357" s="7">
        <v>42530</v>
      </c>
      <c r="G1357" s="8">
        <f t="shared" si="21"/>
        <v>42530</v>
      </c>
      <c r="H1357" s="6" t="s">
        <v>13</v>
      </c>
      <c r="I1357" s="9">
        <f>MAX(original!I1357,piwebapi_edit!I1357,car_edit!I1357)</f>
        <v>70681.7411553579</v>
      </c>
      <c r="J1357" s="9">
        <f>MAX(original!J1357,piwebapi_edit!J1357,car_edit!J1357)</f>
        <v>229.213794571546</v>
      </c>
      <c r="K1357" s="11"/>
    </row>
    <row r="1358" spans="1:11" x14ac:dyDescent="0.25">
      <c r="A1358" s="3" t="s">
        <v>2734</v>
      </c>
      <c r="B1358" s="4" t="s">
        <v>2735</v>
      </c>
      <c r="C1358" s="5">
        <v>203668</v>
      </c>
      <c r="D1358" s="6" t="s">
        <v>34</v>
      </c>
      <c r="E1358" s="6" t="s">
        <v>17</v>
      </c>
      <c r="F1358" s="7">
        <v>42614</v>
      </c>
      <c r="G1358" s="8">
        <f t="shared" si="21"/>
        <v>42614</v>
      </c>
      <c r="H1358" s="6" t="s">
        <v>13</v>
      </c>
      <c r="I1358" s="9">
        <f>MAX(original!I1358,piwebapi_edit!I1358,car_edit!I1358)</f>
        <v>10947.828933621</v>
      </c>
      <c r="J1358" s="9">
        <f>MAX(original!J1358,piwebapi_edit!J1358,car_edit!J1358)</f>
        <v>199.252442389077</v>
      </c>
      <c r="K1358" s="11"/>
    </row>
    <row r="1359" spans="1:11" x14ac:dyDescent="0.25">
      <c r="A1359" s="3" t="s">
        <v>2736</v>
      </c>
      <c r="B1359" s="4" t="s">
        <v>2737</v>
      </c>
      <c r="C1359" s="5">
        <v>203348</v>
      </c>
      <c r="D1359" s="6" t="s">
        <v>11</v>
      </c>
      <c r="E1359" s="6" t="s">
        <v>12</v>
      </c>
      <c r="F1359" s="7">
        <v>42510</v>
      </c>
      <c r="G1359" s="8">
        <f t="shared" si="21"/>
        <v>42510</v>
      </c>
      <c r="H1359" s="6" t="s">
        <v>39</v>
      </c>
      <c r="I1359" s="9">
        <f>MAX(original!I1359,piwebapi_edit!I1359,car_edit!I1359)</f>
        <v>26951.974691462103</v>
      </c>
      <c r="J1359" s="9">
        <f>MAX(original!J1359,piwebapi_edit!J1359,car_edit!J1359)</f>
        <v>208.43397367593201</v>
      </c>
      <c r="K1359" s="17"/>
    </row>
    <row r="1360" spans="1:11" x14ac:dyDescent="0.25">
      <c r="A1360" s="3" t="s">
        <v>2738</v>
      </c>
      <c r="B1360" s="4" t="s">
        <v>2739</v>
      </c>
      <c r="C1360" s="5">
        <v>206548</v>
      </c>
      <c r="D1360" s="6" t="s">
        <v>31</v>
      </c>
      <c r="E1360" s="6" t="s">
        <v>17</v>
      </c>
      <c r="F1360" s="7">
        <v>42600</v>
      </c>
      <c r="G1360" s="8">
        <f t="shared" si="21"/>
        <v>42600</v>
      </c>
      <c r="H1360" s="6" t="s">
        <v>13</v>
      </c>
      <c r="I1360" s="9">
        <f>MAX(original!I1360,piwebapi_edit!I1360,car_edit!I1360)</f>
        <v>0</v>
      </c>
      <c r="J1360" s="9">
        <f>MAX(original!J1360,piwebapi_edit!J1360,car_edit!J1360)</f>
        <v>0</v>
      </c>
      <c r="K1360" s="11"/>
    </row>
    <row r="1361" spans="1:11" x14ac:dyDescent="0.25">
      <c r="A1361" s="3" t="s">
        <v>2740</v>
      </c>
      <c r="B1361" s="4" t="s">
        <v>2741</v>
      </c>
      <c r="C1361" s="5">
        <v>206900</v>
      </c>
      <c r="D1361" s="6" t="s">
        <v>11</v>
      </c>
      <c r="E1361" s="6" t="s">
        <v>17</v>
      </c>
      <c r="F1361" s="7">
        <v>42640</v>
      </c>
      <c r="G1361" s="8">
        <f t="shared" si="21"/>
        <v>42640</v>
      </c>
      <c r="H1361" s="6" t="s">
        <v>13</v>
      </c>
      <c r="I1361" s="9">
        <f>MAX(original!I1361,piwebapi_edit!I1361,car_edit!I1361)</f>
        <v>45150.684166584098</v>
      </c>
      <c r="J1361" s="9">
        <f>MAX(original!J1361,piwebapi_edit!J1361,car_edit!J1361)</f>
        <v>141.25736895915</v>
      </c>
      <c r="K1361" s="11"/>
    </row>
    <row r="1362" spans="1:11" x14ac:dyDescent="0.25">
      <c r="A1362" s="48" t="s">
        <v>2742</v>
      </c>
      <c r="B1362" s="4" t="s">
        <v>2743</v>
      </c>
      <c r="C1362" s="5">
        <v>207221</v>
      </c>
      <c r="D1362" s="6" t="s">
        <v>11</v>
      </c>
      <c r="E1362" s="6" t="s">
        <v>12</v>
      </c>
      <c r="F1362" s="7">
        <v>42675</v>
      </c>
      <c r="G1362" s="8">
        <f t="shared" si="21"/>
        <v>42675</v>
      </c>
      <c r="H1362" s="6" t="s">
        <v>39</v>
      </c>
      <c r="I1362" s="9">
        <f>MAX(original!I1362,piwebapi_edit!I1362,car_edit!I1362)</f>
        <v>21643.867698997201</v>
      </c>
      <c r="J1362" s="9">
        <f>MAX(original!J1362,piwebapi_edit!J1362,car_edit!J1362)</f>
        <v>137.494647024801</v>
      </c>
      <c r="K1362" s="14"/>
    </row>
    <row r="1363" spans="1:11" x14ac:dyDescent="0.25">
      <c r="A1363" s="49" t="s">
        <v>2744</v>
      </c>
      <c r="B1363" s="4" t="s">
        <v>2745</v>
      </c>
      <c r="C1363" s="5">
        <v>206948</v>
      </c>
      <c r="D1363" s="6" t="s">
        <v>34</v>
      </c>
      <c r="E1363" s="6" t="s">
        <v>17</v>
      </c>
      <c r="F1363" s="7">
        <v>42726</v>
      </c>
      <c r="G1363" s="8">
        <f t="shared" si="21"/>
        <v>42726</v>
      </c>
      <c r="H1363" s="6" t="s">
        <v>13</v>
      </c>
      <c r="I1363" s="9">
        <f>MAX(original!I1363,piwebapi_edit!I1363,car_edit!I1363)</f>
        <v>12421.018837744101</v>
      </c>
      <c r="J1363" s="9">
        <f>MAX(original!J1363,piwebapi_edit!J1363,car_edit!J1363)</f>
        <v>154.49008091560299</v>
      </c>
      <c r="K1363" s="14"/>
    </row>
    <row r="1364" spans="1:11" x14ac:dyDescent="0.25">
      <c r="A1364" s="48" t="s">
        <v>2746</v>
      </c>
      <c r="B1364" s="4" t="s">
        <v>2747</v>
      </c>
      <c r="C1364" s="5">
        <v>207831</v>
      </c>
      <c r="D1364" s="6" t="s">
        <v>11</v>
      </c>
      <c r="E1364" s="6" t="s">
        <v>12</v>
      </c>
      <c r="F1364" s="7">
        <v>42754</v>
      </c>
      <c r="G1364" s="8">
        <f t="shared" si="21"/>
        <v>42754</v>
      </c>
      <c r="H1364" s="6" t="s">
        <v>39</v>
      </c>
      <c r="I1364" s="9">
        <f>MAX(original!I1364,piwebapi_edit!I1364,car_edit!I1364)</f>
        <v>18586.7458082876</v>
      </c>
      <c r="J1364" s="9">
        <f>MAX(original!J1364,piwebapi_edit!J1364,car_edit!J1364)</f>
        <v>449.89408576205398</v>
      </c>
      <c r="K1364" s="14"/>
    </row>
    <row r="1365" spans="1:11" x14ac:dyDescent="0.25">
      <c r="A1365" s="49" t="s">
        <v>2748</v>
      </c>
      <c r="B1365" s="4" t="s">
        <v>2749</v>
      </c>
      <c r="C1365" s="5">
        <v>207556</v>
      </c>
      <c r="D1365" s="6" t="s">
        <v>16</v>
      </c>
      <c r="E1365" s="6" t="s">
        <v>17</v>
      </c>
      <c r="F1365" s="7">
        <v>42762</v>
      </c>
      <c r="G1365" s="8">
        <f t="shared" si="21"/>
        <v>42762</v>
      </c>
      <c r="H1365" s="6" t="s">
        <v>13</v>
      </c>
      <c r="I1365" s="9">
        <f>MAX(original!I1365,piwebapi_edit!I1365,car_edit!I1365)</f>
        <v>18447.0236786676</v>
      </c>
      <c r="J1365" s="9">
        <f>MAX(original!J1365,piwebapi_edit!J1365,car_edit!J1365)</f>
        <v>396.921473365466</v>
      </c>
      <c r="K1365" s="14"/>
    </row>
    <row r="1366" spans="1:11" x14ac:dyDescent="0.25">
      <c r="A1366" s="49" t="s">
        <v>2750</v>
      </c>
      <c r="B1366" s="4" t="s">
        <v>2751</v>
      </c>
      <c r="C1366" s="5">
        <v>208148</v>
      </c>
      <c r="D1366" s="6" t="s">
        <v>31</v>
      </c>
      <c r="E1366" s="6" t="s">
        <v>17</v>
      </c>
      <c r="F1366" s="7">
        <v>42741</v>
      </c>
      <c r="G1366" s="8">
        <f t="shared" si="21"/>
        <v>42741</v>
      </c>
      <c r="H1366" s="6" t="s">
        <v>13</v>
      </c>
      <c r="I1366" s="9">
        <f>MAX(original!I1366,piwebapi_edit!I1366,car_edit!I1366)</f>
        <v>5622.91313238566</v>
      </c>
      <c r="J1366" s="9">
        <f>MAX(original!J1366,piwebapi_edit!J1366,car_edit!J1366)</f>
        <v>266.01343569670797</v>
      </c>
      <c r="K1366" s="14"/>
    </row>
    <row r="1367" spans="1:11" x14ac:dyDescent="0.25">
      <c r="A1367" s="49" t="s">
        <v>2752</v>
      </c>
      <c r="B1367" s="4" t="s">
        <v>2753</v>
      </c>
      <c r="C1367" s="5">
        <v>209129</v>
      </c>
      <c r="D1367" s="6" t="s">
        <v>37</v>
      </c>
      <c r="E1367" s="6" t="s">
        <v>17</v>
      </c>
      <c r="F1367" s="7">
        <v>42775</v>
      </c>
      <c r="G1367" s="8">
        <f t="shared" si="21"/>
        <v>42775</v>
      </c>
      <c r="H1367" s="6" t="s">
        <v>39</v>
      </c>
      <c r="I1367" s="9">
        <f>MAX(original!I1367,piwebapi_edit!I1367,car_edit!I1367)</f>
        <v>134998.01094338001</v>
      </c>
      <c r="J1367" s="9">
        <f>MAX(original!J1367,piwebapi_edit!J1367,car_edit!J1367)</f>
        <v>731.72409818084805</v>
      </c>
      <c r="K1367" s="14"/>
    </row>
    <row r="1368" spans="1:11" x14ac:dyDescent="0.25">
      <c r="A1368" s="49" t="s">
        <v>2754</v>
      </c>
      <c r="B1368" s="4" t="s">
        <v>2755</v>
      </c>
      <c r="C1368" s="5">
        <v>208468</v>
      </c>
      <c r="D1368" s="6" t="s">
        <v>16</v>
      </c>
      <c r="E1368" s="6" t="s">
        <v>17</v>
      </c>
      <c r="F1368" s="7">
        <v>42826</v>
      </c>
      <c r="G1368" s="8">
        <f t="shared" si="21"/>
        <v>42826</v>
      </c>
      <c r="H1368" s="6" t="s">
        <v>13</v>
      </c>
      <c r="I1368" s="9">
        <f>MAX(original!I1368,piwebapi_edit!I1368,car_edit!I1368)</f>
        <v>8384.6274425620104</v>
      </c>
      <c r="J1368" s="9">
        <f>MAX(original!J1368,piwebapi_edit!J1368,car_edit!J1368)</f>
        <v>81.894242806730404</v>
      </c>
      <c r="K1368" s="14"/>
    </row>
    <row r="1369" spans="1:11" x14ac:dyDescent="0.25">
      <c r="A1369" s="49" t="s">
        <v>2756</v>
      </c>
      <c r="B1369" s="4" t="s">
        <v>2757</v>
      </c>
      <c r="C1369" s="5">
        <v>209444</v>
      </c>
      <c r="D1369" s="6" t="s">
        <v>28</v>
      </c>
      <c r="E1369" s="6" t="s">
        <v>17</v>
      </c>
      <c r="F1369" s="7">
        <v>42821</v>
      </c>
      <c r="G1369" s="8">
        <f t="shared" si="21"/>
        <v>42821</v>
      </c>
      <c r="H1369" s="6" t="s">
        <v>13</v>
      </c>
      <c r="I1369" s="9">
        <f>MAX(original!I1369,piwebapi_edit!I1369,car_edit!I1369)</f>
        <v>42186.1618639437</v>
      </c>
      <c r="J1369" s="9">
        <f>MAX(original!J1369,piwebapi_edit!J1369,car_edit!J1369)</f>
        <v>368.818950772297</v>
      </c>
      <c r="K1369" s="14"/>
    </row>
    <row r="1370" spans="1:11" x14ac:dyDescent="0.25">
      <c r="A1370" s="49" t="s">
        <v>2758</v>
      </c>
      <c r="B1370" s="4" t="s">
        <v>2759</v>
      </c>
      <c r="C1370" s="5">
        <v>209428</v>
      </c>
      <c r="D1370" s="6" t="s">
        <v>34</v>
      </c>
      <c r="E1370" s="6" t="s">
        <v>17</v>
      </c>
      <c r="F1370" s="7">
        <v>42863</v>
      </c>
      <c r="G1370" s="8">
        <f t="shared" si="21"/>
        <v>42863</v>
      </c>
      <c r="H1370" s="6" t="s">
        <v>13</v>
      </c>
      <c r="I1370" s="9">
        <f>MAX(original!I1370,piwebapi_edit!I1370,car_edit!I1370)</f>
        <v>8159.8905270130599</v>
      </c>
      <c r="J1370" s="9">
        <f>MAX(original!J1370,piwebapi_edit!J1370,car_edit!J1370)</f>
        <v>120.19868273004801</v>
      </c>
      <c r="K1370" s="14"/>
    </row>
    <row r="1371" spans="1:11" x14ac:dyDescent="0.25">
      <c r="A1371" s="49" t="s">
        <v>2760</v>
      </c>
      <c r="B1371" s="4" t="s">
        <v>2761</v>
      </c>
      <c r="C1371" s="5">
        <v>211989</v>
      </c>
      <c r="D1371" s="6" t="s">
        <v>31</v>
      </c>
      <c r="E1371" s="6" t="s">
        <v>17</v>
      </c>
      <c r="F1371" s="7">
        <v>42812</v>
      </c>
      <c r="G1371" s="8">
        <f t="shared" si="21"/>
        <v>42812</v>
      </c>
      <c r="H1371" s="6" t="s">
        <v>13</v>
      </c>
      <c r="I1371" s="9">
        <f>MAX(original!I1371,piwebapi_edit!I1371,car_edit!I1371)</f>
        <v>20028.6674760034</v>
      </c>
      <c r="J1371" s="9">
        <f>MAX(original!J1371,piwebapi_edit!J1371,car_edit!J1371)</f>
        <v>148.51558579278401</v>
      </c>
      <c r="K1371" s="14"/>
    </row>
    <row r="1372" spans="1:11" x14ac:dyDescent="0.25">
      <c r="A1372" s="49" t="s">
        <v>2762</v>
      </c>
      <c r="B1372" s="4" t="s">
        <v>2763</v>
      </c>
      <c r="C1372" s="5">
        <v>211032</v>
      </c>
      <c r="D1372" s="6" t="s">
        <v>34</v>
      </c>
      <c r="E1372" s="6" t="s">
        <v>17</v>
      </c>
      <c r="F1372" s="7">
        <v>42713</v>
      </c>
      <c r="G1372" s="8">
        <f t="shared" si="21"/>
        <v>42713</v>
      </c>
      <c r="H1372" s="6" t="s">
        <v>13</v>
      </c>
      <c r="I1372" s="9">
        <f>MAX(original!I1372,piwebapi_edit!I1372,car_edit!I1372)</f>
        <v>30505.716079639798</v>
      </c>
      <c r="J1372" s="9">
        <f>MAX(original!J1372,piwebapi_edit!J1372,car_edit!J1372)</f>
        <v>420.65850665445799</v>
      </c>
      <c r="K1372" s="14"/>
    </row>
    <row r="1373" spans="1:11" x14ac:dyDescent="0.25">
      <c r="A1373" s="49" t="s">
        <v>2764</v>
      </c>
      <c r="B1373" s="4" t="s">
        <v>2765</v>
      </c>
      <c r="C1373" s="5">
        <v>210388</v>
      </c>
      <c r="D1373" s="6" t="s">
        <v>28</v>
      </c>
      <c r="E1373" s="6" t="s">
        <v>17</v>
      </c>
      <c r="F1373" s="7">
        <v>42816</v>
      </c>
      <c r="G1373" s="8">
        <f t="shared" si="21"/>
        <v>42816</v>
      </c>
      <c r="H1373" s="6" t="s">
        <v>13</v>
      </c>
      <c r="I1373" s="9">
        <f>MAX(original!I1373,piwebapi_edit!I1373,car_edit!I1373)</f>
        <v>60723.607781902996</v>
      </c>
      <c r="J1373" s="9">
        <f>MAX(original!J1373,piwebapi_edit!J1373,car_edit!J1373)</f>
        <v>761.30237246339698</v>
      </c>
      <c r="K1373" s="2"/>
    </row>
    <row r="1374" spans="1:11" x14ac:dyDescent="0.25">
      <c r="A1374" s="49" t="s">
        <v>2766</v>
      </c>
      <c r="B1374" s="4" t="s">
        <v>2767</v>
      </c>
      <c r="C1374" s="5">
        <v>213268</v>
      </c>
      <c r="D1374" s="6" t="s">
        <v>34</v>
      </c>
      <c r="E1374" s="6" t="s">
        <v>17</v>
      </c>
      <c r="F1374" s="7">
        <v>42793</v>
      </c>
      <c r="G1374" s="8">
        <f t="shared" si="21"/>
        <v>42793</v>
      </c>
      <c r="H1374" s="6" t="s">
        <v>13</v>
      </c>
      <c r="I1374" s="9">
        <f>MAX(original!I1374,piwebapi_edit!I1374,car_edit!I1374)</f>
        <v>15255.969072317401</v>
      </c>
      <c r="J1374" s="9">
        <f>MAX(original!J1374,piwebapi_edit!J1374,car_edit!J1374)</f>
        <v>163.42171841051601</v>
      </c>
      <c r="K1374" s="14"/>
    </row>
    <row r="1375" spans="1:11" x14ac:dyDescent="0.25">
      <c r="A1375" s="49" t="s">
        <v>2768</v>
      </c>
      <c r="B1375" s="4" t="s">
        <v>2769</v>
      </c>
      <c r="C1375" s="5">
        <v>210708</v>
      </c>
      <c r="D1375" s="6" t="s">
        <v>11</v>
      </c>
      <c r="E1375" s="6" t="s">
        <v>17</v>
      </c>
      <c r="F1375" s="7">
        <v>42865</v>
      </c>
      <c r="G1375" s="8">
        <f t="shared" si="21"/>
        <v>42865</v>
      </c>
      <c r="H1375" s="6" t="s">
        <v>13</v>
      </c>
      <c r="I1375" s="9">
        <f>MAX(original!I1375,piwebapi_edit!I1375,car_edit!I1375)</f>
        <v>13616.7002282947</v>
      </c>
      <c r="J1375" s="9">
        <f>MAX(original!J1375,piwebapi_edit!J1375,car_edit!J1375)</f>
        <v>88.012346068348293</v>
      </c>
      <c r="K1375" s="2"/>
    </row>
    <row r="1376" spans="1:11" x14ac:dyDescent="0.25">
      <c r="A1376" s="49" t="s">
        <v>2770</v>
      </c>
      <c r="B1376" s="4" t="s">
        <v>2771</v>
      </c>
      <c r="C1376" s="5">
        <v>212309</v>
      </c>
      <c r="D1376" s="6" t="s">
        <v>34</v>
      </c>
      <c r="E1376" s="6" t="s">
        <v>17</v>
      </c>
      <c r="F1376" s="7">
        <v>42817</v>
      </c>
      <c r="G1376" s="8">
        <f t="shared" si="21"/>
        <v>42817</v>
      </c>
      <c r="H1376" s="6" t="s">
        <v>13</v>
      </c>
      <c r="I1376" s="9">
        <f>MAX(original!I1376,piwebapi_edit!I1376,car_edit!I1376)</f>
        <v>37007.385346380703</v>
      </c>
      <c r="J1376" s="9">
        <f>MAX(original!J1376,piwebapi_edit!J1376,car_edit!J1376)</f>
        <v>386.76391687650897</v>
      </c>
      <c r="K1376" s="14"/>
    </row>
    <row r="1377" spans="1:11" x14ac:dyDescent="0.25">
      <c r="A1377" s="49" t="s">
        <v>2772</v>
      </c>
      <c r="B1377" s="4" t="s">
        <v>2773</v>
      </c>
      <c r="C1377" s="5">
        <v>216164</v>
      </c>
      <c r="D1377" s="6" t="s">
        <v>28</v>
      </c>
      <c r="E1377" s="6" t="s">
        <v>17</v>
      </c>
      <c r="F1377" s="7">
        <v>42928</v>
      </c>
      <c r="G1377" s="8">
        <f t="shared" si="21"/>
        <v>42928</v>
      </c>
      <c r="H1377" s="6" t="s">
        <v>13</v>
      </c>
      <c r="I1377" s="9">
        <f>MAX(original!I1377,piwebapi_edit!I1377,car_edit!I1377)</f>
        <v>13187.568137089</v>
      </c>
      <c r="J1377" s="9">
        <f>MAX(original!J1377,piwebapi_edit!J1377,car_edit!J1377)</f>
        <v>74.425755288393304</v>
      </c>
      <c r="K1377" s="14"/>
    </row>
    <row r="1378" spans="1:11" x14ac:dyDescent="0.25">
      <c r="A1378" s="49" t="s">
        <v>2774</v>
      </c>
      <c r="B1378" s="4" t="s">
        <v>2775</v>
      </c>
      <c r="C1378" s="5">
        <v>214868</v>
      </c>
      <c r="D1378" s="6" t="s">
        <v>11</v>
      </c>
      <c r="E1378" s="6" t="s">
        <v>17</v>
      </c>
      <c r="F1378" s="7">
        <v>42949</v>
      </c>
      <c r="G1378" s="8">
        <f t="shared" si="21"/>
        <v>42949</v>
      </c>
      <c r="H1378" s="6" t="s">
        <v>13</v>
      </c>
      <c r="I1378" s="9">
        <f>MAX(original!I1378,piwebapi_edit!I1378,car_edit!I1378)</f>
        <v>12836.9126844442</v>
      </c>
      <c r="J1378" s="9">
        <f>MAX(original!J1378,piwebapi_edit!J1378,car_edit!J1378)</f>
        <v>171.72576481625401</v>
      </c>
      <c r="K1378" s="14"/>
    </row>
    <row r="1379" spans="1:11" x14ac:dyDescent="0.25">
      <c r="A1379" s="49" t="s">
        <v>2776</v>
      </c>
      <c r="B1379" s="4" t="s">
        <v>2777</v>
      </c>
      <c r="C1379" s="5">
        <v>216180</v>
      </c>
      <c r="D1379" s="6" t="s">
        <v>11</v>
      </c>
      <c r="E1379" s="6" t="s">
        <v>12</v>
      </c>
      <c r="F1379" s="7">
        <v>43007</v>
      </c>
      <c r="G1379" s="8">
        <f t="shared" si="21"/>
        <v>43007</v>
      </c>
      <c r="H1379" s="6" t="s">
        <v>13</v>
      </c>
      <c r="I1379" s="9">
        <f>MAX(original!I1379,piwebapi_edit!I1379,car_edit!I1379)</f>
        <v>22916.368693647499</v>
      </c>
      <c r="J1379" s="9">
        <f>MAX(original!J1379,piwebapi_edit!J1379,car_edit!J1379)</f>
        <v>140.44674562278601</v>
      </c>
      <c r="K1379" s="14"/>
    </row>
    <row r="1380" spans="1:11" x14ac:dyDescent="0.25">
      <c r="A1380" s="49" t="s">
        <v>2778</v>
      </c>
      <c r="B1380" s="4" t="s">
        <v>2779</v>
      </c>
      <c r="C1380" s="5">
        <v>217764</v>
      </c>
      <c r="D1380" s="6" t="s">
        <v>11</v>
      </c>
      <c r="E1380" s="6" t="s">
        <v>17</v>
      </c>
      <c r="F1380" s="7">
        <v>43069</v>
      </c>
      <c r="G1380" s="8">
        <f t="shared" si="21"/>
        <v>43069</v>
      </c>
      <c r="H1380" s="6" t="s">
        <v>13</v>
      </c>
      <c r="I1380" s="9">
        <f>MAX(original!I1380,piwebapi_edit!I1380,car_edit!I1380)</f>
        <v>95483.191373904207</v>
      </c>
      <c r="J1380" s="9">
        <f>MAX(original!J1380,piwebapi_edit!J1380,car_edit!J1380)</f>
        <v>745.15031327631402</v>
      </c>
      <c r="K1380" s="14"/>
    </row>
    <row r="1381" spans="1:11" x14ac:dyDescent="0.25">
      <c r="A1381" s="49" t="s">
        <v>2780</v>
      </c>
      <c r="B1381" s="4" t="s">
        <v>25</v>
      </c>
      <c r="C1381" s="5">
        <v>217124</v>
      </c>
      <c r="D1381" s="6" t="s">
        <v>16</v>
      </c>
      <c r="E1381" s="6" t="s">
        <v>17</v>
      </c>
      <c r="F1381" s="7">
        <v>43033</v>
      </c>
      <c r="G1381" s="8">
        <f t="shared" si="21"/>
        <v>43033</v>
      </c>
      <c r="H1381" s="6" t="s">
        <v>13</v>
      </c>
      <c r="I1381" s="9">
        <f>MAX(original!I1381,piwebapi_edit!I1381,car_edit!I1381)</f>
        <v>61182.223262514395</v>
      </c>
      <c r="J1381" s="9">
        <f>MAX(original!J1381,piwebapi_edit!J1381,car_edit!J1381)</f>
        <v>477.46574213756202</v>
      </c>
      <c r="K1381" s="14"/>
    </row>
    <row r="1382" spans="1:11" x14ac:dyDescent="0.25">
      <c r="A1382" s="49" t="s">
        <v>2781</v>
      </c>
      <c r="B1382" s="4" t="s">
        <v>2782</v>
      </c>
      <c r="C1382" s="5">
        <v>216517</v>
      </c>
      <c r="D1382" s="6" t="s">
        <v>11</v>
      </c>
      <c r="E1382" s="6" t="s">
        <v>12</v>
      </c>
      <c r="F1382" s="7">
        <v>43053</v>
      </c>
      <c r="G1382" s="8">
        <f t="shared" si="21"/>
        <v>43053</v>
      </c>
      <c r="H1382" s="6" t="s">
        <v>39</v>
      </c>
      <c r="I1382" s="9">
        <f>MAX(original!I1382,piwebapi_edit!I1382,car_edit!I1382)</f>
        <v>228055.37000000002</v>
      </c>
      <c r="J1382" s="9">
        <f>MAX(original!J1382,piwebapi_edit!J1382,car_edit!J1382)</f>
        <v>970</v>
      </c>
      <c r="K1382" s="14"/>
    </row>
    <row r="1383" spans="1:11" x14ac:dyDescent="0.25">
      <c r="A1383" s="49" t="s">
        <v>2783</v>
      </c>
      <c r="B1383" s="4" t="s">
        <v>2784</v>
      </c>
      <c r="C1383" s="5">
        <v>220388</v>
      </c>
      <c r="D1383" s="6" t="s">
        <v>28</v>
      </c>
      <c r="E1383" s="6" t="s">
        <v>17</v>
      </c>
      <c r="F1383" s="7">
        <v>43103</v>
      </c>
      <c r="G1383" s="8">
        <f t="shared" si="21"/>
        <v>43103</v>
      </c>
      <c r="H1383" s="6" t="s">
        <v>13</v>
      </c>
      <c r="I1383" s="9">
        <f>MAX(original!I1383,piwebapi_edit!I1383,car_edit!I1383)</f>
        <v>4373.9967161697505</v>
      </c>
      <c r="J1383" s="9">
        <f>MAX(original!J1383,piwebapi_edit!J1383,car_edit!J1383)</f>
        <v>155.07116017749999</v>
      </c>
      <c r="K1383" s="14"/>
    </row>
    <row r="1384" spans="1:11" x14ac:dyDescent="0.25">
      <c r="A1384" s="49" t="s">
        <v>2785</v>
      </c>
      <c r="B1384" s="4" t="s">
        <v>2786</v>
      </c>
      <c r="C1384" s="5">
        <v>217444</v>
      </c>
      <c r="D1384" s="6" t="s">
        <v>31</v>
      </c>
      <c r="E1384" s="6" t="s">
        <v>17</v>
      </c>
      <c r="F1384" s="7">
        <v>42975</v>
      </c>
      <c r="G1384" s="8">
        <f t="shared" si="21"/>
        <v>42975</v>
      </c>
      <c r="H1384" s="6" t="s">
        <v>13</v>
      </c>
      <c r="I1384" s="9">
        <f>MAX(original!I1384,piwebapi_edit!I1384,car_edit!I1384)</f>
        <v>26883.915904071699</v>
      </c>
      <c r="J1384" s="9">
        <f>MAX(original!J1384,piwebapi_edit!J1384,car_edit!J1384)</f>
        <v>235.895872717136</v>
      </c>
      <c r="K1384" s="14"/>
    </row>
    <row r="1385" spans="1:11" x14ac:dyDescent="0.25">
      <c r="A1385" s="49" t="s">
        <v>2787</v>
      </c>
      <c r="B1385" s="4" t="s">
        <v>2788</v>
      </c>
      <c r="C1385" s="5">
        <v>219364</v>
      </c>
      <c r="D1385" s="6" t="s">
        <v>11</v>
      </c>
      <c r="E1385" s="6" t="s">
        <v>12</v>
      </c>
      <c r="F1385" s="7">
        <v>43132</v>
      </c>
      <c r="G1385" s="8">
        <f t="shared" si="21"/>
        <v>43132</v>
      </c>
      <c r="H1385" s="6" t="s">
        <v>39</v>
      </c>
      <c r="I1385" s="9">
        <f>MAX(original!I1385,piwebapi_edit!I1385,car_edit!I1385)</f>
        <v>27596.797992187399</v>
      </c>
      <c r="J1385" s="9">
        <f>MAX(original!J1385,piwebapi_edit!J1385,car_edit!J1385)</f>
        <v>171.696238257392</v>
      </c>
      <c r="K1385" s="14"/>
    </row>
    <row r="1386" spans="1:11" x14ac:dyDescent="0.25">
      <c r="A1386" s="49" t="s">
        <v>2789</v>
      </c>
      <c r="B1386" s="4" t="s">
        <v>2790</v>
      </c>
      <c r="C1386" s="5">
        <v>223012</v>
      </c>
      <c r="D1386" s="6" t="s">
        <v>11</v>
      </c>
      <c r="E1386" s="6" t="s">
        <v>17</v>
      </c>
      <c r="F1386" s="7">
        <v>43167</v>
      </c>
      <c r="G1386" s="8">
        <f t="shared" si="21"/>
        <v>43167</v>
      </c>
      <c r="H1386" s="17" t="s">
        <v>13</v>
      </c>
      <c r="I1386" s="9">
        <f>MAX(original!I1386,piwebapi_edit!I1386,car_edit!I1386)</f>
        <v>40730.782518407803</v>
      </c>
      <c r="J1386" s="9">
        <f>MAX(original!J1386,piwebapi_edit!J1386,car_edit!J1386)</f>
        <v>194.33241890890599</v>
      </c>
      <c r="K1386" s="17"/>
    </row>
    <row r="1387" spans="1:11" x14ac:dyDescent="0.25">
      <c r="A1387" s="49" t="s">
        <v>2791</v>
      </c>
      <c r="B1387" s="4" t="s">
        <v>2792</v>
      </c>
      <c r="C1387" s="5">
        <v>224932</v>
      </c>
      <c r="D1387" s="6" t="s">
        <v>11</v>
      </c>
      <c r="E1387" s="6" t="s">
        <v>12</v>
      </c>
      <c r="F1387" s="7">
        <v>43132</v>
      </c>
      <c r="G1387" s="8">
        <f t="shared" si="21"/>
        <v>43132</v>
      </c>
      <c r="H1387" s="17" t="s">
        <v>13</v>
      </c>
      <c r="I1387" s="9">
        <f>MAX(original!I1387,piwebapi_edit!I1387,car_edit!I1387)</f>
        <v>18225.6736544622</v>
      </c>
      <c r="J1387" s="9">
        <f>MAX(original!J1387,piwebapi_edit!J1387,car_edit!J1387)</f>
        <v>145.93777842078299</v>
      </c>
      <c r="K1387" s="17"/>
    </row>
    <row r="1388" spans="1:11" x14ac:dyDescent="0.25">
      <c r="A1388" s="49" t="s">
        <v>2793</v>
      </c>
      <c r="B1388" s="4" t="s">
        <v>2794</v>
      </c>
      <c r="C1388" s="5">
        <v>217767</v>
      </c>
      <c r="D1388" s="6" t="s">
        <v>16</v>
      </c>
      <c r="E1388" s="6" t="s">
        <v>17</v>
      </c>
      <c r="F1388" s="7">
        <v>43069</v>
      </c>
      <c r="G1388" s="8">
        <f t="shared" si="21"/>
        <v>43069</v>
      </c>
      <c r="H1388" s="17" t="s">
        <v>13</v>
      </c>
      <c r="I1388" s="9">
        <f>MAX(original!I1388,piwebapi_edit!I1388,car_edit!I1388)</f>
        <v>51666.032232711601</v>
      </c>
      <c r="J1388" s="9">
        <f>MAX(original!J1388,piwebapi_edit!J1388,car_edit!J1388)</f>
        <v>753.04452024499005</v>
      </c>
      <c r="K1388" s="17"/>
    </row>
    <row r="1389" spans="1:11" x14ac:dyDescent="0.25">
      <c r="A1389" s="49" t="s">
        <v>2795</v>
      </c>
      <c r="B1389" s="4" t="s">
        <v>2796</v>
      </c>
      <c r="C1389" s="5">
        <v>222996</v>
      </c>
      <c r="D1389" s="6" t="s">
        <v>28</v>
      </c>
      <c r="E1389" s="6" t="s">
        <v>17</v>
      </c>
      <c r="F1389" s="7">
        <v>43167</v>
      </c>
      <c r="G1389" s="8">
        <f t="shared" si="21"/>
        <v>43167</v>
      </c>
      <c r="H1389" s="17" t="s">
        <v>13</v>
      </c>
      <c r="I1389" s="9">
        <f>MAX(original!I1389,piwebapi_edit!I1389,car_edit!I1389)</f>
        <v>3670.4049230283999</v>
      </c>
      <c r="J1389" s="9">
        <f>MAX(original!J1389,piwebapi_edit!J1389,car_edit!J1389)</f>
        <v>85.521055819577199</v>
      </c>
      <c r="K1389" s="17"/>
    </row>
    <row r="1390" spans="1:11" x14ac:dyDescent="0.25">
      <c r="A1390" s="49" t="s">
        <v>2797</v>
      </c>
      <c r="B1390" s="4" t="s">
        <v>2798</v>
      </c>
      <c r="C1390" s="5">
        <v>222004</v>
      </c>
      <c r="D1390" s="6" t="s">
        <v>37</v>
      </c>
      <c r="E1390" s="6" t="s">
        <v>38</v>
      </c>
      <c r="F1390" s="7">
        <v>43105</v>
      </c>
      <c r="G1390" s="8">
        <f t="shared" si="21"/>
        <v>43105</v>
      </c>
      <c r="H1390" s="17" t="s">
        <v>39</v>
      </c>
      <c r="I1390" s="9">
        <f>MAX(original!I1390,piwebapi_edit!I1390,car_edit!I1390)</f>
        <v>33393.860776318099</v>
      </c>
      <c r="J1390" s="9">
        <f>MAX(original!J1390,piwebapi_edit!J1390,car_edit!J1390)</f>
        <v>300.34404191886898</v>
      </c>
      <c r="K1390" s="17"/>
    </row>
    <row r="1391" spans="1:11" x14ac:dyDescent="0.25">
      <c r="A1391" s="49" t="s">
        <v>2799</v>
      </c>
      <c r="B1391" s="4" t="s">
        <v>2800</v>
      </c>
      <c r="C1391" s="5">
        <v>226212</v>
      </c>
      <c r="D1391" s="6" t="s">
        <v>11</v>
      </c>
      <c r="E1391" s="6" t="s">
        <v>12</v>
      </c>
      <c r="F1391" s="7">
        <v>43167</v>
      </c>
      <c r="G1391" s="8">
        <f t="shared" si="21"/>
        <v>43167</v>
      </c>
      <c r="H1391" s="17" t="s">
        <v>39</v>
      </c>
      <c r="I1391" s="9">
        <f>MAX(original!I1391,piwebapi_edit!I1391,car_edit!I1391)</f>
        <v>46874.194080655005</v>
      </c>
      <c r="J1391" s="9">
        <f>MAX(original!J1391,piwebapi_edit!J1391,car_edit!J1391)</f>
        <v>313.18497501617202</v>
      </c>
      <c r="K1391" s="17"/>
    </row>
    <row r="1392" spans="1:11" x14ac:dyDescent="0.25">
      <c r="A1392" s="49" t="s">
        <v>2801</v>
      </c>
      <c r="B1392" s="4" t="s">
        <v>2802</v>
      </c>
      <c r="C1392" s="5">
        <v>222676</v>
      </c>
      <c r="D1392" s="6" t="s">
        <v>28</v>
      </c>
      <c r="E1392" s="6" t="s">
        <v>17</v>
      </c>
      <c r="F1392" s="7">
        <v>43166</v>
      </c>
      <c r="G1392" s="8">
        <f t="shared" si="21"/>
        <v>43166</v>
      </c>
      <c r="H1392" s="17" t="s">
        <v>13</v>
      </c>
      <c r="I1392" s="9">
        <f>MAX(original!I1392,piwebapi_edit!I1392,car_edit!I1392)</f>
        <v>4776.5775109001506</v>
      </c>
      <c r="J1392" s="9">
        <f>MAX(original!J1392,piwebapi_edit!J1392,car_edit!J1392)</f>
        <v>64.171254377764001</v>
      </c>
      <c r="K1392" s="17"/>
    </row>
    <row r="1393" spans="1:11" x14ac:dyDescent="0.25">
      <c r="A1393" s="49" t="s">
        <v>2803</v>
      </c>
      <c r="B1393" s="4" t="s">
        <v>2804</v>
      </c>
      <c r="C1393" s="5">
        <v>229845</v>
      </c>
      <c r="D1393" s="6" t="s">
        <v>28</v>
      </c>
      <c r="E1393" s="6" t="s">
        <v>17</v>
      </c>
      <c r="F1393" s="7">
        <v>43178</v>
      </c>
      <c r="G1393" s="8">
        <f t="shared" si="21"/>
        <v>43178</v>
      </c>
      <c r="H1393" s="17" t="s">
        <v>13</v>
      </c>
      <c r="I1393" s="9">
        <f>MAX(original!I1393,piwebapi_edit!I1393,car_edit!I1393)</f>
        <v>5237.0236100980401</v>
      </c>
      <c r="J1393" s="9">
        <f>MAX(original!J1393,piwebapi_edit!J1393,car_edit!J1393)</f>
        <v>86.762360982844697</v>
      </c>
      <c r="K1393" s="17"/>
    </row>
    <row r="1394" spans="1:11" x14ac:dyDescent="0.25">
      <c r="A1394" s="49" t="s">
        <v>2805</v>
      </c>
      <c r="B1394" s="4" t="s">
        <v>2806</v>
      </c>
      <c r="C1394" s="5">
        <v>225252</v>
      </c>
      <c r="D1394" s="6" t="s">
        <v>37</v>
      </c>
      <c r="E1394" s="6" t="s">
        <v>38</v>
      </c>
      <c r="F1394" s="7">
        <v>43179</v>
      </c>
      <c r="G1394" s="8">
        <f t="shared" si="21"/>
        <v>43179</v>
      </c>
      <c r="H1394" s="17" t="s">
        <v>39</v>
      </c>
      <c r="I1394" s="9">
        <f>MAX(original!I1394,piwebapi_edit!I1394,car_edit!I1394)</f>
        <v>13762.802662132501</v>
      </c>
      <c r="J1394" s="9">
        <f>MAX(original!J1394,piwebapi_edit!J1394,car_edit!J1394)</f>
        <v>270.023076676882</v>
      </c>
      <c r="K1394" s="17"/>
    </row>
    <row r="1395" spans="1:11" x14ac:dyDescent="0.25">
      <c r="A1395" s="49" t="s">
        <v>2807</v>
      </c>
      <c r="B1395" s="4" t="s">
        <v>2808</v>
      </c>
      <c r="C1395" s="5">
        <v>222036</v>
      </c>
      <c r="D1395" s="6" t="s">
        <v>34</v>
      </c>
      <c r="E1395" s="6" t="s">
        <v>17</v>
      </c>
      <c r="F1395" s="7">
        <v>43179</v>
      </c>
      <c r="G1395" s="8">
        <f t="shared" si="21"/>
        <v>43179</v>
      </c>
      <c r="H1395" s="17" t="s">
        <v>13</v>
      </c>
      <c r="I1395" s="9">
        <f>MAX(original!I1395,piwebapi_edit!I1395,car_edit!I1395)</f>
        <v>370.24167089181799</v>
      </c>
      <c r="J1395" s="9">
        <f>MAX(original!J1395,piwebapi_edit!J1395,car_edit!J1395)</f>
        <v>11.3308825572998</v>
      </c>
      <c r="K1395" s="17"/>
    </row>
    <row r="1396" spans="1:11" x14ac:dyDescent="0.25">
      <c r="A1396" s="49" t="s">
        <v>2809</v>
      </c>
      <c r="B1396" s="4" t="s">
        <v>2810</v>
      </c>
      <c r="C1396" s="5">
        <v>223668</v>
      </c>
      <c r="D1396" s="6" t="s">
        <v>28</v>
      </c>
      <c r="E1396" s="6" t="s">
        <v>17</v>
      </c>
      <c r="F1396" s="7">
        <v>43187</v>
      </c>
      <c r="G1396" s="8">
        <f t="shared" si="21"/>
        <v>43187</v>
      </c>
      <c r="H1396" s="17" t="s">
        <v>13</v>
      </c>
      <c r="I1396" s="9">
        <f>MAX(original!I1396,piwebapi_edit!I1396,car_edit!I1396)</f>
        <v>11965.242731370899</v>
      </c>
      <c r="J1396" s="9">
        <f>MAX(original!J1396,piwebapi_edit!J1396,car_edit!J1396)</f>
        <v>254.85194779909199</v>
      </c>
      <c r="K1396" s="17"/>
    </row>
    <row r="1397" spans="1:11" x14ac:dyDescent="0.25">
      <c r="A1397" s="49" t="s">
        <v>2811</v>
      </c>
      <c r="B1397" s="4" t="s">
        <v>2812</v>
      </c>
      <c r="C1397" s="5">
        <v>222052</v>
      </c>
      <c r="D1397" s="6" t="s">
        <v>16</v>
      </c>
      <c r="E1397" s="6" t="s">
        <v>17</v>
      </c>
      <c r="F1397" s="7">
        <v>43118</v>
      </c>
      <c r="G1397" s="8">
        <f t="shared" si="21"/>
        <v>43118</v>
      </c>
      <c r="H1397" s="17" t="s">
        <v>13</v>
      </c>
      <c r="I1397" s="9">
        <f>MAX(original!I1397,piwebapi_edit!I1397,car_edit!I1397)</f>
        <v>8760.7719786814814</v>
      </c>
      <c r="J1397" s="9">
        <f>MAX(original!J1397,piwebapi_edit!J1397,car_edit!J1397)</f>
        <v>265.11822343281699</v>
      </c>
      <c r="K1397" s="17"/>
    </row>
    <row r="1398" spans="1:11" x14ac:dyDescent="0.25">
      <c r="A1398" s="49" t="s">
        <v>2813</v>
      </c>
      <c r="B1398" s="4" t="s">
        <v>2814</v>
      </c>
      <c r="C1398" s="5">
        <v>224612</v>
      </c>
      <c r="D1398" s="6" t="s">
        <v>11</v>
      </c>
      <c r="E1398" s="6" t="s">
        <v>17</v>
      </c>
      <c r="F1398" s="7">
        <v>43213</v>
      </c>
      <c r="G1398" s="8">
        <f t="shared" si="21"/>
        <v>43213</v>
      </c>
      <c r="H1398" s="17" t="s">
        <v>13</v>
      </c>
      <c r="I1398" s="9">
        <f>MAX(original!I1398,piwebapi_edit!I1398,car_edit!I1398)</f>
        <v>28498.118270102397</v>
      </c>
      <c r="J1398" s="9">
        <f>MAX(original!J1398,piwebapi_edit!J1398,car_edit!J1398)</f>
        <v>271.79443461616899</v>
      </c>
      <c r="K1398" s="17"/>
    </row>
    <row r="1399" spans="1:11" x14ac:dyDescent="0.25">
      <c r="A1399" s="49" t="s">
        <v>2815</v>
      </c>
      <c r="B1399" s="4" t="s">
        <v>2816</v>
      </c>
      <c r="C1399" s="5">
        <v>224308</v>
      </c>
      <c r="D1399" s="6" t="s">
        <v>16</v>
      </c>
      <c r="E1399" s="6" t="s">
        <v>17</v>
      </c>
      <c r="F1399" s="7">
        <v>43206</v>
      </c>
      <c r="G1399" s="8">
        <f t="shared" si="21"/>
        <v>43206</v>
      </c>
      <c r="H1399" s="17" t="s">
        <v>13</v>
      </c>
      <c r="I1399" s="9">
        <f>MAX(original!I1399,piwebapi_edit!I1399,car_edit!I1399)</f>
        <v>14282.615641296699</v>
      </c>
      <c r="J1399" s="9">
        <f>MAX(original!J1399,piwebapi_edit!J1399,car_edit!J1399)</f>
        <v>216.82978560681499</v>
      </c>
      <c r="K1399" s="17"/>
    </row>
    <row r="1400" spans="1:11" x14ac:dyDescent="0.25">
      <c r="A1400" s="49" t="s">
        <v>2817</v>
      </c>
      <c r="B1400" s="4" t="s">
        <v>2818</v>
      </c>
      <c r="C1400" s="5">
        <v>223332</v>
      </c>
      <c r="D1400" s="6" t="s">
        <v>31</v>
      </c>
      <c r="E1400" s="6" t="s">
        <v>17</v>
      </c>
      <c r="F1400" s="7">
        <v>43216</v>
      </c>
      <c r="G1400" s="8">
        <f t="shared" si="21"/>
        <v>43216</v>
      </c>
      <c r="H1400" s="17" t="s">
        <v>13</v>
      </c>
      <c r="I1400" s="9">
        <f>MAX(original!I1400,piwebapi_edit!I1400,car_edit!I1400)</f>
        <v>19603.490123165902</v>
      </c>
      <c r="J1400" s="9">
        <f>MAX(original!J1400,piwebapi_edit!J1400,car_edit!J1400)</f>
        <v>376.61389160108098</v>
      </c>
      <c r="K1400" s="17"/>
    </row>
    <row r="1401" spans="1:11" x14ac:dyDescent="0.25">
      <c r="A1401" s="49" t="s">
        <v>2819</v>
      </c>
      <c r="B1401" s="4" t="s">
        <v>2820</v>
      </c>
      <c r="C1401" s="5">
        <v>226532</v>
      </c>
      <c r="D1401" s="6" t="s">
        <v>16</v>
      </c>
      <c r="E1401" s="6" t="s">
        <v>17</v>
      </c>
      <c r="F1401" s="7">
        <v>43235</v>
      </c>
      <c r="G1401" s="8">
        <f t="shared" si="21"/>
        <v>43235</v>
      </c>
      <c r="H1401" s="17" t="s">
        <v>13</v>
      </c>
      <c r="I1401" s="9">
        <f>MAX(original!I1401,piwebapi_edit!I1401,car_edit!I1401)</f>
        <v>13422.1352597443</v>
      </c>
      <c r="J1401" s="9">
        <f>MAX(original!J1401,piwebapi_edit!J1401,car_edit!J1401)</f>
        <v>315.88019420184298</v>
      </c>
      <c r="K1401" s="17"/>
    </row>
    <row r="1402" spans="1:11" x14ac:dyDescent="0.25">
      <c r="A1402" s="49" t="s">
        <v>2821</v>
      </c>
      <c r="B1402" s="4" t="s">
        <v>2822</v>
      </c>
      <c r="C1402" s="5">
        <v>227605</v>
      </c>
      <c r="D1402" s="6" t="s">
        <v>11</v>
      </c>
      <c r="E1402" s="6" t="s">
        <v>12</v>
      </c>
      <c r="F1402" s="7">
        <v>43246</v>
      </c>
      <c r="G1402" s="8">
        <f t="shared" si="21"/>
        <v>43246</v>
      </c>
      <c r="H1402" s="25" t="s">
        <v>13</v>
      </c>
      <c r="I1402" s="9">
        <f>MAX(original!I1402,piwebapi_edit!I1402,car_edit!I1402)</f>
        <v>35808.778576097</v>
      </c>
      <c r="J1402" s="9">
        <f>MAX(original!J1402,piwebapi_edit!J1402,car_edit!J1402)</f>
        <v>241.96923717573901</v>
      </c>
      <c r="K1402" s="17"/>
    </row>
    <row r="1403" spans="1:11" x14ac:dyDescent="0.25">
      <c r="A1403" s="49" t="s">
        <v>2823</v>
      </c>
      <c r="B1403" s="4" t="s">
        <v>2824</v>
      </c>
      <c r="C1403" s="5">
        <v>235204</v>
      </c>
      <c r="D1403" s="6" t="s">
        <v>11</v>
      </c>
      <c r="E1403" s="6" t="s">
        <v>12</v>
      </c>
      <c r="F1403" s="7">
        <v>42170</v>
      </c>
      <c r="G1403" s="8">
        <f t="shared" si="21"/>
        <v>42170</v>
      </c>
      <c r="H1403" s="17" t="s">
        <v>39</v>
      </c>
      <c r="I1403" s="9">
        <f>MAX(original!I1403,piwebapi_edit!I1403,car_edit!I1403)</f>
        <v>52779.186763273305</v>
      </c>
      <c r="J1403" s="9">
        <f>MAX(original!J1403,piwebapi_edit!J1403,car_edit!J1403)</f>
        <v>228.64066108191901</v>
      </c>
      <c r="K1403" s="17"/>
    </row>
    <row r="1404" spans="1:11" x14ac:dyDescent="0.25">
      <c r="A1404" s="49" t="s">
        <v>2825</v>
      </c>
      <c r="B1404" s="4" t="s">
        <v>2826</v>
      </c>
      <c r="C1404" s="5">
        <v>228788</v>
      </c>
      <c r="D1404" s="6" t="s">
        <v>34</v>
      </c>
      <c r="E1404" s="6" t="s">
        <v>17</v>
      </c>
      <c r="F1404" s="7">
        <v>43269</v>
      </c>
      <c r="G1404" s="8">
        <f t="shared" si="21"/>
        <v>43269</v>
      </c>
      <c r="H1404" s="17" t="s">
        <v>13</v>
      </c>
      <c r="I1404" s="9">
        <f>MAX(original!I1404,piwebapi_edit!I1404,car_edit!I1404)</f>
        <v>17513.402222196302</v>
      </c>
      <c r="J1404" s="9">
        <f>MAX(original!J1404,piwebapi_edit!J1404,car_edit!J1404)</f>
        <v>340.97659616183103</v>
      </c>
      <c r="K1404" s="17"/>
    </row>
    <row r="1405" spans="1:11" x14ac:dyDescent="0.25">
      <c r="A1405" s="49" t="s">
        <v>2827</v>
      </c>
      <c r="B1405" s="4" t="s">
        <v>2828</v>
      </c>
      <c r="C1405" s="5">
        <v>228151</v>
      </c>
      <c r="D1405" s="6" t="s">
        <v>16</v>
      </c>
      <c r="E1405" s="6" t="s">
        <v>17</v>
      </c>
      <c r="F1405" s="7">
        <v>43276</v>
      </c>
      <c r="G1405" s="8">
        <f t="shared" si="21"/>
        <v>43276</v>
      </c>
      <c r="H1405" s="17" t="s">
        <v>13</v>
      </c>
      <c r="I1405" s="9">
        <f>MAX(original!I1405,piwebapi_edit!I1405,car_edit!I1405)</f>
        <v>12478.307544208101</v>
      </c>
      <c r="J1405" s="9">
        <f>MAX(original!J1405,piwebapi_edit!J1405,car_edit!J1405)</f>
        <v>608.85417531858798</v>
      </c>
      <c r="K1405" s="17"/>
    </row>
    <row r="1406" spans="1:11" x14ac:dyDescent="0.25">
      <c r="A1406" s="49" t="s">
        <v>2829</v>
      </c>
      <c r="B1406" s="4" t="s">
        <v>2830</v>
      </c>
      <c r="C1406" s="5">
        <v>229788</v>
      </c>
      <c r="D1406" s="6" t="s">
        <v>11</v>
      </c>
      <c r="E1406" s="6" t="s">
        <v>12</v>
      </c>
      <c r="F1406" s="7">
        <v>43286</v>
      </c>
      <c r="G1406" s="8">
        <f t="shared" si="21"/>
        <v>43286</v>
      </c>
      <c r="H1406" s="25" t="s">
        <v>39</v>
      </c>
      <c r="I1406" s="9">
        <f>MAX(original!I1406,piwebapi_edit!I1406,car_edit!I1406)</f>
        <v>1080.1828349783</v>
      </c>
      <c r="J1406" s="9">
        <f>MAX(original!J1406,piwebapi_edit!J1406,car_edit!J1406)</f>
        <v>137.12078686987701</v>
      </c>
      <c r="K1406" s="17"/>
    </row>
    <row r="1407" spans="1:11" x14ac:dyDescent="0.25">
      <c r="A1407" s="49" t="s">
        <v>2831</v>
      </c>
      <c r="B1407" s="4" t="s">
        <v>2832</v>
      </c>
      <c r="C1407" s="5">
        <v>223972</v>
      </c>
      <c r="D1407" s="6" t="s">
        <v>11</v>
      </c>
      <c r="E1407" s="6" t="s">
        <v>12</v>
      </c>
      <c r="F1407" s="7">
        <v>43293</v>
      </c>
      <c r="G1407" s="8">
        <f t="shared" si="21"/>
        <v>43293</v>
      </c>
      <c r="H1407" s="6" t="s">
        <v>13</v>
      </c>
      <c r="I1407" s="9">
        <f>MAX(original!I1407,piwebapi_edit!I1407,car_edit!I1407)</f>
        <v>20803.944616317898</v>
      </c>
      <c r="J1407" s="9">
        <f>MAX(original!J1407,piwebapi_edit!J1407,car_edit!J1407)</f>
        <v>159.30510933214001</v>
      </c>
      <c r="K1407" s="17"/>
    </row>
    <row r="1408" spans="1:11" x14ac:dyDescent="0.25">
      <c r="A1408" s="49" t="s">
        <v>2833</v>
      </c>
      <c r="B1408" s="4" t="s">
        <v>2834</v>
      </c>
      <c r="C1408" s="5">
        <v>227174</v>
      </c>
      <c r="D1408" s="6" t="s">
        <v>28</v>
      </c>
      <c r="E1408" s="6" t="s">
        <v>17</v>
      </c>
      <c r="F1408" s="7">
        <v>43294</v>
      </c>
      <c r="G1408" s="8">
        <f t="shared" si="21"/>
        <v>43294</v>
      </c>
      <c r="H1408" s="17" t="s">
        <v>13</v>
      </c>
      <c r="I1408" s="9">
        <f>MAX(original!I1408,piwebapi_edit!I1408,car_edit!I1408)</f>
        <v>34783.506415320306</v>
      </c>
      <c r="J1408" s="9">
        <f>MAX(original!J1408,piwebapi_edit!J1408,car_edit!J1408)</f>
        <v>167.71488325706</v>
      </c>
      <c r="K1408" s="17"/>
    </row>
    <row r="1409" spans="1:11" x14ac:dyDescent="0.25">
      <c r="A1409" s="49" t="s">
        <v>2835</v>
      </c>
      <c r="B1409" s="4" t="s">
        <v>2836</v>
      </c>
      <c r="C1409" s="5">
        <v>231988</v>
      </c>
      <c r="D1409" s="6" t="s">
        <v>11</v>
      </c>
      <c r="E1409" s="6" t="s">
        <v>17</v>
      </c>
      <c r="F1409" s="7">
        <v>43299</v>
      </c>
      <c r="G1409" s="8">
        <f t="shared" si="21"/>
        <v>43299</v>
      </c>
      <c r="H1409" s="25" t="s">
        <v>13</v>
      </c>
      <c r="I1409" s="9">
        <f>MAX(original!I1409,piwebapi_edit!I1409,car_edit!I1409)</f>
        <v>52822.334594551001</v>
      </c>
      <c r="J1409" s="9">
        <f>MAX(original!J1409,piwebapi_edit!J1409,car_edit!J1409)</f>
        <v>434.31435762338202</v>
      </c>
      <c r="K1409" s="17"/>
    </row>
    <row r="1410" spans="1:11" x14ac:dyDescent="0.25">
      <c r="A1410" s="49" t="s">
        <v>2837</v>
      </c>
      <c r="B1410" s="4" t="s">
        <v>2838</v>
      </c>
      <c r="C1410" s="5">
        <v>228806</v>
      </c>
      <c r="D1410" s="6" t="s">
        <v>37</v>
      </c>
      <c r="E1410" s="6" t="s">
        <v>38</v>
      </c>
      <c r="F1410" s="7">
        <v>43314</v>
      </c>
      <c r="G1410" s="8">
        <f t="shared" ref="G1410:G1473" si="22">F1410</f>
        <v>43314</v>
      </c>
      <c r="H1410" s="6" t="s">
        <v>39</v>
      </c>
      <c r="I1410" s="9">
        <f>MAX(original!I1410,piwebapi_edit!I1410,car_edit!I1410)</f>
        <v>13676.308011131499</v>
      </c>
      <c r="J1410" s="9">
        <f>MAX(original!J1410,piwebapi_edit!J1410,car_edit!J1410)</f>
        <v>94.224738946019102</v>
      </c>
      <c r="K1410" s="40"/>
    </row>
    <row r="1411" spans="1:11" x14ac:dyDescent="0.25">
      <c r="A1411" s="49" t="s">
        <v>2839</v>
      </c>
      <c r="B1411" s="4" t="s">
        <v>2840</v>
      </c>
      <c r="C1411" s="5">
        <v>229430</v>
      </c>
      <c r="D1411" s="6" t="s">
        <v>34</v>
      </c>
      <c r="E1411" s="6" t="s">
        <v>17</v>
      </c>
      <c r="F1411" s="7">
        <v>43318</v>
      </c>
      <c r="G1411" s="8">
        <f t="shared" si="22"/>
        <v>43318</v>
      </c>
      <c r="H1411" s="6" t="s">
        <v>13</v>
      </c>
      <c r="I1411" s="9">
        <f>MAX(original!I1411,piwebapi_edit!I1411,car_edit!I1411)</f>
        <v>16841.016773297699</v>
      </c>
      <c r="J1411" s="9">
        <f>MAX(original!J1411,piwebapi_edit!J1411,car_edit!J1411)</f>
        <v>192.33242946198101</v>
      </c>
      <c r="K1411" s="40"/>
    </row>
    <row r="1412" spans="1:11" x14ac:dyDescent="0.25">
      <c r="A1412" s="3" t="s">
        <v>2841</v>
      </c>
      <c r="B1412" s="4" t="s">
        <v>2842</v>
      </c>
      <c r="C1412" s="5">
        <v>232308</v>
      </c>
      <c r="D1412" s="6" t="s">
        <v>34</v>
      </c>
      <c r="E1412" s="6" t="s">
        <v>17</v>
      </c>
      <c r="F1412" s="7">
        <v>43322</v>
      </c>
      <c r="G1412" s="8">
        <f t="shared" si="22"/>
        <v>43322</v>
      </c>
      <c r="H1412" s="6" t="s">
        <v>13</v>
      </c>
      <c r="I1412" s="9">
        <f>MAX(original!I1412,piwebapi_edit!I1412,car_edit!I1412)</f>
        <v>16119.622919654699</v>
      </c>
      <c r="J1412" s="9">
        <f>MAX(original!J1412,piwebapi_edit!J1412,car_edit!J1412)</f>
        <v>248.57247477794999</v>
      </c>
      <c r="K1412" s="17"/>
    </row>
    <row r="1413" spans="1:11" x14ac:dyDescent="0.25">
      <c r="A1413" s="3" t="s">
        <v>2843</v>
      </c>
      <c r="B1413" s="4" t="s">
        <v>2844</v>
      </c>
      <c r="C1413" s="5">
        <v>235911</v>
      </c>
      <c r="D1413" s="6" t="s">
        <v>16</v>
      </c>
      <c r="E1413" s="6" t="s">
        <v>17</v>
      </c>
      <c r="F1413" s="7">
        <v>43385</v>
      </c>
      <c r="G1413" s="8">
        <f t="shared" si="22"/>
        <v>43385</v>
      </c>
      <c r="H1413" s="6" t="s">
        <v>13</v>
      </c>
      <c r="I1413" s="9">
        <f>MAX(original!I1413,piwebapi_edit!I1413,car_edit!I1413)</f>
        <v>17594.235622640001</v>
      </c>
      <c r="J1413" s="9">
        <f>MAX(original!J1413,piwebapi_edit!J1413,car_edit!J1413)</f>
        <v>231.80410115821701</v>
      </c>
      <c r="K1413" s="17"/>
    </row>
    <row r="1414" spans="1:11" x14ac:dyDescent="0.25">
      <c r="A1414" s="3" t="s">
        <v>2845</v>
      </c>
      <c r="B1414" s="4" t="s">
        <v>2846</v>
      </c>
      <c r="C1414" s="14">
        <v>235222</v>
      </c>
      <c r="D1414" s="6" t="s">
        <v>11</v>
      </c>
      <c r="E1414" s="6" t="s">
        <v>12</v>
      </c>
      <c r="F1414" s="7">
        <v>43385</v>
      </c>
      <c r="G1414" s="8">
        <f t="shared" si="22"/>
        <v>43385</v>
      </c>
      <c r="H1414" s="21" t="s">
        <v>39</v>
      </c>
      <c r="I1414" s="9">
        <f>MAX(original!I1414,piwebapi_edit!I1414,car_edit!I1414)</f>
        <v>40222.343892192395</v>
      </c>
      <c r="J1414" s="9">
        <f>MAX(original!J1414,piwebapi_edit!J1414,car_edit!J1414)</f>
        <v>203.76401480440899</v>
      </c>
      <c r="K1414" s="17"/>
    </row>
    <row r="1415" spans="1:11" x14ac:dyDescent="0.25">
      <c r="A1415" s="3" t="s">
        <v>2847</v>
      </c>
      <c r="B1415" s="4" t="s">
        <v>2848</v>
      </c>
      <c r="C1415" s="5">
        <v>235188</v>
      </c>
      <c r="D1415" s="6" t="s">
        <v>34</v>
      </c>
      <c r="E1415" s="6" t="s">
        <v>17</v>
      </c>
      <c r="F1415" s="7">
        <v>43403</v>
      </c>
      <c r="G1415" s="8">
        <f t="shared" si="22"/>
        <v>43403</v>
      </c>
      <c r="H1415" s="6" t="s">
        <v>13</v>
      </c>
      <c r="I1415" s="9">
        <f>MAX(original!I1415,piwebapi_edit!I1415,car_edit!I1415)</f>
        <v>0</v>
      </c>
      <c r="J1415" s="9">
        <f>MAX(original!J1415,piwebapi_edit!J1415,car_edit!J1415)</f>
        <v>0</v>
      </c>
      <c r="K1415" s="17"/>
    </row>
    <row r="1416" spans="1:11" x14ac:dyDescent="0.25">
      <c r="A1416" s="3" t="s">
        <v>2849</v>
      </c>
      <c r="B1416" s="4" t="s">
        <v>2850</v>
      </c>
      <c r="C1416" s="5">
        <v>235205</v>
      </c>
      <c r="D1416" s="6" t="s">
        <v>31</v>
      </c>
      <c r="E1416" s="6" t="s">
        <v>17</v>
      </c>
      <c r="F1416" s="7">
        <v>43432</v>
      </c>
      <c r="G1416" s="8">
        <f t="shared" si="22"/>
        <v>43432</v>
      </c>
      <c r="H1416" s="6" t="s">
        <v>13</v>
      </c>
      <c r="I1416" s="9">
        <f>MAX(original!I1416,piwebapi_edit!I1416,car_edit!I1416)</f>
        <v>23063.297460359197</v>
      </c>
      <c r="J1416" s="9">
        <f>MAX(original!J1416,piwebapi_edit!J1416,car_edit!J1416)</f>
        <v>117.63770691089</v>
      </c>
      <c r="K1416" s="17"/>
    </row>
    <row r="1417" spans="1:11" x14ac:dyDescent="0.25">
      <c r="A1417" s="3" t="s">
        <v>2851</v>
      </c>
      <c r="B1417" s="4" t="s">
        <v>2852</v>
      </c>
      <c r="C1417" s="5">
        <v>241684</v>
      </c>
      <c r="D1417" s="6" t="s">
        <v>31</v>
      </c>
      <c r="E1417" s="6" t="s">
        <v>17</v>
      </c>
      <c r="F1417" s="7">
        <v>43441</v>
      </c>
      <c r="G1417" s="8">
        <f t="shared" si="22"/>
        <v>43441</v>
      </c>
      <c r="H1417" s="6" t="s">
        <v>13</v>
      </c>
      <c r="I1417" s="9">
        <f>MAX(original!I1417,piwebapi_edit!I1417,car_edit!I1417)</f>
        <v>39056.8173136513</v>
      </c>
      <c r="J1417" s="9">
        <f>MAX(original!J1417,piwebapi_edit!J1417,car_edit!J1417)</f>
        <v>555.24745400227403</v>
      </c>
      <c r="K1417" s="17"/>
    </row>
    <row r="1418" spans="1:11" x14ac:dyDescent="0.25">
      <c r="A1418" s="3" t="s">
        <v>2853</v>
      </c>
      <c r="B1418" s="4" t="s">
        <v>2854</v>
      </c>
      <c r="C1418" s="5">
        <v>255492</v>
      </c>
      <c r="D1418" s="6" t="s">
        <v>34</v>
      </c>
      <c r="E1418" s="6" t="s">
        <v>17</v>
      </c>
      <c r="F1418" s="7">
        <v>43502</v>
      </c>
      <c r="G1418" s="8">
        <f t="shared" si="22"/>
        <v>43502</v>
      </c>
      <c r="H1418" s="6" t="s">
        <v>13</v>
      </c>
      <c r="I1418" s="9">
        <f>MAX(original!I1418,piwebapi_edit!I1418,car_edit!I1418)</f>
        <v>7549.0534399046901</v>
      </c>
      <c r="J1418" s="9">
        <f>MAX(original!J1418,piwebapi_edit!J1418,car_edit!J1418)</f>
        <v>126.596009433837</v>
      </c>
      <c r="K1418" s="17"/>
    </row>
    <row r="1419" spans="1:11" x14ac:dyDescent="0.25">
      <c r="A1419" s="3" t="s">
        <v>2855</v>
      </c>
      <c r="B1419" s="4" t="s">
        <v>2856</v>
      </c>
      <c r="C1419" s="5">
        <v>240102</v>
      </c>
      <c r="D1419" s="6" t="s">
        <v>34</v>
      </c>
      <c r="E1419" s="6" t="s">
        <v>17</v>
      </c>
      <c r="F1419" s="7">
        <v>43504</v>
      </c>
      <c r="G1419" s="8">
        <f t="shared" si="22"/>
        <v>43504</v>
      </c>
      <c r="H1419" s="6" t="s">
        <v>13</v>
      </c>
      <c r="I1419" s="9">
        <f>MAX(original!I1419,piwebapi_edit!I1419,car_edit!I1419)</f>
        <v>25642.657617712997</v>
      </c>
      <c r="J1419" s="9">
        <f>MAX(original!J1419,piwebapi_edit!J1419,car_edit!J1419)</f>
        <v>226.137553608221</v>
      </c>
      <c r="K1419" s="17"/>
    </row>
    <row r="1420" spans="1:11" x14ac:dyDescent="0.25">
      <c r="A1420" s="3" t="s">
        <v>2857</v>
      </c>
      <c r="B1420" s="4" t="s">
        <v>2858</v>
      </c>
      <c r="C1420" s="5">
        <v>240404</v>
      </c>
      <c r="D1420" s="6" t="s">
        <v>37</v>
      </c>
      <c r="E1420" s="6" t="s">
        <v>38</v>
      </c>
      <c r="F1420" s="7">
        <v>43505</v>
      </c>
      <c r="G1420" s="8">
        <f t="shared" si="22"/>
        <v>43505</v>
      </c>
      <c r="H1420" s="6" t="s">
        <v>39</v>
      </c>
      <c r="I1420" s="9">
        <f>MAX(original!I1420,piwebapi_edit!I1420,car_edit!I1420)</f>
        <v>6054.7142365455402</v>
      </c>
      <c r="J1420" s="9">
        <f>MAX(original!J1420,piwebapi_edit!J1420,car_edit!J1420)</f>
        <v>271.017047937298</v>
      </c>
      <c r="K1420" s="17"/>
    </row>
    <row r="1421" spans="1:11" x14ac:dyDescent="0.25">
      <c r="A1421" s="3" t="s">
        <v>2859</v>
      </c>
      <c r="B1421" s="4" t="s">
        <v>2860</v>
      </c>
      <c r="C1421" s="5">
        <v>242660</v>
      </c>
      <c r="D1421" s="6" t="s">
        <v>11</v>
      </c>
      <c r="E1421" s="6" t="s">
        <v>12</v>
      </c>
      <c r="F1421" s="7">
        <v>43506</v>
      </c>
      <c r="G1421" s="8">
        <f t="shared" si="22"/>
        <v>43506</v>
      </c>
      <c r="H1421" s="21" t="s">
        <v>39</v>
      </c>
      <c r="I1421" s="9">
        <f>MAX(original!I1421,piwebapi_edit!I1421,car_edit!I1421)</f>
        <v>26131.416413477302</v>
      </c>
      <c r="J1421" s="9">
        <f>MAX(original!J1421,piwebapi_edit!J1421,car_edit!J1421)</f>
        <v>305.335967565244</v>
      </c>
      <c r="K1421" s="17"/>
    </row>
    <row r="1422" spans="1:11" x14ac:dyDescent="0.25">
      <c r="A1422" s="3" t="s">
        <v>2861</v>
      </c>
      <c r="B1422" s="4" t="s">
        <v>2862</v>
      </c>
      <c r="C1422" s="5">
        <v>239780</v>
      </c>
      <c r="D1422" s="6" t="s">
        <v>37</v>
      </c>
      <c r="E1422" s="6" t="s">
        <v>38</v>
      </c>
      <c r="F1422" s="7">
        <v>43505</v>
      </c>
      <c r="G1422" s="8">
        <f t="shared" si="22"/>
        <v>43505</v>
      </c>
      <c r="H1422" s="6" t="s">
        <v>39</v>
      </c>
      <c r="I1422" s="9">
        <f>MAX(original!I1422,piwebapi_edit!I1422,car_edit!I1422)</f>
        <v>18514.112460557102</v>
      </c>
      <c r="J1422" s="9">
        <f>MAX(original!J1422,piwebapi_edit!J1422,car_edit!J1422)</f>
        <v>416.42514359637102</v>
      </c>
      <c r="K1422" s="17"/>
    </row>
    <row r="1423" spans="1:11" x14ac:dyDescent="0.25">
      <c r="A1423" s="3" t="s">
        <v>2863</v>
      </c>
      <c r="B1423" s="4" t="s">
        <v>2864</v>
      </c>
      <c r="C1423" s="5">
        <v>238484</v>
      </c>
      <c r="D1423" s="6" t="s">
        <v>37</v>
      </c>
      <c r="E1423" s="6" t="s">
        <v>38</v>
      </c>
      <c r="F1423" s="7">
        <v>43505</v>
      </c>
      <c r="G1423" s="8">
        <f t="shared" si="22"/>
        <v>43505</v>
      </c>
      <c r="H1423" s="6" t="s">
        <v>39</v>
      </c>
      <c r="I1423" s="9">
        <f>MAX(original!I1423,piwebapi_edit!I1423,car_edit!I1423)</f>
        <v>18343.390761838498</v>
      </c>
      <c r="J1423" s="9">
        <f>MAX(original!J1423,piwebapi_edit!J1423,car_edit!J1423)</f>
        <v>244.57959184538001</v>
      </c>
      <c r="K1423" s="17"/>
    </row>
    <row r="1424" spans="1:11" x14ac:dyDescent="0.25">
      <c r="A1424" s="3" t="s">
        <v>2865</v>
      </c>
      <c r="B1424" s="4" t="s">
        <v>2866</v>
      </c>
      <c r="C1424" s="5">
        <v>255172</v>
      </c>
      <c r="D1424" s="6" t="s">
        <v>11</v>
      </c>
      <c r="E1424" s="6" t="s">
        <v>12</v>
      </c>
      <c r="F1424" s="7">
        <v>43508</v>
      </c>
      <c r="G1424" s="8">
        <f t="shared" si="22"/>
        <v>43508</v>
      </c>
      <c r="H1424" s="21" t="s">
        <v>13</v>
      </c>
      <c r="I1424" s="9">
        <f>MAX(original!I1424,piwebapi_edit!I1424,car_edit!I1424)</f>
        <v>9105.2259168442797</v>
      </c>
      <c r="J1424" s="9">
        <f>MAX(original!J1424,piwebapi_edit!J1424,car_edit!J1424)</f>
        <v>285.02264266419201</v>
      </c>
      <c r="K1424" s="17"/>
    </row>
    <row r="1425" spans="1:11" x14ac:dyDescent="0.25">
      <c r="A1425" s="3" t="s">
        <v>2867</v>
      </c>
      <c r="B1425" s="4" t="s">
        <v>2868</v>
      </c>
      <c r="C1425" s="5">
        <v>242004</v>
      </c>
      <c r="D1425" s="6" t="s">
        <v>28</v>
      </c>
      <c r="E1425" s="6" t="s">
        <v>17</v>
      </c>
      <c r="F1425" s="7">
        <v>43522</v>
      </c>
      <c r="G1425" s="8">
        <f t="shared" si="22"/>
        <v>43522</v>
      </c>
      <c r="H1425" s="6" t="s">
        <v>13</v>
      </c>
      <c r="I1425" s="9">
        <f>MAX(original!I1425,piwebapi_edit!I1425,car_edit!I1425)</f>
        <v>24730.318429168801</v>
      </c>
      <c r="J1425" s="9">
        <f>MAX(original!J1425,piwebapi_edit!J1425,car_edit!J1425)</f>
        <v>343.89846412748398</v>
      </c>
      <c r="K1425" s="17"/>
    </row>
    <row r="1426" spans="1:11" x14ac:dyDescent="0.25">
      <c r="A1426" s="3" t="s">
        <v>2869</v>
      </c>
      <c r="B1426" s="4" t="s">
        <v>2870</v>
      </c>
      <c r="C1426" s="14">
        <v>241044</v>
      </c>
      <c r="D1426" s="6" t="s">
        <v>31</v>
      </c>
      <c r="E1426" s="6" t="s">
        <v>17</v>
      </c>
      <c r="F1426" s="7">
        <v>43523</v>
      </c>
      <c r="G1426" s="8">
        <f t="shared" si="22"/>
        <v>43523</v>
      </c>
      <c r="H1426" s="6" t="s">
        <v>13</v>
      </c>
      <c r="I1426" s="9">
        <f>MAX(original!I1426,piwebapi_edit!I1426,car_edit!I1426)</f>
        <v>3675.99154648487</v>
      </c>
      <c r="J1426" s="9">
        <f>MAX(original!J1426,piwebapi_edit!J1426,car_edit!J1426)</f>
        <v>100.170561129666</v>
      </c>
      <c r="K1426" s="17"/>
    </row>
    <row r="1427" spans="1:11" x14ac:dyDescent="0.25">
      <c r="A1427" s="3" t="s">
        <v>2871</v>
      </c>
      <c r="B1427" s="4" t="s">
        <v>2872</v>
      </c>
      <c r="C1427" s="5">
        <v>239140</v>
      </c>
      <c r="D1427" s="6" t="s">
        <v>34</v>
      </c>
      <c r="E1427" s="6" t="s">
        <v>17</v>
      </c>
      <c r="F1427" s="7">
        <v>43524</v>
      </c>
      <c r="G1427" s="8">
        <f t="shared" si="22"/>
        <v>43524</v>
      </c>
      <c r="H1427" s="6" t="s">
        <v>13</v>
      </c>
      <c r="I1427" s="9">
        <f>MAX(original!I1427,piwebapi_edit!I1427,car_edit!I1427)</f>
        <v>18088.899176462099</v>
      </c>
      <c r="J1427" s="9">
        <f>MAX(original!J1427,piwebapi_edit!J1427,car_edit!J1427)</f>
        <v>170.361031772237</v>
      </c>
      <c r="K1427" s="17"/>
    </row>
    <row r="1428" spans="1:11" x14ac:dyDescent="0.25">
      <c r="A1428" s="3" t="s">
        <v>2873</v>
      </c>
      <c r="B1428" s="4" t="s">
        <v>2874</v>
      </c>
      <c r="C1428" s="5">
        <v>250708</v>
      </c>
      <c r="D1428" s="6" t="s">
        <v>34</v>
      </c>
      <c r="E1428" s="6" t="s">
        <v>17</v>
      </c>
      <c r="F1428" s="7">
        <v>43537</v>
      </c>
      <c r="G1428" s="8">
        <f t="shared" si="22"/>
        <v>43537</v>
      </c>
      <c r="H1428" s="6" t="s">
        <v>13</v>
      </c>
      <c r="I1428" s="9">
        <f>MAX(original!I1428,piwebapi_edit!I1428,car_edit!I1428)</f>
        <v>11263.955648552401</v>
      </c>
      <c r="J1428" s="9">
        <f>MAX(original!J1428,piwebapi_edit!J1428,car_edit!J1428)</f>
        <v>167.89662454173501</v>
      </c>
      <c r="K1428" s="17"/>
    </row>
    <row r="1429" spans="1:11" x14ac:dyDescent="0.25">
      <c r="A1429" s="3" t="s">
        <v>2875</v>
      </c>
      <c r="B1429" s="4" t="s">
        <v>2876</v>
      </c>
      <c r="C1429" s="5">
        <v>236565</v>
      </c>
      <c r="D1429" s="6" t="s">
        <v>16</v>
      </c>
      <c r="E1429" s="6" t="s">
        <v>17</v>
      </c>
      <c r="F1429" s="7">
        <v>43572</v>
      </c>
      <c r="G1429" s="8">
        <f t="shared" si="22"/>
        <v>43572</v>
      </c>
      <c r="H1429" s="6" t="s">
        <v>13</v>
      </c>
      <c r="I1429" s="9">
        <f>MAX(original!I1429,piwebapi_edit!I1429,car_edit!I1429)</f>
        <v>5449.5877728659498</v>
      </c>
      <c r="J1429" s="9">
        <f>MAX(original!J1429,piwebapi_edit!J1429,car_edit!J1429)</f>
        <v>61.8646013727613</v>
      </c>
      <c r="K1429" s="17"/>
    </row>
    <row r="1430" spans="1:11" x14ac:dyDescent="0.25">
      <c r="A1430" s="3" t="s">
        <v>2877</v>
      </c>
      <c r="B1430" s="4" t="s">
        <v>2878</v>
      </c>
      <c r="C1430" s="5">
        <v>230740</v>
      </c>
      <c r="D1430" s="6" t="s">
        <v>11</v>
      </c>
      <c r="E1430" s="6" t="s">
        <v>12</v>
      </c>
      <c r="F1430" s="7">
        <v>43178</v>
      </c>
      <c r="G1430" s="8">
        <f t="shared" si="22"/>
        <v>43178</v>
      </c>
      <c r="H1430" s="21" t="s">
        <v>39</v>
      </c>
      <c r="I1430" s="9">
        <f>MAX(original!I1430,piwebapi_edit!I1430,car_edit!I1430)</f>
        <v>15742.728921793701</v>
      </c>
      <c r="J1430" s="9">
        <f>MAX(original!J1430,piwebapi_edit!J1430,car_edit!J1430)</f>
        <v>122.854319492904</v>
      </c>
      <c r="K1430" s="17"/>
    </row>
    <row r="1431" spans="1:11" x14ac:dyDescent="0.25">
      <c r="A1431" s="3" t="s">
        <v>2879</v>
      </c>
      <c r="B1431" s="4" t="s">
        <v>2880</v>
      </c>
      <c r="C1431" s="14">
        <v>243285</v>
      </c>
      <c r="D1431" s="6" t="s">
        <v>34</v>
      </c>
      <c r="E1431" s="6" t="s">
        <v>17</v>
      </c>
      <c r="F1431" s="7">
        <v>43545</v>
      </c>
      <c r="G1431" s="8">
        <f t="shared" si="22"/>
        <v>43545</v>
      </c>
      <c r="H1431" s="6" t="s">
        <v>13</v>
      </c>
      <c r="I1431" s="9">
        <f>MAX(original!I1431,piwebapi_edit!I1431,car_edit!I1431)</f>
        <v>58543.427907075704</v>
      </c>
      <c r="J1431" s="9">
        <f>MAX(original!J1431,piwebapi_edit!J1431,car_edit!J1431)</f>
        <v>573.88626781357902</v>
      </c>
      <c r="K1431" s="17"/>
    </row>
    <row r="1432" spans="1:11" x14ac:dyDescent="0.25">
      <c r="A1432" s="3" t="s">
        <v>2881</v>
      </c>
      <c r="B1432" s="4" t="s">
        <v>2882</v>
      </c>
      <c r="C1432" s="5">
        <v>243284</v>
      </c>
      <c r="D1432" s="6" t="s">
        <v>34</v>
      </c>
      <c r="E1432" s="6" t="s">
        <v>17</v>
      </c>
      <c r="F1432" s="7">
        <v>43545</v>
      </c>
      <c r="G1432" s="8">
        <f t="shared" si="22"/>
        <v>43545</v>
      </c>
      <c r="H1432" s="6" t="s">
        <v>13</v>
      </c>
      <c r="I1432" s="9">
        <f>MAX(original!I1432,piwebapi_edit!I1432,car_edit!I1432)</f>
        <v>46018.110099250895</v>
      </c>
      <c r="J1432" s="9">
        <f>MAX(original!J1432,piwebapi_edit!J1432,car_edit!J1432)</f>
        <v>344.67003367186101</v>
      </c>
      <c r="K1432" s="17"/>
    </row>
    <row r="1433" spans="1:11" x14ac:dyDescent="0.25">
      <c r="A1433" s="3" t="s">
        <v>2883</v>
      </c>
      <c r="B1433" s="4" t="s">
        <v>2884</v>
      </c>
      <c r="C1433" s="5">
        <v>261252</v>
      </c>
      <c r="D1433" s="6" t="s">
        <v>28</v>
      </c>
      <c r="E1433" s="6" t="s">
        <v>17</v>
      </c>
      <c r="F1433" s="7">
        <v>43558</v>
      </c>
      <c r="G1433" s="8">
        <f t="shared" si="22"/>
        <v>43558</v>
      </c>
      <c r="H1433" s="6" t="s">
        <v>13</v>
      </c>
      <c r="I1433" s="9">
        <f>MAX(original!I1433,piwebapi_edit!I1433,car_edit!I1433)</f>
        <v>4862.6068079384404</v>
      </c>
      <c r="J1433" s="9">
        <f>MAX(original!J1433,piwebapi_edit!J1433,car_edit!J1433)</f>
        <v>530.23029198621805</v>
      </c>
      <c r="K1433" s="17"/>
    </row>
    <row r="1434" spans="1:11" x14ac:dyDescent="0.25">
      <c r="A1434" s="3" t="s">
        <v>2885</v>
      </c>
      <c r="B1434" s="4" t="s">
        <v>2886</v>
      </c>
      <c r="C1434" s="14">
        <v>242967</v>
      </c>
      <c r="D1434" s="6" t="s">
        <v>16</v>
      </c>
      <c r="E1434" s="6" t="s">
        <v>17</v>
      </c>
      <c r="F1434" s="7">
        <v>43558</v>
      </c>
      <c r="G1434" s="8">
        <f t="shared" si="22"/>
        <v>43558</v>
      </c>
      <c r="H1434" s="6" t="s">
        <v>13</v>
      </c>
      <c r="I1434" s="9">
        <f>MAX(original!I1434,piwebapi_edit!I1434,car_edit!I1434)</f>
        <v>31044.058774563702</v>
      </c>
      <c r="J1434" s="9">
        <f>MAX(original!J1434,piwebapi_edit!J1434,car_edit!J1434)</f>
        <v>247.89464246809101</v>
      </c>
      <c r="K1434" s="17"/>
    </row>
    <row r="1435" spans="1:11" x14ac:dyDescent="0.25">
      <c r="A1435" s="3" t="s">
        <v>2887</v>
      </c>
      <c r="B1435" s="4" t="s">
        <v>2888</v>
      </c>
      <c r="C1435" s="14">
        <v>235924</v>
      </c>
      <c r="D1435" s="6" t="s">
        <v>11</v>
      </c>
      <c r="E1435" s="6" t="s">
        <v>12</v>
      </c>
      <c r="F1435" s="7">
        <v>43425</v>
      </c>
      <c r="G1435" s="8">
        <f t="shared" si="22"/>
        <v>43425</v>
      </c>
      <c r="H1435" s="6" t="s">
        <v>13</v>
      </c>
      <c r="I1435" s="9">
        <f>MAX(original!I1435,piwebapi_edit!I1435,car_edit!I1435)</f>
        <v>10760.719259626001</v>
      </c>
      <c r="J1435" s="9">
        <f>MAX(original!J1435,piwebapi_edit!J1435,car_edit!J1435)</f>
        <v>428.15735748570899</v>
      </c>
      <c r="K1435" s="40"/>
    </row>
    <row r="1436" spans="1:11" x14ac:dyDescent="0.25">
      <c r="A1436" s="3" t="s">
        <v>2889</v>
      </c>
      <c r="B1436" s="4" t="s">
        <v>2890</v>
      </c>
      <c r="C1436" s="5">
        <v>246804</v>
      </c>
      <c r="D1436" s="6" t="s">
        <v>11</v>
      </c>
      <c r="E1436" s="6" t="s">
        <v>12</v>
      </c>
      <c r="F1436" s="7">
        <v>43567</v>
      </c>
      <c r="G1436" s="8">
        <f t="shared" si="22"/>
        <v>43567</v>
      </c>
      <c r="H1436" s="6" t="s">
        <v>13</v>
      </c>
      <c r="I1436" s="9">
        <f>MAX(original!I1436,piwebapi_edit!I1436,car_edit!I1436)</f>
        <v>12862.834633586299</v>
      </c>
      <c r="J1436" s="9">
        <f>MAX(original!J1436,piwebapi_edit!J1436,car_edit!J1436)</f>
        <v>107.440109972004</v>
      </c>
      <c r="K1436" s="40"/>
    </row>
    <row r="1437" spans="1:11" x14ac:dyDescent="0.25">
      <c r="A1437" s="3" t="s">
        <v>2891</v>
      </c>
      <c r="B1437" s="4" t="s">
        <v>2892</v>
      </c>
      <c r="C1437" s="14">
        <v>244564</v>
      </c>
      <c r="D1437" s="6" t="s">
        <v>28</v>
      </c>
      <c r="E1437" s="6" t="s">
        <v>17</v>
      </c>
      <c r="F1437" s="7">
        <v>43572</v>
      </c>
      <c r="G1437" s="8">
        <f t="shared" si="22"/>
        <v>43572</v>
      </c>
      <c r="H1437" s="6" t="s">
        <v>13</v>
      </c>
      <c r="I1437" s="9">
        <f>MAX(original!I1437,piwebapi_edit!I1437,car_edit!I1437)</f>
        <v>95310.124178750208</v>
      </c>
      <c r="J1437" s="9">
        <f>MAX(original!J1437,piwebapi_edit!J1437,car_edit!J1437)</f>
        <v>804.13772565496095</v>
      </c>
      <c r="K1437" s="40"/>
    </row>
    <row r="1438" spans="1:11" x14ac:dyDescent="0.25">
      <c r="A1438" s="3" t="s">
        <v>2893</v>
      </c>
      <c r="B1438" s="4" t="s">
        <v>2894</v>
      </c>
      <c r="C1438" s="5">
        <v>246196</v>
      </c>
      <c r="D1438" s="6" t="s">
        <v>11</v>
      </c>
      <c r="E1438" s="6" t="s">
        <v>12</v>
      </c>
      <c r="F1438" s="7">
        <v>43577</v>
      </c>
      <c r="G1438" s="8">
        <f t="shared" si="22"/>
        <v>43577</v>
      </c>
      <c r="H1438" s="6" t="s">
        <v>39</v>
      </c>
      <c r="I1438" s="9">
        <f>MAX(original!I1438,piwebapi_edit!I1438,car_edit!I1438)</f>
        <v>21649.3511034892</v>
      </c>
      <c r="J1438" s="9">
        <f>MAX(original!J1438,piwebapi_edit!J1438,car_edit!J1438)</f>
        <v>163.04891283879601</v>
      </c>
      <c r="K1438" s="40"/>
    </row>
    <row r="1439" spans="1:11" x14ac:dyDescent="0.25">
      <c r="A1439" s="3" t="s">
        <v>2895</v>
      </c>
      <c r="B1439" s="4" t="s">
        <v>2896</v>
      </c>
      <c r="C1439" s="50">
        <v>253252</v>
      </c>
      <c r="D1439" s="6" t="s">
        <v>16</v>
      </c>
      <c r="E1439" s="6" t="s">
        <v>17</v>
      </c>
      <c r="F1439" s="7">
        <v>43577</v>
      </c>
      <c r="G1439" s="8">
        <f t="shared" si="22"/>
        <v>43577</v>
      </c>
      <c r="H1439" s="6" t="s">
        <v>13</v>
      </c>
      <c r="I1439" s="9">
        <f>MAX(original!I1439,piwebapi_edit!I1439,car_edit!I1439)</f>
        <v>5288.2938559859103</v>
      </c>
      <c r="J1439" s="9">
        <f>MAX(original!J1439,piwebapi_edit!J1439,car_edit!J1439)</f>
        <v>153.33069129133699</v>
      </c>
      <c r="K1439" s="40"/>
    </row>
    <row r="1440" spans="1:11" x14ac:dyDescent="0.25">
      <c r="A1440" s="3" t="s">
        <v>2897</v>
      </c>
      <c r="B1440" s="4" t="s">
        <v>2898</v>
      </c>
      <c r="C1440" s="5">
        <v>247124</v>
      </c>
      <c r="D1440" s="6" t="s">
        <v>31</v>
      </c>
      <c r="E1440" s="6" t="s">
        <v>17</v>
      </c>
      <c r="F1440" s="7">
        <v>43585</v>
      </c>
      <c r="G1440" s="8">
        <f t="shared" si="22"/>
        <v>43585</v>
      </c>
      <c r="H1440" s="6" t="s">
        <v>13</v>
      </c>
      <c r="I1440" s="9">
        <f>MAX(original!I1440,piwebapi_edit!I1440,car_edit!I1440)</f>
        <v>5377.8186759597402</v>
      </c>
      <c r="J1440" s="9">
        <f>MAX(original!J1440,piwebapi_edit!J1440,car_edit!J1440)</f>
        <v>191.97520819962901</v>
      </c>
      <c r="K1440" s="40"/>
    </row>
    <row r="1441" spans="1:11" x14ac:dyDescent="0.25">
      <c r="A1441" s="3" t="s">
        <v>2899</v>
      </c>
      <c r="B1441" s="4" t="s">
        <v>2900</v>
      </c>
      <c r="C1441" s="50">
        <v>252293</v>
      </c>
      <c r="D1441" s="6" t="s">
        <v>11</v>
      </c>
      <c r="E1441" s="6" t="s">
        <v>12</v>
      </c>
      <c r="F1441" s="7">
        <v>43597</v>
      </c>
      <c r="G1441" s="8">
        <f t="shared" si="22"/>
        <v>43597</v>
      </c>
      <c r="H1441" s="6" t="s">
        <v>13</v>
      </c>
      <c r="I1441" s="9">
        <f>MAX(original!I1441,piwebapi_edit!I1441,car_edit!I1441)</f>
        <v>17704.6052635005</v>
      </c>
      <c r="J1441" s="9">
        <f>MAX(original!J1441,piwebapi_edit!J1441,car_edit!J1441)</f>
        <v>84.645490711117205</v>
      </c>
      <c r="K1441" s="40"/>
    </row>
    <row r="1442" spans="1:11" x14ac:dyDescent="0.25">
      <c r="A1442" s="3" t="s">
        <v>2901</v>
      </c>
      <c r="B1442" s="4" t="s">
        <v>2902</v>
      </c>
      <c r="C1442" s="14">
        <v>249109</v>
      </c>
      <c r="D1442" s="6" t="s">
        <v>28</v>
      </c>
      <c r="E1442" s="6" t="s">
        <v>17</v>
      </c>
      <c r="F1442" s="7">
        <v>43602</v>
      </c>
      <c r="G1442" s="8">
        <f t="shared" si="22"/>
        <v>43602</v>
      </c>
      <c r="H1442" s="6" t="s">
        <v>13</v>
      </c>
      <c r="I1442" s="9">
        <f>MAX(original!I1442,piwebapi_edit!I1442,car_edit!I1442)</f>
        <v>58561.714786664299</v>
      </c>
      <c r="J1442" s="9">
        <f>MAX(original!J1442,piwebapi_edit!J1442,car_edit!J1442)</f>
        <v>525.430161005998</v>
      </c>
      <c r="K1442" s="11"/>
    </row>
    <row r="1443" spans="1:11" x14ac:dyDescent="0.25">
      <c r="A1443" s="3" t="s">
        <v>2903</v>
      </c>
      <c r="B1443" s="4" t="s">
        <v>2904</v>
      </c>
      <c r="C1443" s="5">
        <v>248452</v>
      </c>
      <c r="D1443" s="6" t="s">
        <v>16</v>
      </c>
      <c r="E1443" s="6" t="s">
        <v>17</v>
      </c>
      <c r="F1443" s="7">
        <v>43602</v>
      </c>
      <c r="G1443" s="8">
        <f t="shared" si="22"/>
        <v>43602</v>
      </c>
      <c r="H1443" s="6" t="s">
        <v>13</v>
      </c>
      <c r="I1443" s="9">
        <f>MAX(original!I1443,piwebapi_edit!I1443,car_edit!I1443)</f>
        <v>37738.846343093297</v>
      </c>
      <c r="J1443" s="9">
        <f>MAX(original!J1443,piwebapi_edit!J1443,car_edit!J1443)</f>
        <v>406.64625829048902</v>
      </c>
      <c r="K1443" s="11"/>
    </row>
    <row r="1444" spans="1:11" x14ac:dyDescent="0.25">
      <c r="A1444" s="3" t="s">
        <v>2905</v>
      </c>
      <c r="B1444" s="4" t="s">
        <v>2906</v>
      </c>
      <c r="C1444" s="5">
        <v>250692</v>
      </c>
      <c r="D1444" s="6" t="s">
        <v>16</v>
      </c>
      <c r="E1444" s="6" t="s">
        <v>17</v>
      </c>
      <c r="F1444" s="7">
        <v>43602</v>
      </c>
      <c r="G1444" s="8">
        <f t="shared" si="22"/>
        <v>43602</v>
      </c>
      <c r="H1444" s="6" t="s">
        <v>13</v>
      </c>
      <c r="I1444" s="9">
        <f>MAX(original!I1444,piwebapi_edit!I1444,car_edit!I1444)</f>
        <v>2449.93854887827</v>
      </c>
      <c r="J1444" s="9">
        <f>MAX(original!J1444,piwebapi_edit!J1444,car_edit!J1444)</f>
        <v>233.72728280865601</v>
      </c>
      <c r="K1444" s="11"/>
    </row>
    <row r="1445" spans="1:11" x14ac:dyDescent="0.25">
      <c r="A1445" s="3" t="s">
        <v>2907</v>
      </c>
      <c r="B1445" s="4" t="s">
        <v>2908</v>
      </c>
      <c r="C1445" s="5">
        <v>254903</v>
      </c>
      <c r="D1445" s="16" t="s">
        <v>31</v>
      </c>
      <c r="E1445" s="16" t="s">
        <v>17</v>
      </c>
      <c r="F1445" s="15">
        <v>43609</v>
      </c>
      <c r="G1445" s="8">
        <f t="shared" si="22"/>
        <v>43609</v>
      </c>
      <c r="H1445" s="16" t="s">
        <v>13</v>
      </c>
      <c r="I1445" s="9">
        <f>MAX(original!I1445,piwebapi_edit!I1445,car_edit!I1445)</f>
        <v>11466.0382382431</v>
      </c>
      <c r="J1445" s="9">
        <f>MAX(original!J1445,piwebapi_edit!J1445,car_edit!J1445)</f>
        <v>173.875662190806</v>
      </c>
      <c r="K1445" s="17"/>
    </row>
    <row r="1446" spans="1:11" x14ac:dyDescent="0.25">
      <c r="A1446" s="3" t="s">
        <v>2909</v>
      </c>
      <c r="B1446" s="4" t="s">
        <v>2910</v>
      </c>
      <c r="C1446" s="5">
        <v>259653</v>
      </c>
      <c r="D1446" s="16" t="s">
        <v>37</v>
      </c>
      <c r="E1446" s="16" t="s">
        <v>38</v>
      </c>
      <c r="F1446" s="15">
        <v>43621</v>
      </c>
      <c r="G1446" s="8">
        <f t="shared" si="22"/>
        <v>43621</v>
      </c>
      <c r="H1446" s="16" t="s">
        <v>39</v>
      </c>
      <c r="I1446" s="9">
        <f>MAX(original!I1446,piwebapi_edit!I1446,car_edit!I1446)</f>
        <v>23470.352239882199</v>
      </c>
      <c r="J1446" s="9">
        <f>MAX(original!J1446,piwebapi_edit!J1446,car_edit!J1446)</f>
        <v>256.75138006601298</v>
      </c>
      <c r="K1446" s="17"/>
    </row>
    <row r="1447" spans="1:11" x14ac:dyDescent="0.25">
      <c r="A1447" s="3" t="s">
        <v>2911</v>
      </c>
      <c r="B1447" s="4" t="s">
        <v>2912</v>
      </c>
      <c r="C1447" s="14">
        <v>247494</v>
      </c>
      <c r="D1447" s="16" t="s">
        <v>11</v>
      </c>
      <c r="E1447" s="16" t="s">
        <v>12</v>
      </c>
      <c r="F1447" s="15">
        <v>43635</v>
      </c>
      <c r="G1447" s="8">
        <f t="shared" si="22"/>
        <v>43635</v>
      </c>
      <c r="H1447" s="16" t="s">
        <v>13</v>
      </c>
      <c r="I1447" s="9">
        <f>MAX(original!I1447,piwebapi_edit!I1447,car_edit!I1447)</f>
        <v>73653.814138089409</v>
      </c>
      <c r="J1447" s="9">
        <f>MAX(original!J1447,piwebapi_edit!J1447,car_edit!J1447)</f>
        <v>599.42611946893203</v>
      </c>
      <c r="K1447" s="17"/>
    </row>
    <row r="1448" spans="1:11" x14ac:dyDescent="0.25">
      <c r="A1448" s="3" t="s">
        <v>2913</v>
      </c>
      <c r="B1448" s="4" t="s">
        <v>2914</v>
      </c>
      <c r="C1448" s="14">
        <v>248132</v>
      </c>
      <c r="D1448" s="16" t="s">
        <v>11</v>
      </c>
      <c r="E1448" s="16" t="s">
        <v>12</v>
      </c>
      <c r="F1448" s="15">
        <v>43631</v>
      </c>
      <c r="G1448" s="8">
        <f t="shared" si="22"/>
        <v>43631</v>
      </c>
      <c r="H1448" s="16" t="s">
        <v>13</v>
      </c>
      <c r="I1448" s="9">
        <f>MAX(original!I1448,piwebapi_edit!I1448,car_edit!I1448)</f>
        <v>16261.273237871801</v>
      </c>
      <c r="J1448" s="9">
        <f>MAX(original!J1448,piwebapi_edit!J1448,car_edit!J1448)</f>
        <v>148.801528022762</v>
      </c>
      <c r="K1448" s="17"/>
    </row>
    <row r="1449" spans="1:11" x14ac:dyDescent="0.25">
      <c r="A1449" s="3" t="s">
        <v>2915</v>
      </c>
      <c r="B1449" s="4" t="s">
        <v>2916</v>
      </c>
      <c r="C1449" s="5">
        <v>252308</v>
      </c>
      <c r="D1449" s="16" t="s">
        <v>37</v>
      </c>
      <c r="E1449" s="16" t="s">
        <v>38</v>
      </c>
      <c r="F1449" s="15">
        <v>43662</v>
      </c>
      <c r="G1449" s="8">
        <f t="shared" si="22"/>
        <v>43662</v>
      </c>
      <c r="H1449" s="16" t="s">
        <v>39</v>
      </c>
      <c r="I1449" s="9">
        <f>MAX(original!I1449,piwebapi_edit!I1449,car_edit!I1449)</f>
        <v>5946.5030525366401</v>
      </c>
      <c r="J1449" s="9">
        <f>MAX(original!J1449,piwebapi_edit!J1449,car_edit!J1449)</f>
        <v>82.667570668489901</v>
      </c>
      <c r="K1449" s="17"/>
    </row>
    <row r="1450" spans="1:11" x14ac:dyDescent="0.25">
      <c r="A1450" s="3" t="s">
        <v>2917</v>
      </c>
      <c r="B1450" s="4" t="s">
        <v>2918</v>
      </c>
      <c r="C1450" s="14">
        <v>253588</v>
      </c>
      <c r="D1450" s="16" t="s">
        <v>11</v>
      </c>
      <c r="E1450" s="16" t="s">
        <v>12</v>
      </c>
      <c r="F1450" s="15">
        <v>43662</v>
      </c>
      <c r="G1450" s="8">
        <f t="shared" si="22"/>
        <v>43662</v>
      </c>
      <c r="H1450" s="16" t="s">
        <v>39</v>
      </c>
      <c r="I1450" s="9">
        <f>MAX(original!I1450,piwebapi_edit!I1450,car_edit!I1450)</f>
        <v>65090.232634951804</v>
      </c>
      <c r="J1450" s="9">
        <f>MAX(original!J1450,piwebapi_edit!J1450,car_edit!J1450)</f>
        <v>368.16833548884102</v>
      </c>
      <c r="K1450" s="17"/>
    </row>
    <row r="1451" spans="1:11" x14ac:dyDescent="0.25">
      <c r="A1451" s="3" t="s">
        <v>2919</v>
      </c>
      <c r="B1451" s="4" t="s">
        <v>2920</v>
      </c>
      <c r="C1451" s="5">
        <v>254532</v>
      </c>
      <c r="D1451" s="16" t="s">
        <v>28</v>
      </c>
      <c r="E1451" s="16" t="s">
        <v>17</v>
      </c>
      <c r="F1451" s="15">
        <v>43672</v>
      </c>
      <c r="G1451" s="8">
        <f t="shared" si="22"/>
        <v>43672</v>
      </c>
      <c r="H1451" s="16" t="s">
        <v>13</v>
      </c>
      <c r="I1451" s="9">
        <f>MAX(original!I1451,piwebapi_edit!I1451,car_edit!I1451)</f>
        <v>5795.0375009020399</v>
      </c>
      <c r="J1451" s="9">
        <f>MAX(original!J1451,piwebapi_edit!J1451,car_edit!J1451)</f>
        <v>103.872188536385</v>
      </c>
      <c r="K1451" s="17"/>
    </row>
    <row r="1452" spans="1:11" x14ac:dyDescent="0.25">
      <c r="A1452" s="3" t="s">
        <v>2921</v>
      </c>
      <c r="B1452" s="4" t="s">
        <v>2922</v>
      </c>
      <c r="C1452" s="14">
        <v>251332</v>
      </c>
      <c r="D1452" s="16" t="s">
        <v>28</v>
      </c>
      <c r="E1452" s="16" t="s">
        <v>17</v>
      </c>
      <c r="F1452" s="15">
        <v>43672</v>
      </c>
      <c r="G1452" s="8">
        <f t="shared" si="22"/>
        <v>43672</v>
      </c>
      <c r="H1452" s="16" t="s">
        <v>13</v>
      </c>
      <c r="I1452" s="9">
        <f>MAX(original!I1452,piwebapi_edit!I1452,car_edit!I1452)</f>
        <v>100159.727019664</v>
      </c>
      <c r="J1452" s="9">
        <f>MAX(original!J1452,piwebapi_edit!J1452,car_edit!J1452)</f>
        <v>862.27551912650802</v>
      </c>
      <c r="K1452" s="17"/>
    </row>
    <row r="1453" spans="1:11" x14ac:dyDescent="0.25">
      <c r="A1453" s="3" t="s">
        <v>2923</v>
      </c>
      <c r="B1453" s="4" t="s">
        <v>2924</v>
      </c>
      <c r="C1453" s="14">
        <v>261253</v>
      </c>
      <c r="D1453" s="16" t="s">
        <v>28</v>
      </c>
      <c r="E1453" s="16" t="s">
        <v>17</v>
      </c>
      <c r="F1453" s="15">
        <v>43698</v>
      </c>
      <c r="G1453" s="8">
        <f t="shared" si="22"/>
        <v>43698</v>
      </c>
      <c r="H1453" s="16" t="s">
        <v>13</v>
      </c>
      <c r="I1453" s="9">
        <f>MAX(original!I1453,piwebapi_edit!I1453,car_edit!I1453)</f>
        <v>9026.7858331205898</v>
      </c>
      <c r="J1453" s="9">
        <f>MAX(original!J1453,piwebapi_edit!J1453,car_edit!J1453)</f>
        <v>120.146290022248</v>
      </c>
      <c r="K1453" s="17"/>
    </row>
    <row r="1454" spans="1:11" x14ac:dyDescent="0.25">
      <c r="A1454" s="3" t="s">
        <v>2925</v>
      </c>
      <c r="B1454" s="4" t="s">
        <v>2926</v>
      </c>
      <c r="C1454" s="14">
        <v>257108</v>
      </c>
      <c r="D1454" s="16" t="s">
        <v>37</v>
      </c>
      <c r="E1454" s="16" t="s">
        <v>38</v>
      </c>
      <c r="F1454" s="15">
        <v>43718</v>
      </c>
      <c r="G1454" s="8">
        <f t="shared" si="22"/>
        <v>43718</v>
      </c>
      <c r="H1454" s="16" t="s">
        <v>39</v>
      </c>
      <c r="I1454" s="9">
        <f>MAX(original!I1454,piwebapi_edit!I1454,car_edit!I1454)</f>
        <v>9333.4149494540707</v>
      </c>
      <c r="J1454" s="9">
        <f>MAX(original!J1454,piwebapi_edit!J1454,car_edit!J1454)</f>
        <v>490.30867513872698</v>
      </c>
      <c r="K1454" s="17"/>
    </row>
    <row r="1455" spans="1:11" x14ac:dyDescent="0.25">
      <c r="A1455" s="3" t="s">
        <v>2927</v>
      </c>
      <c r="B1455" s="4" t="s">
        <v>2928</v>
      </c>
      <c r="C1455" s="5">
        <v>252932</v>
      </c>
      <c r="D1455" s="16" t="s">
        <v>34</v>
      </c>
      <c r="E1455" s="16" t="s">
        <v>17</v>
      </c>
      <c r="F1455" s="15">
        <v>43718</v>
      </c>
      <c r="G1455" s="8">
        <f t="shared" si="22"/>
        <v>43718</v>
      </c>
      <c r="H1455" s="16" t="s">
        <v>13</v>
      </c>
      <c r="I1455" s="9">
        <f>MAX(original!I1455,piwebapi_edit!I1455,car_edit!I1455)</f>
        <v>8626.3560536903988</v>
      </c>
      <c r="J1455" s="9">
        <f>MAX(original!J1455,piwebapi_edit!J1455,car_edit!J1455)</f>
        <v>152.26142148806301</v>
      </c>
      <c r="K1455" s="17"/>
    </row>
    <row r="1456" spans="1:11" x14ac:dyDescent="0.25">
      <c r="A1456" s="3" t="s">
        <v>2929</v>
      </c>
      <c r="B1456" s="4" t="s">
        <v>2930</v>
      </c>
      <c r="C1456" s="5">
        <v>253892</v>
      </c>
      <c r="D1456" s="16" t="s">
        <v>34</v>
      </c>
      <c r="E1456" s="16" t="s">
        <v>17</v>
      </c>
      <c r="F1456" s="15">
        <v>43718</v>
      </c>
      <c r="G1456" s="8">
        <f t="shared" si="22"/>
        <v>43718</v>
      </c>
      <c r="H1456" s="16" t="s">
        <v>13</v>
      </c>
      <c r="I1456" s="9">
        <f>MAX(original!I1456,piwebapi_edit!I1456,car_edit!I1456)</f>
        <v>11433.4966621041</v>
      </c>
      <c r="J1456" s="9">
        <f>MAX(original!J1456,piwebapi_edit!J1456,car_edit!J1456)</f>
        <v>103.85166127386</v>
      </c>
      <c r="K1456" s="17"/>
    </row>
    <row r="1457" spans="1:11" x14ac:dyDescent="0.25">
      <c r="A1457" s="3" t="s">
        <v>2931</v>
      </c>
      <c r="B1457" s="4" t="s">
        <v>2932</v>
      </c>
      <c r="C1457" s="14">
        <v>258052</v>
      </c>
      <c r="D1457" s="16" t="s">
        <v>16</v>
      </c>
      <c r="E1457" s="16" t="s">
        <v>17</v>
      </c>
      <c r="F1457" s="15">
        <v>43724</v>
      </c>
      <c r="G1457" s="8">
        <f t="shared" si="22"/>
        <v>43724</v>
      </c>
      <c r="H1457" s="16" t="s">
        <v>13</v>
      </c>
      <c r="I1457" s="9">
        <f>MAX(original!I1457,piwebapi_edit!I1457,car_edit!I1457)</f>
        <v>154736.44138057798</v>
      </c>
      <c r="J1457" s="9">
        <f>MAX(original!J1457,piwebapi_edit!J1457,car_edit!J1457)</f>
        <v>732.49546156211397</v>
      </c>
      <c r="K1457" s="17"/>
    </row>
    <row r="1458" spans="1:11" x14ac:dyDescent="0.25">
      <c r="A1458" s="3" t="s">
        <v>2933</v>
      </c>
      <c r="B1458" s="4" t="s">
        <v>2934</v>
      </c>
      <c r="C1458" s="5">
        <v>1875</v>
      </c>
      <c r="D1458" s="16" t="s">
        <v>34</v>
      </c>
      <c r="E1458" s="16" t="s">
        <v>17</v>
      </c>
      <c r="F1458" s="15">
        <v>43800</v>
      </c>
      <c r="G1458" s="8">
        <f t="shared" si="22"/>
        <v>43800</v>
      </c>
      <c r="H1458" s="16" t="s">
        <v>13</v>
      </c>
      <c r="I1458" s="9">
        <f>MAX(original!I1458,piwebapi_edit!I1458,car_edit!I1458)</f>
        <v>43274.041293194801</v>
      </c>
      <c r="J1458" s="9">
        <f>MAX(original!J1458,piwebapi_edit!J1458,car_edit!J1458)</f>
        <v>1176.17855650406</v>
      </c>
      <c r="K1458" s="17"/>
    </row>
    <row r="1459" spans="1:11" x14ac:dyDescent="0.25">
      <c r="A1459" s="3" t="s">
        <v>2935</v>
      </c>
      <c r="B1459" s="4" t="s">
        <v>2936</v>
      </c>
      <c r="C1459" s="5">
        <v>264452</v>
      </c>
      <c r="D1459" s="16" t="s">
        <v>37</v>
      </c>
      <c r="E1459" s="16" t="s">
        <v>38</v>
      </c>
      <c r="F1459" s="15">
        <v>43771</v>
      </c>
      <c r="G1459" s="8">
        <f t="shared" si="22"/>
        <v>43771</v>
      </c>
      <c r="H1459" s="16" t="s">
        <v>39</v>
      </c>
      <c r="I1459" s="9">
        <f>MAX(original!I1459,piwebapi_edit!I1459,car_edit!I1459)</f>
        <v>0</v>
      </c>
      <c r="J1459" s="9">
        <f>MAX(original!J1459,piwebapi_edit!J1459,car_edit!J1459)</f>
        <v>0</v>
      </c>
      <c r="K1459" s="17"/>
    </row>
    <row r="1460" spans="1:11" x14ac:dyDescent="0.25">
      <c r="A1460" s="3" t="s">
        <v>2937</v>
      </c>
      <c r="B1460" s="4" t="s">
        <v>2938</v>
      </c>
      <c r="C1460" s="5">
        <v>268004</v>
      </c>
      <c r="D1460" s="16" t="s">
        <v>16</v>
      </c>
      <c r="E1460" s="16" t="s">
        <v>17</v>
      </c>
      <c r="F1460" s="15">
        <v>43772</v>
      </c>
      <c r="G1460" s="8">
        <f t="shared" si="22"/>
        <v>43772</v>
      </c>
      <c r="H1460" s="16" t="s">
        <v>13</v>
      </c>
      <c r="I1460" s="9">
        <f>MAX(original!I1460,piwebapi_edit!I1460,car_edit!I1460)</f>
        <v>19659.586239226002</v>
      </c>
      <c r="J1460" s="9">
        <f>MAX(original!J1460,piwebapi_edit!J1460,car_edit!J1460)</f>
        <v>177.896984657296</v>
      </c>
      <c r="K1460" s="17"/>
    </row>
    <row r="1461" spans="1:11" x14ac:dyDescent="0.25">
      <c r="A1461" s="3" t="s">
        <v>2939</v>
      </c>
      <c r="B1461" s="4" t="s">
        <v>2940</v>
      </c>
      <c r="C1461" s="5">
        <v>262548</v>
      </c>
      <c r="D1461" s="16" t="s">
        <v>34</v>
      </c>
      <c r="E1461" s="16" t="s">
        <v>17</v>
      </c>
      <c r="F1461" s="15">
        <v>43773</v>
      </c>
      <c r="G1461" s="8">
        <f t="shared" si="22"/>
        <v>43773</v>
      </c>
      <c r="H1461" s="16" t="s">
        <v>13</v>
      </c>
      <c r="I1461" s="9">
        <f>MAX(original!I1461,piwebapi_edit!I1461,car_edit!I1461)</f>
        <v>21138.695210006499</v>
      </c>
      <c r="J1461" s="9">
        <f>MAX(original!J1461,piwebapi_edit!J1461,car_edit!J1461)</f>
        <v>202.044085934695</v>
      </c>
      <c r="K1461" s="17"/>
    </row>
    <row r="1462" spans="1:11" x14ac:dyDescent="0.25">
      <c r="A1462" s="3" t="s">
        <v>2941</v>
      </c>
      <c r="B1462" s="4" t="s">
        <v>2942</v>
      </c>
      <c r="C1462" s="14">
        <v>257140</v>
      </c>
      <c r="D1462" s="16" t="s">
        <v>37</v>
      </c>
      <c r="E1462" s="16" t="s">
        <v>38</v>
      </c>
      <c r="F1462" s="15">
        <v>43774</v>
      </c>
      <c r="G1462" s="8">
        <f t="shared" si="22"/>
        <v>43774</v>
      </c>
      <c r="H1462" s="16" t="s">
        <v>39</v>
      </c>
      <c r="I1462" s="9">
        <f>MAX(original!I1462,piwebapi_edit!I1462,car_edit!I1462)</f>
        <v>33308.2180602921</v>
      </c>
      <c r="J1462" s="9">
        <f>MAX(original!J1462,piwebapi_edit!J1462,car_edit!J1462)</f>
        <v>359.43613623294601</v>
      </c>
      <c r="K1462" s="17"/>
    </row>
    <row r="1463" spans="1:11" x14ac:dyDescent="0.25">
      <c r="A1463" s="3" t="s">
        <v>2943</v>
      </c>
      <c r="B1463" s="4" t="s">
        <v>2944</v>
      </c>
      <c r="C1463" s="14">
        <v>260292</v>
      </c>
      <c r="D1463" s="16" t="s">
        <v>16</v>
      </c>
      <c r="E1463" s="16" t="s">
        <v>17</v>
      </c>
      <c r="F1463" s="15">
        <v>43775</v>
      </c>
      <c r="G1463" s="8">
        <f t="shared" si="22"/>
        <v>43775</v>
      </c>
      <c r="H1463" s="16" t="s">
        <v>13</v>
      </c>
      <c r="I1463" s="9">
        <f>MAX(original!I1463,piwebapi_edit!I1463,car_edit!I1463)</f>
        <v>40244.819034963795</v>
      </c>
      <c r="J1463" s="9">
        <f>MAX(original!J1463,piwebapi_edit!J1463,car_edit!J1463)</f>
        <v>426.12941149509402</v>
      </c>
      <c r="K1463" s="17"/>
    </row>
    <row r="1464" spans="1:11" x14ac:dyDescent="0.25">
      <c r="A1464" s="3" t="s">
        <v>2945</v>
      </c>
      <c r="B1464" s="4" t="s">
        <v>2946</v>
      </c>
      <c r="C1464" s="50">
        <v>262564</v>
      </c>
      <c r="D1464" s="16" t="s">
        <v>11</v>
      </c>
      <c r="E1464" s="16" t="s">
        <v>12</v>
      </c>
      <c r="F1464" s="15">
        <v>43801</v>
      </c>
      <c r="G1464" s="8">
        <f t="shared" si="22"/>
        <v>43801</v>
      </c>
      <c r="H1464" s="16" t="s">
        <v>13</v>
      </c>
      <c r="I1464" s="9">
        <f>MAX(original!I1464,piwebapi_edit!I1464,car_edit!I1464)</f>
        <v>13657.250855308301</v>
      </c>
      <c r="J1464" s="9">
        <f>MAX(original!J1464,piwebapi_edit!J1464,car_edit!J1464)</f>
        <v>262.972767576835</v>
      </c>
      <c r="K1464" s="17"/>
    </row>
    <row r="1465" spans="1:11" x14ac:dyDescent="0.25">
      <c r="A1465" s="3" t="s">
        <v>2947</v>
      </c>
      <c r="B1465" s="4" t="s">
        <v>2948</v>
      </c>
      <c r="C1465" s="5">
        <v>255828</v>
      </c>
      <c r="D1465" s="16" t="s">
        <v>34</v>
      </c>
      <c r="E1465" s="16" t="s">
        <v>17</v>
      </c>
      <c r="F1465" s="15">
        <v>43800</v>
      </c>
      <c r="G1465" s="8">
        <f t="shared" si="22"/>
        <v>43800</v>
      </c>
      <c r="H1465" s="16" t="s">
        <v>13</v>
      </c>
      <c r="I1465" s="9">
        <f>MAX(original!I1465,piwebapi_edit!I1465,car_edit!I1465)</f>
        <v>9445.2194967667692</v>
      </c>
      <c r="J1465" s="9">
        <f>MAX(original!J1465,piwebapi_edit!J1465,car_edit!J1465)</f>
        <v>146.25226095148</v>
      </c>
      <c r="K1465" s="17"/>
    </row>
    <row r="1466" spans="1:11" x14ac:dyDescent="0.25">
      <c r="A1466" s="3" t="s">
        <v>2949</v>
      </c>
      <c r="B1466" s="4" t="s">
        <v>2950</v>
      </c>
      <c r="C1466" s="50">
        <v>266068</v>
      </c>
      <c r="D1466" s="16" t="s">
        <v>11</v>
      </c>
      <c r="E1466" s="16" t="s">
        <v>17</v>
      </c>
      <c r="F1466" s="15">
        <v>43800</v>
      </c>
      <c r="G1466" s="8">
        <f t="shared" si="22"/>
        <v>43800</v>
      </c>
      <c r="H1466" s="16" t="s">
        <v>13</v>
      </c>
      <c r="I1466" s="9">
        <f>MAX(original!I1466,piwebapi_edit!I1466,car_edit!I1466)</f>
        <v>5623.72919090298</v>
      </c>
      <c r="J1466" s="9">
        <f>MAX(original!J1466,piwebapi_edit!J1466,car_edit!J1466)</f>
        <v>144.040714577247</v>
      </c>
      <c r="K1466" s="17"/>
    </row>
    <row r="1467" spans="1:11" x14ac:dyDescent="0.25">
      <c r="A1467" s="3" t="s">
        <v>2951</v>
      </c>
      <c r="B1467" s="4" t="s">
        <v>2952</v>
      </c>
      <c r="C1467" s="50">
        <v>270532</v>
      </c>
      <c r="D1467" s="16" t="s">
        <v>16</v>
      </c>
      <c r="E1467" s="16" t="s">
        <v>17</v>
      </c>
      <c r="F1467" s="15">
        <v>43800</v>
      </c>
      <c r="G1467" s="8">
        <f t="shared" si="22"/>
        <v>43800</v>
      </c>
      <c r="H1467" s="16" t="s">
        <v>13</v>
      </c>
      <c r="I1467" s="9">
        <f>MAX(original!I1467,piwebapi_edit!I1467,car_edit!I1467)</f>
        <v>1291.8896905486502</v>
      </c>
      <c r="J1467" s="9">
        <f>MAX(original!J1467,piwebapi_edit!J1467,car_edit!J1467)</f>
        <v>258.76402929958601</v>
      </c>
      <c r="K1467" s="17"/>
    </row>
    <row r="1468" spans="1:11" x14ac:dyDescent="0.25">
      <c r="A1468" s="3" t="s">
        <v>2953</v>
      </c>
      <c r="B1468" s="4" t="s">
        <v>2954</v>
      </c>
      <c r="C1468" s="5">
        <v>259972</v>
      </c>
      <c r="D1468" s="16" t="s">
        <v>11</v>
      </c>
      <c r="E1468" s="16" t="s">
        <v>12</v>
      </c>
      <c r="F1468" s="15">
        <v>43800</v>
      </c>
      <c r="G1468" s="8">
        <f t="shared" si="22"/>
        <v>43800</v>
      </c>
      <c r="H1468" s="16" t="s">
        <v>39</v>
      </c>
      <c r="I1468" s="9">
        <f>MAX(original!I1468,piwebapi_edit!I1468,car_edit!I1468)</f>
        <v>19946.825413463197</v>
      </c>
      <c r="J1468" s="9">
        <f>MAX(original!J1468,piwebapi_edit!J1468,car_edit!J1468)</f>
        <v>99.101557436212801</v>
      </c>
      <c r="K1468" s="17"/>
    </row>
    <row r="1469" spans="1:11" x14ac:dyDescent="0.25">
      <c r="A1469" s="3" t="s">
        <v>2955</v>
      </c>
      <c r="B1469" s="4" t="s">
        <v>2956</v>
      </c>
      <c r="C1469" s="5">
        <v>265092</v>
      </c>
      <c r="D1469" s="16" t="s">
        <v>28</v>
      </c>
      <c r="E1469" s="16" t="s">
        <v>17</v>
      </c>
      <c r="F1469" s="15">
        <v>43949</v>
      </c>
      <c r="G1469" s="8">
        <f t="shared" si="22"/>
        <v>43949</v>
      </c>
      <c r="H1469" s="16" t="s">
        <v>13</v>
      </c>
      <c r="I1469" s="9">
        <f>MAX(original!I1469,piwebapi_edit!I1469,car_edit!I1469)</f>
        <v>15806.897241982799</v>
      </c>
      <c r="J1469" s="9">
        <f>MAX(original!J1469,piwebapi_edit!J1469,car_edit!J1469)</f>
        <v>215.432320724493</v>
      </c>
      <c r="K1469" s="17"/>
    </row>
    <row r="1470" spans="1:11" x14ac:dyDescent="0.25">
      <c r="A1470" s="3" t="s">
        <v>2957</v>
      </c>
      <c r="B1470" s="4" t="s">
        <v>2958</v>
      </c>
      <c r="C1470" s="14">
        <v>265732</v>
      </c>
      <c r="D1470" s="16" t="s">
        <v>28</v>
      </c>
      <c r="E1470" s="16" t="s">
        <v>17</v>
      </c>
      <c r="F1470" s="15">
        <v>43885</v>
      </c>
      <c r="G1470" s="8">
        <f t="shared" si="22"/>
        <v>43885</v>
      </c>
      <c r="H1470" s="16" t="s">
        <v>13</v>
      </c>
      <c r="I1470" s="9">
        <f>MAX(original!I1470,piwebapi_edit!I1470,car_edit!I1470)</f>
        <v>19282.397605183298</v>
      </c>
      <c r="J1470" s="9">
        <f>MAX(original!J1470,piwebapi_edit!J1470,car_edit!J1470)</f>
        <v>250.58259230556001</v>
      </c>
      <c r="K1470" s="17"/>
    </row>
    <row r="1471" spans="1:11" x14ac:dyDescent="0.25">
      <c r="A1471" s="3" t="s">
        <v>2959</v>
      </c>
      <c r="B1471" s="4" t="s">
        <v>2960</v>
      </c>
      <c r="C1471" s="5">
        <v>267012</v>
      </c>
      <c r="D1471" s="16" t="s">
        <v>28</v>
      </c>
      <c r="E1471" s="16" t="s">
        <v>17</v>
      </c>
      <c r="F1471" s="15">
        <v>43885</v>
      </c>
      <c r="G1471" s="8">
        <f t="shared" si="22"/>
        <v>43885</v>
      </c>
      <c r="H1471" s="16" t="s">
        <v>13</v>
      </c>
      <c r="I1471" s="9">
        <f>MAX(original!I1471,piwebapi_edit!I1471,car_edit!I1471)</f>
        <v>24672.324984843101</v>
      </c>
      <c r="J1471" s="9">
        <f>MAX(original!J1471,piwebapi_edit!J1471,car_edit!J1471)</f>
        <v>246.78926170536801</v>
      </c>
      <c r="K1471" s="17"/>
    </row>
    <row r="1472" spans="1:11" x14ac:dyDescent="0.25">
      <c r="A1472" s="3" t="s">
        <v>2961</v>
      </c>
      <c r="B1472" s="4" t="s">
        <v>2962</v>
      </c>
      <c r="C1472" s="5">
        <v>270580</v>
      </c>
      <c r="D1472" s="16" t="s">
        <v>16</v>
      </c>
      <c r="E1472" s="16" t="s">
        <v>17</v>
      </c>
      <c r="F1472" s="15">
        <v>43887</v>
      </c>
      <c r="G1472" s="8">
        <f t="shared" si="22"/>
        <v>43887</v>
      </c>
      <c r="H1472" s="16" t="s">
        <v>13</v>
      </c>
      <c r="I1472" s="9">
        <f>MAX(original!I1472,piwebapi_edit!I1472,car_edit!I1472)</f>
        <v>17699.811704203101</v>
      </c>
      <c r="J1472" s="9">
        <f>MAX(original!J1472,piwebapi_edit!J1472,car_edit!J1472)</f>
        <v>171.41163769024101</v>
      </c>
      <c r="K1472" s="17"/>
    </row>
    <row r="1473" spans="1:11" x14ac:dyDescent="0.25">
      <c r="A1473" s="3" t="s">
        <v>2963</v>
      </c>
      <c r="B1473" s="4" t="s">
        <v>2964</v>
      </c>
      <c r="C1473" s="5">
        <v>267332</v>
      </c>
      <c r="D1473" s="16" t="s">
        <v>37</v>
      </c>
      <c r="E1473" s="16" t="s">
        <v>38</v>
      </c>
      <c r="F1473" s="15">
        <v>43885</v>
      </c>
      <c r="G1473" s="8">
        <f t="shared" si="22"/>
        <v>43885</v>
      </c>
      <c r="H1473" s="16" t="s">
        <v>39</v>
      </c>
      <c r="I1473" s="9">
        <f>MAX(original!I1473,piwebapi_edit!I1473,car_edit!I1473)</f>
        <v>18283.644301209202</v>
      </c>
      <c r="J1473" s="9">
        <f>MAX(original!J1473,piwebapi_edit!J1473,car_edit!J1473)</f>
        <v>242.30146109847701</v>
      </c>
      <c r="K1473" s="17"/>
    </row>
    <row r="1474" spans="1:11" x14ac:dyDescent="0.25">
      <c r="A1474" s="3" t="s">
        <v>2965</v>
      </c>
      <c r="B1474" s="4" t="s">
        <v>2966</v>
      </c>
      <c r="C1474" s="5">
        <v>262535</v>
      </c>
      <c r="D1474" s="16" t="s">
        <v>28</v>
      </c>
      <c r="E1474" s="16" t="s">
        <v>17</v>
      </c>
      <c r="F1474" s="15">
        <v>43899</v>
      </c>
      <c r="G1474" s="8">
        <f t="shared" ref="G1474:G1537" si="23">F1474</f>
        <v>43899</v>
      </c>
      <c r="H1474" s="16" t="s">
        <v>13</v>
      </c>
      <c r="I1474" s="9">
        <f>MAX(original!I1474,piwebapi_edit!I1474,car_edit!I1474)</f>
        <v>21603.565325542801</v>
      </c>
      <c r="J1474" s="9">
        <f>MAX(original!J1474,piwebapi_edit!J1474,car_edit!J1474)</f>
        <v>120.365521639791</v>
      </c>
      <c r="K1474" s="17"/>
    </row>
    <row r="1475" spans="1:11" x14ac:dyDescent="0.25">
      <c r="A1475" s="3" t="s">
        <v>2967</v>
      </c>
      <c r="B1475" s="4" t="s">
        <v>2968</v>
      </c>
      <c r="C1475" s="14">
        <v>263525</v>
      </c>
      <c r="D1475" s="16" t="s">
        <v>34</v>
      </c>
      <c r="E1475" s="16" t="s">
        <v>17</v>
      </c>
      <c r="F1475" s="15">
        <v>43901</v>
      </c>
      <c r="G1475" s="8">
        <f t="shared" si="23"/>
        <v>43901</v>
      </c>
      <c r="H1475" s="16" t="s">
        <v>13</v>
      </c>
      <c r="I1475" s="9">
        <f>MAX(original!I1475,piwebapi_edit!I1475,car_edit!I1475)</f>
        <v>3511.9917465130998</v>
      </c>
      <c r="J1475" s="9">
        <f>MAX(original!J1475,piwebapi_edit!J1475,car_edit!J1475)</f>
        <v>792.544645670823</v>
      </c>
      <c r="K1475" s="17"/>
    </row>
    <row r="1476" spans="1:11" x14ac:dyDescent="0.25">
      <c r="A1476" s="3" t="s">
        <v>2969</v>
      </c>
      <c r="B1476" s="4" t="s">
        <v>2970</v>
      </c>
      <c r="C1476" s="5">
        <v>263846</v>
      </c>
      <c r="D1476" s="16" t="s">
        <v>31</v>
      </c>
      <c r="E1476" s="16" t="s">
        <v>17</v>
      </c>
      <c r="F1476" s="15">
        <v>43908</v>
      </c>
      <c r="G1476" s="8">
        <f t="shared" si="23"/>
        <v>43908</v>
      </c>
      <c r="H1476" s="16" t="s">
        <v>13</v>
      </c>
      <c r="I1476" s="9">
        <f>MAX(original!I1476,piwebapi_edit!I1476,car_edit!I1476)</f>
        <v>12631.6054094385</v>
      </c>
      <c r="J1476" s="9">
        <f>MAX(original!J1476,piwebapi_edit!J1476,car_edit!J1476)</f>
        <v>286.66629515607599</v>
      </c>
      <c r="K1476" s="17"/>
    </row>
    <row r="1477" spans="1:11" x14ac:dyDescent="0.25">
      <c r="A1477" s="3" t="s">
        <v>2971</v>
      </c>
      <c r="B1477" s="4" t="s">
        <v>2972</v>
      </c>
      <c r="C1477" s="5">
        <v>264772</v>
      </c>
      <c r="D1477" s="16" t="s">
        <v>16</v>
      </c>
      <c r="E1477" s="16" t="s">
        <v>17</v>
      </c>
      <c r="F1477" s="15">
        <v>43921</v>
      </c>
      <c r="G1477" s="8">
        <f t="shared" si="23"/>
        <v>43921</v>
      </c>
      <c r="H1477" s="16" t="s">
        <v>13</v>
      </c>
      <c r="I1477" s="9">
        <f>MAX(original!I1477,piwebapi_edit!I1477,car_edit!I1477)</f>
        <v>22585.606426227299</v>
      </c>
      <c r="J1477" s="9">
        <f>MAX(original!J1477,piwebapi_edit!J1477,car_edit!J1477)</f>
        <v>296.10539282299402</v>
      </c>
      <c r="K1477" s="17"/>
    </row>
    <row r="1478" spans="1:11" x14ac:dyDescent="0.25">
      <c r="A1478" s="3" t="s">
        <v>2973</v>
      </c>
      <c r="B1478" s="4" t="s">
        <v>2974</v>
      </c>
      <c r="C1478" s="50">
        <v>267652</v>
      </c>
      <c r="D1478" s="16" t="s">
        <v>31</v>
      </c>
      <c r="E1478" s="16" t="s">
        <v>17</v>
      </c>
      <c r="F1478" s="15">
        <v>43923</v>
      </c>
      <c r="G1478" s="8">
        <f t="shared" si="23"/>
        <v>43923</v>
      </c>
      <c r="H1478" s="16" t="s">
        <v>13</v>
      </c>
      <c r="I1478" s="9">
        <f>MAX(original!I1478,piwebapi_edit!I1478,car_edit!I1478)</f>
        <v>3330.9930480068201</v>
      </c>
      <c r="J1478" s="9">
        <f>MAX(original!J1478,piwebapi_edit!J1478,car_edit!J1478)</f>
        <v>147.94114586437999</v>
      </c>
      <c r="K1478" s="17"/>
    </row>
    <row r="1479" spans="1:11" x14ac:dyDescent="0.25">
      <c r="A1479" s="3" t="s">
        <v>2975</v>
      </c>
      <c r="B1479" s="4" t="s">
        <v>2976</v>
      </c>
      <c r="C1479" s="14">
        <v>265412</v>
      </c>
      <c r="D1479" s="16" t="s">
        <v>11</v>
      </c>
      <c r="E1479" s="16" t="s">
        <v>12</v>
      </c>
      <c r="F1479" s="15">
        <v>43941</v>
      </c>
      <c r="G1479" s="8">
        <f t="shared" si="23"/>
        <v>43941</v>
      </c>
      <c r="H1479" s="16" t="s">
        <v>39</v>
      </c>
      <c r="I1479" s="9">
        <f>MAX(original!I1479,piwebapi_edit!I1479,car_edit!I1479)</f>
        <v>27281.037108253098</v>
      </c>
      <c r="J1479" s="9">
        <f>MAX(original!J1479,piwebapi_edit!J1479,car_edit!J1479)</f>
        <v>495.14655256536599</v>
      </c>
      <c r="K1479" s="17"/>
    </row>
    <row r="1480" spans="1:11" x14ac:dyDescent="0.25">
      <c r="A1480" s="3" t="s">
        <v>2977</v>
      </c>
      <c r="B1480" s="4" t="s">
        <v>2978</v>
      </c>
      <c r="C1480" s="50">
        <v>269924</v>
      </c>
      <c r="D1480" s="16" t="s">
        <v>11</v>
      </c>
      <c r="E1480" s="16" t="s">
        <v>12</v>
      </c>
      <c r="F1480" s="15">
        <v>43941</v>
      </c>
      <c r="G1480" s="8">
        <f t="shared" si="23"/>
        <v>43941</v>
      </c>
      <c r="H1480" s="16" t="s">
        <v>39</v>
      </c>
      <c r="I1480" s="9">
        <f>MAX(original!I1480,piwebapi_edit!I1480,car_edit!I1480)</f>
        <v>8113.3219858997809</v>
      </c>
      <c r="J1480" s="9">
        <f>MAX(original!J1480,piwebapi_edit!J1480,car_edit!J1480)</f>
        <v>98.442829960391705</v>
      </c>
      <c r="K1480" s="17"/>
    </row>
    <row r="1481" spans="1:11" x14ac:dyDescent="0.25">
      <c r="A1481" s="4" t="s">
        <v>2979</v>
      </c>
      <c r="B1481" s="4" t="s">
        <v>2980</v>
      </c>
      <c r="C1481" s="14">
        <v>267669</v>
      </c>
      <c r="D1481" s="16" t="s">
        <v>11</v>
      </c>
      <c r="E1481" s="16" t="s">
        <v>12</v>
      </c>
      <c r="F1481" s="15">
        <v>43956</v>
      </c>
      <c r="G1481" s="8">
        <f t="shared" si="23"/>
        <v>43956</v>
      </c>
      <c r="H1481" s="16" t="s">
        <v>39</v>
      </c>
      <c r="I1481" s="9">
        <f>MAX(original!I1481,piwebapi_edit!I1481,car_edit!I1481)</f>
        <v>34360.3841826192</v>
      </c>
      <c r="J1481" s="9">
        <f>MAX(original!J1481,piwebapi_edit!J1481,car_edit!J1481)</f>
        <v>383.89212989993399</v>
      </c>
      <c r="K1481" s="17"/>
    </row>
    <row r="1482" spans="1:11" x14ac:dyDescent="0.25">
      <c r="A1482" s="4" t="s">
        <v>2981</v>
      </c>
      <c r="B1482" s="4" t="s">
        <v>2982</v>
      </c>
      <c r="C1482" s="50">
        <v>277033</v>
      </c>
      <c r="D1482" s="16" t="s">
        <v>16</v>
      </c>
      <c r="E1482" s="16" t="s">
        <v>17</v>
      </c>
      <c r="F1482" s="15">
        <v>43981</v>
      </c>
      <c r="G1482" s="8">
        <f t="shared" si="23"/>
        <v>43981</v>
      </c>
      <c r="H1482" s="16" t="s">
        <v>13</v>
      </c>
      <c r="I1482" s="9">
        <f>MAX(original!I1482,piwebapi_edit!I1482,car_edit!I1482)</f>
        <v>34016.527254535802</v>
      </c>
      <c r="J1482" s="9">
        <f>MAX(original!J1482,piwebapi_edit!J1482,car_edit!J1482)</f>
        <v>329.63865604863997</v>
      </c>
      <c r="K1482" s="17"/>
    </row>
    <row r="1483" spans="1:11" x14ac:dyDescent="0.25">
      <c r="A1483" s="4" t="s">
        <v>2983</v>
      </c>
      <c r="B1483" s="4" t="s">
        <v>2984</v>
      </c>
      <c r="C1483" s="50">
        <v>269588</v>
      </c>
      <c r="D1483" s="16" t="s">
        <v>34</v>
      </c>
      <c r="E1483" s="16" t="s">
        <v>17</v>
      </c>
      <c r="F1483" s="15">
        <v>43981</v>
      </c>
      <c r="G1483" s="8">
        <f t="shared" si="23"/>
        <v>43981</v>
      </c>
      <c r="H1483" s="16" t="s">
        <v>13</v>
      </c>
      <c r="I1483" s="9">
        <f>MAX(original!I1483,piwebapi_edit!I1483,car_edit!I1483)</f>
        <v>11887.162299948199</v>
      </c>
      <c r="J1483" s="9">
        <f>MAX(original!J1483,piwebapi_edit!J1483,car_edit!J1483)</f>
        <v>213.527443866102</v>
      </c>
      <c r="K1483" s="17"/>
    </row>
    <row r="1484" spans="1:11" x14ac:dyDescent="0.25">
      <c r="A1484" s="4" t="s">
        <v>2985</v>
      </c>
      <c r="B1484" s="4" t="s">
        <v>2986</v>
      </c>
      <c r="C1484" s="5">
        <v>270564</v>
      </c>
      <c r="D1484" s="16" t="s">
        <v>34</v>
      </c>
      <c r="E1484" s="16" t="s">
        <v>17</v>
      </c>
      <c r="F1484" s="15">
        <v>43981</v>
      </c>
      <c r="G1484" s="8">
        <f t="shared" si="23"/>
        <v>43981</v>
      </c>
      <c r="H1484" s="16" t="s">
        <v>13</v>
      </c>
      <c r="I1484" s="9">
        <f>MAX(original!I1484,piwebapi_edit!I1484,car_edit!I1484)</f>
        <v>2887.0283777939699</v>
      </c>
      <c r="J1484" s="9">
        <f>MAX(original!J1484,piwebapi_edit!J1484,car_edit!J1484)</f>
        <v>24.312654899673898</v>
      </c>
      <c r="K1484" s="17"/>
    </row>
    <row r="1485" spans="1:11" x14ac:dyDescent="0.25">
      <c r="A1485" s="4" t="s">
        <v>2987</v>
      </c>
      <c r="B1485" s="4" t="s">
        <v>2988</v>
      </c>
      <c r="C1485" s="5">
        <v>272180</v>
      </c>
      <c r="D1485" s="16" t="s">
        <v>31</v>
      </c>
      <c r="E1485" s="16" t="s">
        <v>17</v>
      </c>
      <c r="F1485" s="15">
        <v>43981</v>
      </c>
      <c r="G1485" s="8">
        <f t="shared" si="23"/>
        <v>43981</v>
      </c>
      <c r="H1485" s="16" t="s">
        <v>13</v>
      </c>
      <c r="I1485" s="9">
        <f>MAX(original!I1485,piwebapi_edit!I1485,car_edit!I1485)</f>
        <v>40423.915585819304</v>
      </c>
      <c r="J1485" s="9">
        <f>MAX(original!J1485,piwebapi_edit!J1485,car_edit!J1485)</f>
        <v>316.729695234166</v>
      </c>
      <c r="K1485" s="17"/>
    </row>
    <row r="1486" spans="1:11" x14ac:dyDescent="0.25">
      <c r="A1486" s="4" t="s">
        <v>2989</v>
      </c>
      <c r="B1486" s="4" t="s">
        <v>2990</v>
      </c>
      <c r="C1486" s="5">
        <v>274756</v>
      </c>
      <c r="D1486" s="16" t="s">
        <v>11</v>
      </c>
      <c r="E1486" s="16" t="s">
        <v>17</v>
      </c>
      <c r="F1486" s="15">
        <v>43981</v>
      </c>
      <c r="G1486" s="8">
        <f t="shared" si="23"/>
        <v>43981</v>
      </c>
      <c r="H1486" s="16" t="s">
        <v>13</v>
      </c>
      <c r="I1486" s="9">
        <f>MAX(original!I1486,piwebapi_edit!I1486,car_edit!I1486)</f>
        <v>8582.5178728082392</v>
      </c>
      <c r="J1486" s="9">
        <f>MAX(original!J1486,piwebapi_edit!J1486,car_edit!J1486)</f>
        <v>241.145848611969</v>
      </c>
      <c r="K1486" s="17"/>
    </row>
    <row r="1487" spans="1:11" x14ac:dyDescent="0.25">
      <c r="A1487" s="4" t="s">
        <v>2991</v>
      </c>
      <c r="B1487" s="4" t="s">
        <v>2992</v>
      </c>
      <c r="C1487" s="5">
        <v>271220</v>
      </c>
      <c r="D1487" s="16" t="s">
        <v>37</v>
      </c>
      <c r="E1487" s="16" t="s">
        <v>38</v>
      </c>
      <c r="F1487" s="15">
        <v>43977</v>
      </c>
      <c r="G1487" s="8">
        <f t="shared" si="23"/>
        <v>43977</v>
      </c>
      <c r="H1487" s="16" t="s">
        <v>39</v>
      </c>
      <c r="I1487" s="9">
        <f>MAX(original!I1487,piwebapi_edit!I1487,car_edit!I1487)</f>
        <v>41610.412011138404</v>
      </c>
      <c r="J1487" s="9">
        <f>MAX(original!J1487,piwebapi_edit!J1487,car_edit!J1487)</f>
        <v>554.12734213069803</v>
      </c>
      <c r="K1487" s="17"/>
    </row>
    <row r="1488" spans="1:11" x14ac:dyDescent="0.25">
      <c r="A1488" s="4" t="s">
        <v>2993</v>
      </c>
      <c r="B1488" s="4" t="s">
        <v>2994</v>
      </c>
      <c r="C1488" s="5">
        <v>270900</v>
      </c>
      <c r="D1488" s="16" t="s">
        <v>11</v>
      </c>
      <c r="E1488" s="16" t="s">
        <v>12</v>
      </c>
      <c r="F1488" s="15">
        <v>43994</v>
      </c>
      <c r="G1488" s="8">
        <f t="shared" si="23"/>
        <v>43994</v>
      </c>
      <c r="H1488" s="16" t="s">
        <v>39</v>
      </c>
      <c r="I1488" s="9">
        <f>MAX(original!I1488,piwebapi_edit!I1488,car_edit!I1488)</f>
        <v>48341.402612533901</v>
      </c>
      <c r="J1488" s="9">
        <f>MAX(original!J1488,piwebapi_edit!J1488,car_edit!J1488)</f>
        <v>313.20065810656303</v>
      </c>
      <c r="K1488" s="17"/>
    </row>
    <row r="1489" spans="1:11" x14ac:dyDescent="0.25">
      <c r="A1489" s="3" t="s">
        <v>2995</v>
      </c>
      <c r="B1489" s="4" t="s">
        <v>2996</v>
      </c>
      <c r="C1489" s="5">
        <v>213268</v>
      </c>
      <c r="D1489" s="16" t="s">
        <v>34</v>
      </c>
      <c r="E1489" s="16" t="s">
        <v>17</v>
      </c>
      <c r="F1489" s="15">
        <v>44018</v>
      </c>
      <c r="G1489" s="8">
        <f t="shared" si="23"/>
        <v>44018</v>
      </c>
      <c r="H1489" s="16" t="s">
        <v>13</v>
      </c>
      <c r="I1489" s="9">
        <f>MAX(original!I1489,piwebapi_edit!I1489,car_edit!I1489)</f>
        <v>11749.9373671421</v>
      </c>
      <c r="J1489" s="9">
        <f>MAX(original!J1489,piwebapi_edit!J1489,car_edit!J1489)</f>
        <v>227.368248914248</v>
      </c>
      <c r="K1489" s="17"/>
    </row>
    <row r="1490" spans="1:11" x14ac:dyDescent="0.25">
      <c r="A1490" s="3" t="s">
        <v>2997</v>
      </c>
      <c r="B1490" s="4" t="s">
        <v>2998</v>
      </c>
      <c r="C1490" s="5">
        <v>275076</v>
      </c>
      <c r="D1490" s="16" t="s">
        <v>11</v>
      </c>
      <c r="E1490" s="16" t="s">
        <v>12</v>
      </c>
      <c r="F1490" s="15">
        <v>44029</v>
      </c>
      <c r="G1490" s="8">
        <f t="shared" si="23"/>
        <v>44029</v>
      </c>
      <c r="H1490" s="16" t="s">
        <v>39</v>
      </c>
      <c r="I1490" s="9">
        <f>MAX(original!I1490,piwebapi_edit!I1490,car_edit!I1490)</f>
        <v>12100.216691964601</v>
      </c>
      <c r="J1490" s="9">
        <f>MAX(original!J1490,piwebapi_edit!J1490,car_edit!J1490)</f>
        <v>126.884129820883</v>
      </c>
      <c r="K1490" s="17"/>
    </row>
    <row r="1491" spans="1:11" x14ac:dyDescent="0.25">
      <c r="A1491" s="3" t="s">
        <v>2999</v>
      </c>
      <c r="B1491" s="4" t="s">
        <v>3000</v>
      </c>
      <c r="C1491" s="5">
        <v>273828</v>
      </c>
      <c r="D1491" s="16" t="s">
        <v>28</v>
      </c>
      <c r="E1491" s="16" t="s">
        <v>17</v>
      </c>
      <c r="F1491" s="15">
        <v>44123</v>
      </c>
      <c r="G1491" s="8">
        <f t="shared" si="23"/>
        <v>44123</v>
      </c>
      <c r="H1491" s="16" t="s">
        <v>13</v>
      </c>
      <c r="I1491" s="9">
        <f>MAX(original!I1491,piwebapi_edit!I1491,car_edit!I1491)</f>
        <v>6183.74035534217</v>
      </c>
      <c r="J1491" s="9">
        <f>MAX(original!J1491,piwebapi_edit!J1491,car_edit!J1491)</f>
        <v>98.705566260207505</v>
      </c>
      <c r="K1491" s="17"/>
    </row>
    <row r="1492" spans="1:11" x14ac:dyDescent="0.25">
      <c r="A1492" s="3" t="s">
        <v>3001</v>
      </c>
      <c r="B1492" s="4" t="s">
        <v>3002</v>
      </c>
      <c r="C1492" s="5">
        <v>275172</v>
      </c>
      <c r="D1492" s="16" t="s">
        <v>28</v>
      </c>
      <c r="E1492" s="16" t="s">
        <v>17</v>
      </c>
      <c r="F1492" s="15">
        <v>44036</v>
      </c>
      <c r="G1492" s="8">
        <f t="shared" si="23"/>
        <v>44036</v>
      </c>
      <c r="H1492" s="16" t="s">
        <v>13</v>
      </c>
      <c r="I1492" s="9">
        <f>MAX(original!I1492,piwebapi_edit!I1492,car_edit!I1492)</f>
        <v>4648.0893266931098</v>
      </c>
      <c r="J1492" s="9">
        <f>MAX(original!J1492,piwebapi_edit!J1492,car_edit!J1492)</f>
        <v>380.11196816923001</v>
      </c>
      <c r="K1492" s="17"/>
    </row>
    <row r="1493" spans="1:11" x14ac:dyDescent="0.25">
      <c r="A1493" s="3" t="s">
        <v>3003</v>
      </c>
      <c r="B1493" s="4" t="s">
        <v>3004</v>
      </c>
      <c r="C1493" s="5">
        <v>272820</v>
      </c>
      <c r="D1493" s="16" t="s">
        <v>34</v>
      </c>
      <c r="E1493" s="16" t="s">
        <v>17</v>
      </c>
      <c r="F1493" s="15">
        <v>44040</v>
      </c>
      <c r="G1493" s="8">
        <f t="shared" si="23"/>
        <v>44040</v>
      </c>
      <c r="H1493" s="16" t="s">
        <v>13</v>
      </c>
      <c r="I1493" s="9">
        <f>MAX(original!I1493,piwebapi_edit!I1493,car_edit!I1493)</f>
        <v>9587.6073058269103</v>
      </c>
      <c r="J1493" s="9">
        <f>MAX(original!J1493,piwebapi_edit!J1493,car_edit!J1493)</f>
        <v>165.091241400673</v>
      </c>
      <c r="K1493" s="17"/>
    </row>
    <row r="1494" spans="1:11" x14ac:dyDescent="0.25">
      <c r="A1494" s="3" t="s">
        <v>3005</v>
      </c>
      <c r="B1494" s="4" t="s">
        <v>3006</v>
      </c>
      <c r="C1494" s="5">
        <v>272196</v>
      </c>
      <c r="D1494" s="16" t="s">
        <v>11</v>
      </c>
      <c r="E1494" s="16" t="s">
        <v>12</v>
      </c>
      <c r="F1494" s="15">
        <v>44060</v>
      </c>
      <c r="G1494" s="8">
        <f t="shared" si="23"/>
        <v>44060</v>
      </c>
      <c r="H1494" s="16" t="s">
        <v>39</v>
      </c>
      <c r="I1494" s="9">
        <f>MAX(original!I1494,piwebapi_edit!I1494,car_edit!I1494)</f>
        <v>23320.707920516998</v>
      </c>
      <c r="J1494" s="9">
        <f>MAX(original!J1494,piwebapi_edit!J1494,car_edit!J1494)</f>
        <v>151.18875003138001</v>
      </c>
      <c r="K1494" s="17"/>
    </row>
    <row r="1495" spans="1:11" x14ac:dyDescent="0.25">
      <c r="A1495" s="3" t="s">
        <v>3007</v>
      </c>
      <c r="B1495" s="4" t="s">
        <v>3008</v>
      </c>
      <c r="C1495" s="5">
        <v>273844</v>
      </c>
      <c r="D1495" s="16" t="s">
        <v>11</v>
      </c>
      <c r="E1495" s="16" t="s">
        <v>17</v>
      </c>
      <c r="F1495" s="15">
        <v>44060</v>
      </c>
      <c r="G1495" s="8">
        <f t="shared" si="23"/>
        <v>44060</v>
      </c>
      <c r="H1495" s="16" t="s">
        <v>13</v>
      </c>
      <c r="I1495" s="9">
        <f>MAX(original!I1495,piwebapi_edit!I1495,car_edit!I1495)</f>
        <v>15155.2417001384</v>
      </c>
      <c r="J1495" s="9">
        <f>MAX(original!J1495,piwebapi_edit!J1495,car_edit!J1495)</f>
        <v>348.140004733365</v>
      </c>
      <c r="K1495" s="17"/>
    </row>
    <row r="1496" spans="1:11" x14ac:dyDescent="0.25">
      <c r="A1496" s="3" t="s">
        <v>3009</v>
      </c>
      <c r="B1496" s="4" t="s">
        <v>3010</v>
      </c>
      <c r="C1496" s="5">
        <v>273460</v>
      </c>
      <c r="D1496" s="16" t="s">
        <v>37</v>
      </c>
      <c r="E1496" s="16" t="s">
        <v>38</v>
      </c>
      <c r="F1496" s="15">
        <v>44064</v>
      </c>
      <c r="G1496" s="8">
        <f t="shared" si="23"/>
        <v>44064</v>
      </c>
      <c r="H1496" s="16" t="s">
        <v>39</v>
      </c>
      <c r="I1496" s="9">
        <f>MAX(original!I1496,piwebapi_edit!I1496,car_edit!I1496)</f>
        <v>0</v>
      </c>
      <c r="J1496" s="9">
        <f>MAX(original!J1496,piwebapi_edit!J1496,car_edit!J1496)</f>
        <v>0</v>
      </c>
      <c r="K1496" s="17"/>
    </row>
    <row r="1497" spans="1:11" x14ac:dyDescent="0.25">
      <c r="A1497" s="3" t="s">
        <v>3011</v>
      </c>
      <c r="B1497" s="4" t="s">
        <v>3012</v>
      </c>
      <c r="C1497" s="5">
        <v>277036</v>
      </c>
      <c r="D1497" s="16" t="s">
        <v>11</v>
      </c>
      <c r="E1497" s="16" t="s">
        <v>12</v>
      </c>
      <c r="F1497" s="15">
        <v>44082</v>
      </c>
      <c r="G1497" s="8">
        <f t="shared" si="23"/>
        <v>44082</v>
      </c>
      <c r="H1497" s="16" t="s">
        <v>39</v>
      </c>
      <c r="I1497" s="9">
        <f>MAX(original!I1497,piwebapi_edit!I1497,car_edit!I1497)</f>
        <v>32158.336519378699</v>
      </c>
      <c r="J1497" s="9">
        <f>MAX(original!J1497,piwebapi_edit!J1497,car_edit!J1497)</f>
        <v>335.82308818976099</v>
      </c>
      <c r="K1497" s="17"/>
    </row>
    <row r="1498" spans="1:11" x14ac:dyDescent="0.25">
      <c r="A1498" s="3" t="s">
        <v>3013</v>
      </c>
      <c r="B1498" s="4" t="s">
        <v>3014</v>
      </c>
      <c r="C1498" s="5">
        <v>271540</v>
      </c>
      <c r="D1498" s="16" t="s">
        <v>34</v>
      </c>
      <c r="E1498" s="16" t="s">
        <v>17</v>
      </c>
      <c r="F1498" s="15">
        <v>44126</v>
      </c>
      <c r="G1498" s="8">
        <f t="shared" si="23"/>
        <v>44126</v>
      </c>
      <c r="H1498" s="16" t="s">
        <v>13</v>
      </c>
      <c r="I1498" s="9">
        <f>MAX(original!I1498,piwebapi_edit!I1498,car_edit!I1498)</f>
        <v>16449.508843002299</v>
      </c>
      <c r="J1498" s="9">
        <f>MAX(original!J1498,piwebapi_edit!J1498,car_edit!J1498)</f>
        <v>176.69618099527099</v>
      </c>
      <c r="K1498" s="17"/>
    </row>
    <row r="1499" spans="1:11" x14ac:dyDescent="0.25">
      <c r="A1499" s="3" t="s">
        <v>3015</v>
      </c>
      <c r="B1499" s="4" t="s">
        <v>3016</v>
      </c>
      <c r="C1499" s="5">
        <v>277030</v>
      </c>
      <c r="D1499" s="16" t="s">
        <v>37</v>
      </c>
      <c r="E1499" s="16" t="s">
        <v>38</v>
      </c>
      <c r="F1499" s="15">
        <v>44127</v>
      </c>
      <c r="G1499" s="8">
        <f t="shared" si="23"/>
        <v>44127</v>
      </c>
      <c r="H1499" s="16" t="s">
        <v>39</v>
      </c>
      <c r="I1499" s="9">
        <f>MAX(original!I1499,piwebapi_edit!I1499,car_edit!I1499)</f>
        <v>21519.202176093699</v>
      </c>
      <c r="J1499" s="9">
        <f>MAX(original!J1499,piwebapi_edit!J1499,car_edit!J1499)</f>
        <v>344.76377931936298</v>
      </c>
      <c r="K1499" s="17"/>
    </row>
    <row r="1500" spans="1:11" x14ac:dyDescent="0.25">
      <c r="A1500" s="3" t="s">
        <v>3017</v>
      </c>
      <c r="B1500" s="4" t="s">
        <v>3018</v>
      </c>
      <c r="C1500" s="14">
        <v>219364</v>
      </c>
      <c r="D1500" s="16" t="s">
        <v>11</v>
      </c>
      <c r="E1500" s="16" t="s">
        <v>12</v>
      </c>
      <c r="F1500" s="15">
        <v>44159</v>
      </c>
      <c r="G1500" s="8">
        <f t="shared" si="23"/>
        <v>44159</v>
      </c>
      <c r="H1500" s="16" t="s">
        <v>39</v>
      </c>
      <c r="I1500" s="9">
        <f>MAX(original!I1500,piwebapi_edit!I1500,car_edit!I1500)</f>
        <v>10515.077784307699</v>
      </c>
      <c r="J1500" s="9">
        <f>MAX(original!J1500,piwebapi_edit!J1500,car_edit!J1500)</f>
        <v>237.110558265012</v>
      </c>
      <c r="K1500" s="17"/>
    </row>
    <row r="1501" spans="1:11" x14ac:dyDescent="0.25">
      <c r="A1501" s="3" t="s">
        <v>3019</v>
      </c>
      <c r="B1501" s="4" t="s">
        <v>3020</v>
      </c>
      <c r="C1501" s="5">
        <v>277038</v>
      </c>
      <c r="D1501" s="16" t="s">
        <v>11</v>
      </c>
      <c r="E1501" s="16" t="s">
        <v>12</v>
      </c>
      <c r="F1501" s="15">
        <v>44159</v>
      </c>
      <c r="G1501" s="8">
        <f t="shared" si="23"/>
        <v>44159</v>
      </c>
      <c r="H1501" s="16" t="s">
        <v>39</v>
      </c>
      <c r="I1501" s="9">
        <f>MAX(original!I1501,piwebapi_edit!I1501,car_edit!I1501)</f>
        <v>50444.5571969105</v>
      </c>
      <c r="J1501" s="9">
        <f>MAX(original!J1501,piwebapi_edit!J1501,car_edit!J1501)</f>
        <v>275.06131631263901</v>
      </c>
      <c r="K1501" s="17"/>
    </row>
    <row r="1502" spans="1:11" x14ac:dyDescent="0.25">
      <c r="A1502" s="3" t="s">
        <v>3021</v>
      </c>
      <c r="B1502" s="4" t="s">
        <v>3022</v>
      </c>
      <c r="C1502" s="14">
        <v>224932</v>
      </c>
      <c r="D1502" s="16" t="s">
        <v>28</v>
      </c>
      <c r="E1502" s="16" t="s">
        <v>17</v>
      </c>
      <c r="F1502" s="15">
        <v>44169</v>
      </c>
      <c r="G1502" s="8">
        <f t="shared" si="23"/>
        <v>44169</v>
      </c>
      <c r="H1502" s="16" t="s">
        <v>13</v>
      </c>
      <c r="I1502" s="9">
        <f>MAX(original!I1502,piwebapi_edit!I1502,car_edit!I1502)</f>
        <v>18615.9856582703</v>
      </c>
      <c r="J1502" s="9">
        <f>MAX(original!J1502,piwebapi_edit!J1502,car_edit!J1502)</f>
        <v>224.343621335986</v>
      </c>
      <c r="K1502" s="17"/>
    </row>
    <row r="1503" spans="1:11" x14ac:dyDescent="0.25">
      <c r="A1503" s="3" t="s">
        <v>3023</v>
      </c>
      <c r="B1503" s="4" t="s">
        <v>3024</v>
      </c>
      <c r="C1503" s="14">
        <v>217767</v>
      </c>
      <c r="D1503" s="16" t="s">
        <v>31</v>
      </c>
      <c r="E1503" s="16" t="s">
        <v>17</v>
      </c>
      <c r="F1503" s="15">
        <v>44176</v>
      </c>
      <c r="G1503" s="8">
        <f t="shared" si="23"/>
        <v>44176</v>
      </c>
      <c r="H1503" s="16" t="s">
        <v>13</v>
      </c>
      <c r="I1503" s="9">
        <f>MAX(original!I1503,piwebapi_edit!I1503,car_edit!I1503)</f>
        <v>33115.621702449505</v>
      </c>
      <c r="J1503" s="9">
        <f>MAX(original!J1503,piwebapi_edit!J1503,car_edit!J1503)</f>
        <v>265.91653323254502</v>
      </c>
      <c r="K1503" s="17"/>
    </row>
    <row r="1504" spans="1:11" x14ac:dyDescent="0.25">
      <c r="A1504" s="3" t="s">
        <v>3025</v>
      </c>
      <c r="B1504" s="4" t="s">
        <v>3026</v>
      </c>
      <c r="C1504" s="14">
        <v>222996</v>
      </c>
      <c r="D1504" s="16" t="s">
        <v>34</v>
      </c>
      <c r="E1504" s="16" t="s">
        <v>17</v>
      </c>
      <c r="F1504" s="15">
        <v>44201</v>
      </c>
      <c r="G1504" s="8">
        <f t="shared" si="23"/>
        <v>44201</v>
      </c>
      <c r="H1504" s="16" t="s">
        <v>13</v>
      </c>
      <c r="I1504" s="9">
        <f>MAX(original!I1504,piwebapi_edit!I1504,car_edit!I1504)</f>
        <v>5371.2273896614197</v>
      </c>
      <c r="J1504" s="9">
        <f>MAX(original!J1504,piwebapi_edit!J1504,car_edit!J1504)</f>
        <v>286.891603545436</v>
      </c>
      <c r="K1504" s="17"/>
    </row>
    <row r="1505" spans="1:11" x14ac:dyDescent="0.25">
      <c r="A1505" s="3" t="s">
        <v>3027</v>
      </c>
      <c r="B1505" s="4" t="s">
        <v>3028</v>
      </c>
      <c r="C1505" s="14">
        <v>222004</v>
      </c>
      <c r="D1505" s="16" t="s">
        <v>28</v>
      </c>
      <c r="E1505" s="16" t="s">
        <v>17</v>
      </c>
      <c r="F1505" s="15">
        <v>44169</v>
      </c>
      <c r="G1505" s="8">
        <f t="shared" si="23"/>
        <v>44169</v>
      </c>
      <c r="H1505" s="16" t="s">
        <v>13</v>
      </c>
      <c r="I1505" s="9">
        <f>MAX(original!I1505,piwebapi_edit!I1505,car_edit!I1505)</f>
        <v>15322.9858175884</v>
      </c>
      <c r="J1505" s="9">
        <f>MAX(original!J1505,piwebapi_edit!J1505,car_edit!J1505)</f>
        <v>206.95103609086999</v>
      </c>
      <c r="K1505" s="17"/>
    </row>
    <row r="1506" spans="1:11" x14ac:dyDescent="0.25">
      <c r="A1506" s="3" t="s">
        <v>3029</v>
      </c>
      <c r="B1506" s="4" t="s">
        <v>3030</v>
      </c>
      <c r="C1506" s="14">
        <v>226212</v>
      </c>
      <c r="D1506" s="16" t="s">
        <v>28</v>
      </c>
      <c r="E1506" s="16" t="s">
        <v>17</v>
      </c>
      <c r="F1506" s="15">
        <v>44169</v>
      </c>
      <c r="G1506" s="8">
        <f t="shared" si="23"/>
        <v>44169</v>
      </c>
      <c r="H1506" s="16" t="s">
        <v>13</v>
      </c>
      <c r="I1506" s="9">
        <f>MAX(original!I1506,piwebapi_edit!I1506,car_edit!I1506)</f>
        <v>26319.090036835001</v>
      </c>
      <c r="J1506" s="9">
        <f>MAX(original!J1506,piwebapi_edit!J1506,car_edit!J1506)</f>
        <v>653.53966359154799</v>
      </c>
      <c r="K1506" s="17"/>
    </row>
    <row r="1507" spans="1:11" x14ac:dyDescent="0.25">
      <c r="A1507" s="3" t="s">
        <v>3031</v>
      </c>
      <c r="B1507" s="4" t="s">
        <v>3032</v>
      </c>
      <c r="C1507" s="14">
        <v>222676</v>
      </c>
      <c r="D1507" s="16" t="s">
        <v>34</v>
      </c>
      <c r="E1507" s="16" t="s">
        <v>17</v>
      </c>
      <c r="F1507" s="15">
        <v>44237</v>
      </c>
      <c r="G1507" s="8">
        <f t="shared" si="23"/>
        <v>44237</v>
      </c>
      <c r="H1507" s="16" t="s">
        <v>13</v>
      </c>
      <c r="I1507" s="9">
        <f>MAX(original!I1507,piwebapi_edit!I1507,car_edit!I1507)</f>
        <v>19793.758485020699</v>
      </c>
      <c r="J1507" s="9">
        <f>MAX(original!J1507,piwebapi_edit!J1507,car_edit!J1507)</f>
        <v>334.41037058319398</v>
      </c>
      <c r="K1507" s="17"/>
    </row>
    <row r="1508" spans="1:11" x14ac:dyDescent="0.25">
      <c r="A1508" s="3" t="s">
        <v>3033</v>
      </c>
      <c r="B1508" s="4" t="s">
        <v>3034</v>
      </c>
      <c r="C1508" s="14">
        <v>229845</v>
      </c>
      <c r="D1508" s="16" t="s">
        <v>11</v>
      </c>
      <c r="E1508" s="16" t="s">
        <v>12</v>
      </c>
      <c r="F1508" s="15">
        <v>44285</v>
      </c>
      <c r="G1508" s="8">
        <f t="shared" si="23"/>
        <v>44285</v>
      </c>
      <c r="H1508" s="16" t="s">
        <v>39</v>
      </c>
      <c r="I1508" s="9">
        <f>MAX(original!I1508,piwebapi_edit!I1508,car_edit!I1508)</f>
        <v>20647.953535746597</v>
      </c>
      <c r="J1508" s="9">
        <f>MAX(original!J1508,piwebapi_edit!J1508,car_edit!J1508)</f>
        <v>262.87447054766699</v>
      </c>
      <c r="K1508" s="17"/>
    </row>
    <row r="1509" spans="1:11" x14ac:dyDescent="0.25">
      <c r="A1509" s="3" t="s">
        <v>3035</v>
      </c>
      <c r="B1509" s="4" t="s">
        <v>3036</v>
      </c>
      <c r="C1509" s="14">
        <v>225252</v>
      </c>
      <c r="D1509" s="16" t="s">
        <v>31</v>
      </c>
      <c r="E1509" s="16" t="s">
        <v>17</v>
      </c>
      <c r="F1509" s="15">
        <v>44283</v>
      </c>
      <c r="G1509" s="8">
        <f t="shared" si="23"/>
        <v>44283</v>
      </c>
      <c r="H1509" s="16" t="s">
        <v>13</v>
      </c>
      <c r="I1509" s="9">
        <f>MAX(original!I1509,piwebapi_edit!I1509,car_edit!I1509)</f>
        <v>20835.424216336498</v>
      </c>
      <c r="J1509" s="9">
        <f>MAX(original!J1509,piwebapi_edit!J1509,car_edit!J1509)</f>
        <v>104.316144035555</v>
      </c>
      <c r="K1509" s="17"/>
    </row>
    <row r="1510" spans="1:11" x14ac:dyDescent="0.25">
      <c r="A1510" s="3" t="s">
        <v>3037</v>
      </c>
      <c r="B1510" s="4" t="s">
        <v>3038</v>
      </c>
      <c r="C1510" s="14">
        <v>222036</v>
      </c>
      <c r="D1510" s="16" t="s">
        <v>11</v>
      </c>
      <c r="E1510" s="16" t="s">
        <v>12</v>
      </c>
      <c r="F1510" s="15">
        <v>44284</v>
      </c>
      <c r="G1510" s="8">
        <f t="shared" si="23"/>
        <v>44284</v>
      </c>
      <c r="H1510" s="16" t="s">
        <v>39</v>
      </c>
      <c r="I1510" s="9">
        <f>MAX(original!I1510,piwebapi_edit!I1510,car_edit!I1510)</f>
        <v>36502.046704707405</v>
      </c>
      <c r="J1510" s="9">
        <f>MAX(original!J1510,piwebapi_edit!J1510,car_edit!J1510)</f>
        <v>307.44773952435298</v>
      </c>
      <c r="K1510" s="17"/>
    </row>
    <row r="1511" spans="1:11" x14ac:dyDescent="0.25">
      <c r="A1511" s="3" t="s">
        <v>3039</v>
      </c>
      <c r="B1511" s="4" t="s">
        <v>3040</v>
      </c>
      <c r="C1511" s="14">
        <v>223668</v>
      </c>
      <c r="D1511" s="16" t="s">
        <v>31</v>
      </c>
      <c r="E1511" s="16" t="s">
        <v>17</v>
      </c>
      <c r="F1511" s="15">
        <v>44287</v>
      </c>
      <c r="G1511" s="8">
        <f t="shared" si="23"/>
        <v>44287</v>
      </c>
      <c r="H1511" s="16" t="s">
        <v>13</v>
      </c>
      <c r="I1511" s="9">
        <f>MAX(original!I1511,piwebapi_edit!I1511,car_edit!I1511)</f>
        <v>11175.135241644099</v>
      </c>
      <c r="J1511" s="9">
        <f>MAX(original!J1511,piwebapi_edit!J1511,car_edit!J1511)</f>
        <v>113.825182058425</v>
      </c>
      <c r="K1511" s="17"/>
    </row>
    <row r="1512" spans="1:11" x14ac:dyDescent="0.25">
      <c r="A1512" s="3" t="s">
        <v>3041</v>
      </c>
      <c r="B1512" s="39" t="s">
        <v>3042</v>
      </c>
      <c r="C1512" s="14">
        <v>222052</v>
      </c>
      <c r="D1512" s="16" t="s">
        <v>28</v>
      </c>
      <c r="E1512" s="16" t="s">
        <v>17</v>
      </c>
      <c r="F1512" s="51">
        <v>44287</v>
      </c>
      <c r="G1512" s="8">
        <f t="shared" si="23"/>
        <v>44287</v>
      </c>
      <c r="H1512" s="52" t="s">
        <v>13</v>
      </c>
      <c r="I1512" s="9">
        <f>MAX(original!I1512,piwebapi_edit!I1512,car_edit!I1512)</f>
        <v>5618.6914016289402</v>
      </c>
      <c r="J1512" s="9">
        <f>MAX(original!J1512,piwebapi_edit!J1512,car_edit!J1512)</f>
        <v>213.030971987443</v>
      </c>
      <c r="K1512" s="17"/>
    </row>
    <row r="1513" spans="1:11" x14ac:dyDescent="0.25">
      <c r="A1513" s="3" t="s">
        <v>3043</v>
      </c>
      <c r="B1513" s="4" t="s">
        <v>3044</v>
      </c>
      <c r="C1513" s="5">
        <v>277051</v>
      </c>
      <c r="D1513" s="16" t="s">
        <v>11</v>
      </c>
      <c r="E1513" s="16" t="s">
        <v>12</v>
      </c>
      <c r="F1513" s="15">
        <v>44312</v>
      </c>
      <c r="G1513" s="8">
        <f t="shared" si="23"/>
        <v>44312</v>
      </c>
      <c r="H1513" s="16" t="s">
        <v>39</v>
      </c>
      <c r="I1513" s="9">
        <f>MAX(original!I1513,piwebapi_edit!I1513,car_edit!I1513)</f>
        <v>55248.5481506543</v>
      </c>
      <c r="J1513" s="9">
        <f>MAX(original!J1513,piwebapi_edit!J1513,car_edit!J1513)</f>
        <v>525.89075106382097</v>
      </c>
      <c r="K1513" s="17"/>
    </row>
    <row r="1514" spans="1:11" x14ac:dyDescent="0.25">
      <c r="A1514" s="3" t="s">
        <v>3045</v>
      </c>
      <c r="B1514" s="4" t="s">
        <v>3046</v>
      </c>
      <c r="C1514" s="14">
        <v>224308</v>
      </c>
      <c r="D1514" s="16" t="s">
        <v>37</v>
      </c>
      <c r="E1514" s="16" t="s">
        <v>3047</v>
      </c>
      <c r="F1514" s="15">
        <v>44312</v>
      </c>
      <c r="G1514" s="8">
        <f t="shared" si="23"/>
        <v>44312</v>
      </c>
      <c r="H1514" s="16" t="s">
        <v>39</v>
      </c>
      <c r="I1514" s="9">
        <f>MAX(original!I1514,piwebapi_edit!I1514,car_edit!I1514)</f>
        <v>12630.6109089083</v>
      </c>
      <c r="J1514" s="9">
        <f>MAX(original!J1514,piwebapi_edit!J1514,car_edit!J1514)</f>
        <v>351.45015133727202</v>
      </c>
      <c r="K1514" s="17"/>
    </row>
    <row r="1515" spans="1:11" x14ac:dyDescent="0.25">
      <c r="A1515" s="3" t="s">
        <v>3048</v>
      </c>
      <c r="B1515" s="4" t="s">
        <v>3049</v>
      </c>
      <c r="C1515" s="14">
        <v>277044</v>
      </c>
      <c r="D1515" s="16" t="s">
        <v>28</v>
      </c>
      <c r="E1515" s="16" t="s">
        <v>17</v>
      </c>
      <c r="F1515" s="15">
        <v>44311</v>
      </c>
      <c r="G1515" s="8">
        <f t="shared" si="23"/>
        <v>44311</v>
      </c>
      <c r="H1515" s="16" t="s">
        <v>13</v>
      </c>
      <c r="I1515" s="9">
        <f>MAX(original!I1515,piwebapi_edit!I1515,car_edit!I1515)</f>
        <v>23926.4108875729</v>
      </c>
      <c r="J1515" s="9">
        <f>MAX(original!J1515,piwebapi_edit!J1515,car_edit!J1515)</f>
        <v>190.590448658193</v>
      </c>
      <c r="K1515" s="17"/>
    </row>
    <row r="1516" spans="1:11" x14ac:dyDescent="0.25">
      <c r="A1516" s="3" t="s">
        <v>3050</v>
      </c>
      <c r="B1516" s="4" t="s">
        <v>3051</v>
      </c>
      <c r="C1516" s="14">
        <v>226532</v>
      </c>
      <c r="D1516" s="16" t="s">
        <v>11</v>
      </c>
      <c r="E1516" s="16" t="s">
        <v>12</v>
      </c>
      <c r="F1516" s="15">
        <v>44316</v>
      </c>
      <c r="G1516" s="8">
        <f t="shared" si="23"/>
        <v>44316</v>
      </c>
      <c r="H1516" s="16" t="s">
        <v>13</v>
      </c>
      <c r="I1516" s="9">
        <f>MAX(original!I1516,piwebapi_edit!I1516,car_edit!I1516)</f>
        <v>17559.640683193498</v>
      </c>
      <c r="J1516" s="9">
        <f>MAX(original!J1516,piwebapi_edit!J1516,car_edit!J1516)</f>
        <v>216.65821831126601</v>
      </c>
      <c r="K1516" s="17"/>
    </row>
    <row r="1517" spans="1:11" x14ac:dyDescent="0.25">
      <c r="A1517" s="3" t="s">
        <v>3052</v>
      </c>
      <c r="B1517" s="4" t="s">
        <v>3053</v>
      </c>
      <c r="C1517" s="14">
        <v>284077</v>
      </c>
      <c r="D1517" s="16" t="s">
        <v>28</v>
      </c>
      <c r="E1517" s="16" t="s">
        <v>17</v>
      </c>
      <c r="F1517" s="15">
        <v>44317</v>
      </c>
      <c r="G1517" s="8">
        <f t="shared" si="23"/>
        <v>44317</v>
      </c>
      <c r="H1517" s="16" t="s">
        <v>13</v>
      </c>
      <c r="I1517" s="9">
        <f>MAX(original!I1517,piwebapi_edit!I1517,car_edit!I1517)</f>
        <v>17677.503200436997</v>
      </c>
      <c r="J1517" s="9">
        <f>MAX(original!J1517,piwebapi_edit!J1517,car_edit!J1517)</f>
        <v>185.078290533168</v>
      </c>
      <c r="K1517" s="17"/>
    </row>
    <row r="1518" spans="1:11" x14ac:dyDescent="0.25">
      <c r="A1518" s="3" t="s">
        <v>3054</v>
      </c>
      <c r="B1518" s="4" t="s">
        <v>3055</v>
      </c>
      <c r="C1518" s="14">
        <v>281924</v>
      </c>
      <c r="D1518" s="16" t="s">
        <v>31</v>
      </c>
      <c r="E1518" s="16" t="s">
        <v>17</v>
      </c>
      <c r="F1518" s="15">
        <v>44318</v>
      </c>
      <c r="G1518" s="8">
        <f t="shared" si="23"/>
        <v>44318</v>
      </c>
      <c r="H1518" s="16" t="s">
        <v>13</v>
      </c>
      <c r="I1518" s="9">
        <f>MAX(original!I1518,piwebapi_edit!I1518,car_edit!I1518)</f>
        <v>9183.3478518900101</v>
      </c>
      <c r="J1518" s="9">
        <f>MAX(original!J1518,piwebapi_edit!J1518,car_edit!J1518)</f>
        <v>130.16351595294299</v>
      </c>
      <c r="K1518" s="17"/>
    </row>
    <row r="1519" spans="1:11" x14ac:dyDescent="0.25">
      <c r="A1519" s="3" t="s">
        <v>3056</v>
      </c>
      <c r="B1519" s="4" t="s">
        <v>3057</v>
      </c>
      <c r="C1519" s="14">
        <v>278292</v>
      </c>
      <c r="D1519" s="16" t="s">
        <v>11</v>
      </c>
      <c r="E1519" s="16" t="s">
        <v>12</v>
      </c>
      <c r="F1519" s="15">
        <v>44320</v>
      </c>
      <c r="G1519" s="8">
        <f t="shared" si="23"/>
        <v>44320</v>
      </c>
      <c r="H1519" s="16" t="s">
        <v>13</v>
      </c>
      <c r="I1519" s="9">
        <f>MAX(original!I1519,piwebapi_edit!I1519,car_edit!I1519)</f>
        <v>63778.960700900003</v>
      </c>
      <c r="J1519" s="9">
        <f>MAX(original!J1519,piwebapi_edit!J1519,car_edit!J1519)</f>
        <v>471.83566000595403</v>
      </c>
      <c r="K1519" s="17"/>
    </row>
    <row r="1520" spans="1:11" x14ac:dyDescent="0.25">
      <c r="A1520" s="3" t="s">
        <v>3058</v>
      </c>
      <c r="B1520" s="4" t="s">
        <v>3059</v>
      </c>
      <c r="C1520" s="14">
        <v>282132</v>
      </c>
      <c r="D1520" s="16" t="s">
        <v>34</v>
      </c>
      <c r="E1520" s="16" t="s">
        <v>17</v>
      </c>
      <c r="F1520" s="15">
        <v>44369</v>
      </c>
      <c r="G1520" s="8">
        <f t="shared" si="23"/>
        <v>44369</v>
      </c>
      <c r="H1520" s="16" t="s">
        <v>13</v>
      </c>
      <c r="I1520" s="9">
        <f>MAX(original!I1520,piwebapi_edit!I1520,car_edit!I1520)</f>
        <v>15319.055704956501</v>
      </c>
      <c r="J1520" s="9">
        <f>MAX(original!J1520,piwebapi_edit!J1520,car_edit!J1520)</f>
        <v>117.366219461776</v>
      </c>
      <c r="K1520" s="17"/>
    </row>
    <row r="1521" spans="1:11" x14ac:dyDescent="0.25">
      <c r="A1521" s="3" t="s">
        <v>3060</v>
      </c>
      <c r="B1521" s="4" t="s">
        <v>3061</v>
      </c>
      <c r="C1521" s="14">
        <v>282469</v>
      </c>
      <c r="D1521" s="16" t="s">
        <v>11</v>
      </c>
      <c r="E1521" s="16" t="s">
        <v>12</v>
      </c>
      <c r="F1521" s="15">
        <v>44369</v>
      </c>
      <c r="G1521" s="8">
        <f t="shared" si="23"/>
        <v>44369</v>
      </c>
      <c r="H1521" s="16" t="s">
        <v>13</v>
      </c>
      <c r="I1521" s="9">
        <f>MAX(original!I1521,piwebapi_edit!I1521,car_edit!I1521)</f>
        <v>11389.279895465201</v>
      </c>
      <c r="J1521" s="9">
        <f>MAX(original!J1521,piwebapi_edit!J1521,car_edit!J1521)</f>
        <v>443.05305630658597</v>
      </c>
      <c r="K1521" s="17"/>
    </row>
    <row r="1522" spans="1:11" x14ac:dyDescent="0.25">
      <c r="A1522" s="3" t="s">
        <v>3062</v>
      </c>
      <c r="B1522" s="4" t="s">
        <v>3063</v>
      </c>
      <c r="C1522" s="14">
        <v>284076</v>
      </c>
      <c r="D1522" s="16" t="s">
        <v>34</v>
      </c>
      <c r="E1522" s="16" t="s">
        <v>17</v>
      </c>
      <c r="F1522" s="15">
        <v>44376</v>
      </c>
      <c r="G1522" s="8">
        <f t="shared" si="23"/>
        <v>44376</v>
      </c>
      <c r="H1522" s="16" t="s">
        <v>13</v>
      </c>
      <c r="I1522" s="9">
        <f>MAX(original!I1522,piwebapi_edit!I1522,car_edit!I1522)</f>
        <v>13343.8907887408</v>
      </c>
      <c r="J1522" s="9">
        <f>MAX(original!J1522,piwebapi_edit!J1522,car_edit!J1522)</f>
        <v>297.635584297641</v>
      </c>
      <c r="K1522" s="17"/>
    </row>
    <row r="1523" spans="1:11" x14ac:dyDescent="0.25">
      <c r="A1523" s="3" t="s">
        <v>3064</v>
      </c>
      <c r="B1523" s="4" t="s">
        <v>3065</v>
      </c>
      <c r="C1523" s="14">
        <v>281812</v>
      </c>
      <c r="D1523" s="16" t="s">
        <v>11</v>
      </c>
      <c r="E1523" s="16" t="s">
        <v>12</v>
      </c>
      <c r="F1523" s="15">
        <v>44376</v>
      </c>
      <c r="G1523" s="8">
        <f t="shared" si="23"/>
        <v>44376</v>
      </c>
      <c r="H1523" s="16" t="s">
        <v>39</v>
      </c>
      <c r="I1523" s="9">
        <f>MAX(original!I1523,piwebapi_edit!I1523,car_edit!I1523)</f>
        <v>23691.651107572401</v>
      </c>
      <c r="J1523" s="9">
        <f>MAX(original!J1523,piwebapi_edit!J1523,car_edit!J1523)</f>
        <v>187.81240058266701</v>
      </c>
      <c r="K1523" s="17"/>
    </row>
    <row r="1524" spans="1:11" x14ac:dyDescent="0.25">
      <c r="A1524" s="3" t="s">
        <v>3066</v>
      </c>
      <c r="B1524" s="4" t="s">
        <v>3067</v>
      </c>
      <c r="C1524" s="14">
        <v>281813</v>
      </c>
      <c r="D1524" s="16" t="s">
        <v>11</v>
      </c>
      <c r="E1524" s="16" t="s">
        <v>12</v>
      </c>
      <c r="F1524" s="15">
        <v>44376</v>
      </c>
      <c r="G1524" s="8">
        <f t="shared" si="23"/>
        <v>44376</v>
      </c>
      <c r="H1524" s="16" t="s">
        <v>39</v>
      </c>
      <c r="I1524" s="9">
        <f>MAX(original!I1524,piwebapi_edit!I1524,car_edit!I1524)</f>
        <v>29205.8696849015</v>
      </c>
      <c r="J1524" s="9">
        <f>MAX(original!J1524,piwebapi_edit!J1524,car_edit!J1524)</f>
        <v>135.50613245765999</v>
      </c>
      <c r="K1524" s="17"/>
    </row>
    <row r="1525" spans="1:11" x14ac:dyDescent="0.25">
      <c r="A1525" s="3" t="s">
        <v>3068</v>
      </c>
      <c r="B1525" s="4" t="s">
        <v>3069</v>
      </c>
      <c r="C1525" s="14">
        <v>284075</v>
      </c>
      <c r="D1525" s="16" t="s">
        <v>28</v>
      </c>
      <c r="E1525" s="16" t="s">
        <v>17</v>
      </c>
      <c r="F1525" s="15">
        <v>44376</v>
      </c>
      <c r="G1525" s="8">
        <f t="shared" si="23"/>
        <v>44376</v>
      </c>
      <c r="H1525" s="16" t="s">
        <v>13</v>
      </c>
      <c r="I1525" s="9">
        <f>MAX(original!I1525,piwebapi_edit!I1525,car_edit!I1525)</f>
        <v>7623.8205890395402</v>
      </c>
      <c r="J1525" s="9">
        <f>MAX(original!J1525,piwebapi_edit!J1525,car_edit!J1525)</f>
        <v>103.33894988160399</v>
      </c>
      <c r="K1525" s="17"/>
    </row>
    <row r="1526" spans="1:11" x14ac:dyDescent="0.25">
      <c r="A1526" s="3" t="s">
        <v>3070</v>
      </c>
      <c r="B1526" s="4" t="s">
        <v>3071</v>
      </c>
      <c r="C1526" s="14">
        <v>282500</v>
      </c>
      <c r="D1526" s="16" t="s">
        <v>16</v>
      </c>
      <c r="E1526" s="16" t="s">
        <v>17</v>
      </c>
      <c r="F1526" s="15">
        <v>44377</v>
      </c>
      <c r="G1526" s="8">
        <f t="shared" si="23"/>
        <v>44377</v>
      </c>
      <c r="H1526" s="16" t="s">
        <v>13</v>
      </c>
      <c r="I1526" s="9">
        <f>MAX(original!I1526,piwebapi_edit!I1526,car_edit!I1526)</f>
        <v>9524.7958279363793</v>
      </c>
      <c r="J1526" s="9">
        <f>MAX(original!J1526,piwebapi_edit!J1526,car_edit!J1526)</f>
        <v>239.431034442629</v>
      </c>
      <c r="K1526" s="17"/>
    </row>
    <row r="1527" spans="1:11" x14ac:dyDescent="0.25">
      <c r="A1527" s="3" t="s">
        <v>3072</v>
      </c>
      <c r="B1527" s="4" t="s">
        <v>3073</v>
      </c>
      <c r="C1527" s="14">
        <v>283412</v>
      </c>
      <c r="D1527" s="16" t="s">
        <v>34</v>
      </c>
      <c r="E1527" s="16" t="s">
        <v>17</v>
      </c>
      <c r="F1527" s="15">
        <v>44431</v>
      </c>
      <c r="G1527" s="8">
        <f t="shared" si="23"/>
        <v>44431</v>
      </c>
      <c r="H1527" s="16" t="s">
        <v>13</v>
      </c>
      <c r="I1527" s="9">
        <f>MAX(original!I1527,piwebapi_edit!I1527,car_edit!I1527)</f>
        <v>4095.5581621328097</v>
      </c>
      <c r="J1527" s="9">
        <f>MAX(original!J1527,piwebapi_edit!J1527,car_edit!J1527)</f>
        <v>76.737104705552099</v>
      </c>
      <c r="K1527" s="17"/>
    </row>
    <row r="1528" spans="1:11" x14ac:dyDescent="0.25">
      <c r="A1528" s="3" t="s">
        <v>3074</v>
      </c>
      <c r="B1528" s="4" t="s">
        <v>3075</v>
      </c>
      <c r="C1528" s="5">
        <v>284074</v>
      </c>
      <c r="D1528" s="16" t="s">
        <v>11</v>
      </c>
      <c r="E1528" s="16" t="s">
        <v>12</v>
      </c>
      <c r="F1528" s="15">
        <v>44431</v>
      </c>
      <c r="G1528" s="8">
        <f t="shared" si="23"/>
        <v>44431</v>
      </c>
      <c r="H1528" s="16" t="s">
        <v>13</v>
      </c>
      <c r="I1528" s="9">
        <f>MAX(original!I1528,piwebapi_edit!I1528,car_edit!I1528)</f>
        <v>20136.9728847808</v>
      </c>
      <c r="J1528" s="9">
        <f>MAX(original!J1528,piwebapi_edit!J1528,car_edit!J1528)</f>
        <v>522.32023744006301</v>
      </c>
      <c r="K1528" s="17"/>
    </row>
    <row r="1529" spans="1:11" x14ac:dyDescent="0.25">
      <c r="A1529" s="3" t="s">
        <v>3076</v>
      </c>
      <c r="B1529" s="4" t="s">
        <v>3077</v>
      </c>
      <c r="C1529" s="5">
        <v>284073</v>
      </c>
      <c r="D1529" s="16" t="s">
        <v>28</v>
      </c>
      <c r="E1529" s="16" t="s">
        <v>17</v>
      </c>
      <c r="F1529" s="15">
        <v>44434</v>
      </c>
      <c r="G1529" s="8">
        <f t="shared" si="23"/>
        <v>44434</v>
      </c>
      <c r="H1529" s="16" t="s">
        <v>13</v>
      </c>
      <c r="I1529" s="9">
        <f>MAX(original!I1529,piwebapi_edit!I1529,car_edit!I1529)</f>
        <v>46735.2178537211</v>
      </c>
      <c r="J1529" s="9">
        <f>MAX(original!J1529,piwebapi_edit!J1529,car_edit!J1529)</f>
        <v>554.68372063855998</v>
      </c>
      <c r="K1529" s="17"/>
    </row>
    <row r="1530" spans="1:11" x14ac:dyDescent="0.25">
      <c r="A1530" s="3" t="s">
        <v>3078</v>
      </c>
      <c r="B1530" s="4" t="s">
        <v>3079</v>
      </c>
      <c r="C1530" s="14">
        <v>284072</v>
      </c>
      <c r="D1530" s="16" t="s">
        <v>37</v>
      </c>
      <c r="E1530" s="16" t="s">
        <v>38</v>
      </c>
      <c r="F1530" s="15">
        <v>44453</v>
      </c>
      <c r="G1530" s="8">
        <f t="shared" si="23"/>
        <v>44453</v>
      </c>
      <c r="H1530" s="16" t="s">
        <v>39</v>
      </c>
      <c r="I1530" s="9">
        <f>MAX(original!I1530,piwebapi_edit!I1530,car_edit!I1530)</f>
        <v>15510.910466859799</v>
      </c>
      <c r="J1530" s="9">
        <f>MAX(original!J1530,piwebapi_edit!J1530,car_edit!J1530)</f>
        <v>86.501294237251301</v>
      </c>
      <c r="K1530" s="17"/>
    </row>
    <row r="1531" spans="1:11" x14ac:dyDescent="0.25">
      <c r="A1531" s="3" t="s">
        <v>3080</v>
      </c>
      <c r="B1531" s="4" t="s">
        <v>3081</v>
      </c>
      <c r="C1531" s="14">
        <v>284071</v>
      </c>
      <c r="D1531" s="16" t="s">
        <v>28</v>
      </c>
      <c r="E1531" s="16" t="s">
        <v>508</v>
      </c>
      <c r="F1531" s="15">
        <v>44476</v>
      </c>
      <c r="G1531" s="8">
        <f t="shared" si="23"/>
        <v>44476</v>
      </c>
      <c r="H1531" s="16" t="s">
        <v>509</v>
      </c>
      <c r="I1531" s="9">
        <f>MAX(original!I1531,piwebapi_edit!I1531,car_edit!I1531)</f>
        <v>26490.334162445801</v>
      </c>
      <c r="J1531" s="9">
        <f>MAX(original!J1531,piwebapi_edit!J1531,car_edit!J1531)</f>
        <v>390.87813317955198</v>
      </c>
      <c r="K1531" s="17"/>
    </row>
    <row r="1532" spans="1:11" x14ac:dyDescent="0.25">
      <c r="A1532" s="3" t="s">
        <v>3082</v>
      </c>
      <c r="B1532" s="4" t="s">
        <v>3083</v>
      </c>
      <c r="C1532" s="5">
        <v>284070</v>
      </c>
      <c r="D1532" s="16" t="s">
        <v>16</v>
      </c>
      <c r="E1532" s="16" t="s">
        <v>17</v>
      </c>
      <c r="F1532" s="15">
        <v>44494</v>
      </c>
      <c r="G1532" s="8">
        <f t="shared" si="23"/>
        <v>44494</v>
      </c>
      <c r="H1532" s="16" t="s">
        <v>13</v>
      </c>
      <c r="I1532" s="9">
        <f>MAX(original!I1532,piwebapi_edit!I1532,car_edit!I1532)</f>
        <v>29611.776036371601</v>
      </c>
      <c r="J1532" s="9">
        <f>MAX(original!J1532,piwebapi_edit!J1532,car_edit!J1532)</f>
        <v>285.85600587206397</v>
      </c>
      <c r="K1532" s="17"/>
    </row>
    <row r="1533" spans="1:11" x14ac:dyDescent="0.25">
      <c r="A1533" s="3" t="s">
        <v>3084</v>
      </c>
      <c r="B1533" s="4" t="s">
        <v>3085</v>
      </c>
      <c r="C1533" s="14">
        <v>284069</v>
      </c>
      <c r="D1533" s="16" t="s">
        <v>11</v>
      </c>
      <c r="E1533" s="16" t="s">
        <v>17</v>
      </c>
      <c r="F1533" s="15">
        <v>44504</v>
      </c>
      <c r="G1533" s="8">
        <f t="shared" si="23"/>
        <v>44504</v>
      </c>
      <c r="H1533" s="16" t="s">
        <v>13</v>
      </c>
      <c r="I1533" s="9">
        <f>MAX(original!I1533,piwebapi_edit!I1533,car_edit!I1533)</f>
        <v>19157.4221013106</v>
      </c>
      <c r="J1533" s="9">
        <f>MAX(original!J1533,piwebapi_edit!J1533,car_edit!J1533)</f>
        <v>281.19814201928102</v>
      </c>
      <c r="K1533" s="17"/>
    </row>
    <row r="1534" spans="1:11" x14ac:dyDescent="0.25">
      <c r="A1534" s="3" t="s">
        <v>3086</v>
      </c>
      <c r="B1534" s="4" t="s">
        <v>3087</v>
      </c>
      <c r="C1534" s="14">
        <v>284068</v>
      </c>
      <c r="D1534" s="16" t="s">
        <v>34</v>
      </c>
      <c r="E1534" s="16" t="s">
        <v>17</v>
      </c>
      <c r="F1534" s="15">
        <v>44504</v>
      </c>
      <c r="G1534" s="8">
        <f t="shared" si="23"/>
        <v>44504</v>
      </c>
      <c r="H1534" s="16" t="s">
        <v>13</v>
      </c>
      <c r="I1534" s="9">
        <f>MAX(original!I1534,piwebapi_edit!I1534,car_edit!I1534)</f>
        <v>13200.4317559267</v>
      </c>
      <c r="J1534" s="9">
        <f>MAX(original!J1534,piwebapi_edit!J1534,car_edit!J1534)</f>
        <v>260.29327663117903</v>
      </c>
      <c r="K1534" s="17"/>
    </row>
    <row r="1535" spans="1:11" x14ac:dyDescent="0.25">
      <c r="A1535" s="3" t="s">
        <v>3088</v>
      </c>
      <c r="B1535" s="4" t="s">
        <v>3089</v>
      </c>
      <c r="C1535" s="14">
        <v>284067</v>
      </c>
      <c r="D1535" s="16" t="s">
        <v>16</v>
      </c>
      <c r="E1535" s="16" t="s">
        <v>17</v>
      </c>
      <c r="F1535" s="15">
        <v>44531</v>
      </c>
      <c r="G1535" s="8">
        <f t="shared" si="23"/>
        <v>44531</v>
      </c>
      <c r="H1535" s="16" t="s">
        <v>13</v>
      </c>
      <c r="I1535" s="9">
        <f>MAX(original!I1535,piwebapi_edit!I1535,car_edit!I1535)</f>
        <v>14400.563783976701</v>
      </c>
      <c r="J1535" s="9">
        <f>MAX(original!J1535,piwebapi_edit!J1535,car_edit!J1535)</f>
        <v>146.52904110190701</v>
      </c>
      <c r="K1535" s="17"/>
    </row>
    <row r="1536" spans="1:11" x14ac:dyDescent="0.25">
      <c r="A1536" s="3" t="s">
        <v>3090</v>
      </c>
      <c r="B1536" s="4" t="s">
        <v>3091</v>
      </c>
      <c r="C1536" s="5">
        <v>283764</v>
      </c>
      <c r="D1536" s="16" t="s">
        <v>11</v>
      </c>
      <c r="E1536" s="16" t="s">
        <v>17</v>
      </c>
      <c r="F1536" s="15">
        <v>44531</v>
      </c>
      <c r="G1536" s="8">
        <f t="shared" si="23"/>
        <v>44531</v>
      </c>
      <c r="H1536" s="16" t="s">
        <v>13</v>
      </c>
      <c r="I1536" s="9">
        <f>MAX(original!I1536,piwebapi_edit!I1536,car_edit!I1536)</f>
        <v>29777.2905404304</v>
      </c>
      <c r="J1536" s="9">
        <f>MAX(original!J1536,piwebapi_edit!J1536,car_edit!J1536)</f>
        <v>514.46454881545606</v>
      </c>
      <c r="K1536" s="17"/>
    </row>
    <row r="1537" spans="1:11" x14ac:dyDescent="0.25">
      <c r="A1537" s="3" t="s">
        <v>3092</v>
      </c>
      <c r="B1537" s="4" t="s">
        <v>3093</v>
      </c>
      <c r="C1537" s="14">
        <v>284066</v>
      </c>
      <c r="D1537" s="16" t="s">
        <v>11</v>
      </c>
      <c r="E1537" s="16" t="s">
        <v>17</v>
      </c>
      <c r="F1537" s="15">
        <v>44621</v>
      </c>
      <c r="G1537" s="8">
        <f t="shared" si="23"/>
        <v>44621</v>
      </c>
      <c r="H1537" s="16" t="s">
        <v>13</v>
      </c>
      <c r="I1537" s="9">
        <f>MAX(original!I1537,piwebapi_edit!I1537,car_edit!I1537)</f>
        <v>23094.952144461502</v>
      </c>
      <c r="J1537" s="9">
        <f>MAX(original!J1537,piwebapi_edit!J1537,car_edit!J1537)</f>
        <v>164.422671840231</v>
      </c>
      <c r="K1537" s="17"/>
    </row>
    <row r="1538" spans="1:11" x14ac:dyDescent="0.25">
      <c r="A1538" s="3" t="s">
        <v>3094</v>
      </c>
      <c r="B1538" s="4" t="s">
        <v>3095</v>
      </c>
      <c r="C1538" s="5">
        <v>284065</v>
      </c>
      <c r="D1538" s="16" t="s">
        <v>11</v>
      </c>
      <c r="E1538" s="16" t="s">
        <v>17</v>
      </c>
      <c r="F1538" s="15">
        <v>44622</v>
      </c>
      <c r="G1538" s="8">
        <f t="shared" ref="G1538:G1601" si="24">F1538</f>
        <v>44622</v>
      </c>
      <c r="H1538" s="16" t="s">
        <v>13</v>
      </c>
      <c r="I1538" s="9">
        <f>MAX(original!I1538,piwebapi_edit!I1538,car_edit!I1538)</f>
        <v>14542.389454808899</v>
      </c>
      <c r="J1538" s="9">
        <f>MAX(original!J1538,piwebapi_edit!J1538,car_edit!J1538)</f>
        <v>832.70815898113699</v>
      </c>
      <c r="K1538" s="17"/>
    </row>
    <row r="1539" spans="1:11" x14ac:dyDescent="0.25">
      <c r="A1539" s="3" t="s">
        <v>3096</v>
      </c>
      <c r="B1539" s="4" t="s">
        <v>3097</v>
      </c>
      <c r="C1539" s="14">
        <v>284078</v>
      </c>
      <c r="D1539" s="16" t="s">
        <v>16</v>
      </c>
      <c r="E1539" s="16" t="s">
        <v>17</v>
      </c>
      <c r="F1539" s="15">
        <v>44635</v>
      </c>
      <c r="G1539" s="8">
        <f t="shared" si="24"/>
        <v>44635</v>
      </c>
      <c r="H1539" s="16" t="s">
        <v>13</v>
      </c>
      <c r="I1539" s="9">
        <f>MAX(original!I1539,piwebapi_edit!I1539,car_edit!I1539)</f>
        <v>12944.014248547899</v>
      </c>
      <c r="J1539" s="9">
        <f>MAX(original!J1539,piwebapi_edit!J1539,car_edit!J1539)</f>
        <v>173.32813834917599</v>
      </c>
      <c r="K1539" s="17"/>
    </row>
    <row r="1540" spans="1:11" x14ac:dyDescent="0.25">
      <c r="A1540" s="3" t="s">
        <v>3099</v>
      </c>
      <c r="B1540" s="4" t="s">
        <v>3100</v>
      </c>
      <c r="C1540" s="14">
        <v>284084</v>
      </c>
      <c r="D1540" s="17" t="s">
        <v>16</v>
      </c>
      <c r="E1540" s="17" t="s">
        <v>17</v>
      </c>
      <c r="F1540" s="15">
        <v>44636</v>
      </c>
      <c r="G1540" s="8">
        <f t="shared" si="24"/>
        <v>44636</v>
      </c>
      <c r="H1540" s="17" t="s">
        <v>13</v>
      </c>
      <c r="I1540" s="9">
        <f>MAX(original!I1540,piwebapi_edit!I1540,car_edit!I1540)</f>
        <v>2492.3262039534698</v>
      </c>
      <c r="J1540" s="9">
        <f>MAX(original!J1540,piwebapi_edit!J1540,car_edit!J1540)</f>
        <v>381.03223027631998</v>
      </c>
      <c r="K1540" s="17"/>
    </row>
    <row r="1541" spans="1:11" x14ac:dyDescent="0.25">
      <c r="A1541" s="3" t="s">
        <v>3101</v>
      </c>
      <c r="B1541" s="4" t="s">
        <v>3102</v>
      </c>
      <c r="C1541" s="14">
        <v>285013</v>
      </c>
      <c r="D1541" s="17" t="s">
        <v>28</v>
      </c>
      <c r="E1541" s="17" t="s">
        <v>17</v>
      </c>
      <c r="F1541" s="15">
        <v>44652</v>
      </c>
      <c r="G1541" s="8">
        <f t="shared" si="24"/>
        <v>44652</v>
      </c>
      <c r="H1541" s="17" t="s">
        <v>13</v>
      </c>
      <c r="I1541" s="9">
        <f>MAX(original!I1541,piwebapi_edit!I1541,car_edit!I1541)</f>
        <v>10305.5469295814</v>
      </c>
      <c r="J1541" s="9">
        <f>MAX(original!J1541,piwebapi_edit!J1541,car_edit!J1541)</f>
        <v>408.517181687169</v>
      </c>
      <c r="K1541" s="17"/>
    </row>
    <row r="1542" spans="1:11" x14ac:dyDescent="0.25">
      <c r="A1542" s="3" t="s">
        <v>3103</v>
      </c>
      <c r="B1542" s="4" t="s">
        <v>3104</v>
      </c>
      <c r="C1542" s="14">
        <v>285012</v>
      </c>
      <c r="D1542" s="17" t="s">
        <v>11</v>
      </c>
      <c r="E1542" s="17" t="s">
        <v>12</v>
      </c>
      <c r="F1542" s="15">
        <v>44652</v>
      </c>
      <c r="G1542" s="8">
        <f t="shared" si="24"/>
        <v>44652</v>
      </c>
      <c r="H1542" s="17" t="s">
        <v>39</v>
      </c>
      <c r="I1542" s="9">
        <f>MAX(original!I1542,piwebapi_edit!I1542,car_edit!I1542)</f>
        <v>21415.841565479401</v>
      </c>
      <c r="J1542" s="9">
        <f>MAX(original!J1542,piwebapi_edit!J1542,car_edit!J1542)</f>
        <v>208.927626886795</v>
      </c>
      <c r="K1542" s="17"/>
    </row>
    <row r="1543" spans="1:11" x14ac:dyDescent="0.25">
      <c r="A1543" s="3" t="s">
        <v>3105</v>
      </c>
      <c r="B1543" s="4" t="s">
        <v>3106</v>
      </c>
      <c r="C1543" s="54">
        <v>286004</v>
      </c>
      <c r="D1543" s="17" t="s">
        <v>3107</v>
      </c>
      <c r="E1543" s="17" t="s">
        <v>17</v>
      </c>
      <c r="F1543" s="15">
        <v>44682</v>
      </c>
      <c r="G1543" s="8">
        <f t="shared" si="24"/>
        <v>44682</v>
      </c>
      <c r="H1543" s="8" t="s">
        <v>13</v>
      </c>
      <c r="I1543" s="9">
        <f>MAX(original!I1543,piwebapi_edit!I1543,car_edit!I1543)</f>
        <v>16808.786133621899</v>
      </c>
      <c r="J1543" s="9">
        <f>MAX(original!J1543,piwebapi_edit!J1543,car_edit!J1543)</f>
        <v>101.58962302591701</v>
      </c>
      <c r="K1543" s="17"/>
    </row>
    <row r="1544" spans="1:11" x14ac:dyDescent="0.25">
      <c r="A1544" s="3" t="s">
        <v>3108</v>
      </c>
      <c r="B1544" s="4" t="s">
        <v>3109</v>
      </c>
      <c r="C1544" s="54">
        <v>286629</v>
      </c>
      <c r="D1544" s="17" t="s">
        <v>16</v>
      </c>
      <c r="E1544" s="17" t="s">
        <v>17</v>
      </c>
      <c r="F1544" s="15">
        <v>44687</v>
      </c>
      <c r="G1544" s="8">
        <f t="shared" si="24"/>
        <v>44687</v>
      </c>
      <c r="H1544" s="8" t="s">
        <v>13</v>
      </c>
      <c r="I1544" s="9">
        <f>MAX(original!I1544,piwebapi_edit!I1544,car_edit!I1544)</f>
        <v>5434.5417196215603</v>
      </c>
      <c r="J1544" s="9">
        <f>MAX(original!J1544,piwebapi_edit!J1544,car_edit!J1544)</f>
        <v>118.500884737443</v>
      </c>
      <c r="K1544" s="17"/>
    </row>
    <row r="1545" spans="1:11" x14ac:dyDescent="0.25">
      <c r="A1545" s="3" t="s">
        <v>3110</v>
      </c>
      <c r="B1545" s="4" t="s">
        <v>3111</v>
      </c>
      <c r="C1545" s="5">
        <v>286628</v>
      </c>
      <c r="D1545" s="17" t="s">
        <v>37</v>
      </c>
      <c r="E1545" s="17" t="s">
        <v>38</v>
      </c>
      <c r="F1545" s="15">
        <v>44687</v>
      </c>
      <c r="G1545" s="8">
        <f t="shared" si="24"/>
        <v>44687</v>
      </c>
      <c r="H1545" s="8" t="s">
        <v>39</v>
      </c>
      <c r="I1545" s="9">
        <f>MAX(original!I1545,piwebapi_edit!I1545,car_edit!I1545)</f>
        <v>25869.2580796724</v>
      </c>
      <c r="J1545" s="9">
        <f>MAX(original!J1545,piwebapi_edit!J1545,car_edit!J1545)</f>
        <v>427.30426035197598</v>
      </c>
      <c r="K1545" s="17"/>
    </row>
    <row r="1546" spans="1:11" x14ac:dyDescent="0.25">
      <c r="A1546" s="3" t="s">
        <v>3112</v>
      </c>
      <c r="B1546" s="4" t="s">
        <v>3113</v>
      </c>
      <c r="C1546" s="5">
        <v>286613</v>
      </c>
      <c r="D1546" s="17" t="s">
        <v>11</v>
      </c>
      <c r="E1546" s="17" t="s">
        <v>12</v>
      </c>
      <c r="F1546" s="15">
        <v>44691</v>
      </c>
      <c r="G1546" s="8">
        <f t="shared" si="24"/>
        <v>44691</v>
      </c>
      <c r="H1546" s="8" t="s">
        <v>39</v>
      </c>
      <c r="I1546" s="9">
        <f>MAX(original!I1546,piwebapi_edit!I1546,car_edit!I1546)</f>
        <v>37467.397371885905</v>
      </c>
      <c r="J1546" s="9">
        <f>MAX(original!J1546,piwebapi_edit!J1546,car_edit!J1546)</f>
        <v>392.38251602417699</v>
      </c>
      <c r="K1546" s="17"/>
    </row>
    <row r="1547" spans="1:11" x14ac:dyDescent="0.25">
      <c r="A1547" s="3" t="s">
        <v>3114</v>
      </c>
      <c r="B1547" s="4" t="s">
        <v>3115</v>
      </c>
      <c r="C1547" s="54">
        <v>286948</v>
      </c>
      <c r="D1547" s="17" t="s">
        <v>3116</v>
      </c>
      <c r="E1547" s="17" t="s">
        <v>17</v>
      </c>
      <c r="F1547" s="15">
        <v>44713</v>
      </c>
      <c r="G1547" s="8">
        <f t="shared" si="24"/>
        <v>44713</v>
      </c>
      <c r="H1547" s="8" t="s">
        <v>13</v>
      </c>
      <c r="I1547" s="9">
        <f>MAX(original!I1547,piwebapi_edit!I1547,car_edit!I1547)</f>
        <v>9633.1426096555806</v>
      </c>
      <c r="J1547" s="9">
        <f>MAX(original!J1547,piwebapi_edit!J1547,car_edit!J1547)</f>
        <v>197.689339839372</v>
      </c>
      <c r="K1547" s="17"/>
    </row>
    <row r="1548" spans="1:11" x14ac:dyDescent="0.25">
      <c r="A1548" s="3" t="s">
        <v>3117</v>
      </c>
      <c r="B1548" s="4" t="s">
        <v>3118</v>
      </c>
      <c r="C1548" s="54">
        <v>286949</v>
      </c>
      <c r="D1548" s="17" t="s">
        <v>3119</v>
      </c>
      <c r="E1548" s="17" t="s">
        <v>17</v>
      </c>
      <c r="F1548" s="15">
        <v>44714</v>
      </c>
      <c r="G1548" s="8">
        <f t="shared" si="24"/>
        <v>44714</v>
      </c>
      <c r="H1548" s="8" t="s">
        <v>13</v>
      </c>
      <c r="I1548" s="9">
        <f>MAX(original!I1548,piwebapi_edit!I1548,car_edit!I1548)</f>
        <v>11812.8716408125</v>
      </c>
      <c r="J1548" s="9">
        <f>MAX(original!J1548,piwebapi_edit!J1548,car_edit!J1548)</f>
        <v>264.05531110501801</v>
      </c>
      <c r="K1548" s="17"/>
    </row>
    <row r="1549" spans="1:11" x14ac:dyDescent="0.25">
      <c r="A1549" s="3" t="s">
        <v>3120</v>
      </c>
      <c r="B1549" s="4" t="s">
        <v>3121</v>
      </c>
      <c r="C1549" s="5">
        <v>288980</v>
      </c>
      <c r="D1549" s="17" t="s">
        <v>3119</v>
      </c>
      <c r="E1549" s="17" t="s">
        <v>17</v>
      </c>
      <c r="F1549" s="15">
        <v>44715</v>
      </c>
      <c r="G1549" s="8">
        <f t="shared" si="24"/>
        <v>44715</v>
      </c>
      <c r="H1549" s="8" t="s">
        <v>13</v>
      </c>
      <c r="I1549" s="9">
        <f>MAX(original!I1549,piwebapi_edit!I1549,car_edit!I1549)</f>
        <v>10330.044351632299</v>
      </c>
      <c r="J1549" s="9">
        <f>MAX(original!J1549,piwebapi_edit!J1549,car_edit!J1549)</f>
        <v>169.32597798107699</v>
      </c>
      <c r="K1549" s="17"/>
    </row>
    <row r="1550" spans="1:11" x14ac:dyDescent="0.25">
      <c r="A1550" s="3" t="s">
        <v>3122</v>
      </c>
      <c r="B1550" s="4" t="s">
        <v>3123</v>
      </c>
      <c r="C1550" s="5">
        <v>287252</v>
      </c>
      <c r="D1550" s="17" t="s">
        <v>3124</v>
      </c>
      <c r="E1550" s="17" t="s">
        <v>12</v>
      </c>
      <c r="F1550" s="15">
        <v>44716</v>
      </c>
      <c r="G1550" s="8">
        <f t="shared" si="24"/>
        <v>44716</v>
      </c>
      <c r="H1550" s="8" t="s">
        <v>39</v>
      </c>
      <c r="I1550" s="9">
        <f>MAX(original!I1550,piwebapi_edit!I1550,car_edit!I1550)</f>
        <v>23411.663835694799</v>
      </c>
      <c r="J1550" s="9">
        <f>MAX(original!J1550,piwebapi_edit!J1550,car_edit!J1550)</f>
        <v>362.45159506135701</v>
      </c>
      <c r="K1550" s="17"/>
    </row>
    <row r="1551" spans="1:11" x14ac:dyDescent="0.25">
      <c r="A1551" s="3" t="s">
        <v>3125</v>
      </c>
      <c r="B1551" s="4" t="s">
        <v>3126</v>
      </c>
      <c r="C1551" s="54">
        <v>287268</v>
      </c>
      <c r="D1551" s="17" t="s">
        <v>3116</v>
      </c>
      <c r="E1551" s="17" t="s">
        <v>17</v>
      </c>
      <c r="F1551" s="15">
        <v>44717</v>
      </c>
      <c r="G1551" s="8">
        <f t="shared" si="24"/>
        <v>44717</v>
      </c>
      <c r="H1551" s="8" t="s">
        <v>13</v>
      </c>
      <c r="I1551" s="9">
        <f>MAX(original!I1551,piwebapi_edit!I1551,car_edit!I1551)</f>
        <v>41112.448666988297</v>
      </c>
      <c r="J1551" s="9">
        <f>MAX(original!J1551,piwebapi_edit!J1551,car_edit!J1551)</f>
        <v>538.31941714899995</v>
      </c>
      <c r="K1551" s="17"/>
    </row>
    <row r="1552" spans="1:11" x14ac:dyDescent="0.25">
      <c r="A1552" s="3" t="s">
        <v>3127</v>
      </c>
      <c r="B1552" s="4" t="s">
        <v>3128</v>
      </c>
      <c r="C1552" s="54">
        <v>287572</v>
      </c>
      <c r="D1552" s="17" t="s">
        <v>3129</v>
      </c>
      <c r="E1552" s="17" t="s">
        <v>38</v>
      </c>
      <c r="F1552" s="15">
        <v>44718</v>
      </c>
      <c r="G1552" s="8">
        <f t="shared" si="24"/>
        <v>44718</v>
      </c>
      <c r="H1552" s="8" t="s">
        <v>39</v>
      </c>
      <c r="I1552" s="9">
        <f>MAX(original!I1552,piwebapi_edit!I1552,car_edit!I1552)</f>
        <v>14862.607262347399</v>
      </c>
      <c r="J1552" s="9">
        <f>MAX(original!J1552,piwebapi_edit!J1552,car_edit!J1552)</f>
        <v>168.86815815134</v>
      </c>
      <c r="K1552" s="17"/>
    </row>
    <row r="1553" spans="1:11" x14ac:dyDescent="0.25">
      <c r="A1553" s="3" t="s">
        <v>3130</v>
      </c>
      <c r="B1553" s="4" t="s">
        <v>3131</v>
      </c>
      <c r="C1553" s="54">
        <v>288212</v>
      </c>
      <c r="D1553" s="17" t="s">
        <v>11</v>
      </c>
      <c r="E1553" s="17" t="s">
        <v>12</v>
      </c>
      <c r="F1553" s="15">
        <v>44719</v>
      </c>
      <c r="G1553" s="8">
        <f t="shared" si="24"/>
        <v>44719</v>
      </c>
      <c r="H1553" s="8" t="s">
        <v>39</v>
      </c>
      <c r="I1553" s="9">
        <f>MAX(original!I1553,piwebapi_edit!I1553,car_edit!I1553)</f>
        <v>67511.722133474701</v>
      </c>
      <c r="J1553" s="9">
        <f>MAX(original!J1553,piwebapi_edit!J1553,car_edit!J1553)</f>
        <v>611.505537094381</v>
      </c>
      <c r="K1553" s="17"/>
    </row>
    <row r="1554" spans="1:11" x14ac:dyDescent="0.25">
      <c r="A1554" s="3" t="s">
        <v>3132</v>
      </c>
      <c r="B1554" s="4" t="s">
        <v>3133</v>
      </c>
      <c r="C1554" s="54">
        <v>288852</v>
      </c>
      <c r="D1554" s="17" t="s">
        <v>11</v>
      </c>
      <c r="E1554" s="17" t="s">
        <v>12</v>
      </c>
      <c r="F1554" s="15">
        <v>44720</v>
      </c>
      <c r="G1554" s="8">
        <f t="shared" si="24"/>
        <v>44720</v>
      </c>
      <c r="H1554" s="8" t="s">
        <v>39</v>
      </c>
      <c r="I1554" s="9">
        <f>MAX(original!I1554,piwebapi_edit!I1554,car_edit!I1554)</f>
        <v>10137.271320669899</v>
      </c>
      <c r="J1554" s="9">
        <f>MAX(original!J1554,piwebapi_edit!J1554,car_edit!J1554)</f>
        <v>447.63569457807699</v>
      </c>
      <c r="K1554" s="17"/>
    </row>
    <row r="1555" spans="1:11" x14ac:dyDescent="0.25">
      <c r="A1555" s="3" t="s">
        <v>3134</v>
      </c>
      <c r="B1555" s="4" t="s">
        <v>3135</v>
      </c>
      <c r="C1555" s="5">
        <v>288853</v>
      </c>
      <c r="D1555" s="17" t="s">
        <v>31</v>
      </c>
      <c r="E1555" s="17" t="s">
        <v>17</v>
      </c>
      <c r="F1555" s="15">
        <v>44721</v>
      </c>
      <c r="G1555" s="8">
        <f t="shared" si="24"/>
        <v>44721</v>
      </c>
      <c r="H1555" s="8" t="s">
        <v>13</v>
      </c>
      <c r="I1555" s="9">
        <f>MAX(original!I1555,piwebapi_edit!I1555,car_edit!I1555)</f>
        <v>135335.555306836</v>
      </c>
      <c r="J1555" s="9">
        <f>MAX(original!J1555,piwebapi_edit!J1555,car_edit!J1555)</f>
        <v>588.05869267153196</v>
      </c>
      <c r="K1555" s="17"/>
    </row>
    <row r="1556" spans="1:11" x14ac:dyDescent="0.25">
      <c r="A1556" s="3" t="s">
        <v>3136</v>
      </c>
      <c r="B1556" s="4" t="s">
        <v>3137</v>
      </c>
      <c r="C1556" s="54">
        <v>288916</v>
      </c>
      <c r="D1556" s="17" t="s">
        <v>11</v>
      </c>
      <c r="E1556" s="17" t="s">
        <v>12</v>
      </c>
      <c r="F1556" s="15">
        <v>44722</v>
      </c>
      <c r="G1556" s="8">
        <f t="shared" si="24"/>
        <v>44722</v>
      </c>
      <c r="H1556" s="8" t="s">
        <v>39</v>
      </c>
      <c r="I1556" s="9">
        <f>MAX(original!I1556,piwebapi_edit!I1556,car_edit!I1556)</f>
        <v>3737.75694062199</v>
      </c>
      <c r="J1556" s="9">
        <f>MAX(original!J1556,piwebapi_edit!J1556,car_edit!J1556)</f>
        <v>90.608444154902202</v>
      </c>
      <c r="K1556" s="17"/>
    </row>
    <row r="1557" spans="1:11" x14ac:dyDescent="0.25">
      <c r="A1557" s="3" t="s">
        <v>3138</v>
      </c>
      <c r="B1557" s="4" t="s">
        <v>3139</v>
      </c>
      <c r="C1557" s="5">
        <v>288932</v>
      </c>
      <c r="D1557" s="17" t="s">
        <v>34</v>
      </c>
      <c r="E1557" s="17" t="s">
        <v>17</v>
      </c>
      <c r="F1557" s="15">
        <v>44723</v>
      </c>
      <c r="G1557" s="8">
        <f t="shared" si="24"/>
        <v>44723</v>
      </c>
      <c r="H1557" s="8" t="s">
        <v>13</v>
      </c>
      <c r="I1557" s="9">
        <f>MAX(original!I1557,piwebapi_edit!I1557,car_edit!I1557)</f>
        <v>9159.3005077983398</v>
      </c>
      <c r="J1557" s="9">
        <f>MAX(original!J1557,piwebapi_edit!J1557,car_edit!J1557)</f>
        <v>118.237826337188</v>
      </c>
      <c r="K1557" s="17"/>
    </row>
    <row r="1558" spans="1:11" x14ac:dyDescent="0.25">
      <c r="A1558" s="3" t="s">
        <v>3140</v>
      </c>
      <c r="B1558" s="4" t="s">
        <v>3141</v>
      </c>
      <c r="C1558" s="54">
        <v>288933</v>
      </c>
      <c r="D1558" s="17" t="s">
        <v>34</v>
      </c>
      <c r="E1558" s="17" t="s">
        <v>17</v>
      </c>
      <c r="F1558" s="15">
        <v>44724</v>
      </c>
      <c r="G1558" s="8">
        <f t="shared" si="24"/>
        <v>44724</v>
      </c>
      <c r="H1558" s="8" t="s">
        <v>13</v>
      </c>
      <c r="I1558" s="9">
        <f>MAX(original!I1558,piwebapi_edit!I1558,car_edit!I1558)</f>
        <v>12180.88346273</v>
      </c>
      <c r="J1558" s="9">
        <f>MAX(original!J1558,piwebapi_edit!J1558,car_edit!J1558)</f>
        <v>284.492540974012</v>
      </c>
      <c r="K1558" s="17"/>
    </row>
    <row r="1559" spans="1:11" x14ac:dyDescent="0.25">
      <c r="A1559" s="3" t="s">
        <v>3142</v>
      </c>
      <c r="B1559" s="4" t="s">
        <v>3143</v>
      </c>
      <c r="C1559" s="54">
        <v>288884</v>
      </c>
      <c r="D1559" s="17" t="s">
        <v>16</v>
      </c>
      <c r="E1559" s="17" t="s">
        <v>17</v>
      </c>
      <c r="F1559" s="15">
        <v>44725</v>
      </c>
      <c r="G1559" s="8">
        <f t="shared" si="24"/>
        <v>44725</v>
      </c>
      <c r="H1559" s="8" t="s">
        <v>13</v>
      </c>
      <c r="I1559" s="9">
        <f>MAX(original!I1559,piwebapi_edit!I1559,car_edit!I1559)</f>
        <v>37873.679953897401</v>
      </c>
      <c r="J1559" s="9">
        <f>MAX(original!J1559,piwebapi_edit!J1559,car_edit!J1559)</f>
        <v>392.90121510622299</v>
      </c>
      <c r="K1559" s="17"/>
    </row>
    <row r="1560" spans="1:11" x14ac:dyDescent="0.25">
      <c r="A1560" s="3" t="s">
        <v>3144</v>
      </c>
      <c r="B1560" s="4" t="s">
        <v>3145</v>
      </c>
      <c r="C1560" s="54">
        <v>289188</v>
      </c>
      <c r="D1560" s="17" t="s">
        <v>11</v>
      </c>
      <c r="E1560" s="17" t="s">
        <v>12</v>
      </c>
      <c r="F1560" s="15">
        <v>44726</v>
      </c>
      <c r="G1560" s="8">
        <f t="shared" si="24"/>
        <v>44726</v>
      </c>
      <c r="H1560" s="8" t="s">
        <v>39</v>
      </c>
      <c r="I1560" s="9">
        <f>MAX(original!I1560,piwebapi_edit!I1560,car_edit!I1560)</f>
        <v>18196.725121580399</v>
      </c>
      <c r="J1560" s="9">
        <f>MAX(original!J1560,piwebapi_edit!J1560,car_edit!J1560)</f>
        <v>197.55897258835299</v>
      </c>
      <c r="K1560" s="17"/>
    </row>
    <row r="1561" spans="1:11" x14ac:dyDescent="0.25">
      <c r="A1561" s="3" t="s">
        <v>3146</v>
      </c>
      <c r="B1561" s="4" t="s">
        <v>3147</v>
      </c>
      <c r="C1561" s="5">
        <v>289204</v>
      </c>
      <c r="D1561" s="17" t="s">
        <v>31</v>
      </c>
      <c r="E1561" s="17" t="s">
        <v>17</v>
      </c>
      <c r="F1561" s="15">
        <v>44797</v>
      </c>
      <c r="G1561" s="8">
        <f t="shared" si="24"/>
        <v>44797</v>
      </c>
      <c r="H1561" s="8" t="s">
        <v>13</v>
      </c>
      <c r="I1561" s="9">
        <f>MAX(original!I1561,piwebapi_edit!I1561,car_edit!I1561)</f>
        <v>22708.891457172002</v>
      </c>
      <c r="J1561" s="9">
        <f>MAX(original!J1561,piwebapi_edit!J1561,car_edit!J1561)</f>
        <v>404.33988343289201</v>
      </c>
      <c r="K1561" s="17"/>
    </row>
    <row r="1562" spans="1:11" x14ac:dyDescent="0.25">
      <c r="A1562" s="3" t="s">
        <v>3148</v>
      </c>
      <c r="B1562" s="4" t="s">
        <v>3149</v>
      </c>
      <c r="C1562" s="54">
        <v>289622</v>
      </c>
      <c r="D1562" s="17" t="s">
        <v>11</v>
      </c>
      <c r="E1562" s="17" t="s">
        <v>12</v>
      </c>
      <c r="F1562" s="15">
        <v>44802</v>
      </c>
      <c r="G1562" s="8">
        <f t="shared" si="24"/>
        <v>44802</v>
      </c>
      <c r="H1562" s="8" t="s">
        <v>39</v>
      </c>
      <c r="I1562" s="9">
        <f>MAX(original!I1562,piwebapi_edit!I1562,car_edit!I1562)</f>
        <v>22376.005822629901</v>
      </c>
      <c r="J1562" s="9">
        <f>MAX(original!J1562,piwebapi_edit!J1562,car_edit!J1562)</f>
        <v>372.49148141687999</v>
      </c>
      <c r="K1562" s="17"/>
    </row>
    <row r="1563" spans="1:11" x14ac:dyDescent="0.25">
      <c r="A1563" s="3" t="s">
        <v>3150</v>
      </c>
      <c r="B1563" s="4" t="s">
        <v>3151</v>
      </c>
      <c r="C1563" s="54">
        <v>289631</v>
      </c>
      <c r="D1563" s="17" t="s">
        <v>34</v>
      </c>
      <c r="E1563" s="17" t="s">
        <v>17</v>
      </c>
      <c r="F1563" s="15">
        <v>44805</v>
      </c>
      <c r="G1563" s="8">
        <f t="shared" si="24"/>
        <v>44805</v>
      </c>
      <c r="H1563" s="8" t="s">
        <v>13</v>
      </c>
      <c r="I1563" s="9">
        <f>MAX(original!I1563,piwebapi_edit!I1563,car_edit!I1563)</f>
        <v>6293.8660230195101</v>
      </c>
      <c r="J1563" s="9">
        <f>MAX(original!J1563,piwebapi_edit!J1563,car_edit!J1563)</f>
        <v>151.562453060574</v>
      </c>
      <c r="K1563" s="17"/>
    </row>
    <row r="1564" spans="1:11" x14ac:dyDescent="0.25">
      <c r="A1564" s="3" t="s">
        <v>3152</v>
      </c>
      <c r="B1564" s="4" t="s">
        <v>3153</v>
      </c>
      <c r="C1564" s="54">
        <v>293231</v>
      </c>
      <c r="D1564" s="17" t="s">
        <v>3129</v>
      </c>
      <c r="E1564" s="17" t="s">
        <v>38</v>
      </c>
      <c r="F1564" s="15">
        <v>44868</v>
      </c>
      <c r="G1564" s="8">
        <f t="shared" si="24"/>
        <v>44868</v>
      </c>
      <c r="H1564" s="8" t="s">
        <v>39</v>
      </c>
      <c r="I1564" s="9">
        <f>MAX(original!I1564,piwebapi_edit!I1564,car_edit!I1564)</f>
        <v>0</v>
      </c>
      <c r="J1564" s="9">
        <f>MAX(original!J1564,piwebapi_edit!J1564,car_edit!J1564)</f>
        <v>0</v>
      </c>
      <c r="K1564" s="17"/>
    </row>
    <row r="1565" spans="1:11" x14ac:dyDescent="0.25">
      <c r="A1565" s="3" t="s">
        <v>3154</v>
      </c>
      <c r="B1565" s="4" t="s">
        <v>3155</v>
      </c>
      <c r="C1565" s="5">
        <v>296432</v>
      </c>
      <c r="D1565" s="17" t="s">
        <v>28</v>
      </c>
      <c r="E1565" s="17" t="s">
        <v>17</v>
      </c>
      <c r="F1565" s="15">
        <v>44916</v>
      </c>
      <c r="G1565" s="8">
        <f t="shared" si="24"/>
        <v>44916</v>
      </c>
      <c r="H1565" s="8" t="s">
        <v>13</v>
      </c>
      <c r="I1565" s="9">
        <f>MAX(original!I1565,piwebapi_edit!I1565,car_edit!I1565)</f>
        <v>0</v>
      </c>
      <c r="J1565" s="9">
        <f>MAX(original!J1565,piwebapi_edit!J1565,car_edit!J1565)</f>
        <v>0</v>
      </c>
      <c r="K1565" s="17"/>
    </row>
    <row r="1566" spans="1:11" x14ac:dyDescent="0.25">
      <c r="A1566" s="3" t="s">
        <v>3156</v>
      </c>
      <c r="B1566" s="4" t="s">
        <v>3157</v>
      </c>
      <c r="C1566" s="54">
        <v>298433</v>
      </c>
      <c r="D1566" s="17" t="s">
        <v>11</v>
      </c>
      <c r="E1566" s="17" t="s">
        <v>12</v>
      </c>
      <c r="F1566" s="15">
        <v>44924</v>
      </c>
      <c r="G1566" s="8">
        <f t="shared" si="24"/>
        <v>44924</v>
      </c>
      <c r="H1566" s="8" t="s">
        <v>39</v>
      </c>
      <c r="I1566" s="9">
        <f>MAX(original!I1566,piwebapi_edit!I1566,car_edit!I1566)</f>
        <v>0</v>
      </c>
      <c r="J1566" s="9">
        <f>MAX(original!J1566,piwebapi_edit!J1566,car_edit!J1566)</f>
        <v>0</v>
      </c>
      <c r="K1566" s="17"/>
    </row>
    <row r="1567" spans="1:11" x14ac:dyDescent="0.25">
      <c r="A1567" s="3" t="s">
        <v>3158</v>
      </c>
      <c r="B1567" s="4" t="s">
        <v>3159</v>
      </c>
      <c r="C1567" s="5">
        <v>298434</v>
      </c>
      <c r="D1567" s="17" t="s">
        <v>16</v>
      </c>
      <c r="E1567" s="17" t="s">
        <v>17</v>
      </c>
      <c r="F1567" s="15">
        <v>44945</v>
      </c>
      <c r="G1567" s="8">
        <f t="shared" si="24"/>
        <v>44945</v>
      </c>
      <c r="H1567" s="8" t="s">
        <v>13</v>
      </c>
      <c r="I1567" s="9">
        <f>MAX(original!I1567,piwebapi_edit!I1567,car_edit!I1567)</f>
        <v>0</v>
      </c>
      <c r="J1567" s="9">
        <f>MAX(original!J1567,piwebapi_edit!J1567,car_edit!J1567)</f>
        <v>0</v>
      </c>
      <c r="K1567" s="17"/>
    </row>
    <row r="1568" spans="1:11" x14ac:dyDescent="0.25">
      <c r="A1568" s="3" t="s">
        <v>3160</v>
      </c>
      <c r="B1568" s="4" t="s">
        <v>3161</v>
      </c>
      <c r="C1568" s="54">
        <v>301633</v>
      </c>
      <c r="D1568" s="17" t="s">
        <v>11</v>
      </c>
      <c r="E1568" s="17" t="s">
        <v>12</v>
      </c>
      <c r="F1568" s="15">
        <v>44946</v>
      </c>
      <c r="G1568" s="8">
        <f t="shared" si="24"/>
        <v>44946</v>
      </c>
      <c r="H1568" s="8" t="s">
        <v>39</v>
      </c>
      <c r="I1568" s="9">
        <f>MAX(original!I1568,piwebapi_edit!I1568,car_edit!I1568)</f>
        <v>26540.595504373003</v>
      </c>
      <c r="J1568" s="9">
        <f>MAX(original!J1568,piwebapi_edit!J1568,car_edit!J1568)</f>
        <v>389.81696106332902</v>
      </c>
      <c r="K1568" s="17"/>
    </row>
    <row r="1569" spans="1:11" x14ac:dyDescent="0.25">
      <c r="A1569" s="3" t="s">
        <v>3162</v>
      </c>
      <c r="B1569" s="4" t="s">
        <v>3163</v>
      </c>
      <c r="C1569" s="54">
        <v>301635</v>
      </c>
      <c r="D1569" s="17" t="s">
        <v>11</v>
      </c>
      <c r="E1569" s="17" t="s">
        <v>12</v>
      </c>
      <c r="F1569" s="15">
        <v>44958</v>
      </c>
      <c r="G1569" s="8">
        <f t="shared" si="24"/>
        <v>44958</v>
      </c>
      <c r="H1569" s="8" t="s">
        <v>39</v>
      </c>
      <c r="I1569" s="9">
        <f>MAX(original!I1569,piwebapi_edit!I1569,car_edit!I1569)</f>
        <v>0</v>
      </c>
      <c r="J1569" s="9">
        <f>MAX(original!J1569,piwebapi_edit!J1569,car_edit!J1569)</f>
        <v>0</v>
      </c>
      <c r="K1569" s="17"/>
    </row>
    <row r="1570" spans="1:11" x14ac:dyDescent="0.25">
      <c r="A1570" s="3" t="s">
        <v>3164</v>
      </c>
      <c r="B1570" s="4" t="s">
        <v>3165</v>
      </c>
      <c r="C1570" s="54">
        <v>301634</v>
      </c>
      <c r="D1570" s="17" t="s">
        <v>11</v>
      </c>
      <c r="E1570" s="17" t="s">
        <v>12</v>
      </c>
      <c r="F1570" s="15">
        <v>44946</v>
      </c>
      <c r="G1570" s="8">
        <f t="shared" si="24"/>
        <v>44946</v>
      </c>
      <c r="H1570" s="8" t="s">
        <v>39</v>
      </c>
      <c r="I1570" s="9">
        <f>MAX(original!I1570,piwebapi_edit!I1570,car_edit!I1570)</f>
        <v>0</v>
      </c>
      <c r="J1570" s="9">
        <f>MAX(original!J1570,piwebapi_edit!J1570,car_edit!J1570)</f>
        <v>0</v>
      </c>
      <c r="K1570" s="17"/>
    </row>
    <row r="1571" spans="1:11" x14ac:dyDescent="0.25">
      <c r="A1571" s="3" t="s">
        <v>3166</v>
      </c>
      <c r="B1571" s="4" t="s">
        <v>3167</v>
      </c>
      <c r="C1571" s="54">
        <v>302433</v>
      </c>
      <c r="D1571" s="17" t="s">
        <v>34</v>
      </c>
      <c r="E1571" s="17" t="s">
        <v>17</v>
      </c>
      <c r="F1571" s="15">
        <v>44951</v>
      </c>
      <c r="G1571" s="8">
        <f t="shared" si="24"/>
        <v>44951</v>
      </c>
      <c r="H1571" s="8" t="s">
        <v>13</v>
      </c>
      <c r="I1571" s="9">
        <f>MAX(original!I1571,piwebapi_edit!I1571,car_edit!I1571)</f>
        <v>0</v>
      </c>
      <c r="J1571" s="9">
        <f>MAX(original!J1571,piwebapi_edit!J1571,car_edit!J1571)</f>
        <v>0</v>
      </c>
      <c r="K1571" s="17"/>
    </row>
    <row r="1572" spans="1:11" x14ac:dyDescent="0.25">
      <c r="A1572" s="3" t="s">
        <v>3168</v>
      </c>
      <c r="B1572" s="4" t="s">
        <v>3169</v>
      </c>
      <c r="C1572" s="5">
        <v>304433</v>
      </c>
      <c r="D1572" s="17" t="s">
        <v>34</v>
      </c>
      <c r="E1572" s="17" t="s">
        <v>17</v>
      </c>
      <c r="F1572" s="15">
        <v>44970</v>
      </c>
      <c r="G1572" s="8">
        <f t="shared" si="24"/>
        <v>44970</v>
      </c>
      <c r="H1572" s="8" t="s">
        <v>13</v>
      </c>
      <c r="I1572" s="9">
        <f>MAX(original!I1572,piwebapi_edit!I1572,car_edit!I1572)</f>
        <v>0</v>
      </c>
      <c r="J1572" s="9">
        <f>MAX(original!J1572,piwebapi_edit!J1572,car_edit!J1572)</f>
        <v>0</v>
      </c>
      <c r="K1572" s="17"/>
    </row>
    <row r="1573" spans="1:11" x14ac:dyDescent="0.25">
      <c r="A1573" s="3" t="s">
        <v>3170</v>
      </c>
      <c r="B1573" s="4" t="s">
        <v>3171</v>
      </c>
      <c r="C1573" s="54">
        <v>304833</v>
      </c>
      <c r="D1573" s="17" t="s">
        <v>28</v>
      </c>
      <c r="E1573" s="17" t="s">
        <v>17</v>
      </c>
      <c r="F1573" s="15">
        <v>44971</v>
      </c>
      <c r="G1573" s="8">
        <f t="shared" si="24"/>
        <v>44971</v>
      </c>
      <c r="H1573" s="8" t="s">
        <v>13</v>
      </c>
      <c r="I1573" s="9">
        <f>MAX(original!I1573,piwebapi_edit!I1573,car_edit!I1573)</f>
        <v>0</v>
      </c>
      <c r="J1573" s="9">
        <f>MAX(original!J1573,piwebapi_edit!J1573,car_edit!J1573)</f>
        <v>0</v>
      </c>
      <c r="K1573" s="17"/>
    </row>
    <row r="1574" spans="1:11" x14ac:dyDescent="0.25">
      <c r="A1574" s="3" t="s">
        <v>3172</v>
      </c>
      <c r="B1574" s="4" t="s">
        <v>3173</v>
      </c>
      <c r="C1574" s="54">
        <v>305233</v>
      </c>
      <c r="D1574" s="17" t="s">
        <v>11</v>
      </c>
      <c r="E1574" s="17" t="s">
        <v>12</v>
      </c>
      <c r="F1574" s="15">
        <v>44972</v>
      </c>
      <c r="G1574" s="8">
        <f t="shared" si="24"/>
        <v>44972</v>
      </c>
      <c r="H1574" s="8" t="s">
        <v>39</v>
      </c>
      <c r="I1574" s="9">
        <f>MAX(original!I1574,piwebapi_edit!I1574,car_edit!I1574)</f>
        <v>0</v>
      </c>
      <c r="J1574" s="9">
        <f>MAX(original!J1574,piwebapi_edit!J1574,car_edit!J1574)</f>
        <v>0</v>
      </c>
      <c r="K1574" s="17"/>
    </row>
    <row r="1575" spans="1:11" x14ac:dyDescent="0.25">
      <c r="A1575" s="3" t="s">
        <v>3174</v>
      </c>
      <c r="B1575" s="4" t="s">
        <v>3175</v>
      </c>
      <c r="C1575" s="5">
        <v>304033</v>
      </c>
      <c r="D1575" s="17" t="s">
        <v>11</v>
      </c>
      <c r="E1575" s="17" t="s">
        <v>12</v>
      </c>
      <c r="F1575" s="15">
        <v>44837</v>
      </c>
      <c r="G1575" s="8">
        <f t="shared" si="24"/>
        <v>44837</v>
      </c>
      <c r="H1575" s="8" t="s">
        <v>39</v>
      </c>
      <c r="I1575" s="9">
        <f>MAX(original!I1575,piwebapi_edit!I1575,car_edit!I1575)</f>
        <v>3268.8</v>
      </c>
      <c r="J1575" s="9">
        <f>MAX(original!J1575,piwebapi_edit!J1575,car_edit!J1575)</f>
        <v>617.159661332361</v>
      </c>
      <c r="K1575" s="17"/>
    </row>
    <row r="1576" spans="1:11" x14ac:dyDescent="0.25">
      <c r="A1576" s="3" t="s">
        <v>3176</v>
      </c>
      <c r="B1576" s="4" t="s">
        <v>3177</v>
      </c>
      <c r="C1576" s="54">
        <v>306833</v>
      </c>
      <c r="D1576" s="17" t="s">
        <v>28</v>
      </c>
      <c r="E1576" s="17" t="s">
        <v>17</v>
      </c>
      <c r="F1576" s="15">
        <v>44981</v>
      </c>
      <c r="G1576" s="8">
        <f t="shared" si="24"/>
        <v>44981</v>
      </c>
      <c r="H1576" s="8" t="s">
        <v>13</v>
      </c>
      <c r="I1576" s="9">
        <f>MAX(original!I1576,piwebapi_edit!I1576,car_edit!I1576)</f>
        <v>0</v>
      </c>
      <c r="J1576" s="9">
        <f>MAX(original!J1576,piwebapi_edit!J1576,car_edit!J1576)</f>
        <v>0</v>
      </c>
      <c r="K1576" s="17"/>
    </row>
    <row r="1577" spans="1:11" x14ac:dyDescent="0.25">
      <c r="A1577" s="3" t="s">
        <v>3178</v>
      </c>
      <c r="B1577" s="4" t="s">
        <v>3179</v>
      </c>
      <c r="C1577" s="5">
        <v>309633</v>
      </c>
      <c r="D1577" s="17" t="s">
        <v>11</v>
      </c>
      <c r="E1577" s="17" t="s">
        <v>12</v>
      </c>
      <c r="F1577" s="15">
        <v>45031</v>
      </c>
      <c r="G1577" s="8">
        <f t="shared" si="24"/>
        <v>45031</v>
      </c>
      <c r="H1577" s="8" t="s">
        <v>13</v>
      </c>
      <c r="I1577" s="9">
        <f>MAX(original!I1577,piwebapi_edit!I1577,car_edit!I1577)</f>
        <v>4770.0421390947695</v>
      </c>
      <c r="J1577" s="9">
        <f>MAX(original!J1577,piwebapi_edit!J1577,car_edit!J1577)</f>
        <v>643.52378340886401</v>
      </c>
      <c r="K1577" s="17"/>
    </row>
    <row r="1578" spans="1:11" x14ac:dyDescent="0.25">
      <c r="A1578" s="3" t="s">
        <v>3180</v>
      </c>
      <c r="B1578" s="4" t="s">
        <v>3181</v>
      </c>
      <c r="C1578" s="54">
        <v>309634</v>
      </c>
      <c r="D1578" s="17" t="s">
        <v>34</v>
      </c>
      <c r="E1578" s="17" t="s">
        <v>17</v>
      </c>
      <c r="F1578" s="15">
        <v>45031</v>
      </c>
      <c r="G1578" s="8">
        <f t="shared" si="24"/>
        <v>45031</v>
      </c>
      <c r="H1578" s="8" t="s">
        <v>13</v>
      </c>
      <c r="I1578" s="9">
        <f>MAX(original!I1578,piwebapi_edit!I1578,car_edit!I1578)</f>
        <v>0</v>
      </c>
      <c r="J1578" s="9">
        <f>MAX(original!J1578,piwebapi_edit!J1578,car_edit!J1578)</f>
        <v>0</v>
      </c>
      <c r="K1578" s="17"/>
    </row>
    <row r="1579" spans="1:11" x14ac:dyDescent="0.25">
      <c r="A1579" s="3" t="s">
        <v>3182</v>
      </c>
      <c r="B1579" s="4" t="s">
        <v>3183</v>
      </c>
      <c r="C1579" s="54">
        <v>310433</v>
      </c>
      <c r="D1579" s="17" t="s">
        <v>11</v>
      </c>
      <c r="E1579" s="17" t="s">
        <v>12</v>
      </c>
      <c r="F1579" s="15">
        <v>45031</v>
      </c>
      <c r="G1579" s="8">
        <f t="shared" si="24"/>
        <v>45031</v>
      </c>
      <c r="H1579" s="8" t="s">
        <v>39</v>
      </c>
      <c r="I1579" s="9">
        <f>MAX(original!I1579,piwebapi_edit!I1579,car_edit!I1579)</f>
        <v>19492.592667848301</v>
      </c>
      <c r="J1579" s="9">
        <f>MAX(original!J1579,piwebapi_edit!J1579,car_edit!J1579)</f>
        <v>191.64104966858901</v>
      </c>
      <c r="K1579" s="17"/>
    </row>
    <row r="1580" spans="1:11" x14ac:dyDescent="0.25">
      <c r="A1580" s="3" t="s">
        <v>3184</v>
      </c>
      <c r="B1580" s="4" t="s">
        <v>3185</v>
      </c>
      <c r="C1580" s="5">
        <v>311233</v>
      </c>
      <c r="D1580" s="17" t="s">
        <v>28</v>
      </c>
      <c r="E1580" s="17" t="s">
        <v>17</v>
      </c>
      <c r="F1580" s="15">
        <v>45031</v>
      </c>
      <c r="G1580" s="8">
        <f t="shared" si="24"/>
        <v>45031</v>
      </c>
      <c r="H1580" s="8" t="s">
        <v>13</v>
      </c>
      <c r="I1580" s="9">
        <f>MAX(original!I1580,piwebapi_edit!I1580,car_edit!I1580)</f>
        <v>0</v>
      </c>
      <c r="J1580" s="9">
        <f>MAX(original!J1580,piwebapi_edit!J1580,car_edit!J1580)</f>
        <v>0</v>
      </c>
      <c r="K1580" s="17"/>
    </row>
    <row r="1581" spans="1:11" x14ac:dyDescent="0.25">
      <c r="A1581" s="3" t="s">
        <v>3186</v>
      </c>
      <c r="B1581" s="4" t="s">
        <v>3187</v>
      </c>
      <c r="C1581" s="54">
        <v>312433</v>
      </c>
      <c r="D1581" s="17" t="s">
        <v>28</v>
      </c>
      <c r="E1581" s="17" t="s">
        <v>17</v>
      </c>
      <c r="F1581" s="15">
        <v>45034</v>
      </c>
      <c r="G1581" s="8">
        <f t="shared" si="24"/>
        <v>45034</v>
      </c>
      <c r="H1581" s="8" t="s">
        <v>13</v>
      </c>
      <c r="I1581" s="9">
        <f>MAX(original!I1581,piwebapi_edit!I1581,car_edit!I1581)</f>
        <v>0</v>
      </c>
      <c r="J1581" s="9">
        <f>MAX(original!J1581,piwebapi_edit!J1581,car_edit!J1581)</f>
        <v>0</v>
      </c>
      <c r="K1581" s="17"/>
    </row>
    <row r="1582" spans="1:11" x14ac:dyDescent="0.25">
      <c r="A1582" s="3" t="s">
        <v>3188</v>
      </c>
      <c r="B1582" s="4" t="s">
        <v>3189</v>
      </c>
      <c r="C1582" s="5">
        <v>312434</v>
      </c>
      <c r="D1582" s="17" t="s">
        <v>37</v>
      </c>
      <c r="E1582" s="17" t="s">
        <v>38</v>
      </c>
      <c r="F1582" s="15">
        <v>45031</v>
      </c>
      <c r="G1582" s="8">
        <f t="shared" si="24"/>
        <v>45031</v>
      </c>
      <c r="H1582" s="8" t="s">
        <v>39</v>
      </c>
      <c r="I1582" s="9">
        <f>MAX(original!I1582,piwebapi_edit!I1582,car_edit!I1582)</f>
        <v>0</v>
      </c>
      <c r="J1582" s="9">
        <f>MAX(original!J1582,piwebapi_edit!J1582,car_edit!J1582)</f>
        <v>0</v>
      </c>
      <c r="K1582" s="17"/>
    </row>
    <row r="1583" spans="1:11" x14ac:dyDescent="0.25">
      <c r="A1583" s="3" t="s">
        <v>3190</v>
      </c>
      <c r="B1583" s="4" t="s">
        <v>3191</v>
      </c>
      <c r="C1583" s="54">
        <v>312834</v>
      </c>
      <c r="D1583" s="17" t="s">
        <v>37</v>
      </c>
      <c r="E1583" s="17" t="s">
        <v>38</v>
      </c>
      <c r="F1583" s="15">
        <v>45078</v>
      </c>
      <c r="G1583" s="8">
        <f t="shared" si="24"/>
        <v>45078</v>
      </c>
      <c r="H1583" s="8" t="s">
        <v>39</v>
      </c>
      <c r="I1583" s="9">
        <f>MAX(original!I1583,piwebapi_edit!I1583,car_edit!I1583)</f>
        <v>0</v>
      </c>
      <c r="J1583" s="9">
        <f>MAX(original!J1583,piwebapi_edit!J1583,car_edit!J1583)</f>
        <v>0</v>
      </c>
      <c r="K1583" s="17"/>
    </row>
    <row r="1584" spans="1:11" x14ac:dyDescent="0.25">
      <c r="A1584" s="3" t="s">
        <v>3192</v>
      </c>
      <c r="B1584" s="4" t="s">
        <v>3193</v>
      </c>
      <c r="C1584" s="54">
        <v>312033</v>
      </c>
      <c r="D1584" s="17" t="s">
        <v>16</v>
      </c>
      <c r="E1584" s="17" t="s">
        <v>17</v>
      </c>
      <c r="F1584" s="15">
        <v>45078</v>
      </c>
      <c r="G1584" s="8">
        <f t="shared" si="24"/>
        <v>45078</v>
      </c>
      <c r="H1584" s="8" t="s">
        <v>13</v>
      </c>
      <c r="I1584" s="9">
        <f>MAX(original!I1584,piwebapi_edit!I1584,car_edit!I1584)</f>
        <v>0</v>
      </c>
      <c r="J1584" s="9">
        <f>MAX(original!J1584,piwebapi_edit!J1584,car_edit!J1584)</f>
        <v>0</v>
      </c>
      <c r="K1584" s="17"/>
    </row>
    <row r="1585" spans="1:11" x14ac:dyDescent="0.25">
      <c r="A1585" s="3" t="s">
        <v>3194</v>
      </c>
      <c r="B1585" s="4" t="s">
        <v>3195</v>
      </c>
      <c r="C1585" s="5">
        <v>313233</v>
      </c>
      <c r="D1585" s="17" t="s">
        <v>28</v>
      </c>
      <c r="E1585" s="17" t="s">
        <v>17</v>
      </c>
      <c r="F1585" s="15">
        <v>45078</v>
      </c>
      <c r="G1585" s="8">
        <f t="shared" si="24"/>
        <v>45078</v>
      </c>
      <c r="H1585" s="8" t="s">
        <v>13</v>
      </c>
      <c r="I1585" s="9">
        <f>MAX(original!I1585,piwebapi_edit!I1585,car_edit!I1585)</f>
        <v>8986.95622813312</v>
      </c>
      <c r="J1585" s="9">
        <f>MAX(original!J1585,piwebapi_edit!J1585,car_edit!J1585)</f>
        <v>323.21745946209899</v>
      </c>
      <c r="K1585" s="17"/>
    </row>
    <row r="1586" spans="1:11" x14ac:dyDescent="0.25">
      <c r="A1586" s="3" t="s">
        <v>3196</v>
      </c>
      <c r="B1586" s="4" t="s">
        <v>3197</v>
      </c>
      <c r="C1586" s="5">
        <v>314433</v>
      </c>
      <c r="D1586" s="17" t="s">
        <v>28</v>
      </c>
      <c r="E1586" s="17" t="s">
        <v>17</v>
      </c>
      <c r="F1586" s="15">
        <v>45050</v>
      </c>
      <c r="G1586" s="8">
        <f t="shared" si="24"/>
        <v>45050</v>
      </c>
      <c r="H1586" s="8" t="s">
        <v>13</v>
      </c>
      <c r="I1586" s="9">
        <f>MAX(original!I1586,piwebapi_edit!I1586,car_edit!I1586)</f>
        <v>0</v>
      </c>
      <c r="J1586" s="9">
        <f>MAX(original!J1586,piwebapi_edit!J1586,car_edit!J1586)</f>
        <v>0</v>
      </c>
      <c r="K1586" s="17"/>
    </row>
    <row r="1587" spans="1:11" x14ac:dyDescent="0.25">
      <c r="A1587" s="3" t="s">
        <v>3198</v>
      </c>
      <c r="B1587" s="4" t="s">
        <v>3199</v>
      </c>
      <c r="C1587" s="54">
        <v>315633</v>
      </c>
      <c r="D1587" s="17" t="s">
        <v>31</v>
      </c>
      <c r="E1587" s="17" t="s">
        <v>17</v>
      </c>
      <c r="F1587" s="15">
        <v>45078</v>
      </c>
      <c r="G1587" s="8">
        <f t="shared" si="24"/>
        <v>45078</v>
      </c>
      <c r="H1587" s="8" t="s">
        <v>13</v>
      </c>
      <c r="I1587" s="9">
        <f>MAX(original!I1587,piwebapi_edit!I1587,car_edit!I1587)</f>
        <v>0</v>
      </c>
      <c r="J1587" s="9">
        <f>MAX(original!J1587,piwebapi_edit!J1587,car_edit!J1587)</f>
        <v>0</v>
      </c>
      <c r="K1587" s="17"/>
    </row>
    <row r="1588" spans="1:11" x14ac:dyDescent="0.25">
      <c r="A1588" s="3" t="s">
        <v>3200</v>
      </c>
      <c r="B1588" s="4" t="s">
        <v>3201</v>
      </c>
      <c r="C1588" s="54">
        <v>316833</v>
      </c>
      <c r="D1588" s="17" t="s">
        <v>11</v>
      </c>
      <c r="E1588" s="17" t="s">
        <v>12</v>
      </c>
      <c r="F1588" s="15">
        <v>45078</v>
      </c>
      <c r="G1588" s="8">
        <f t="shared" si="24"/>
        <v>45078</v>
      </c>
      <c r="H1588" s="8" t="s">
        <v>39</v>
      </c>
      <c r="I1588" s="9">
        <f>MAX(original!I1588,piwebapi_edit!I1588,car_edit!I1588)</f>
        <v>33275.335031202405</v>
      </c>
      <c r="J1588" s="9">
        <f>MAX(original!J1588,piwebapi_edit!J1588,car_edit!J1588)</f>
        <v>412.08036937477698</v>
      </c>
      <c r="K1588" s="17"/>
    </row>
    <row r="1589" spans="1:11" x14ac:dyDescent="0.25">
      <c r="A1589" s="3" t="s">
        <v>3202</v>
      </c>
      <c r="B1589" s="4" t="s">
        <v>3203</v>
      </c>
      <c r="C1589" s="54">
        <v>319633</v>
      </c>
      <c r="D1589" s="17" t="s">
        <v>11</v>
      </c>
      <c r="E1589" s="17" t="s">
        <v>12</v>
      </c>
      <c r="F1589" s="15">
        <v>45086</v>
      </c>
      <c r="G1589" s="8">
        <f t="shared" si="24"/>
        <v>45086</v>
      </c>
      <c r="H1589" s="8" t="s">
        <v>13</v>
      </c>
      <c r="I1589" s="9">
        <f>MAX(original!I1589,piwebapi_edit!I1589,car_edit!I1589)</f>
        <v>0</v>
      </c>
      <c r="J1589" s="9">
        <f>MAX(original!J1589,piwebapi_edit!J1589,car_edit!J1589)</f>
        <v>0</v>
      </c>
      <c r="K1589" s="17"/>
    </row>
    <row r="1590" spans="1:11" x14ac:dyDescent="0.25">
      <c r="A1590" s="3" t="s">
        <v>3204</v>
      </c>
      <c r="B1590" s="4" t="s">
        <v>3205</v>
      </c>
      <c r="C1590" s="54">
        <v>321233</v>
      </c>
      <c r="D1590" s="17" t="s">
        <v>34</v>
      </c>
      <c r="E1590" s="17" t="s">
        <v>17</v>
      </c>
      <c r="F1590" s="15">
        <v>45098</v>
      </c>
      <c r="G1590" s="8">
        <f t="shared" si="24"/>
        <v>45098</v>
      </c>
      <c r="H1590" s="8" t="s">
        <v>13</v>
      </c>
      <c r="I1590" s="9">
        <f>MAX(original!I1590,piwebapi_edit!I1590,car_edit!I1590)</f>
        <v>0</v>
      </c>
      <c r="J1590" s="9">
        <f>MAX(original!J1590,piwebapi_edit!J1590,car_edit!J1590)</f>
        <v>0</v>
      </c>
      <c r="K1590" s="17"/>
    </row>
    <row r="1591" spans="1:11" x14ac:dyDescent="0.25">
      <c r="A1591" s="3" t="s">
        <v>3206</v>
      </c>
      <c r="B1591" s="4" t="s">
        <v>3207</v>
      </c>
      <c r="C1591" s="54">
        <v>321234</v>
      </c>
      <c r="D1591" s="17" t="s">
        <v>28</v>
      </c>
      <c r="E1591" s="17" t="s">
        <v>17</v>
      </c>
      <c r="F1591" s="15">
        <v>45098</v>
      </c>
      <c r="G1591" s="8">
        <f t="shared" si="24"/>
        <v>45098</v>
      </c>
      <c r="H1591" s="8" t="s">
        <v>13</v>
      </c>
      <c r="I1591" s="9">
        <f>MAX(original!I1591,piwebapi_edit!I1591,car_edit!I1591)</f>
        <v>0</v>
      </c>
      <c r="J1591" s="9">
        <f>MAX(original!J1591,piwebapi_edit!J1591,car_edit!J1591)</f>
        <v>0</v>
      </c>
      <c r="K1591" s="17"/>
    </row>
    <row r="1592" spans="1:11" x14ac:dyDescent="0.25">
      <c r="A1592" s="3" t="s">
        <v>3208</v>
      </c>
      <c r="B1592" s="4" t="s">
        <v>3209</v>
      </c>
      <c r="C1592" s="54">
        <v>323233</v>
      </c>
      <c r="D1592" s="17" t="s">
        <v>37</v>
      </c>
      <c r="E1592" s="17" t="s">
        <v>3047</v>
      </c>
      <c r="F1592" s="15">
        <v>45103</v>
      </c>
      <c r="G1592" s="8">
        <f t="shared" si="24"/>
        <v>45103</v>
      </c>
      <c r="H1592" s="8" t="s">
        <v>39</v>
      </c>
      <c r="I1592" s="9">
        <f>MAX(original!I1592,piwebapi_edit!I1592,car_edit!I1592)</f>
        <v>0</v>
      </c>
      <c r="J1592" s="9">
        <f>MAX(original!J1592,piwebapi_edit!J1592,car_edit!J1592)</f>
        <v>0</v>
      </c>
      <c r="K1592" s="17"/>
    </row>
    <row r="1593" spans="1:11" x14ac:dyDescent="0.25">
      <c r="A1593" s="3" t="s">
        <v>3210</v>
      </c>
      <c r="B1593" s="4" t="s">
        <v>3211</v>
      </c>
      <c r="C1593" s="5">
        <v>325633</v>
      </c>
      <c r="D1593" s="17" t="s">
        <v>11</v>
      </c>
      <c r="E1593" s="17" t="s">
        <v>12</v>
      </c>
      <c r="F1593" s="15">
        <v>45125</v>
      </c>
      <c r="G1593" s="8">
        <f t="shared" si="24"/>
        <v>45125</v>
      </c>
      <c r="H1593" s="8" t="s">
        <v>39</v>
      </c>
      <c r="I1593" s="9">
        <f>MAX(original!I1593,piwebapi_edit!I1593,car_edit!I1593)</f>
        <v>18913.377974118797</v>
      </c>
      <c r="J1593" s="9">
        <f>MAX(original!J1593,piwebapi_edit!J1593,car_edit!J1593)</f>
        <v>314.30941379893898</v>
      </c>
      <c r="K1593" s="17"/>
    </row>
    <row r="1594" spans="1:11" x14ac:dyDescent="0.25">
      <c r="A1594" s="3" t="s">
        <v>3212</v>
      </c>
      <c r="B1594" s="4" t="s">
        <v>3213</v>
      </c>
      <c r="C1594" s="5">
        <v>325233</v>
      </c>
      <c r="D1594" s="17" t="s">
        <v>38</v>
      </c>
      <c r="E1594" s="17" t="s">
        <v>3047</v>
      </c>
      <c r="F1594" s="15">
        <v>45126</v>
      </c>
      <c r="G1594" s="8">
        <f t="shared" si="24"/>
        <v>45126</v>
      </c>
      <c r="H1594" s="8" t="s">
        <v>39</v>
      </c>
      <c r="I1594" s="9">
        <f>MAX(original!I1594,piwebapi_edit!I1594,car_edit!I1594)</f>
        <v>0</v>
      </c>
      <c r="J1594" s="9">
        <f>MAX(original!J1594,piwebapi_edit!J1594,car_edit!J1594)</f>
        <v>0</v>
      </c>
      <c r="K1594" s="17"/>
    </row>
    <row r="1595" spans="1:11" x14ac:dyDescent="0.25">
      <c r="A1595" s="3" t="s">
        <v>3214</v>
      </c>
      <c r="B1595" s="4" t="s">
        <v>3215</v>
      </c>
      <c r="C1595" s="5">
        <v>323633</v>
      </c>
      <c r="D1595" s="17" t="s">
        <v>31</v>
      </c>
      <c r="E1595" s="17" t="s">
        <v>17</v>
      </c>
      <c r="F1595" s="15">
        <v>45127</v>
      </c>
      <c r="G1595" s="8">
        <f t="shared" si="24"/>
        <v>45127</v>
      </c>
      <c r="H1595" s="8" t="s">
        <v>13</v>
      </c>
      <c r="I1595" s="9">
        <f>MAX(original!I1595,piwebapi_edit!I1595,car_edit!I1595)</f>
        <v>0</v>
      </c>
      <c r="J1595" s="9">
        <f>MAX(original!J1595,piwebapi_edit!J1595,car_edit!J1595)</f>
        <v>0</v>
      </c>
      <c r="K1595" s="17"/>
    </row>
    <row r="1596" spans="1:11" x14ac:dyDescent="0.25">
      <c r="A1596" s="3" t="s">
        <v>3216</v>
      </c>
      <c r="B1596" s="4" t="s">
        <v>3217</v>
      </c>
      <c r="C1596" s="54">
        <v>326003</v>
      </c>
      <c r="D1596" s="17" t="s">
        <v>11</v>
      </c>
      <c r="E1596" s="17" t="s">
        <v>12</v>
      </c>
      <c r="F1596" s="15">
        <v>45139</v>
      </c>
      <c r="G1596" s="8">
        <f t="shared" si="24"/>
        <v>45139</v>
      </c>
      <c r="H1596" s="8" t="s">
        <v>39</v>
      </c>
      <c r="I1596" s="9">
        <f>MAX(original!I1596,piwebapi_edit!I1596,car_edit!I1596)</f>
        <v>23767.819531238802</v>
      </c>
      <c r="J1596" s="9">
        <f>MAX(original!J1596,piwebapi_edit!J1596,car_edit!J1596)</f>
        <v>152.744936983927</v>
      </c>
      <c r="K1596" s="17"/>
    </row>
    <row r="1597" spans="1:11" x14ac:dyDescent="0.25">
      <c r="A1597" s="3" t="s">
        <v>3218</v>
      </c>
      <c r="B1597" s="4" t="s">
        <v>3219</v>
      </c>
      <c r="C1597" s="54">
        <v>326034</v>
      </c>
      <c r="D1597" s="17" t="s">
        <v>34</v>
      </c>
      <c r="E1597" s="17" t="s">
        <v>17</v>
      </c>
      <c r="F1597" s="15">
        <v>45133</v>
      </c>
      <c r="G1597" s="8">
        <f t="shared" si="24"/>
        <v>45133</v>
      </c>
      <c r="H1597" s="8" t="s">
        <v>13</v>
      </c>
      <c r="I1597" s="9">
        <f>MAX(original!I1597,piwebapi_edit!I1597,car_edit!I1597)</f>
        <v>0</v>
      </c>
      <c r="J1597" s="9">
        <f>MAX(original!J1597,piwebapi_edit!J1597,car_edit!J1597)</f>
        <v>0</v>
      </c>
      <c r="K1597" s="17"/>
    </row>
    <row r="1598" spans="1:11" x14ac:dyDescent="0.25">
      <c r="A1598" s="3" t="s">
        <v>3220</v>
      </c>
      <c r="B1598" s="4" t="s">
        <v>3221</v>
      </c>
      <c r="C1598" s="54">
        <v>327233</v>
      </c>
      <c r="D1598" s="17" t="s">
        <v>16</v>
      </c>
      <c r="E1598" s="17" t="s">
        <v>17</v>
      </c>
      <c r="F1598" s="15">
        <v>45142</v>
      </c>
      <c r="G1598" s="8">
        <f t="shared" si="24"/>
        <v>45142</v>
      </c>
      <c r="H1598" s="8" t="s">
        <v>13</v>
      </c>
      <c r="I1598" s="9">
        <f>MAX(original!I1598,piwebapi_edit!I1598,car_edit!I1598)</f>
        <v>0</v>
      </c>
      <c r="J1598" s="9">
        <f>MAX(original!J1598,piwebapi_edit!J1598,car_edit!J1598)</f>
        <v>0</v>
      </c>
      <c r="K1598" s="17"/>
    </row>
    <row r="1599" spans="1:11" x14ac:dyDescent="0.25">
      <c r="A1599" s="3" t="s">
        <v>3222</v>
      </c>
      <c r="B1599" s="4" t="s">
        <v>3223</v>
      </c>
      <c r="C1599" s="54">
        <v>316576</v>
      </c>
      <c r="D1599" s="17" t="s">
        <v>11</v>
      </c>
      <c r="E1599" s="17" t="s">
        <v>12</v>
      </c>
      <c r="F1599" s="15">
        <v>45152</v>
      </c>
      <c r="G1599" s="8">
        <f t="shared" si="24"/>
        <v>45152</v>
      </c>
      <c r="H1599" s="8" t="s">
        <v>39</v>
      </c>
      <c r="I1599" s="9">
        <f>MAX(original!I1599,piwebapi_edit!I1599,car_edit!I1599)</f>
        <v>10418.9614833832</v>
      </c>
      <c r="J1599" s="9">
        <f>MAX(original!J1599,piwebapi_edit!J1599,car_edit!J1599)</f>
        <v>193.21205264556701</v>
      </c>
      <c r="K1599" s="17"/>
    </row>
    <row r="1600" spans="1:11" x14ac:dyDescent="0.25">
      <c r="A1600" s="3" t="s">
        <v>3224</v>
      </c>
      <c r="B1600" s="4" t="s">
        <v>3225</v>
      </c>
      <c r="C1600" s="5">
        <v>316552</v>
      </c>
      <c r="D1600" s="17" t="s">
        <v>34</v>
      </c>
      <c r="E1600" s="17" t="s">
        <v>17</v>
      </c>
      <c r="F1600" s="15">
        <v>45156</v>
      </c>
      <c r="G1600" s="8">
        <f t="shared" si="24"/>
        <v>45156</v>
      </c>
      <c r="H1600" s="8" t="s">
        <v>13</v>
      </c>
      <c r="I1600" s="9">
        <f>MAX(original!I1600,piwebapi_edit!I1600,car_edit!I1600)</f>
        <v>0</v>
      </c>
      <c r="J1600" s="9">
        <f>MAX(original!J1600,piwebapi_edit!J1600,car_edit!J1600)</f>
        <v>0</v>
      </c>
      <c r="K1600" s="17"/>
    </row>
    <row r="1601" spans="1:11" x14ac:dyDescent="0.25">
      <c r="A1601" s="3" t="s">
        <v>3226</v>
      </c>
      <c r="B1601" s="4" t="s">
        <v>3227</v>
      </c>
      <c r="C1601" s="5">
        <v>331233</v>
      </c>
      <c r="D1601" s="17" t="s">
        <v>31</v>
      </c>
      <c r="E1601" s="17" t="s">
        <v>17</v>
      </c>
      <c r="F1601" s="15">
        <v>45155</v>
      </c>
      <c r="G1601" s="8">
        <f t="shared" si="24"/>
        <v>45155</v>
      </c>
      <c r="H1601" s="8" t="s">
        <v>13</v>
      </c>
      <c r="I1601" s="9">
        <f>MAX(original!I1601,piwebapi_edit!I1601,car_edit!I1601)</f>
        <v>0</v>
      </c>
      <c r="J1601" s="9">
        <f>MAX(original!J1601,piwebapi_edit!J1601,car_edit!J1601)</f>
        <v>0</v>
      </c>
      <c r="K1601" s="17"/>
    </row>
    <row r="1602" spans="1:11" x14ac:dyDescent="0.25">
      <c r="A1602" s="3" t="s">
        <v>3228</v>
      </c>
      <c r="B1602" s="4" t="s">
        <v>3229</v>
      </c>
      <c r="C1602" s="5">
        <v>316575</v>
      </c>
      <c r="D1602" s="17" t="s">
        <v>28</v>
      </c>
      <c r="E1602" s="17" t="s">
        <v>17</v>
      </c>
      <c r="F1602" s="15">
        <v>45160</v>
      </c>
      <c r="G1602" s="8">
        <f t="shared" ref="G1602:G1665" si="25">F1602</f>
        <v>45160</v>
      </c>
      <c r="H1602" s="8" t="s">
        <v>13</v>
      </c>
      <c r="I1602" s="9">
        <f>MAX(original!I1602,piwebapi_edit!I1602,car_edit!I1602)</f>
        <v>0</v>
      </c>
      <c r="J1602" s="9">
        <f>MAX(original!J1602,piwebapi_edit!J1602,car_edit!J1602)</f>
        <v>0</v>
      </c>
      <c r="K1602" s="17"/>
    </row>
    <row r="1603" spans="1:11" x14ac:dyDescent="0.25">
      <c r="A1603" s="3" t="s">
        <v>3230</v>
      </c>
      <c r="B1603" s="4" t="s">
        <v>3231</v>
      </c>
      <c r="C1603" s="5">
        <v>316565</v>
      </c>
      <c r="D1603" s="17" t="s">
        <v>11</v>
      </c>
      <c r="E1603" s="17" t="s">
        <v>17</v>
      </c>
      <c r="F1603" s="15">
        <v>45181</v>
      </c>
      <c r="G1603" s="8">
        <f t="shared" si="25"/>
        <v>45181</v>
      </c>
      <c r="H1603" s="8" t="s">
        <v>13</v>
      </c>
      <c r="I1603" s="9">
        <f>MAX(original!I1603,piwebapi_edit!I1603,car_edit!I1603)</f>
        <v>15653.308963406402</v>
      </c>
      <c r="J1603" s="9">
        <f>MAX(original!J1603,piwebapi_edit!J1603,car_edit!J1603)</f>
        <v>298.09240428239701</v>
      </c>
      <c r="K1603" s="17"/>
    </row>
    <row r="1604" spans="1:11" x14ac:dyDescent="0.25">
      <c r="A1604" s="3" t="s">
        <v>3232</v>
      </c>
      <c r="B1604" s="4" t="s">
        <v>3233</v>
      </c>
      <c r="C1604" s="5">
        <v>316479</v>
      </c>
      <c r="D1604" s="17" t="s">
        <v>28</v>
      </c>
      <c r="E1604" s="17" t="s">
        <v>17</v>
      </c>
      <c r="F1604" s="15">
        <v>45161</v>
      </c>
      <c r="G1604" s="8">
        <f t="shared" si="25"/>
        <v>45161</v>
      </c>
      <c r="H1604" s="8" t="s">
        <v>13</v>
      </c>
      <c r="I1604" s="9">
        <f>MAX(original!I1604,piwebapi_edit!I1604,car_edit!I1604)</f>
        <v>0</v>
      </c>
      <c r="J1604" s="9">
        <f>MAX(original!J1604,piwebapi_edit!J1604,car_edit!J1604)</f>
        <v>0</v>
      </c>
      <c r="K1604" s="17"/>
    </row>
    <row r="1605" spans="1:11" x14ac:dyDescent="0.25">
      <c r="A1605" s="3" t="s">
        <v>3234</v>
      </c>
      <c r="B1605" s="4" t="s">
        <v>3235</v>
      </c>
      <c r="C1605" s="54">
        <v>336833</v>
      </c>
      <c r="D1605" s="17" t="s">
        <v>11</v>
      </c>
      <c r="E1605" s="17" t="s">
        <v>12</v>
      </c>
      <c r="F1605" s="15">
        <v>45181</v>
      </c>
      <c r="G1605" s="8">
        <f t="shared" si="25"/>
        <v>45181</v>
      </c>
      <c r="H1605" s="8" t="s">
        <v>39</v>
      </c>
      <c r="I1605" s="9">
        <f>MAX(original!I1605,piwebapi_edit!I1605,car_edit!I1605)</f>
        <v>15579.0079644747</v>
      </c>
      <c r="J1605" s="9">
        <f>MAX(original!J1605,piwebapi_edit!J1605,car_edit!J1605)</f>
        <v>356.42622341680999</v>
      </c>
      <c r="K1605" s="17"/>
    </row>
    <row r="1606" spans="1:11" x14ac:dyDescent="0.25">
      <c r="A1606" s="3" t="s">
        <v>3236</v>
      </c>
      <c r="B1606" s="4" t="s">
        <v>3237</v>
      </c>
      <c r="C1606" s="5">
        <v>336033</v>
      </c>
      <c r="D1606" s="17" t="s">
        <v>28</v>
      </c>
      <c r="E1606" s="17" t="s">
        <v>17</v>
      </c>
      <c r="F1606" s="15">
        <v>45210</v>
      </c>
      <c r="G1606" s="8">
        <f t="shared" si="25"/>
        <v>45210</v>
      </c>
      <c r="H1606" s="8" t="s">
        <v>13</v>
      </c>
      <c r="I1606" s="9">
        <f>MAX(original!I1606,piwebapi_edit!I1606,car_edit!I1606)</f>
        <v>0</v>
      </c>
      <c r="J1606" s="9">
        <f>MAX(original!J1606,piwebapi_edit!J1606,car_edit!J1606)</f>
        <v>0</v>
      </c>
      <c r="K1606" s="17"/>
    </row>
    <row r="1607" spans="1:11" x14ac:dyDescent="0.25">
      <c r="A1607" s="3" t="s">
        <v>3238</v>
      </c>
      <c r="B1607" s="4" t="s">
        <v>3239</v>
      </c>
      <c r="C1607" s="5">
        <v>337633</v>
      </c>
      <c r="D1607" s="17" t="s">
        <v>16</v>
      </c>
      <c r="E1607" s="17" t="s">
        <v>17</v>
      </c>
      <c r="F1607" s="15">
        <v>45183</v>
      </c>
      <c r="G1607" s="8">
        <f t="shared" si="25"/>
        <v>45183</v>
      </c>
      <c r="H1607" s="8" t="s">
        <v>13</v>
      </c>
      <c r="I1607" s="9">
        <f>MAX(original!I1607,piwebapi_edit!I1607,car_edit!I1607)</f>
        <v>0</v>
      </c>
      <c r="J1607" s="9">
        <f>MAX(original!J1607,piwebapi_edit!J1607,car_edit!J1607)</f>
        <v>0</v>
      </c>
      <c r="K1607" s="17"/>
    </row>
    <row r="1608" spans="1:11" x14ac:dyDescent="0.25">
      <c r="A1608" s="3" t="s">
        <v>3240</v>
      </c>
      <c r="B1608" s="4" t="s">
        <v>3241</v>
      </c>
      <c r="C1608" s="54">
        <v>337638</v>
      </c>
      <c r="D1608" s="17" t="s">
        <v>34</v>
      </c>
      <c r="E1608" s="17" t="s">
        <v>17</v>
      </c>
      <c r="F1608" s="15">
        <v>45184</v>
      </c>
      <c r="G1608" s="8">
        <f t="shared" si="25"/>
        <v>45184</v>
      </c>
      <c r="H1608" s="8" t="s">
        <v>13</v>
      </c>
      <c r="I1608" s="9">
        <f>MAX(original!I1608,piwebapi_edit!I1608,car_edit!I1608)</f>
        <v>0</v>
      </c>
      <c r="J1608" s="9">
        <f>MAX(original!J1608,piwebapi_edit!J1608,car_edit!J1608)</f>
        <v>0</v>
      </c>
      <c r="K1608" s="17"/>
    </row>
    <row r="1609" spans="1:11" x14ac:dyDescent="0.25">
      <c r="A1609" s="3" t="s">
        <v>3242</v>
      </c>
      <c r="B1609" s="4" t="s">
        <v>3243</v>
      </c>
      <c r="C1609" s="54">
        <v>338033</v>
      </c>
      <c r="D1609" s="17" t="s">
        <v>34</v>
      </c>
      <c r="E1609" s="17" t="s">
        <v>17</v>
      </c>
      <c r="F1609" s="15">
        <v>45186</v>
      </c>
      <c r="G1609" s="8">
        <f t="shared" si="25"/>
        <v>45186</v>
      </c>
      <c r="H1609" s="8" t="s">
        <v>13</v>
      </c>
      <c r="I1609" s="9">
        <f>MAX(original!I1609,piwebapi_edit!I1609,car_edit!I1609)</f>
        <v>0</v>
      </c>
      <c r="J1609" s="9">
        <f>MAX(original!J1609,piwebapi_edit!J1609,car_edit!J1609)</f>
        <v>0</v>
      </c>
      <c r="K1609" s="17"/>
    </row>
    <row r="1610" spans="1:11" x14ac:dyDescent="0.25">
      <c r="A1610" s="3" t="s">
        <v>3244</v>
      </c>
      <c r="B1610" s="4" t="s">
        <v>3245</v>
      </c>
      <c r="C1610" s="54">
        <v>338433</v>
      </c>
      <c r="D1610" s="17" t="s">
        <v>11</v>
      </c>
      <c r="E1610" s="17"/>
      <c r="F1610" s="15">
        <v>45200</v>
      </c>
      <c r="G1610" s="8">
        <f t="shared" si="25"/>
        <v>45200</v>
      </c>
      <c r="H1610" s="8" t="s">
        <v>39</v>
      </c>
      <c r="I1610" s="9">
        <f>MAX(original!I1610,piwebapi_edit!I1610,car_edit!I1610)</f>
        <v>863.76842891255205</v>
      </c>
      <c r="J1610" s="9">
        <f>MAX(original!J1610,piwebapi_edit!J1610,car_edit!J1610)</f>
        <v>249.89377524560101</v>
      </c>
      <c r="K1610" s="17"/>
    </row>
    <row r="1611" spans="1:11" x14ac:dyDescent="0.25">
      <c r="A1611" s="3" t="s">
        <v>3246</v>
      </c>
      <c r="B1611" s="4" t="s">
        <v>3247</v>
      </c>
      <c r="C1611" s="54">
        <v>340433</v>
      </c>
      <c r="D1611" s="17" t="s">
        <v>16</v>
      </c>
      <c r="E1611" s="17" t="s">
        <v>17</v>
      </c>
      <c r="F1611" s="15">
        <v>45202</v>
      </c>
      <c r="G1611" s="8">
        <f t="shared" si="25"/>
        <v>45202</v>
      </c>
      <c r="H1611" s="8" t="s">
        <v>13</v>
      </c>
      <c r="I1611" s="9">
        <f>MAX(original!I1611,piwebapi_edit!I1611,car_edit!I1611)</f>
        <v>0</v>
      </c>
      <c r="J1611" s="9">
        <f>MAX(original!J1611,piwebapi_edit!J1611,car_edit!J1611)</f>
        <v>0</v>
      </c>
      <c r="K1611" s="17"/>
    </row>
    <row r="1612" spans="1:11" x14ac:dyDescent="0.25">
      <c r="A1612" s="3" t="s">
        <v>3248</v>
      </c>
      <c r="B1612" s="4" t="s">
        <v>3249</v>
      </c>
      <c r="C1612" s="54" t="s">
        <v>3250</v>
      </c>
      <c r="D1612" s="17" t="s">
        <v>11</v>
      </c>
      <c r="E1612" s="17" t="s">
        <v>12</v>
      </c>
      <c r="F1612" s="15">
        <v>45108</v>
      </c>
      <c r="G1612" s="8">
        <f t="shared" si="25"/>
        <v>45108</v>
      </c>
      <c r="H1612" s="8" t="s">
        <v>13</v>
      </c>
      <c r="I1612" s="9">
        <f>MAX(original!I1612,piwebapi_edit!I1612,car_edit!I1612)</f>
        <v>1474.8917998083</v>
      </c>
      <c r="J1612" s="9">
        <f>MAX(original!J1612,piwebapi_edit!J1612,car_edit!J1612)</f>
        <v>185.875911296434</v>
      </c>
      <c r="K1612" s="17"/>
    </row>
    <row r="1613" spans="1:11" x14ac:dyDescent="0.25">
      <c r="A1613" s="3" t="s">
        <v>3251</v>
      </c>
      <c r="B1613" s="4" t="s">
        <v>3252</v>
      </c>
      <c r="C1613" s="54">
        <v>342833</v>
      </c>
      <c r="D1613" s="17" t="s">
        <v>34</v>
      </c>
      <c r="E1613" s="17" t="s">
        <v>17</v>
      </c>
      <c r="F1613" s="15">
        <v>45230</v>
      </c>
      <c r="G1613" s="8">
        <f t="shared" si="25"/>
        <v>45230</v>
      </c>
      <c r="H1613" s="8" t="s">
        <v>13</v>
      </c>
      <c r="I1613" s="9">
        <f>MAX(original!I1613,piwebapi_edit!I1613,car_edit!I1613)</f>
        <v>0</v>
      </c>
      <c r="J1613" s="9">
        <f>MAX(original!J1613,piwebapi_edit!J1613,car_edit!J1613)</f>
        <v>0</v>
      </c>
      <c r="K1613" s="17"/>
    </row>
    <row r="1614" spans="1:11" x14ac:dyDescent="0.25">
      <c r="A1614" s="3" t="s">
        <v>3253</v>
      </c>
      <c r="B1614" s="4" t="s">
        <v>3254</v>
      </c>
      <c r="C1614" s="54">
        <v>343233</v>
      </c>
      <c r="D1614" s="17" t="s">
        <v>34</v>
      </c>
      <c r="E1614" s="17" t="s">
        <v>17</v>
      </c>
      <c r="F1614" s="15">
        <v>45230</v>
      </c>
      <c r="G1614" s="8">
        <f t="shared" si="25"/>
        <v>45230</v>
      </c>
      <c r="H1614" s="8" t="s">
        <v>13</v>
      </c>
      <c r="I1614" s="9">
        <f>MAX(original!I1614,piwebapi_edit!I1614,car_edit!I1614)</f>
        <v>0</v>
      </c>
      <c r="J1614" s="9">
        <f>MAX(original!J1614,piwebapi_edit!J1614,car_edit!J1614)</f>
        <v>0</v>
      </c>
      <c r="K1614" s="17"/>
    </row>
    <row r="1615" spans="1:11" x14ac:dyDescent="0.25">
      <c r="A1615" s="3" t="s">
        <v>3255</v>
      </c>
      <c r="B1615" s="4" t="s">
        <v>3256</v>
      </c>
      <c r="C1615" s="54">
        <v>322833</v>
      </c>
      <c r="D1615" s="17" t="s">
        <v>28</v>
      </c>
      <c r="E1615" s="17" t="s">
        <v>17</v>
      </c>
      <c r="F1615" s="15">
        <v>45231</v>
      </c>
      <c r="G1615" s="8">
        <f t="shared" si="25"/>
        <v>45231</v>
      </c>
      <c r="H1615" s="8" t="s">
        <v>13</v>
      </c>
      <c r="I1615" s="9">
        <f>MAX(original!I1615,piwebapi_edit!I1615,car_edit!I1615)</f>
        <v>0</v>
      </c>
      <c r="J1615" s="9">
        <f>MAX(original!J1615,piwebapi_edit!J1615,car_edit!J1615)</f>
        <v>0</v>
      </c>
      <c r="K1615" s="17"/>
    </row>
    <row r="1616" spans="1:11" x14ac:dyDescent="0.25">
      <c r="A1616" s="3" t="s">
        <v>3257</v>
      </c>
      <c r="B1616" s="4" t="s">
        <v>3258</v>
      </c>
      <c r="C1616" s="54"/>
      <c r="D1616" s="17" t="s">
        <v>31</v>
      </c>
      <c r="E1616" s="17" t="s">
        <v>17</v>
      </c>
      <c r="F1616" s="15">
        <v>45266</v>
      </c>
      <c r="G1616" s="8">
        <f t="shared" si="25"/>
        <v>45266</v>
      </c>
      <c r="H1616" s="8" t="s">
        <v>13</v>
      </c>
      <c r="I1616" s="9">
        <f>MAX(original!I1616,piwebapi_edit!I1616,car_edit!I1616)</f>
        <v>0</v>
      </c>
      <c r="J1616" s="9">
        <f>MAX(original!J1616,piwebapi_edit!J1616,car_edit!J1616)</f>
        <v>0</v>
      </c>
      <c r="K1616" s="17"/>
    </row>
    <row r="1617" spans="1:11" x14ac:dyDescent="0.25">
      <c r="A1617" s="3" t="s">
        <v>3259</v>
      </c>
      <c r="B1617" s="4" t="s">
        <v>3260</v>
      </c>
      <c r="C1617" s="54">
        <v>345634</v>
      </c>
      <c r="D1617" s="17" t="s">
        <v>11</v>
      </c>
      <c r="E1617" s="17" t="s">
        <v>12</v>
      </c>
      <c r="F1617" s="15">
        <v>45258</v>
      </c>
      <c r="G1617" s="8">
        <f t="shared" si="25"/>
        <v>45258</v>
      </c>
      <c r="H1617" s="8" t="s">
        <v>39</v>
      </c>
      <c r="I1617" s="9">
        <f>MAX(original!I1617,piwebapi_edit!I1617,car_edit!I1617)</f>
        <v>0</v>
      </c>
      <c r="J1617" s="9">
        <f>MAX(original!J1617,piwebapi_edit!J1617,car_edit!J1617)</f>
        <v>0</v>
      </c>
      <c r="K1617" s="17"/>
    </row>
    <row r="1618" spans="1:11" x14ac:dyDescent="0.25">
      <c r="A1618" s="3" t="s">
        <v>3261</v>
      </c>
      <c r="B1618" s="4" t="s">
        <v>3262</v>
      </c>
      <c r="C1618" s="54">
        <v>345234</v>
      </c>
      <c r="D1618" s="17" t="s">
        <v>34</v>
      </c>
      <c r="E1618" s="17" t="s">
        <v>17</v>
      </c>
      <c r="F1618" s="15">
        <v>45279</v>
      </c>
      <c r="G1618" s="8">
        <f t="shared" si="25"/>
        <v>45279</v>
      </c>
      <c r="H1618" s="8" t="s">
        <v>13</v>
      </c>
      <c r="I1618" s="9">
        <f>MAX(original!I1618,piwebapi_edit!I1618,car_edit!I1618)</f>
        <v>0</v>
      </c>
      <c r="J1618" s="9">
        <f>MAX(original!J1618,piwebapi_edit!J1618,car_edit!J1618)</f>
        <v>0</v>
      </c>
      <c r="K1618" s="17"/>
    </row>
    <row r="1619" spans="1:11" x14ac:dyDescent="0.25">
      <c r="A1619" s="3" t="s">
        <v>3263</v>
      </c>
      <c r="B1619" s="4" t="s">
        <v>3264</v>
      </c>
      <c r="C1619" s="5">
        <v>346835</v>
      </c>
      <c r="D1619" s="17" t="s">
        <v>11</v>
      </c>
      <c r="E1619" s="17" t="s">
        <v>17</v>
      </c>
      <c r="F1619" s="15">
        <v>45372</v>
      </c>
      <c r="G1619" s="8">
        <f t="shared" si="25"/>
        <v>45372</v>
      </c>
      <c r="H1619" s="8" t="s">
        <v>13</v>
      </c>
      <c r="I1619" s="9">
        <f>MAX(original!I1619,piwebapi_edit!I1619,car_edit!I1619)</f>
        <v>0</v>
      </c>
      <c r="J1619" s="9">
        <f>MAX(original!J1619,piwebapi_edit!J1619,car_edit!J1619)</f>
        <v>0</v>
      </c>
      <c r="K1619" s="17"/>
    </row>
    <row r="1620" spans="1:11" x14ac:dyDescent="0.25">
      <c r="A1620" s="3" t="s">
        <v>3265</v>
      </c>
      <c r="B1620" s="4" t="s">
        <v>3266</v>
      </c>
      <c r="C1620" s="54">
        <v>347634</v>
      </c>
      <c r="D1620" s="17" t="s">
        <v>28</v>
      </c>
      <c r="E1620" s="17" t="s">
        <v>17</v>
      </c>
      <c r="F1620" s="15">
        <v>45275</v>
      </c>
      <c r="G1620" s="8">
        <f t="shared" si="25"/>
        <v>45275</v>
      </c>
      <c r="H1620" s="8" t="s">
        <v>13</v>
      </c>
      <c r="I1620" s="9">
        <f>MAX(original!I1620,piwebapi_edit!I1620,car_edit!I1620)</f>
        <v>0</v>
      </c>
      <c r="J1620" s="9">
        <f>MAX(original!J1620,piwebapi_edit!J1620,car_edit!J1620)</f>
        <v>0</v>
      </c>
      <c r="K1620" s="17"/>
    </row>
    <row r="1621" spans="1:11" x14ac:dyDescent="0.25">
      <c r="A1621" s="3" t="s">
        <v>3267</v>
      </c>
      <c r="B1621" s="4" t="s">
        <v>3268</v>
      </c>
      <c r="C1621" s="5">
        <v>347635</v>
      </c>
      <c r="D1621" s="17" t="s">
        <v>16</v>
      </c>
      <c r="E1621" s="17" t="s">
        <v>17</v>
      </c>
      <c r="F1621" s="15">
        <v>44913</v>
      </c>
      <c r="G1621" s="8">
        <f t="shared" si="25"/>
        <v>44913</v>
      </c>
      <c r="H1621" s="8" t="s">
        <v>13</v>
      </c>
      <c r="I1621" s="9">
        <f>MAX(original!I1621,piwebapi_edit!I1621,car_edit!I1621)</f>
        <v>0</v>
      </c>
      <c r="J1621" s="9">
        <f>MAX(original!J1621,piwebapi_edit!J1621,car_edit!J1621)</f>
        <v>0</v>
      </c>
      <c r="K1621" s="17"/>
    </row>
    <row r="1622" spans="1:11" x14ac:dyDescent="0.25">
      <c r="A1622" s="3" t="s">
        <v>3269</v>
      </c>
      <c r="B1622" s="4" t="s">
        <v>3270</v>
      </c>
      <c r="C1622" s="54">
        <v>348434</v>
      </c>
      <c r="D1622" s="17" t="s">
        <v>34</v>
      </c>
      <c r="E1622" s="17" t="s">
        <v>17</v>
      </c>
      <c r="F1622" s="15">
        <v>45302</v>
      </c>
      <c r="G1622" s="8">
        <f t="shared" si="25"/>
        <v>45302</v>
      </c>
      <c r="H1622" s="8" t="s">
        <v>13</v>
      </c>
      <c r="I1622" s="9">
        <f>MAX(original!I1622,piwebapi_edit!I1622,car_edit!I1622)</f>
        <v>0</v>
      </c>
      <c r="J1622" s="9">
        <f>MAX(original!J1622,piwebapi_edit!J1622,car_edit!J1622)</f>
        <v>0</v>
      </c>
      <c r="K1622" s="17"/>
    </row>
    <row r="1623" spans="1:11" x14ac:dyDescent="0.25">
      <c r="A1623" s="3" t="s">
        <v>3271</v>
      </c>
      <c r="B1623" s="4" t="s">
        <v>3272</v>
      </c>
      <c r="C1623" s="54">
        <v>351235</v>
      </c>
      <c r="D1623" s="17" t="s">
        <v>11</v>
      </c>
      <c r="E1623" s="17" t="s">
        <v>12</v>
      </c>
      <c r="F1623" s="15">
        <v>45300</v>
      </c>
      <c r="G1623" s="8">
        <f t="shared" si="25"/>
        <v>45300</v>
      </c>
      <c r="H1623" s="8" t="s">
        <v>39</v>
      </c>
      <c r="I1623" s="9">
        <f>MAX(original!I1623,piwebapi_edit!I1623,car_edit!I1623)</f>
        <v>0</v>
      </c>
      <c r="J1623" s="9">
        <f>MAX(original!J1623,piwebapi_edit!J1623,car_edit!J1623)</f>
        <v>0</v>
      </c>
      <c r="K1623" s="17"/>
    </row>
    <row r="1624" spans="1:11" x14ac:dyDescent="0.25">
      <c r="A1624" s="3" t="s">
        <v>3273</v>
      </c>
      <c r="B1624" s="4" t="s">
        <v>3274</v>
      </c>
      <c r="C1624" s="5">
        <v>349234</v>
      </c>
      <c r="D1624" s="17" t="s">
        <v>11</v>
      </c>
      <c r="E1624" s="17" t="s">
        <v>17</v>
      </c>
      <c r="F1624" s="15">
        <v>45300</v>
      </c>
      <c r="G1624" s="8">
        <f t="shared" si="25"/>
        <v>45300</v>
      </c>
      <c r="H1624" s="8" t="s">
        <v>13</v>
      </c>
      <c r="I1624" s="9">
        <f>MAX(original!I1624,piwebapi_edit!I1624,car_edit!I1624)</f>
        <v>0</v>
      </c>
      <c r="J1624" s="9">
        <f>MAX(original!J1624,piwebapi_edit!J1624,car_edit!J1624)</f>
        <v>0</v>
      </c>
      <c r="K1624" s="17"/>
    </row>
    <row r="1625" spans="1:11" x14ac:dyDescent="0.25">
      <c r="A1625" s="3" t="s">
        <v>3275</v>
      </c>
      <c r="B1625" s="4" t="s">
        <v>3276</v>
      </c>
      <c r="C1625" s="5">
        <v>349235</v>
      </c>
      <c r="D1625" s="17" t="s">
        <v>11</v>
      </c>
      <c r="E1625" s="17" t="s">
        <v>12</v>
      </c>
      <c r="F1625" s="15">
        <v>45293</v>
      </c>
      <c r="G1625" s="8">
        <f t="shared" si="25"/>
        <v>45293</v>
      </c>
      <c r="H1625" s="8" t="s">
        <v>13</v>
      </c>
      <c r="I1625" s="9">
        <f>MAX(original!I1625,piwebapi_edit!I1625,car_edit!I1625)</f>
        <v>28658.524308387801</v>
      </c>
      <c r="J1625" s="9">
        <f>MAX(original!J1625,piwebapi_edit!J1625,car_edit!J1625)</f>
        <v>265.58975499783901</v>
      </c>
      <c r="K1625" s="17"/>
    </row>
    <row r="1626" spans="1:11" x14ac:dyDescent="0.25">
      <c r="A1626" s="3" t="s">
        <v>3277</v>
      </c>
      <c r="B1626" s="4" t="s">
        <v>3278</v>
      </c>
      <c r="C1626" s="54">
        <v>354435</v>
      </c>
      <c r="D1626" s="17" t="s">
        <v>28</v>
      </c>
      <c r="E1626" s="17" t="s">
        <v>17</v>
      </c>
      <c r="F1626" s="15">
        <v>45303</v>
      </c>
      <c r="G1626" s="8">
        <f t="shared" si="25"/>
        <v>45303</v>
      </c>
      <c r="H1626" s="8" t="s">
        <v>13</v>
      </c>
      <c r="I1626" s="9">
        <f>MAX(original!I1626,piwebapi_edit!I1626,car_edit!I1626)</f>
        <v>0</v>
      </c>
      <c r="J1626" s="9">
        <f>MAX(original!J1626,piwebapi_edit!J1626,car_edit!J1626)</f>
        <v>0</v>
      </c>
      <c r="K1626" s="17"/>
    </row>
    <row r="1627" spans="1:11" x14ac:dyDescent="0.25">
      <c r="A1627" s="3" t="s">
        <v>3279</v>
      </c>
      <c r="B1627" s="4" t="s">
        <v>3280</v>
      </c>
      <c r="C1627" s="54">
        <v>351234</v>
      </c>
      <c r="D1627" s="17" t="s">
        <v>11</v>
      </c>
      <c r="E1627" s="17" t="s">
        <v>12</v>
      </c>
      <c r="F1627" s="15">
        <v>45308</v>
      </c>
      <c r="G1627" s="8">
        <f t="shared" si="25"/>
        <v>45308</v>
      </c>
      <c r="H1627" s="8" t="s">
        <v>39</v>
      </c>
      <c r="I1627" s="9">
        <f>MAX(original!I1627,piwebapi_edit!I1627,car_edit!I1627)</f>
        <v>0</v>
      </c>
      <c r="J1627" s="9">
        <f>MAX(original!J1627,piwebapi_edit!J1627,car_edit!J1627)</f>
        <v>0</v>
      </c>
      <c r="K1627" s="17"/>
    </row>
    <row r="1628" spans="1:11" x14ac:dyDescent="0.25">
      <c r="A1628" s="3" t="s">
        <v>3281</v>
      </c>
      <c r="B1628" s="4" t="s">
        <v>3282</v>
      </c>
      <c r="C1628" s="54">
        <v>350834</v>
      </c>
      <c r="D1628" s="17" t="s">
        <v>28</v>
      </c>
      <c r="E1628" s="17" t="s">
        <v>17</v>
      </c>
      <c r="F1628" s="15">
        <v>45317</v>
      </c>
      <c r="G1628" s="8">
        <f t="shared" si="25"/>
        <v>45317</v>
      </c>
      <c r="H1628" s="8" t="s">
        <v>13</v>
      </c>
      <c r="I1628" s="9">
        <f>MAX(original!I1628,piwebapi_edit!I1628,car_edit!I1628)</f>
        <v>0</v>
      </c>
      <c r="J1628" s="9">
        <f>MAX(original!J1628,piwebapi_edit!J1628,car_edit!J1628)</f>
        <v>0</v>
      </c>
      <c r="K1628" s="17"/>
    </row>
    <row r="1629" spans="1:11" x14ac:dyDescent="0.25">
      <c r="A1629" s="3" t="s">
        <v>3283</v>
      </c>
      <c r="B1629" s="4" t="s">
        <v>3284</v>
      </c>
      <c r="C1629" s="5">
        <v>352434</v>
      </c>
      <c r="D1629" s="17" t="s">
        <v>37</v>
      </c>
      <c r="E1629" s="17" t="s">
        <v>38</v>
      </c>
      <c r="F1629" s="15">
        <v>45343</v>
      </c>
      <c r="G1629" s="8">
        <f t="shared" si="25"/>
        <v>45343</v>
      </c>
      <c r="H1629" s="8" t="s">
        <v>39</v>
      </c>
      <c r="I1629" s="9">
        <f>MAX(original!I1629,piwebapi_edit!I1629,car_edit!I1629)</f>
        <v>0</v>
      </c>
      <c r="J1629" s="9">
        <f>MAX(original!J1629,piwebapi_edit!J1629,car_edit!J1629)</f>
        <v>0</v>
      </c>
      <c r="K1629" s="17"/>
    </row>
    <row r="1630" spans="1:11" x14ac:dyDescent="0.25">
      <c r="A1630" s="3" t="s">
        <v>3285</v>
      </c>
      <c r="B1630" s="4" t="s">
        <v>3286</v>
      </c>
      <c r="C1630" s="54">
        <v>346835</v>
      </c>
      <c r="D1630" s="17" t="s">
        <v>11</v>
      </c>
      <c r="E1630" s="17" t="s">
        <v>17</v>
      </c>
      <c r="F1630" s="15">
        <v>45371</v>
      </c>
      <c r="G1630" s="8">
        <f t="shared" si="25"/>
        <v>45371</v>
      </c>
      <c r="H1630" s="8" t="s">
        <v>13</v>
      </c>
      <c r="I1630" s="9">
        <f>MAX(original!I1630,piwebapi_edit!I1630,car_edit!I1630)</f>
        <v>0</v>
      </c>
      <c r="J1630" s="9">
        <f>MAX(original!J1630,piwebapi_edit!J1630,car_edit!J1630)</f>
        <v>0</v>
      </c>
      <c r="K1630" s="17"/>
    </row>
    <row r="1631" spans="1:11" x14ac:dyDescent="0.25">
      <c r="A1631" s="3" t="s">
        <v>3287</v>
      </c>
      <c r="B1631" s="4" t="s">
        <v>3288</v>
      </c>
      <c r="C1631" s="5">
        <v>359244</v>
      </c>
      <c r="D1631" s="17" t="s">
        <v>34</v>
      </c>
      <c r="E1631" s="17" t="s">
        <v>17</v>
      </c>
      <c r="F1631" s="15">
        <v>45385</v>
      </c>
      <c r="G1631" s="8">
        <f t="shared" si="25"/>
        <v>45385</v>
      </c>
      <c r="H1631" s="8" t="s">
        <v>13</v>
      </c>
      <c r="I1631" s="9">
        <f>MAX(original!I1631,piwebapi_edit!I1631,car_edit!I1631)</f>
        <v>0</v>
      </c>
      <c r="J1631" s="9">
        <f>MAX(original!J1631,piwebapi_edit!J1631,car_edit!J1631)</f>
        <v>0</v>
      </c>
      <c r="K1631" s="17"/>
    </row>
    <row r="1632" spans="1:11" x14ac:dyDescent="0.25">
      <c r="A1632" s="3" t="s">
        <v>3289</v>
      </c>
      <c r="B1632" s="4" t="s">
        <v>3290</v>
      </c>
      <c r="C1632" s="54">
        <v>360844</v>
      </c>
      <c r="D1632" s="17" t="s">
        <v>11</v>
      </c>
      <c r="E1632" s="17" t="s">
        <v>12</v>
      </c>
      <c r="F1632" s="15">
        <v>45385</v>
      </c>
      <c r="G1632" s="8">
        <f t="shared" si="25"/>
        <v>45385</v>
      </c>
      <c r="H1632" s="8" t="s">
        <v>39</v>
      </c>
      <c r="I1632" s="9">
        <f>MAX(original!I1632,piwebapi_edit!I1632,car_edit!I1632)</f>
        <v>0</v>
      </c>
      <c r="J1632" s="9">
        <f>MAX(original!J1632,piwebapi_edit!J1632,car_edit!J1632)</f>
        <v>0</v>
      </c>
      <c r="K1632" s="17"/>
    </row>
    <row r="1633" spans="1:11" x14ac:dyDescent="0.25">
      <c r="A1633" s="3" t="s">
        <v>3291</v>
      </c>
      <c r="B1633" s="4" t="s">
        <v>3292</v>
      </c>
      <c r="C1633" s="54">
        <v>360444</v>
      </c>
      <c r="D1633" s="17" t="s">
        <v>28</v>
      </c>
      <c r="E1633" s="17" t="s">
        <v>17</v>
      </c>
      <c r="F1633" s="15">
        <v>45394.558969907404</v>
      </c>
      <c r="G1633" s="8">
        <f t="shared" si="25"/>
        <v>45394.558969907404</v>
      </c>
      <c r="H1633" s="8" t="s">
        <v>13</v>
      </c>
      <c r="I1633" s="9">
        <f>MAX(original!I1633,piwebapi_edit!I1633,car_edit!I1633)</f>
        <v>0</v>
      </c>
      <c r="J1633" s="9">
        <f>MAX(original!J1633,piwebapi_edit!J1633,car_edit!J1633)</f>
        <v>0</v>
      </c>
      <c r="K1633" s="17"/>
    </row>
    <row r="1634" spans="1:11" x14ac:dyDescent="0.25">
      <c r="A1634" s="3" t="s">
        <v>3293</v>
      </c>
      <c r="B1634" s="4" t="s">
        <v>3294</v>
      </c>
      <c r="C1634" s="54">
        <v>361644</v>
      </c>
      <c r="D1634" s="17" t="s">
        <v>34</v>
      </c>
      <c r="E1634" s="17" t="s">
        <v>17</v>
      </c>
      <c r="F1634" s="15">
        <v>45399.317418981482</v>
      </c>
      <c r="G1634" s="8">
        <f t="shared" si="25"/>
        <v>45399.317418981482</v>
      </c>
      <c r="H1634" s="8" t="s">
        <v>13</v>
      </c>
      <c r="I1634" s="9">
        <f>MAX(original!I1634,piwebapi_edit!I1634,car_edit!I1634)</f>
        <v>0</v>
      </c>
      <c r="J1634" s="9">
        <f>MAX(original!J1634,piwebapi_edit!J1634,car_edit!J1634)</f>
        <v>0</v>
      </c>
      <c r="K1634" s="17"/>
    </row>
    <row r="1635" spans="1:11" x14ac:dyDescent="0.25">
      <c r="A1635" s="3" t="s">
        <v>3295</v>
      </c>
      <c r="B1635" s="4" t="s">
        <v>3296</v>
      </c>
      <c r="C1635" s="5">
        <v>362044</v>
      </c>
      <c r="D1635" s="17" t="s">
        <v>16</v>
      </c>
      <c r="E1635" s="17" t="s">
        <v>17</v>
      </c>
      <c r="F1635" s="15">
        <v>45404.310439814813</v>
      </c>
      <c r="G1635" s="8">
        <f t="shared" si="25"/>
        <v>45404.310439814813</v>
      </c>
      <c r="H1635" s="8" t="s">
        <v>13</v>
      </c>
      <c r="I1635" s="9">
        <f>MAX(original!I1635,piwebapi_edit!I1635,car_edit!I1635)</f>
        <v>0</v>
      </c>
      <c r="J1635" s="9">
        <f>MAX(original!J1635,piwebapi_edit!J1635,car_edit!J1635)</f>
        <v>0</v>
      </c>
      <c r="K1635" s="17"/>
    </row>
    <row r="1636" spans="1:11" x14ac:dyDescent="0.25">
      <c r="A1636" s="3" t="s">
        <v>3297</v>
      </c>
      <c r="B1636" s="4" t="s">
        <v>3298</v>
      </c>
      <c r="C1636" s="54">
        <v>362444</v>
      </c>
      <c r="D1636" s="17" t="s">
        <v>31</v>
      </c>
      <c r="E1636" s="17" t="s">
        <v>17</v>
      </c>
      <c r="F1636" s="15">
        <v>45404.610613425924</v>
      </c>
      <c r="G1636" s="8">
        <f t="shared" si="25"/>
        <v>45404.610613425924</v>
      </c>
      <c r="H1636" s="8" t="s">
        <v>13</v>
      </c>
      <c r="I1636" s="9">
        <f>MAX(original!I1636,piwebapi_edit!I1636,car_edit!I1636)</f>
        <v>0</v>
      </c>
      <c r="J1636" s="9">
        <f>MAX(original!J1636,piwebapi_edit!J1636,car_edit!J1636)</f>
        <v>0</v>
      </c>
      <c r="K1636" s="17"/>
    </row>
    <row r="1637" spans="1:11" x14ac:dyDescent="0.25">
      <c r="A1637" s="3" t="s">
        <v>3299</v>
      </c>
      <c r="B1637" s="4" t="s">
        <v>3300</v>
      </c>
      <c r="C1637" s="5">
        <v>363244</v>
      </c>
      <c r="D1637" s="17" t="s">
        <v>37</v>
      </c>
      <c r="E1637" s="17" t="s">
        <v>38</v>
      </c>
      <c r="F1637" s="15">
        <v>45413.411770833336</v>
      </c>
      <c r="G1637" s="8">
        <f t="shared" si="25"/>
        <v>45413.411770833336</v>
      </c>
      <c r="H1637" s="8" t="s">
        <v>39</v>
      </c>
      <c r="I1637" s="9">
        <f>MAX(original!I1637,piwebapi_edit!I1637,car_edit!I1637)</f>
        <v>0</v>
      </c>
      <c r="J1637" s="9">
        <f>MAX(original!J1637,piwebapi_edit!J1637,car_edit!J1637)</f>
        <v>0</v>
      </c>
      <c r="K1637" s="17"/>
    </row>
    <row r="1638" spans="1:11" x14ac:dyDescent="0.25">
      <c r="A1638" s="3" t="s">
        <v>3301</v>
      </c>
      <c r="B1638" s="4" t="s">
        <v>3302</v>
      </c>
      <c r="C1638" s="54">
        <v>364044</v>
      </c>
      <c r="D1638" s="17" t="s">
        <v>16</v>
      </c>
      <c r="E1638" s="17" t="s">
        <v>17</v>
      </c>
      <c r="F1638" s="15">
        <v>45433.624699074076</v>
      </c>
      <c r="G1638" s="8">
        <f t="shared" si="25"/>
        <v>45433.624699074076</v>
      </c>
      <c r="H1638" s="8" t="s">
        <v>13</v>
      </c>
      <c r="I1638" s="9">
        <f>MAX(original!I1638,piwebapi_edit!I1638,car_edit!I1638)</f>
        <v>0</v>
      </c>
      <c r="J1638" s="9">
        <f>MAX(original!J1638,piwebapi_edit!J1638,car_edit!J1638)</f>
        <v>0</v>
      </c>
      <c r="K1638" s="17"/>
    </row>
    <row r="1639" spans="1:11" x14ac:dyDescent="0.25">
      <c r="A1639" s="3" t="s">
        <v>3303</v>
      </c>
      <c r="B1639" s="4" t="s">
        <v>3304</v>
      </c>
      <c r="C1639" s="54">
        <v>637645</v>
      </c>
      <c r="D1639" s="17" t="s">
        <v>28</v>
      </c>
      <c r="E1639" s="17" t="s">
        <v>17</v>
      </c>
      <c r="F1639" s="15">
        <v>45450.630833333336</v>
      </c>
      <c r="G1639" s="8">
        <f t="shared" si="25"/>
        <v>45450.630833333336</v>
      </c>
      <c r="H1639" s="8" t="s">
        <v>13</v>
      </c>
      <c r="I1639" s="9">
        <f>MAX(original!I1639,piwebapi_edit!I1639,car_edit!I1639)</f>
        <v>0</v>
      </c>
      <c r="J1639" s="9">
        <f>MAX(original!J1639,piwebapi_edit!J1639,car_edit!J1639)</f>
        <v>0</v>
      </c>
      <c r="K1639" s="17"/>
    </row>
    <row r="1640" spans="1:11" x14ac:dyDescent="0.25">
      <c r="A1640" s="3" t="s">
        <v>3305</v>
      </c>
      <c r="B1640" s="4" t="s">
        <v>3306</v>
      </c>
      <c r="C1640" s="54">
        <v>366444</v>
      </c>
      <c r="D1640" s="17" t="s">
        <v>34</v>
      </c>
      <c r="E1640" s="17" t="s">
        <v>17</v>
      </c>
      <c r="F1640" s="15">
        <v>45453.325358796297</v>
      </c>
      <c r="G1640" s="8">
        <f t="shared" si="25"/>
        <v>45453.325358796297</v>
      </c>
      <c r="H1640" s="8" t="s">
        <v>13</v>
      </c>
      <c r="I1640" s="9">
        <f>MAX(original!I1640,piwebapi_edit!I1640,car_edit!I1640)</f>
        <v>0</v>
      </c>
      <c r="J1640" s="9">
        <f>MAX(original!J1640,piwebapi_edit!J1640,car_edit!J1640)</f>
        <v>0</v>
      </c>
      <c r="K1640" s="17"/>
    </row>
    <row r="1641" spans="1:11" x14ac:dyDescent="0.25">
      <c r="A1641" s="3" t="s">
        <v>3307</v>
      </c>
      <c r="B1641" s="4" t="s">
        <v>3308</v>
      </c>
      <c r="C1641" s="5">
        <v>367644</v>
      </c>
      <c r="D1641" s="17" t="s">
        <v>31</v>
      </c>
      <c r="E1641" s="17" t="s">
        <v>17</v>
      </c>
      <c r="F1641" s="15">
        <v>45455.321006944447</v>
      </c>
      <c r="G1641" s="8">
        <f t="shared" si="25"/>
        <v>45455.321006944447</v>
      </c>
      <c r="H1641" s="8" t="s">
        <v>13</v>
      </c>
      <c r="I1641" s="9">
        <f>MAX(original!I1641,piwebapi_edit!I1641,car_edit!I1641)</f>
        <v>0</v>
      </c>
      <c r="J1641" s="9">
        <f>MAX(original!J1641,piwebapi_edit!J1641,car_edit!J1641)</f>
        <v>0</v>
      </c>
      <c r="K1641" s="17"/>
    </row>
    <row r="1642" spans="1:11" x14ac:dyDescent="0.25">
      <c r="A1642" s="3" t="s">
        <v>3309</v>
      </c>
      <c r="B1642" s="4" t="s">
        <v>3310</v>
      </c>
      <c r="C1642" s="5">
        <v>368444</v>
      </c>
      <c r="D1642" s="17" t="s">
        <v>34</v>
      </c>
      <c r="E1642" s="17" t="s">
        <v>17</v>
      </c>
      <c r="F1642" s="15">
        <v>45460.311909722222</v>
      </c>
      <c r="G1642" s="8">
        <f t="shared" si="25"/>
        <v>45460.311909722222</v>
      </c>
      <c r="H1642" s="8" t="s">
        <v>13</v>
      </c>
      <c r="I1642" s="9">
        <f>MAX(original!I1642,piwebapi_edit!I1642,car_edit!I1642)</f>
        <v>0</v>
      </c>
      <c r="J1642" s="9">
        <f>MAX(original!J1642,piwebapi_edit!J1642,car_edit!J1642)</f>
        <v>0</v>
      </c>
      <c r="K1642" s="17"/>
    </row>
    <row r="1643" spans="1:11" x14ac:dyDescent="0.25">
      <c r="A1643" s="3" t="s">
        <v>3311</v>
      </c>
      <c r="B1643" s="4" t="s">
        <v>3312</v>
      </c>
      <c r="C1643" s="54">
        <v>369644</v>
      </c>
      <c r="D1643" s="17" t="s">
        <v>37</v>
      </c>
      <c r="E1643" s="17" t="s">
        <v>38</v>
      </c>
      <c r="F1643" s="15">
        <v>45467.485335648147</v>
      </c>
      <c r="G1643" s="8">
        <f t="shared" si="25"/>
        <v>45467.485335648147</v>
      </c>
      <c r="H1643" s="8" t="s">
        <v>39</v>
      </c>
      <c r="I1643" s="9">
        <f>MAX(original!I1643,piwebapi_edit!I1643,car_edit!I1643)</f>
        <v>0</v>
      </c>
      <c r="J1643" s="9">
        <f>MAX(original!J1643,piwebapi_edit!J1643,car_edit!J1643)</f>
        <v>0</v>
      </c>
      <c r="K1643" s="17"/>
    </row>
    <row r="1644" spans="1:11" x14ac:dyDescent="0.25">
      <c r="A1644" s="3" t="s">
        <v>3313</v>
      </c>
      <c r="B1644" s="4" t="s">
        <v>3314</v>
      </c>
      <c r="C1644" s="54">
        <v>370044</v>
      </c>
      <c r="D1644" s="17" t="s">
        <v>28</v>
      </c>
      <c r="E1644" s="17" t="s">
        <v>17</v>
      </c>
      <c r="F1644" s="15">
        <v>45474.317303240743</v>
      </c>
      <c r="G1644" s="8">
        <f t="shared" si="25"/>
        <v>45474.317303240743</v>
      </c>
      <c r="H1644" s="8" t="s">
        <v>13</v>
      </c>
      <c r="I1644" s="9">
        <f>MAX(original!I1644,piwebapi_edit!I1644,car_edit!I1644)</f>
        <v>0</v>
      </c>
      <c r="J1644" s="9">
        <f>MAX(original!J1644,piwebapi_edit!J1644,car_edit!J1644)</f>
        <v>0</v>
      </c>
      <c r="K1644" s="17"/>
    </row>
    <row r="1645" spans="1:11" x14ac:dyDescent="0.25">
      <c r="A1645" s="3" t="s">
        <v>3315</v>
      </c>
      <c r="B1645" s="4" t="s">
        <v>3316</v>
      </c>
      <c r="C1645" s="54">
        <v>370844</v>
      </c>
      <c r="D1645" s="17" t="s">
        <v>34</v>
      </c>
      <c r="E1645" s="17" t="s">
        <v>17</v>
      </c>
      <c r="F1645" s="15">
        <v>45489.580995370372</v>
      </c>
      <c r="G1645" s="8">
        <f t="shared" si="25"/>
        <v>45489.580995370372</v>
      </c>
      <c r="H1645" s="8" t="s">
        <v>13</v>
      </c>
      <c r="I1645" s="9">
        <f>MAX(original!I1645,piwebapi_edit!I1645,car_edit!I1645)</f>
        <v>0</v>
      </c>
      <c r="J1645" s="9">
        <f>MAX(original!J1645,piwebapi_edit!J1645,car_edit!J1645)</f>
        <v>0</v>
      </c>
      <c r="K1645" s="17"/>
    </row>
    <row r="1646" spans="1:11" x14ac:dyDescent="0.25">
      <c r="A1646" s="3" t="s">
        <v>3317</v>
      </c>
      <c r="B1646" s="4" t="s">
        <v>3318</v>
      </c>
      <c r="C1646" s="54">
        <v>371244</v>
      </c>
      <c r="D1646" s="17" t="s">
        <v>11</v>
      </c>
      <c r="E1646" s="17" t="s">
        <v>12</v>
      </c>
      <c r="F1646" s="15">
        <v>45491.576226851852</v>
      </c>
      <c r="G1646" s="8">
        <f t="shared" si="25"/>
        <v>45491.576226851852</v>
      </c>
      <c r="H1646" s="8" t="s">
        <v>39</v>
      </c>
      <c r="I1646" s="9">
        <f>MAX(original!I1646,piwebapi_edit!I1646,car_edit!I1646)</f>
        <v>0</v>
      </c>
      <c r="J1646" s="9">
        <f>MAX(original!J1646,piwebapi_edit!J1646,car_edit!J1646)</f>
        <v>0</v>
      </c>
      <c r="K1646" s="17"/>
    </row>
    <row r="1647" spans="1:11" x14ac:dyDescent="0.25">
      <c r="A1647" s="3" t="s">
        <v>3319</v>
      </c>
      <c r="B1647" s="4" t="s">
        <v>3320</v>
      </c>
      <c r="C1647" s="54">
        <v>372844</v>
      </c>
      <c r="D1647" s="17" t="s">
        <v>37</v>
      </c>
      <c r="E1647" s="17" t="s">
        <v>38</v>
      </c>
      <c r="F1647" s="15">
        <v>45505.406180555554</v>
      </c>
      <c r="G1647" s="8">
        <f t="shared" si="25"/>
        <v>45505.406180555554</v>
      </c>
      <c r="H1647" s="8" t="s">
        <v>39</v>
      </c>
      <c r="I1647" s="9">
        <f>MAX(original!I1647,piwebapi_edit!I1647,car_edit!I1647)</f>
        <v>0</v>
      </c>
      <c r="J1647" s="9">
        <f>MAX(original!J1647,piwebapi_edit!J1647,car_edit!J1647)</f>
        <v>0</v>
      </c>
      <c r="K1647" s="17"/>
    </row>
    <row r="1648" spans="1:11" x14ac:dyDescent="0.25">
      <c r="A1648" s="3" t="s">
        <v>3321</v>
      </c>
      <c r="B1648" s="4" t="s">
        <v>3322</v>
      </c>
      <c r="C1648" s="5">
        <v>373644</v>
      </c>
      <c r="D1648" s="17" t="s">
        <v>34</v>
      </c>
      <c r="E1648" s="17" t="s">
        <v>17</v>
      </c>
      <c r="F1648" s="15">
        <v>45510.605717592596</v>
      </c>
      <c r="G1648" s="8">
        <f t="shared" si="25"/>
        <v>45510.605717592596</v>
      </c>
      <c r="H1648" s="8" t="s">
        <v>13</v>
      </c>
      <c r="I1648" s="9">
        <f>MAX(original!I1648,piwebapi_edit!I1648,car_edit!I1648)</f>
        <v>0</v>
      </c>
      <c r="J1648" s="9">
        <f>MAX(original!J1648,piwebapi_edit!J1648,car_edit!J1648)</f>
        <v>0</v>
      </c>
      <c r="K1648" s="17"/>
    </row>
    <row r="1649" spans="1:11" x14ac:dyDescent="0.25">
      <c r="A1649" s="3" t="s">
        <v>3323</v>
      </c>
      <c r="B1649" s="4" t="s">
        <v>3324</v>
      </c>
      <c r="C1649" s="54">
        <v>374044</v>
      </c>
      <c r="D1649" s="17" t="s">
        <v>34</v>
      </c>
      <c r="E1649" s="17" t="s">
        <v>17</v>
      </c>
      <c r="F1649" s="15">
        <v>45519</v>
      </c>
      <c r="G1649" s="8">
        <f t="shared" si="25"/>
        <v>45519</v>
      </c>
      <c r="H1649" s="8" t="s">
        <v>13</v>
      </c>
      <c r="I1649" s="9">
        <f>MAX(original!I1649,piwebapi_edit!I1649,car_edit!I1649)</f>
        <v>0</v>
      </c>
      <c r="J1649" s="9">
        <f>MAX(original!J1649,piwebapi_edit!J1649,car_edit!J1649)</f>
        <v>0</v>
      </c>
      <c r="K1649" s="17"/>
    </row>
    <row r="1650" spans="1:11" x14ac:dyDescent="0.25">
      <c r="A1650" s="3" t="s">
        <v>3325</v>
      </c>
      <c r="B1650" s="4" t="s">
        <v>3326</v>
      </c>
      <c r="C1650" s="5">
        <v>374444</v>
      </c>
      <c r="D1650" s="17" t="s">
        <v>34</v>
      </c>
      <c r="E1650" s="17" t="s">
        <v>17</v>
      </c>
      <c r="F1650" s="15">
        <v>45480</v>
      </c>
      <c r="G1650" s="8">
        <f t="shared" si="25"/>
        <v>45480</v>
      </c>
      <c r="H1650" s="8" t="s">
        <v>13</v>
      </c>
      <c r="I1650" s="9">
        <f>MAX(original!I1650,piwebapi_edit!I1650,car_edit!I1650)</f>
        <v>0</v>
      </c>
      <c r="J1650" s="9">
        <f>MAX(original!J1650,piwebapi_edit!J1650,car_edit!J1650)</f>
        <v>0</v>
      </c>
      <c r="K1650" s="17"/>
    </row>
    <row r="1651" spans="1:11" x14ac:dyDescent="0.25">
      <c r="A1651" s="3" t="s">
        <v>3327</v>
      </c>
      <c r="B1651" s="4" t="s">
        <v>3328</v>
      </c>
      <c r="C1651" s="5">
        <v>380444</v>
      </c>
      <c r="D1651" s="17" t="s">
        <v>11</v>
      </c>
      <c r="E1651" s="17" t="s">
        <v>12</v>
      </c>
      <c r="F1651" s="15">
        <v>45585</v>
      </c>
      <c r="G1651" s="8">
        <f t="shared" si="25"/>
        <v>45585</v>
      </c>
      <c r="H1651" s="8" t="s">
        <v>39</v>
      </c>
      <c r="I1651" s="9">
        <f>MAX(original!I1651,piwebapi_edit!I1651,car_edit!I1651)</f>
        <v>0</v>
      </c>
      <c r="J1651" s="9">
        <f>MAX(original!J1651,piwebapi_edit!J1651,car_edit!J1651)</f>
        <v>0</v>
      </c>
      <c r="K1651" s="17"/>
    </row>
    <row r="1652" spans="1:11" x14ac:dyDescent="0.25">
      <c r="A1652" s="3" t="s">
        <v>3329</v>
      </c>
      <c r="B1652" s="4" t="s">
        <v>3330</v>
      </c>
      <c r="C1652" s="54">
        <v>381244</v>
      </c>
      <c r="D1652" s="17" t="s">
        <v>28</v>
      </c>
      <c r="E1652" s="17" t="s">
        <v>17</v>
      </c>
      <c r="F1652" s="15">
        <v>45593</v>
      </c>
      <c r="G1652" s="8">
        <f t="shared" si="25"/>
        <v>45593</v>
      </c>
      <c r="H1652" s="8" t="s">
        <v>13</v>
      </c>
      <c r="I1652" s="9">
        <f>MAX(original!I1652,piwebapi_edit!I1652,car_edit!I1652)</f>
        <v>0</v>
      </c>
      <c r="J1652" s="9">
        <f>MAX(original!J1652,piwebapi_edit!J1652,car_edit!J1652)</f>
        <v>0</v>
      </c>
      <c r="K1652" s="17"/>
    </row>
    <row r="1653" spans="1:11" x14ac:dyDescent="0.25">
      <c r="A1653" s="3" t="s">
        <v>3331</v>
      </c>
      <c r="B1653" s="4" t="s">
        <v>3332</v>
      </c>
      <c r="C1653" s="54">
        <v>382444</v>
      </c>
      <c r="D1653" s="17" t="s">
        <v>11</v>
      </c>
      <c r="E1653" s="17" t="s">
        <v>12</v>
      </c>
      <c r="F1653" s="15">
        <v>45594</v>
      </c>
      <c r="G1653" s="8">
        <f t="shared" si="25"/>
        <v>45594</v>
      </c>
      <c r="H1653" s="8" t="s">
        <v>39</v>
      </c>
      <c r="I1653" s="9">
        <f>MAX(original!I1653,piwebapi_edit!I1653,car_edit!I1653)</f>
        <v>0</v>
      </c>
      <c r="J1653" s="9">
        <f>MAX(original!J1653,piwebapi_edit!J1653,car_edit!J1653)</f>
        <v>0</v>
      </c>
      <c r="K1653" s="17"/>
    </row>
    <row r="1654" spans="1:11" x14ac:dyDescent="0.25">
      <c r="A1654" s="3" t="s">
        <v>3333</v>
      </c>
      <c r="B1654" s="4" t="s">
        <v>3334</v>
      </c>
      <c r="C1654" s="54">
        <v>383244</v>
      </c>
      <c r="D1654" s="17" t="s">
        <v>28</v>
      </c>
      <c r="E1654" s="17" t="s">
        <v>17</v>
      </c>
      <c r="F1654" s="15">
        <v>45602.454293981478</v>
      </c>
      <c r="G1654" s="8">
        <f t="shared" si="25"/>
        <v>45602.454293981478</v>
      </c>
      <c r="H1654" s="8" t="s">
        <v>13</v>
      </c>
      <c r="I1654" s="9">
        <f>MAX(original!I1654,piwebapi_edit!I1654,car_edit!I1654)</f>
        <v>0</v>
      </c>
      <c r="J1654" s="9">
        <f>MAX(original!J1654,piwebapi_edit!J1654,car_edit!J1654)</f>
        <v>0</v>
      </c>
      <c r="K1654" s="17"/>
    </row>
    <row r="1655" spans="1:11" x14ac:dyDescent="0.25">
      <c r="A1655" s="3" t="s">
        <v>3335</v>
      </c>
      <c r="B1655" s="4" t="s">
        <v>3336</v>
      </c>
      <c r="C1655" s="5">
        <v>383644</v>
      </c>
      <c r="D1655" s="17" t="s">
        <v>11</v>
      </c>
      <c r="E1655" s="17" t="s">
        <v>12</v>
      </c>
      <c r="F1655" s="15">
        <v>45602.529074074075</v>
      </c>
      <c r="G1655" s="8">
        <f t="shared" si="25"/>
        <v>45602.529074074075</v>
      </c>
      <c r="H1655" s="8" t="s">
        <v>39</v>
      </c>
      <c r="I1655" s="9">
        <f>MAX(original!I1655,piwebapi_edit!I1655,car_edit!I1655)</f>
        <v>0</v>
      </c>
      <c r="J1655" s="9">
        <f>MAX(original!J1655,piwebapi_edit!J1655,car_edit!J1655)</f>
        <v>0</v>
      </c>
      <c r="K1655" s="17"/>
    </row>
    <row r="1656" spans="1:11" x14ac:dyDescent="0.25">
      <c r="A1656" s="3" t="s">
        <v>3337</v>
      </c>
      <c r="B1656" s="4" t="s">
        <v>3338</v>
      </c>
      <c r="C1656" s="54">
        <v>386444</v>
      </c>
      <c r="D1656" s="17" t="s">
        <v>11</v>
      </c>
      <c r="E1656" s="17" t="s">
        <v>12</v>
      </c>
      <c r="F1656" s="15">
        <v>45631.659236111111</v>
      </c>
      <c r="G1656" s="8">
        <f t="shared" si="25"/>
        <v>45631.659236111111</v>
      </c>
      <c r="H1656" s="8" t="s">
        <v>39</v>
      </c>
      <c r="I1656" s="9">
        <f>MAX(original!I1656,piwebapi_edit!I1656,car_edit!I1656)</f>
        <v>0</v>
      </c>
      <c r="J1656" s="9">
        <f>MAX(original!J1656,piwebapi_edit!J1656,car_edit!J1656)</f>
        <v>0</v>
      </c>
      <c r="K1656" s="17"/>
    </row>
    <row r="1657" spans="1:11" x14ac:dyDescent="0.25">
      <c r="A1657" s="3" t="s">
        <v>3339</v>
      </c>
      <c r="B1657" s="4" t="s">
        <v>3340</v>
      </c>
      <c r="C1657" s="5">
        <v>386445</v>
      </c>
      <c r="D1657" s="17" t="s">
        <v>11</v>
      </c>
      <c r="E1657" s="17" t="s">
        <v>12</v>
      </c>
      <c r="F1657" s="15">
        <v>45635.571898148148</v>
      </c>
      <c r="G1657" s="8">
        <f t="shared" si="25"/>
        <v>45635.571898148148</v>
      </c>
      <c r="H1657" s="8" t="s">
        <v>39</v>
      </c>
      <c r="I1657" s="9">
        <f>MAX(original!I1657,piwebapi_edit!I1657,car_edit!I1657)</f>
        <v>0</v>
      </c>
      <c r="J1657" s="9">
        <f>MAX(original!J1657,piwebapi_edit!J1657,car_edit!J1657)</f>
        <v>0</v>
      </c>
      <c r="K1657" s="17"/>
    </row>
    <row r="1658" spans="1:11" x14ac:dyDescent="0.25">
      <c r="A1658" s="3" t="s">
        <v>3341</v>
      </c>
      <c r="B1658" s="4" t="s">
        <v>3342</v>
      </c>
      <c r="C1658" s="54">
        <v>389644</v>
      </c>
      <c r="D1658" s="17" t="s">
        <v>11</v>
      </c>
      <c r="E1658" s="17" t="s">
        <v>12</v>
      </c>
      <c r="F1658" s="15">
        <v>45664.616249999999</v>
      </c>
      <c r="G1658" s="8">
        <f t="shared" si="25"/>
        <v>45664.616249999999</v>
      </c>
      <c r="H1658" s="8" t="s">
        <v>39</v>
      </c>
      <c r="I1658" s="9">
        <f>MAX(original!I1658,piwebapi_edit!I1658,car_edit!I1658)</f>
        <v>0</v>
      </c>
      <c r="J1658" s="9">
        <f>MAX(original!J1658,piwebapi_edit!J1658,car_edit!J1658)</f>
        <v>0</v>
      </c>
      <c r="K1658" s="17"/>
    </row>
    <row r="1659" spans="1:11" x14ac:dyDescent="0.25">
      <c r="A1659" s="3" t="s">
        <v>3343</v>
      </c>
      <c r="B1659" s="4" t="s">
        <v>3344</v>
      </c>
      <c r="C1659" s="54">
        <v>392445</v>
      </c>
      <c r="D1659" s="17" t="s">
        <v>28</v>
      </c>
      <c r="E1659" s="17" t="s">
        <v>17</v>
      </c>
      <c r="F1659" s="15">
        <v>45670.620532407411</v>
      </c>
      <c r="G1659" s="8">
        <f t="shared" si="25"/>
        <v>45670.620532407411</v>
      </c>
      <c r="H1659" s="8" t="s">
        <v>13</v>
      </c>
      <c r="I1659" s="9">
        <f>MAX(original!I1659,piwebapi_edit!I1659,car_edit!I1659)</f>
        <v>0</v>
      </c>
      <c r="J1659" s="9">
        <f>MAX(original!J1659,piwebapi_edit!J1659,car_edit!J1659)</f>
        <v>0</v>
      </c>
      <c r="K1659" s="17"/>
    </row>
    <row r="1660" spans="1:11" x14ac:dyDescent="0.25">
      <c r="A1660" s="3" t="s">
        <v>3345</v>
      </c>
      <c r="B1660" s="4" t="s">
        <v>3346</v>
      </c>
      <c r="C1660" s="54">
        <v>395645</v>
      </c>
      <c r="D1660" s="17" t="s">
        <v>28</v>
      </c>
      <c r="E1660" s="17" t="s">
        <v>17</v>
      </c>
      <c r="F1660" s="15">
        <v>45687.652094907404</v>
      </c>
      <c r="G1660" s="8">
        <f t="shared" si="25"/>
        <v>45687.652094907404</v>
      </c>
      <c r="H1660" s="8" t="s">
        <v>13</v>
      </c>
      <c r="I1660" s="9">
        <f>MAX(original!I1660,piwebapi_edit!I1660,car_edit!I1660)</f>
        <v>0</v>
      </c>
      <c r="J1660" s="9">
        <f>MAX(original!J1660,piwebapi_edit!J1660,car_edit!J1660)</f>
        <v>0</v>
      </c>
      <c r="K1660" s="17"/>
    </row>
    <row r="1661" spans="1:11" x14ac:dyDescent="0.25">
      <c r="A1661" s="3" t="s">
        <v>3347</v>
      </c>
      <c r="B1661" s="4" t="s">
        <v>3348</v>
      </c>
      <c r="C1661" s="5">
        <v>396045</v>
      </c>
      <c r="D1661" s="17" t="s">
        <v>37</v>
      </c>
      <c r="E1661" s="17" t="s">
        <v>38</v>
      </c>
      <c r="F1661" s="15">
        <v>45692.650185185186</v>
      </c>
      <c r="G1661" s="8">
        <f t="shared" si="25"/>
        <v>45692.650185185186</v>
      </c>
      <c r="H1661" s="8" t="s">
        <v>39</v>
      </c>
      <c r="I1661" s="9">
        <f>MAX(original!I1661,piwebapi_edit!I1661,car_edit!I1661)</f>
        <v>0</v>
      </c>
      <c r="J1661" s="9">
        <f>MAX(original!J1661,piwebapi_edit!J1661,car_edit!J1661)</f>
        <v>0</v>
      </c>
      <c r="K1661" s="17"/>
    </row>
    <row r="1662" spans="1:11" x14ac:dyDescent="0.25">
      <c r="A1662" s="3" t="s">
        <v>3349</v>
      </c>
      <c r="B1662" s="4" t="s">
        <v>3350</v>
      </c>
      <c r="C1662" s="54">
        <v>396845</v>
      </c>
      <c r="D1662" s="17" t="s">
        <v>28</v>
      </c>
      <c r="E1662" s="17" t="s">
        <v>17</v>
      </c>
      <c r="F1662" s="15">
        <v>45698.660474537035</v>
      </c>
      <c r="G1662" s="8">
        <f t="shared" si="25"/>
        <v>45698.660474537035</v>
      </c>
      <c r="H1662" s="8" t="s">
        <v>13</v>
      </c>
      <c r="I1662" s="9">
        <f>MAX(original!I1662,piwebapi_edit!I1662,car_edit!I1662)</f>
        <v>0</v>
      </c>
      <c r="J1662" s="9">
        <f>MAX(original!J1662,piwebapi_edit!J1662,car_edit!J1662)</f>
        <v>0</v>
      </c>
      <c r="K1662" s="17"/>
    </row>
    <row r="1663" spans="1:11" x14ac:dyDescent="0.25">
      <c r="A1663" s="3" t="s">
        <v>3351</v>
      </c>
      <c r="B1663" s="4" t="s">
        <v>3352</v>
      </c>
      <c r="C1663" s="54">
        <v>398845</v>
      </c>
      <c r="D1663" s="17" t="s">
        <v>11</v>
      </c>
      <c r="E1663" s="17" t="s">
        <v>12</v>
      </c>
      <c r="F1663" s="15">
        <v>45720.631527777776</v>
      </c>
      <c r="G1663" s="8">
        <f t="shared" si="25"/>
        <v>45720.631527777776</v>
      </c>
      <c r="H1663" s="8" t="s">
        <v>39</v>
      </c>
      <c r="I1663" s="9">
        <f>MAX(original!I1663,piwebapi_edit!I1663,car_edit!I1663)</f>
        <v>0</v>
      </c>
      <c r="J1663" s="9">
        <f>MAX(original!J1663,piwebapi_edit!J1663,car_edit!J1663)</f>
        <v>0</v>
      </c>
      <c r="K1663" s="17"/>
    </row>
    <row r="1664" spans="1:11" x14ac:dyDescent="0.25">
      <c r="A1664" s="3" t="s">
        <v>3353</v>
      </c>
      <c r="B1664" s="4" t="s">
        <v>3354</v>
      </c>
      <c r="C1664" s="5">
        <v>404045</v>
      </c>
      <c r="D1664" s="17" t="s">
        <v>34</v>
      </c>
      <c r="E1664" s="17" t="s">
        <v>17</v>
      </c>
      <c r="F1664" s="15">
        <v>45782.585601851853</v>
      </c>
      <c r="G1664" s="8">
        <f t="shared" si="25"/>
        <v>45782.585601851853</v>
      </c>
      <c r="H1664" s="8" t="s">
        <v>13</v>
      </c>
      <c r="I1664" s="9">
        <f>MAX(original!I1664,piwebapi_edit!I1664,car_edit!I1664)</f>
        <v>0</v>
      </c>
      <c r="J1664" s="9">
        <f>MAX(original!J1664,piwebapi_edit!J1664,car_edit!J1664)</f>
        <v>0</v>
      </c>
      <c r="K1664" s="17"/>
    </row>
    <row r="1665" spans="1:11" x14ac:dyDescent="0.25">
      <c r="A1665" s="3" t="s">
        <v>3355</v>
      </c>
      <c r="B1665" s="4" t="s">
        <v>3356</v>
      </c>
      <c r="C1665" s="5">
        <v>403646</v>
      </c>
      <c r="D1665" s="17" t="s">
        <v>28</v>
      </c>
      <c r="E1665" s="17" t="s">
        <v>17</v>
      </c>
      <c r="F1665" s="15">
        <v>45775.307164351849</v>
      </c>
      <c r="G1665" s="8">
        <f t="shared" si="25"/>
        <v>45775.307164351849</v>
      </c>
      <c r="H1665" s="8" t="s">
        <v>13</v>
      </c>
      <c r="I1665" s="9">
        <f>MAX(original!I1665,piwebapi_edit!I1665,car_edit!I1665)</f>
        <v>0</v>
      </c>
      <c r="J1665" s="9">
        <f>MAX(original!J1665,piwebapi_edit!J1665,car_edit!J1665)</f>
        <v>0</v>
      </c>
      <c r="K1665" s="17"/>
    </row>
    <row r="1666" spans="1:11" x14ac:dyDescent="0.25">
      <c r="A1666" s="3" t="s">
        <v>3357</v>
      </c>
      <c r="B1666" s="4" t="s">
        <v>3358</v>
      </c>
      <c r="C1666" s="54">
        <v>403647</v>
      </c>
      <c r="D1666" s="17" t="s">
        <v>28</v>
      </c>
      <c r="E1666" s="17" t="s">
        <v>17</v>
      </c>
      <c r="F1666" s="15">
        <v>45775.615393518521</v>
      </c>
      <c r="G1666" s="8">
        <f t="shared" ref="G1666:G1674" si="26">F1666</f>
        <v>45775.615393518521</v>
      </c>
      <c r="H1666" s="8" t="s">
        <v>13</v>
      </c>
      <c r="I1666" s="9">
        <f>MAX(original!I1666,piwebapi_edit!I1666,car_edit!I1666)</f>
        <v>0</v>
      </c>
      <c r="J1666" s="9">
        <f>MAX(original!J1666,piwebapi_edit!J1666,car_edit!J1666)</f>
        <v>0</v>
      </c>
      <c r="K1666" s="17"/>
    </row>
    <row r="1667" spans="1:11" x14ac:dyDescent="0.25">
      <c r="A1667" s="3" t="s">
        <v>3359</v>
      </c>
      <c r="B1667" s="4" t="s">
        <v>3360</v>
      </c>
      <c r="C1667" s="5">
        <v>404445</v>
      </c>
      <c r="D1667" s="17" t="s">
        <v>37</v>
      </c>
      <c r="E1667" s="17" t="s">
        <v>38</v>
      </c>
      <c r="F1667" s="15">
        <v>45776.395254629628</v>
      </c>
      <c r="G1667" s="8">
        <f t="shared" si="26"/>
        <v>45776.395254629628</v>
      </c>
      <c r="H1667" s="8" t="s">
        <v>39</v>
      </c>
      <c r="I1667" s="9">
        <f>MAX(original!I1667,piwebapi_edit!I1667,car_edit!I1667)</f>
        <v>0</v>
      </c>
      <c r="J1667" s="9">
        <f>MAX(original!J1667,piwebapi_edit!J1667,car_edit!J1667)</f>
        <v>0</v>
      </c>
      <c r="K1667" s="17"/>
    </row>
    <row r="1668" spans="1:11" ht="37.5" customHeight="1" x14ac:dyDescent="0.25">
      <c r="A1668" s="3" t="s">
        <v>3361</v>
      </c>
      <c r="B1668" s="4" t="s">
        <v>3362</v>
      </c>
      <c r="C1668" s="54">
        <v>405245</v>
      </c>
      <c r="D1668" s="17" t="s">
        <v>28</v>
      </c>
      <c r="E1668" s="17" t="s">
        <v>17</v>
      </c>
      <c r="F1668" s="15">
        <v>45782.641030092593</v>
      </c>
      <c r="G1668" s="8">
        <f t="shared" si="26"/>
        <v>45782.641030092593</v>
      </c>
      <c r="H1668" s="8" t="s">
        <v>13</v>
      </c>
      <c r="I1668" s="9">
        <f>MAX(original!I1668,piwebapi_edit!I1668,car_edit!I1668)</f>
        <v>0</v>
      </c>
      <c r="J1668" s="9">
        <f>MAX(original!J1668,piwebapi_edit!J1668,car_edit!J1668)</f>
        <v>0</v>
      </c>
      <c r="K1668" s="17"/>
    </row>
    <row r="1669" spans="1:11" ht="36" customHeight="1" x14ac:dyDescent="0.25">
      <c r="A1669" s="3" t="s">
        <v>3363</v>
      </c>
      <c r="B1669" s="4" t="s">
        <v>3364</v>
      </c>
      <c r="C1669" s="54">
        <v>406045</v>
      </c>
      <c r="D1669" s="17" t="s">
        <v>34</v>
      </c>
      <c r="E1669" s="17" t="s">
        <v>17</v>
      </c>
      <c r="F1669" s="15">
        <v>45784</v>
      </c>
      <c r="G1669" s="8">
        <f t="shared" si="26"/>
        <v>45784</v>
      </c>
      <c r="H1669" s="8" t="s">
        <v>13</v>
      </c>
      <c r="I1669" s="9">
        <f>MAX(original!I1669,piwebapi_edit!I1669,car_edit!I1669)</f>
        <v>0</v>
      </c>
      <c r="J1669" s="9">
        <f>MAX(original!J1669,piwebapi_edit!J1669,car_edit!J1669)</f>
        <v>0</v>
      </c>
      <c r="K1669" s="17"/>
    </row>
    <row r="1670" spans="1:11" ht="30" x14ac:dyDescent="0.25">
      <c r="A1670" s="3" t="s">
        <v>3365</v>
      </c>
      <c r="B1670" s="4" t="s">
        <v>3366</v>
      </c>
      <c r="C1670" s="54">
        <v>80418</v>
      </c>
      <c r="D1670" s="17" t="s">
        <v>16</v>
      </c>
      <c r="E1670" s="17" t="s">
        <v>17</v>
      </c>
      <c r="F1670" s="15">
        <v>39727</v>
      </c>
      <c r="G1670" s="8">
        <f t="shared" si="26"/>
        <v>39727</v>
      </c>
      <c r="H1670" s="8" t="s">
        <v>13</v>
      </c>
      <c r="I1670" s="9">
        <f>MAX(original!I1670,piwebapi_edit!I1670,car_edit!I1670)</f>
        <v>0</v>
      </c>
      <c r="J1670" s="9">
        <f>MAX(original!J1670,piwebapi_edit!J1670,car_edit!J1670)</f>
        <v>0</v>
      </c>
      <c r="K1670" s="17"/>
    </row>
    <row r="1671" spans="1:11" ht="30" x14ac:dyDescent="0.25">
      <c r="A1671" s="3" t="s">
        <v>3367</v>
      </c>
      <c r="B1671" s="4" t="s">
        <v>3368</v>
      </c>
      <c r="C1671" s="54">
        <v>111156</v>
      </c>
      <c r="D1671" s="17" t="s">
        <v>34</v>
      </c>
      <c r="E1671" s="17" t="s">
        <v>17</v>
      </c>
      <c r="F1671" s="15">
        <v>39756</v>
      </c>
      <c r="G1671" s="8">
        <f t="shared" si="26"/>
        <v>39756</v>
      </c>
      <c r="H1671" s="8" t="s">
        <v>13</v>
      </c>
      <c r="I1671" s="9">
        <f>MAX(original!I1671,piwebapi_edit!I1671,car_edit!I1671)</f>
        <v>0</v>
      </c>
      <c r="J1671" s="9">
        <f>MAX(original!J1671,piwebapi_edit!J1671,car_edit!J1671)</f>
        <v>0</v>
      </c>
      <c r="K1671" s="17"/>
    </row>
    <row r="1672" spans="1:11" ht="30" x14ac:dyDescent="0.25">
      <c r="A1672" s="3" t="s">
        <v>3369</v>
      </c>
      <c r="B1672" s="4" t="s">
        <v>3370</v>
      </c>
      <c r="C1672" s="54">
        <v>54801</v>
      </c>
      <c r="D1672" s="17" t="s">
        <v>11</v>
      </c>
      <c r="E1672" s="17" t="s">
        <v>17</v>
      </c>
      <c r="F1672" s="15">
        <v>38210</v>
      </c>
      <c r="G1672" s="8">
        <f t="shared" si="26"/>
        <v>38210</v>
      </c>
      <c r="H1672" s="8" t="s">
        <v>39</v>
      </c>
      <c r="I1672" s="9">
        <f>MAX(original!I1672,piwebapi_edit!I1672,car_edit!I1672)</f>
        <v>0</v>
      </c>
      <c r="J1672" s="9">
        <f>MAX(original!J1672,piwebapi_edit!J1672,car_edit!J1672)</f>
        <v>0</v>
      </c>
      <c r="K1672" s="17"/>
    </row>
    <row r="1673" spans="1:11" ht="30" x14ac:dyDescent="0.25">
      <c r="A1673" s="3" t="s">
        <v>3371</v>
      </c>
      <c r="B1673" s="4" t="s">
        <v>3372</v>
      </c>
      <c r="C1673" s="54">
        <v>110838</v>
      </c>
      <c r="D1673" s="17" t="s">
        <v>31</v>
      </c>
      <c r="E1673" s="17" t="s">
        <v>17</v>
      </c>
      <c r="F1673" s="15">
        <v>40094</v>
      </c>
      <c r="G1673" s="8">
        <f t="shared" si="26"/>
        <v>40094</v>
      </c>
      <c r="H1673" s="8" t="s">
        <v>13</v>
      </c>
      <c r="I1673" s="9">
        <f>MAX(original!I1673,piwebapi_edit!I1673,car_edit!I1673)</f>
        <v>0</v>
      </c>
      <c r="J1673" s="9">
        <f>MAX(original!J1673,piwebapi_edit!J1673,car_edit!J1673)</f>
        <v>0</v>
      </c>
      <c r="K1673" s="17"/>
    </row>
    <row r="1674" spans="1:11" ht="30" x14ac:dyDescent="0.25">
      <c r="A1674" s="3" t="s">
        <v>3373</v>
      </c>
      <c r="B1674" s="4" t="s">
        <v>3374</v>
      </c>
      <c r="C1674" s="54">
        <v>72143</v>
      </c>
      <c r="D1674" s="17" t="s">
        <v>37</v>
      </c>
      <c r="E1674" s="17" t="s">
        <v>38</v>
      </c>
      <c r="F1674" s="15">
        <v>38931</v>
      </c>
      <c r="G1674" s="8">
        <f t="shared" si="26"/>
        <v>38931</v>
      </c>
      <c r="H1674" s="8" t="s">
        <v>39</v>
      </c>
      <c r="I1674" s="9">
        <f>MAX(original!I1674,piwebapi_edit!I1674,car_edit!I1674)</f>
        <v>0</v>
      </c>
      <c r="J1674" s="9">
        <f>MAX(original!J1674,piwebapi_edit!J1674,car_edit!J1674)</f>
        <v>0</v>
      </c>
      <c r="K1674" s="17"/>
    </row>
  </sheetData>
  <conditionalFormatting sqref="A3">
    <cfRule type="duplicateValues" dxfId="54" priority="29"/>
    <cfRule type="duplicateValues" dxfId="55" priority="30"/>
  </conditionalFormatting>
  <conditionalFormatting sqref="A34:A42">
    <cfRule type="duplicateValues" dxfId="53" priority="45"/>
  </conditionalFormatting>
  <conditionalFormatting sqref="A43:A46">
    <cfRule type="duplicateValues" dxfId="52" priority="35"/>
  </conditionalFormatting>
  <conditionalFormatting sqref="A260">
    <cfRule type="duplicateValues" dxfId="51" priority="33"/>
  </conditionalFormatting>
  <conditionalFormatting sqref="A1313">
    <cfRule type="duplicateValues" dxfId="50" priority="31"/>
  </conditionalFormatting>
  <conditionalFormatting sqref="A1392">
    <cfRule type="duplicateValues" dxfId="49" priority="37"/>
  </conditionalFormatting>
  <conditionalFormatting sqref="A1393 A57:A189 A1 A261:A1312 A1314:A1391 A191:A259">
    <cfRule type="duplicateValues" dxfId="48" priority="38"/>
  </conditionalFormatting>
  <conditionalFormatting sqref="A1394:A1396 A1412:A1416">
    <cfRule type="duplicateValues" dxfId="47" priority="36"/>
  </conditionalFormatting>
  <conditionalFormatting sqref="A1417:A1419">
    <cfRule type="duplicateValues" dxfId="46" priority="34"/>
  </conditionalFormatting>
  <conditionalFormatting sqref="A1420">
    <cfRule type="duplicateValues" dxfId="45" priority="32"/>
  </conditionalFormatting>
  <conditionalFormatting sqref="A1468:A1474">
    <cfRule type="duplicateValues" dxfId="44" priority="42"/>
  </conditionalFormatting>
  <conditionalFormatting sqref="A1475">
    <cfRule type="duplicateValues" dxfId="43" priority="43"/>
  </conditionalFormatting>
  <conditionalFormatting sqref="A1476:A1482">
    <cfRule type="duplicateValues" dxfId="42" priority="50"/>
  </conditionalFormatting>
  <conditionalFormatting sqref="A1483">
    <cfRule type="duplicateValues" dxfId="41" priority="28"/>
  </conditionalFormatting>
  <conditionalFormatting sqref="A1484:A1491">
    <cfRule type="duplicateValues" dxfId="40" priority="44"/>
  </conditionalFormatting>
  <conditionalFormatting sqref="A1492:A1516">
    <cfRule type="duplicateValues" dxfId="39" priority="47"/>
  </conditionalFormatting>
  <conditionalFormatting sqref="A1517:A1522">
    <cfRule type="duplicateValues" dxfId="38" priority="48"/>
  </conditionalFormatting>
  <conditionalFormatting sqref="A1523:A1526">
    <cfRule type="duplicateValues" dxfId="37" priority="27"/>
  </conditionalFormatting>
  <conditionalFormatting sqref="A1527:A1532">
    <cfRule type="duplicateValues" dxfId="36" priority="26"/>
  </conditionalFormatting>
  <conditionalFormatting sqref="A1533:A1537">
    <cfRule type="duplicateValues" dxfId="35" priority="25"/>
  </conditionalFormatting>
  <conditionalFormatting sqref="A1538">
    <cfRule type="duplicateValues" dxfId="34" priority="24"/>
  </conditionalFormatting>
  <conditionalFormatting sqref="A1539">
    <cfRule type="duplicateValues" dxfId="33" priority="20"/>
  </conditionalFormatting>
  <conditionalFormatting sqref="A1540:A1542">
    <cfRule type="duplicateValues" dxfId="32" priority="19"/>
  </conditionalFormatting>
  <conditionalFormatting sqref="A1543">
    <cfRule type="duplicateValues" dxfId="31" priority="17"/>
  </conditionalFormatting>
  <conditionalFormatting sqref="A1544:A1545">
    <cfRule type="duplicateValues" dxfId="30" priority="18"/>
  </conditionalFormatting>
  <conditionalFormatting sqref="A1546:A1582">
    <cfRule type="duplicateValues" dxfId="29" priority="15"/>
  </conditionalFormatting>
  <conditionalFormatting sqref="A1583:A1588">
    <cfRule type="duplicateValues" dxfId="28" priority="52"/>
  </conditionalFormatting>
  <conditionalFormatting sqref="A1589">
    <cfRule type="duplicateValues" dxfId="27" priority="9"/>
  </conditionalFormatting>
  <conditionalFormatting sqref="A1590:A1591">
    <cfRule type="duplicateValues" dxfId="26" priority="11"/>
  </conditionalFormatting>
  <conditionalFormatting sqref="A1592">
    <cfRule type="duplicateValues" dxfId="25" priority="3"/>
  </conditionalFormatting>
  <conditionalFormatting sqref="A1593">
    <cfRule type="duplicateValues" dxfId="24" priority="5"/>
  </conditionalFormatting>
  <conditionalFormatting sqref="A1597:A1669">
    <cfRule type="duplicateValues" dxfId="23" priority="54"/>
  </conditionalFormatting>
  <conditionalFormatting sqref="A1670:A1673 A1594:A1596">
    <cfRule type="duplicateValues" dxfId="22" priority="7"/>
  </conditionalFormatting>
  <conditionalFormatting sqref="A1674">
    <cfRule type="duplicateValues" dxfId="21" priority="1"/>
  </conditionalFormatting>
  <conditionalFormatting sqref="B1:B9 B12:B1545">
    <cfRule type="duplicateValues" dxfId="20" priority="16"/>
  </conditionalFormatting>
  <conditionalFormatting sqref="B10:B11">
    <cfRule type="duplicateValues" dxfId="19" priority="56"/>
  </conditionalFormatting>
  <conditionalFormatting sqref="B1546:B1582">
    <cfRule type="duplicateValues" dxfId="18" priority="14"/>
  </conditionalFormatting>
  <conditionalFormatting sqref="B1583:B1588">
    <cfRule type="duplicateValues" dxfId="17" priority="53"/>
  </conditionalFormatting>
  <conditionalFormatting sqref="B1589">
    <cfRule type="duplicateValues" dxfId="16" priority="10"/>
  </conditionalFormatting>
  <conditionalFormatting sqref="B1590:B1591">
    <cfRule type="duplicateValues" dxfId="15" priority="12"/>
  </conditionalFormatting>
  <conditionalFormatting sqref="B1592">
    <cfRule type="duplicateValues" dxfId="14" priority="4"/>
  </conditionalFormatting>
  <conditionalFormatting sqref="B1593">
    <cfRule type="duplicateValues" dxfId="13" priority="6"/>
  </conditionalFormatting>
  <conditionalFormatting sqref="B1597:B1669">
    <cfRule type="duplicateValues" dxfId="12" priority="55"/>
  </conditionalFormatting>
  <conditionalFormatting sqref="B1670:B1673 B1594:B1596">
    <cfRule type="duplicateValues" dxfId="11" priority="8"/>
  </conditionalFormatting>
  <conditionalFormatting sqref="B1674">
    <cfRule type="duplicateValues" dxfId="10" priority="2"/>
  </conditionalFormatting>
  <conditionalFormatting sqref="C5:C6">
    <cfRule type="duplicateValues" dxfId="9" priority="49"/>
  </conditionalFormatting>
  <conditionalFormatting sqref="C7">
    <cfRule type="duplicateValues" dxfId="8" priority="22"/>
  </conditionalFormatting>
  <conditionalFormatting sqref="C8">
    <cfRule type="duplicateValues" dxfId="7" priority="21"/>
  </conditionalFormatting>
  <conditionalFormatting sqref="C10:C11">
    <cfRule type="duplicateValues" dxfId="6" priority="13"/>
  </conditionalFormatting>
  <conditionalFormatting sqref="C15">
    <cfRule type="duplicateValues" dxfId="5" priority="23"/>
  </conditionalFormatting>
  <conditionalFormatting sqref="C16:C30 C9 C12:C14">
    <cfRule type="duplicateValues" dxfId="4" priority="51"/>
  </conditionalFormatting>
  <conditionalFormatting sqref="C31:C115">
    <cfRule type="duplicateValues" dxfId="3" priority="46"/>
  </conditionalFormatting>
  <conditionalFormatting sqref="C1387">
    <cfRule type="duplicateValues" dxfId="2" priority="40"/>
  </conditionalFormatting>
  <conditionalFormatting sqref="C1388:C1394 C1:C4 C1412:C1415 C116:C1303 C1305:C1386">
    <cfRule type="duplicateValues" dxfId="1" priority="39"/>
  </conditionalFormatting>
  <conditionalFormatting sqref="C1395:C1411">
    <cfRule type="duplicateValues" dxfId="0" priority="4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EB2D-6DF4-478C-B138-F1700FB3E27E}">
  <dimension ref="A1"/>
  <sheetViews>
    <sheetView workbookViewId="0">
      <selection activeCell="H24" sqref="H24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84AC-8D71-4671-A733-AE529DF66A87}">
  <sheetPr>
    <tabColor rgb="FF0070C0"/>
  </sheetPr>
  <dimension ref="A1:K1674"/>
  <sheetViews>
    <sheetView workbookViewId="0">
      <pane ySplit="1" topLeftCell="A2" activePane="bottomLeft" state="frozen"/>
      <selection activeCell="N247" sqref="N247"/>
      <selection pane="bottomLeft" activeCell="N247" sqref="N247"/>
    </sheetView>
  </sheetViews>
  <sheetFormatPr defaultColWidth="9.7109375" defaultRowHeight="15" x14ac:dyDescent="0.25"/>
  <cols>
    <col min="1" max="1" width="11" style="55" bestFit="1" customWidth="1"/>
    <col min="2" max="2" width="37" style="55" bestFit="1" customWidth="1"/>
    <col min="3" max="3" width="9.42578125" style="55" bestFit="1" customWidth="1"/>
    <col min="4" max="4" width="12.28515625" style="55" bestFit="1" customWidth="1"/>
    <col min="5" max="5" width="10" style="55" customWidth="1"/>
    <col min="6" max="6" width="9" style="55" bestFit="1" customWidth="1"/>
    <col min="7" max="7" width="7.28515625" style="55" bestFit="1" customWidth="1"/>
    <col min="8" max="8" width="9.42578125" style="55" bestFit="1" customWidth="1"/>
    <col min="9" max="9" width="13.5703125" style="55" customWidth="1"/>
    <col min="10" max="10" width="12.140625" style="55" customWidth="1"/>
    <col min="11" max="11" width="10.7109375" style="55" customWidth="1"/>
    <col min="12" max="16384" width="9.7109375" style="1"/>
  </cols>
  <sheetData>
    <row r="1" spans="1:11" ht="75" x14ac:dyDescent="0.25">
      <c r="A1" s="56" t="s">
        <v>0</v>
      </c>
      <c r="B1" s="56" t="s">
        <v>1</v>
      </c>
      <c r="C1" s="57" t="s">
        <v>2</v>
      </c>
      <c r="D1" s="58" t="s">
        <v>3</v>
      </c>
      <c r="E1" s="58" t="s">
        <v>4</v>
      </c>
      <c r="F1" s="59" t="s">
        <v>5</v>
      </c>
      <c r="G1" s="60" t="s">
        <v>6</v>
      </c>
      <c r="H1" s="58" t="s">
        <v>7</v>
      </c>
      <c r="I1" s="61" t="s">
        <v>3375</v>
      </c>
      <c r="J1" s="61" t="s">
        <v>3376</v>
      </c>
      <c r="K1" s="61" t="s">
        <v>8</v>
      </c>
    </row>
    <row r="2" spans="1:11" ht="30" x14ac:dyDescent="0.25">
      <c r="A2" s="3" t="s">
        <v>9</v>
      </c>
      <c r="B2" s="4" t="s">
        <v>10</v>
      </c>
      <c r="C2" s="5">
        <v>205269</v>
      </c>
      <c r="D2" s="6" t="s">
        <v>11</v>
      </c>
      <c r="E2" s="6" t="s">
        <v>12</v>
      </c>
      <c r="F2" s="7">
        <v>42676</v>
      </c>
      <c r="G2" s="8">
        <f t="shared" ref="G2:G65" si="0">F2</f>
        <v>42676</v>
      </c>
      <c r="H2" s="6" t="s">
        <v>13</v>
      </c>
      <c r="I2" s="9" t="str">
        <f>IF(ISNA(VLOOKUP(A2,'[1]Craig Eval'!A:C,3,FALSE)),"",(VLOOKUP(A2,'[1]Craig Eval'!A:C,3,FALSE))*1000)</f>
        <v/>
      </c>
      <c r="J2" s="10" t="str">
        <f>IF(ISNA(VLOOKUP(A2,'[1]Craig Eval'!A:M,13,FALSE)),"",VLOOKUP(A2,'[1]Craig Eval'!A:M,13,FALSE))</f>
        <v/>
      </c>
      <c r="K2" s="11">
        <v>4</v>
      </c>
    </row>
    <row r="3" spans="1:11" ht="30" x14ac:dyDescent="0.25">
      <c r="A3" s="12" t="s">
        <v>14</v>
      </c>
      <c r="B3" s="4" t="s">
        <v>15</v>
      </c>
      <c r="C3" s="5">
        <v>1729</v>
      </c>
      <c r="D3" s="6" t="s">
        <v>16</v>
      </c>
      <c r="E3" s="6" t="s">
        <v>17</v>
      </c>
      <c r="F3" s="7">
        <v>42755</v>
      </c>
      <c r="G3" s="8">
        <f t="shared" si="0"/>
        <v>42755</v>
      </c>
      <c r="H3" s="6" t="s">
        <v>13</v>
      </c>
      <c r="I3" s="9" t="str">
        <f>IF(ISNA(VLOOKUP(A3,'[1]Craig Eval'!A:C,3,FALSE)),"",(VLOOKUP(A3,'[1]Craig Eval'!A:C,3,FALSE))*1000)</f>
        <v/>
      </c>
      <c r="J3" s="10" t="str">
        <f>IF(ISNA(VLOOKUP(A3,'[1]Craig Eval'!A:M,13,FALSE)),"",VLOOKUP(A3,'[1]Craig Eval'!A:M,13,FALSE))</f>
        <v/>
      </c>
      <c r="K3" s="11">
        <v>4</v>
      </c>
    </row>
    <row r="4" spans="1:11" ht="30" x14ac:dyDescent="0.25">
      <c r="A4" s="13" t="s">
        <v>18</v>
      </c>
      <c r="B4" s="4" t="s">
        <v>19</v>
      </c>
      <c r="C4" s="5">
        <v>16966</v>
      </c>
      <c r="D4" s="6" t="s">
        <v>16</v>
      </c>
      <c r="E4" s="6" t="s">
        <v>17</v>
      </c>
      <c r="F4" s="7">
        <v>41143</v>
      </c>
      <c r="G4" s="8">
        <f t="shared" si="0"/>
        <v>41143</v>
      </c>
      <c r="H4" s="6" t="s">
        <v>13</v>
      </c>
      <c r="I4" s="9">
        <f>IF(ISNA(VLOOKUP(A4,'[1]Craig Eval'!A:C,3,FALSE)),"",(VLOOKUP(A4,'[1]Craig Eval'!A:C,3,FALSE))*1000)</f>
        <v>24143.567258974301</v>
      </c>
      <c r="J4" s="10">
        <f>IF(ISNA(VLOOKUP(A4,'[1]Craig Eval'!A:M,13,FALSE)),"",VLOOKUP(A4,'[1]Craig Eval'!A:M,13,FALSE))</f>
        <v>69.028725821523395</v>
      </c>
      <c r="K4" s="11">
        <v>4</v>
      </c>
    </row>
    <row r="5" spans="1:11" ht="30" x14ac:dyDescent="0.25">
      <c r="A5" s="3" t="s">
        <v>20</v>
      </c>
      <c r="B5" s="4" t="s">
        <v>21</v>
      </c>
      <c r="C5" s="5">
        <v>204646</v>
      </c>
      <c r="D5" s="6" t="s">
        <v>16</v>
      </c>
      <c r="E5" s="6" t="s">
        <v>17</v>
      </c>
      <c r="F5" s="7">
        <v>38533</v>
      </c>
      <c r="G5" s="8">
        <f t="shared" si="0"/>
        <v>38533</v>
      </c>
      <c r="H5" s="6" t="s">
        <v>13</v>
      </c>
      <c r="I5" s="9" t="str">
        <f>IF(ISNA(VLOOKUP(A5,'[1]Craig Eval'!A:C,3,FALSE)),"",(VLOOKUP(A5,'[1]Craig Eval'!A:C,3,FALSE))*1000)</f>
        <v/>
      </c>
      <c r="J5" s="10" t="str">
        <f>IF(ISNA(VLOOKUP(A5,'[1]Craig Eval'!A:M,13,FALSE)),"",VLOOKUP(A5,'[1]Craig Eval'!A:M,13,FALSE))</f>
        <v/>
      </c>
      <c r="K5" s="11">
        <v>4</v>
      </c>
    </row>
    <row r="6" spans="1:11" ht="30" x14ac:dyDescent="0.25">
      <c r="A6" s="3" t="s">
        <v>22</v>
      </c>
      <c r="B6" s="4" t="s">
        <v>23</v>
      </c>
      <c r="C6" s="5">
        <v>55153</v>
      </c>
      <c r="D6" s="6" t="s">
        <v>11</v>
      </c>
      <c r="E6" s="6" t="s">
        <v>17</v>
      </c>
      <c r="F6" s="7">
        <v>39420</v>
      </c>
      <c r="G6" s="8">
        <f t="shared" si="0"/>
        <v>39420</v>
      </c>
      <c r="H6" s="6" t="s">
        <v>13</v>
      </c>
      <c r="I6" s="9" t="str">
        <f>IF(ISNA(VLOOKUP(A6,'[1]Craig Eval'!A:C,3,FALSE)),"",(VLOOKUP(A6,'[1]Craig Eval'!A:C,3,FALSE))*1000)</f>
        <v/>
      </c>
      <c r="J6" s="10" t="str">
        <f>IF(ISNA(VLOOKUP(A6,'[1]Craig Eval'!A:M,13,FALSE)),"",VLOOKUP(A6,'[1]Craig Eval'!A:M,13,FALSE))</f>
        <v/>
      </c>
      <c r="K6" s="11">
        <v>4</v>
      </c>
    </row>
    <row r="7" spans="1:11" ht="30" x14ac:dyDescent="0.25">
      <c r="A7" s="4" t="s">
        <v>24</v>
      </c>
      <c r="B7" s="4" t="s">
        <v>25</v>
      </c>
      <c r="C7" s="14">
        <v>256468</v>
      </c>
      <c r="D7" s="6" t="s">
        <v>16</v>
      </c>
      <c r="E7" s="6" t="s">
        <v>17</v>
      </c>
      <c r="F7" s="15">
        <v>43635</v>
      </c>
      <c r="G7" s="8">
        <f t="shared" si="0"/>
        <v>43635</v>
      </c>
      <c r="H7" s="16" t="s">
        <v>13</v>
      </c>
      <c r="I7" s="9" t="str">
        <f>IF(ISNA(VLOOKUP(A7,'[1]Craig Eval'!A:C,3,FALSE)),"",(VLOOKUP(A7,'[1]Craig Eval'!A:C,3,FALSE))*1000)</f>
        <v/>
      </c>
      <c r="J7" s="10" t="str">
        <f>IF(ISNA(VLOOKUP(A7,'[1]Craig Eval'!A:M,13,FALSE)),"",VLOOKUP(A7,'[1]Craig Eval'!A:M,13,FALSE))</f>
        <v/>
      </c>
      <c r="K7" s="17">
        <v>4</v>
      </c>
    </row>
    <row r="8" spans="1:11" ht="30" x14ac:dyDescent="0.25">
      <c r="A8" s="3" t="s">
        <v>26</v>
      </c>
      <c r="B8" s="4" t="s">
        <v>27</v>
      </c>
      <c r="C8" s="5">
        <v>277052</v>
      </c>
      <c r="D8" s="6" t="s">
        <v>28</v>
      </c>
      <c r="E8" s="6" t="s">
        <v>17</v>
      </c>
      <c r="F8" s="7">
        <v>44197</v>
      </c>
      <c r="G8" s="8">
        <f t="shared" si="0"/>
        <v>44197</v>
      </c>
      <c r="H8" s="6" t="s">
        <v>13</v>
      </c>
      <c r="I8" s="9" t="str">
        <f>IF(ISNA(VLOOKUP(A8,'[1]Craig Eval'!A:C,3,FALSE)),"",(VLOOKUP(A8,'[1]Craig Eval'!A:C,3,FALSE))*1000)</f>
        <v/>
      </c>
      <c r="J8" s="10" t="str">
        <f>IF(ISNA(VLOOKUP(A8,'[1]Craig Eval'!A:M,13,FALSE)),"",VLOOKUP(A8,'[1]Craig Eval'!A:M,13,FALSE))</f>
        <v/>
      </c>
      <c r="K8" s="17">
        <v>4</v>
      </c>
    </row>
    <row r="9" spans="1:11" ht="30" x14ac:dyDescent="0.25">
      <c r="A9" s="3" t="s">
        <v>29</v>
      </c>
      <c r="B9" s="4" t="s">
        <v>30</v>
      </c>
      <c r="C9" s="5">
        <v>1329</v>
      </c>
      <c r="D9" s="16" t="s">
        <v>31</v>
      </c>
      <c r="E9" s="16" t="s">
        <v>17</v>
      </c>
      <c r="F9" s="15">
        <v>44319</v>
      </c>
      <c r="G9" s="8">
        <f t="shared" si="0"/>
        <v>44319</v>
      </c>
      <c r="H9" s="16" t="s">
        <v>13</v>
      </c>
      <c r="I9" s="9"/>
      <c r="J9" s="10"/>
      <c r="K9" s="17">
        <v>4</v>
      </c>
    </row>
    <row r="10" spans="1:11" ht="30" x14ac:dyDescent="0.25">
      <c r="A10" s="3" t="s">
        <v>32</v>
      </c>
      <c r="B10" s="4" t="s">
        <v>33</v>
      </c>
      <c r="C10" s="14">
        <v>315233</v>
      </c>
      <c r="D10" s="16" t="s">
        <v>34</v>
      </c>
      <c r="E10" s="16" t="s">
        <v>17</v>
      </c>
      <c r="F10" s="15">
        <v>45078</v>
      </c>
      <c r="G10" s="8">
        <f t="shared" si="0"/>
        <v>45078</v>
      </c>
      <c r="H10" s="16" t="s">
        <v>13</v>
      </c>
      <c r="I10" s="9"/>
      <c r="J10" s="10"/>
      <c r="K10" s="17">
        <v>4</v>
      </c>
    </row>
    <row r="11" spans="1:11" ht="30" x14ac:dyDescent="0.25">
      <c r="A11" s="3" t="s">
        <v>35</v>
      </c>
      <c r="B11" s="4" t="s">
        <v>36</v>
      </c>
      <c r="C11" s="14">
        <v>354434</v>
      </c>
      <c r="D11" s="16" t="s">
        <v>37</v>
      </c>
      <c r="E11" s="16" t="s">
        <v>38</v>
      </c>
      <c r="F11" s="15">
        <v>45350</v>
      </c>
      <c r="G11" s="8">
        <f t="shared" si="0"/>
        <v>45350</v>
      </c>
      <c r="H11" s="16" t="s">
        <v>39</v>
      </c>
      <c r="I11" s="9"/>
      <c r="J11" s="10"/>
      <c r="K11" s="17">
        <v>4</v>
      </c>
    </row>
    <row r="12" spans="1:11" ht="30" x14ac:dyDescent="0.25">
      <c r="A12" s="3" t="s">
        <v>40</v>
      </c>
      <c r="B12" s="4" t="s">
        <v>41</v>
      </c>
      <c r="C12" s="14">
        <v>1907</v>
      </c>
      <c r="D12" s="6" t="s">
        <v>34</v>
      </c>
      <c r="E12" s="6" t="s">
        <v>17</v>
      </c>
      <c r="F12" s="7">
        <v>25569</v>
      </c>
      <c r="G12" s="8">
        <f t="shared" si="0"/>
        <v>25569</v>
      </c>
      <c r="H12" s="6" t="s">
        <v>13</v>
      </c>
      <c r="I12" s="9" t="str">
        <f>IF(ISNA(VLOOKUP(A12,'[1]Craig Eval'!A:C,3,FALSE)),"",(VLOOKUP(A12,'[1]Craig Eval'!A:C,3,FALSE))*1000)</f>
        <v/>
      </c>
      <c r="J12" s="10" t="str">
        <f>IF(ISNA(VLOOKUP(A12,'[1]Craig Eval'!A:M,13,FALSE)),"",VLOOKUP(A12,'[1]Craig Eval'!A:M,13,FALSE))</f>
        <v/>
      </c>
      <c r="K12" s="17">
        <v>1</v>
      </c>
    </row>
    <row r="13" spans="1:11" ht="30" x14ac:dyDescent="0.25">
      <c r="A13" s="3" t="s">
        <v>42</v>
      </c>
      <c r="B13" s="4" t="s">
        <v>43</v>
      </c>
      <c r="C13" s="5">
        <v>54481</v>
      </c>
      <c r="D13" s="6" t="s">
        <v>34</v>
      </c>
      <c r="E13" s="6" t="s">
        <v>17</v>
      </c>
      <c r="F13" s="7">
        <v>18264</v>
      </c>
      <c r="G13" s="8">
        <f t="shared" si="0"/>
        <v>18264</v>
      </c>
      <c r="H13" s="6" t="s">
        <v>13</v>
      </c>
      <c r="I13" s="9">
        <f>IF(ISNA(VLOOKUP(A13,'[1]Craig Eval'!A:C,3,FALSE)),"",(VLOOKUP(A13,'[1]Craig Eval'!A:C,3,FALSE))*1000)</f>
        <v>772.33629352703406</v>
      </c>
      <c r="J13" s="10">
        <f>IF(ISNA(VLOOKUP(A13,'[1]Craig Eval'!A:M,13,FALSE)),"",VLOOKUP(A13,'[1]Craig Eval'!A:M,13,FALSE))</f>
        <v>2.3731941104533298</v>
      </c>
      <c r="K13" s="17">
        <v>1</v>
      </c>
    </row>
    <row r="14" spans="1:11" ht="30" x14ac:dyDescent="0.25">
      <c r="A14" s="3" t="s">
        <v>44</v>
      </c>
      <c r="B14" s="4" t="s">
        <v>45</v>
      </c>
      <c r="C14" s="5">
        <v>1983</v>
      </c>
      <c r="D14" s="6" t="s">
        <v>34</v>
      </c>
      <c r="E14" s="6" t="s">
        <v>17</v>
      </c>
      <c r="F14" s="7">
        <v>35431</v>
      </c>
      <c r="G14" s="8">
        <f t="shared" si="0"/>
        <v>35431</v>
      </c>
      <c r="H14" s="6" t="s">
        <v>13</v>
      </c>
      <c r="I14" s="9">
        <f>IF(ISNA(VLOOKUP(A14,'[1]Craig Eval'!A:C,3,FALSE)),"",(VLOOKUP(A14,'[1]Craig Eval'!A:C,3,FALSE))*1000)</f>
        <v>16897.508148603498</v>
      </c>
      <c r="J14" s="10">
        <f>IF(ISNA(VLOOKUP(A14,'[1]Craig Eval'!A:M,13,FALSE)),"",VLOOKUP(A14,'[1]Craig Eval'!A:M,13,FALSE))</f>
        <v>48.977382043051499</v>
      </c>
      <c r="K14" s="17">
        <v>1</v>
      </c>
    </row>
    <row r="15" spans="1:11" ht="30" x14ac:dyDescent="0.25">
      <c r="A15" s="3" t="s">
        <v>46</v>
      </c>
      <c r="B15" s="4" t="s">
        <v>47</v>
      </c>
      <c r="C15" s="5">
        <v>1298</v>
      </c>
      <c r="D15" s="6" t="s">
        <v>34</v>
      </c>
      <c r="E15" s="6" t="s">
        <v>17</v>
      </c>
      <c r="F15" s="7">
        <v>34700</v>
      </c>
      <c r="G15" s="8">
        <f t="shared" si="0"/>
        <v>34700</v>
      </c>
      <c r="H15" s="6" t="s">
        <v>13</v>
      </c>
      <c r="I15" s="9">
        <f>IF(ISNA(VLOOKUP(A15,'[1]Craig Eval'!A:C,3,FALSE)),"",(VLOOKUP(A15,'[1]Craig Eval'!A:C,3,FALSE))*1000)</f>
        <v>131570.51191681699</v>
      </c>
      <c r="J15" s="10">
        <f>IF(ISNA(VLOOKUP(A15,'[1]Craig Eval'!A:M,13,FALSE)),"",VLOOKUP(A15,'[1]Craig Eval'!A:M,13,FALSE))</f>
        <v>339.89130628671501</v>
      </c>
      <c r="K15" s="17">
        <v>4</v>
      </c>
    </row>
    <row r="16" spans="1:11" ht="30" x14ac:dyDescent="0.25">
      <c r="A16" s="3" t="s">
        <v>48</v>
      </c>
      <c r="B16" s="4" t="s">
        <v>49</v>
      </c>
      <c r="C16" s="14">
        <v>1804</v>
      </c>
      <c r="D16" s="6" t="s">
        <v>34</v>
      </c>
      <c r="E16" s="6" t="s">
        <v>17</v>
      </c>
      <c r="F16" s="7">
        <v>32143</v>
      </c>
      <c r="G16" s="8">
        <f t="shared" si="0"/>
        <v>32143</v>
      </c>
      <c r="H16" s="6" t="s">
        <v>13</v>
      </c>
      <c r="I16" s="9">
        <f>IF(ISNA(VLOOKUP(A16,'[1]Craig Eval'!A:C,3,FALSE)),"",(VLOOKUP(A16,'[1]Craig Eval'!A:C,3,FALSE))*1000)</f>
        <v>47950.201195054899</v>
      </c>
      <c r="J16" s="10">
        <f>IF(ISNA(VLOOKUP(A16,'[1]Craig Eval'!A:M,13,FALSE)),"",VLOOKUP(A16,'[1]Craig Eval'!A:M,13,FALSE))</f>
        <v>132.645879709204</v>
      </c>
      <c r="K16" s="17">
        <v>3</v>
      </c>
    </row>
    <row r="17" spans="1:11" ht="30" x14ac:dyDescent="0.25">
      <c r="A17" s="3" t="s">
        <v>50</v>
      </c>
      <c r="B17" s="4" t="s">
        <v>51</v>
      </c>
      <c r="C17" s="14">
        <v>54482</v>
      </c>
      <c r="D17" s="6" t="s">
        <v>34</v>
      </c>
      <c r="E17" s="6" t="s">
        <v>17</v>
      </c>
      <c r="F17" s="7">
        <v>21916</v>
      </c>
      <c r="G17" s="8">
        <f t="shared" si="0"/>
        <v>21916</v>
      </c>
      <c r="H17" s="6" t="s">
        <v>13</v>
      </c>
      <c r="I17" s="9">
        <f>IF(ISNA(VLOOKUP(A17,'[1]Craig Eval'!A:C,3,FALSE)),"",(VLOOKUP(A17,'[1]Craig Eval'!A:C,3,FALSE))*1000)</f>
        <v>25946.152315935698</v>
      </c>
      <c r="J17" s="10">
        <f>IF(ISNA(VLOOKUP(A17,'[1]Craig Eval'!A:M,13,FALSE)),"",VLOOKUP(A17,'[1]Craig Eval'!A:M,13,FALSE))</f>
        <v>73.958138315203101</v>
      </c>
      <c r="K17" s="17">
        <v>2</v>
      </c>
    </row>
    <row r="18" spans="1:11" ht="30" x14ac:dyDescent="0.25">
      <c r="A18" s="12" t="s">
        <v>52</v>
      </c>
      <c r="B18" s="4" t="s">
        <v>53</v>
      </c>
      <c r="C18" s="5">
        <v>1941</v>
      </c>
      <c r="D18" s="6" t="s">
        <v>34</v>
      </c>
      <c r="E18" s="6" t="s">
        <v>17</v>
      </c>
      <c r="F18" s="7">
        <v>21186</v>
      </c>
      <c r="G18" s="8">
        <f t="shared" si="0"/>
        <v>21186</v>
      </c>
      <c r="H18" s="6" t="s">
        <v>13</v>
      </c>
      <c r="I18" s="9" t="str">
        <f>IF(ISNA(VLOOKUP(A18,'[1]Craig Eval'!A:C,3,FALSE)),"",(VLOOKUP(A18,'[1]Craig Eval'!A:C,3,FALSE))*1000)</f>
        <v/>
      </c>
      <c r="J18" s="10" t="str">
        <f>IF(ISNA(VLOOKUP(A18,'[1]Craig Eval'!A:M,13,FALSE)),"",VLOOKUP(A18,'[1]Craig Eval'!A:M,13,FALSE))</f>
        <v/>
      </c>
      <c r="K18" s="11">
        <v>4</v>
      </c>
    </row>
    <row r="19" spans="1:11" ht="30" x14ac:dyDescent="0.25">
      <c r="A19" s="18" t="s">
        <v>54</v>
      </c>
      <c r="B19" s="19" t="s">
        <v>55</v>
      </c>
      <c r="C19" s="20">
        <v>1940</v>
      </c>
      <c r="D19" s="21" t="s">
        <v>28</v>
      </c>
      <c r="E19" s="21" t="s">
        <v>17</v>
      </c>
      <c r="F19" s="22">
        <v>19725</v>
      </c>
      <c r="G19" s="23">
        <f t="shared" si="0"/>
        <v>19725</v>
      </c>
      <c r="H19" s="21" t="s">
        <v>13</v>
      </c>
      <c r="I19" s="9" t="str">
        <f>IF(ISNA(VLOOKUP(A19,'[1]Craig Eval'!A:C,3,FALSE)),"",(VLOOKUP(A19,'[1]Craig Eval'!A:C,3,FALSE))*1000)</f>
        <v/>
      </c>
      <c r="J19" s="24" t="str">
        <f>IF(ISNA(VLOOKUP(A19,'[1]Craig Eval'!A:M,13,FALSE)),"",VLOOKUP(A19,'[1]Craig Eval'!A:M,13,FALSE))</f>
        <v/>
      </c>
      <c r="K19" s="25">
        <v>4</v>
      </c>
    </row>
    <row r="20" spans="1:11" ht="30" x14ac:dyDescent="0.25">
      <c r="A20" s="3" t="s">
        <v>56</v>
      </c>
      <c r="B20" s="4" t="s">
        <v>57</v>
      </c>
      <c r="C20" s="5">
        <v>1534</v>
      </c>
      <c r="D20" s="6" t="s">
        <v>34</v>
      </c>
      <c r="E20" s="6" t="s">
        <v>17</v>
      </c>
      <c r="F20" s="7">
        <v>29221</v>
      </c>
      <c r="G20" s="8">
        <f t="shared" si="0"/>
        <v>29221</v>
      </c>
      <c r="H20" s="6" t="s">
        <v>13</v>
      </c>
      <c r="I20" s="9">
        <f>IF(ISNA(VLOOKUP(A20,'[1]Craig Eval'!A:C,3,FALSE)),"",(VLOOKUP(A20,'[1]Craig Eval'!A:C,3,FALSE))*1000)</f>
        <v>6053.0150835162294</v>
      </c>
      <c r="J20" s="10">
        <f>IF(ISNA(VLOOKUP(A20,'[1]Craig Eval'!A:M,13,FALSE)),"",VLOOKUP(A20,'[1]Craig Eval'!A:M,13,FALSE))</f>
        <v>18.063199877400201</v>
      </c>
      <c r="K20" s="17">
        <v>1</v>
      </c>
    </row>
    <row r="21" spans="1:11" ht="30" x14ac:dyDescent="0.25">
      <c r="A21" s="3" t="s">
        <v>58</v>
      </c>
      <c r="B21" s="4" t="s">
        <v>59</v>
      </c>
      <c r="C21" s="5">
        <v>1710</v>
      </c>
      <c r="D21" s="6" t="s">
        <v>16</v>
      </c>
      <c r="E21" s="6" t="s">
        <v>17</v>
      </c>
      <c r="F21" s="7">
        <v>30317</v>
      </c>
      <c r="G21" s="8">
        <f t="shared" si="0"/>
        <v>30317</v>
      </c>
      <c r="H21" s="6" t="s">
        <v>13</v>
      </c>
      <c r="I21" s="9">
        <f>IF(ISNA(VLOOKUP(A21,'[1]Craig Eval'!A:C,3,FALSE)),"",(VLOOKUP(A21,'[1]Craig Eval'!A:C,3,FALSE))*1000)</f>
        <v>243665.130883862</v>
      </c>
      <c r="J21" s="10">
        <f>IF(ISNA(VLOOKUP(A21,'[1]Craig Eval'!A:M,13,FALSE)),"",VLOOKUP(A21,'[1]Craig Eval'!A:M,13,FALSE))</f>
        <v>595.210108947761</v>
      </c>
      <c r="K21" s="17">
        <v>4</v>
      </c>
    </row>
    <row r="22" spans="1:11" ht="30" x14ac:dyDescent="0.25">
      <c r="A22" s="26" t="s">
        <v>60</v>
      </c>
      <c r="B22" s="27" t="s">
        <v>61</v>
      </c>
      <c r="C22" s="5">
        <v>1252</v>
      </c>
      <c r="D22" s="28" t="s">
        <v>28</v>
      </c>
      <c r="E22" s="28" t="s">
        <v>17</v>
      </c>
      <c r="F22" s="29">
        <v>18264</v>
      </c>
      <c r="G22" s="30">
        <f t="shared" si="0"/>
        <v>18264</v>
      </c>
      <c r="H22" s="28" t="s">
        <v>13</v>
      </c>
      <c r="I22" s="31">
        <f>IF(ISNA(VLOOKUP(A22,'[1]Craig Eval'!A:C,3,FALSE)),"",(VLOOKUP(A22,'[1]Craig Eval'!A:C,3,FALSE))*1000)</f>
        <v>16416.712558636798</v>
      </c>
      <c r="J22" s="32">
        <f>IF(ISNA(VLOOKUP(A22,'[1]Craig Eval'!A:M,13,FALSE)),"",VLOOKUP(A22,'[1]Craig Eval'!A:M,13,FALSE))</f>
        <v>47.632179664385298</v>
      </c>
      <c r="K22" s="33">
        <v>1</v>
      </c>
    </row>
    <row r="23" spans="1:11" ht="30" x14ac:dyDescent="0.25">
      <c r="A23" s="3" t="s">
        <v>62</v>
      </c>
      <c r="B23" s="4" t="s">
        <v>63</v>
      </c>
      <c r="C23" s="5">
        <v>85617</v>
      </c>
      <c r="D23" s="6" t="s">
        <v>28</v>
      </c>
      <c r="E23" s="6" t="s">
        <v>17</v>
      </c>
      <c r="F23" s="7">
        <v>40162</v>
      </c>
      <c r="G23" s="8">
        <f t="shared" si="0"/>
        <v>40162</v>
      </c>
      <c r="H23" s="6" t="s">
        <v>13</v>
      </c>
      <c r="I23" s="9">
        <f>IF(ISNA(VLOOKUP(A23,'[1]Craig Eval'!A:C,3,FALSE)),"",(VLOOKUP(A23,'[1]Craig Eval'!A:C,3,FALSE))*1000)</f>
        <v>5303.4806139558996</v>
      </c>
      <c r="J23" s="10">
        <f>IF(ISNA(VLOOKUP(A23,'[1]Craig Eval'!A:M,13,FALSE)),"",VLOOKUP(A23,'[1]Craig Eval'!A:M,13,FALSE))</f>
        <v>15.8716363322168</v>
      </c>
      <c r="K23" s="17">
        <v>1</v>
      </c>
    </row>
    <row r="24" spans="1:11" ht="30" x14ac:dyDescent="0.25">
      <c r="A24" s="3" t="s">
        <v>64</v>
      </c>
      <c r="B24" s="4" t="s">
        <v>65</v>
      </c>
      <c r="C24" s="5">
        <v>26881</v>
      </c>
      <c r="D24" s="6" t="s">
        <v>28</v>
      </c>
      <c r="E24" s="6" t="s">
        <v>17</v>
      </c>
      <c r="F24" s="7">
        <v>32927</v>
      </c>
      <c r="G24" s="8">
        <f t="shared" si="0"/>
        <v>32927</v>
      </c>
      <c r="H24" s="6" t="s">
        <v>13</v>
      </c>
      <c r="I24" s="9">
        <f>IF(ISNA(VLOOKUP(A24,'[1]Craig Eval'!A:C,3,FALSE)),"",(VLOOKUP(A24,'[1]Craig Eval'!A:C,3,FALSE))*1000)</f>
        <v>5276.8073469261499</v>
      </c>
      <c r="J24" s="10">
        <f>IF(ISNA(VLOOKUP(A24,'[1]Craig Eval'!A:M,13,FALSE)),"",VLOOKUP(A24,'[1]Craig Eval'!A:M,13,FALSE))</f>
        <v>15.793474224420301</v>
      </c>
      <c r="K24" s="17">
        <v>1</v>
      </c>
    </row>
    <row r="25" spans="1:11" ht="30" x14ac:dyDescent="0.25">
      <c r="A25" s="3" t="s">
        <v>66</v>
      </c>
      <c r="B25" s="4" t="s">
        <v>67</v>
      </c>
      <c r="C25" s="5">
        <v>1286</v>
      </c>
      <c r="D25" s="6" t="s">
        <v>28</v>
      </c>
      <c r="E25" s="6" t="s">
        <v>17</v>
      </c>
      <c r="F25" s="7">
        <v>31778</v>
      </c>
      <c r="G25" s="8">
        <f t="shared" si="0"/>
        <v>31778</v>
      </c>
      <c r="H25" s="6" t="s">
        <v>13</v>
      </c>
      <c r="I25" s="9">
        <f>IF(ISNA(VLOOKUP(A25,'[1]Craig Eval'!A:C,3,FALSE)),"",(VLOOKUP(A25,'[1]Craig Eval'!A:C,3,FALSE))*1000)</f>
        <v>44507.254455594499</v>
      </c>
      <c r="J25" s="10">
        <f>IF(ISNA(VLOOKUP(A25,'[1]Craig Eval'!A:M,13,FALSE)),"",VLOOKUP(A25,'[1]Craig Eval'!A:M,13,FALSE))</f>
        <v>123.621906688433</v>
      </c>
      <c r="K25" s="17">
        <v>1</v>
      </c>
    </row>
    <row r="26" spans="1:11" ht="30" x14ac:dyDescent="0.25">
      <c r="A26" s="3" t="s">
        <v>68</v>
      </c>
      <c r="B26" s="4" t="s">
        <v>69</v>
      </c>
      <c r="C26" s="5">
        <v>1656</v>
      </c>
      <c r="D26" s="6" t="s">
        <v>28</v>
      </c>
      <c r="E26" s="6" t="s">
        <v>17</v>
      </c>
      <c r="F26" s="7">
        <v>36892</v>
      </c>
      <c r="G26" s="8">
        <f t="shared" si="0"/>
        <v>36892</v>
      </c>
      <c r="H26" s="6" t="s">
        <v>13</v>
      </c>
      <c r="I26" s="9">
        <f>IF(ISNA(VLOOKUP(A26,'[1]Craig Eval'!A:C,3,FALSE)),"",(VLOOKUP(A26,'[1]Craig Eval'!A:C,3,FALSE))*1000)</f>
        <v>17857.269987343301</v>
      </c>
      <c r="J26" s="10">
        <f>IF(ISNA(VLOOKUP(A26,'[1]Craig Eval'!A:M,13,FALSE)),"",VLOOKUP(A26,'[1]Craig Eval'!A:M,13,FALSE))</f>
        <v>51.656791567022303</v>
      </c>
      <c r="K26" s="17">
        <v>1</v>
      </c>
    </row>
    <row r="27" spans="1:11" ht="30" x14ac:dyDescent="0.25">
      <c r="A27" s="26" t="s">
        <v>70</v>
      </c>
      <c r="B27" s="27" t="s">
        <v>71</v>
      </c>
      <c r="C27" s="34">
        <v>1655</v>
      </c>
      <c r="D27" s="28" t="s">
        <v>28</v>
      </c>
      <c r="E27" s="28" t="s">
        <v>17</v>
      </c>
      <c r="F27" s="29">
        <v>34335</v>
      </c>
      <c r="G27" s="30">
        <f t="shared" si="0"/>
        <v>34335</v>
      </c>
      <c r="H27" s="28" t="s">
        <v>13</v>
      </c>
      <c r="I27" s="31">
        <f>IF(ISNA(VLOOKUP(A27,'[1]Craig Eval'!A:C,3,FALSE)),"",(VLOOKUP(A27,'[1]Craig Eval'!A:C,3,FALSE))*1000)</f>
        <v>63218.7443415862</v>
      </c>
      <c r="J27" s="32">
        <f>IF(ISNA(VLOOKUP(A27,'[1]Craig Eval'!A:M,13,FALSE)),"",VLOOKUP(A27,'[1]Craig Eval'!A:M,13,FALSE))</f>
        <v>172.07992175672399</v>
      </c>
      <c r="K27" s="33">
        <v>2</v>
      </c>
    </row>
    <row r="28" spans="1:11" ht="30" x14ac:dyDescent="0.25">
      <c r="A28" s="35" t="s">
        <v>72</v>
      </c>
      <c r="B28" s="19" t="s">
        <v>73</v>
      </c>
      <c r="C28" s="5">
        <v>1256</v>
      </c>
      <c r="D28" s="21" t="s">
        <v>28</v>
      </c>
      <c r="E28" s="21" t="s">
        <v>17</v>
      </c>
      <c r="F28" s="22">
        <v>26299</v>
      </c>
      <c r="G28" s="23">
        <f t="shared" si="0"/>
        <v>26299</v>
      </c>
      <c r="H28" s="21" t="s">
        <v>13</v>
      </c>
      <c r="I28" s="9">
        <v>10595000</v>
      </c>
      <c r="J28" s="36">
        <v>11100</v>
      </c>
      <c r="K28" s="25">
        <v>4</v>
      </c>
    </row>
    <row r="29" spans="1:11" ht="30" x14ac:dyDescent="0.25">
      <c r="A29" s="18" t="s">
        <v>74</v>
      </c>
      <c r="B29" s="19" t="s">
        <v>75</v>
      </c>
      <c r="C29" s="5">
        <v>12161</v>
      </c>
      <c r="D29" s="21" t="s">
        <v>28</v>
      </c>
      <c r="E29" s="21" t="s">
        <v>17</v>
      </c>
      <c r="F29" s="22">
        <v>37846</v>
      </c>
      <c r="G29" s="23">
        <f t="shared" si="0"/>
        <v>37846</v>
      </c>
      <c r="H29" s="21" t="s">
        <v>13</v>
      </c>
      <c r="I29" s="9">
        <f>IF(ISNA(VLOOKUP(A29,'[1]Craig Eval'!A:C,3,FALSE)),"",(VLOOKUP(A29,'[1]Craig Eval'!A:C,3,FALSE))*1000)</f>
        <v>39761.230000237199</v>
      </c>
      <c r="J29" s="24">
        <f>IF(ISNA(VLOOKUP(A29,'[1]Craig Eval'!A:M,13,FALSE)),"",VLOOKUP(A29,'[1]Craig Eval'!A:M,13,FALSE))</f>
        <v>111.09368047772</v>
      </c>
      <c r="K29" s="25">
        <v>1</v>
      </c>
    </row>
    <row r="30" spans="1:11" ht="30" x14ac:dyDescent="0.25">
      <c r="A30" s="3" t="s">
        <v>76</v>
      </c>
      <c r="B30" s="4" t="s">
        <v>77</v>
      </c>
      <c r="C30" s="5">
        <v>1562</v>
      </c>
      <c r="D30" s="6" t="s">
        <v>28</v>
      </c>
      <c r="E30" s="6" t="s">
        <v>17</v>
      </c>
      <c r="F30" s="7">
        <v>36441</v>
      </c>
      <c r="G30" s="8">
        <f t="shared" si="0"/>
        <v>36441</v>
      </c>
      <c r="H30" s="6" t="s">
        <v>13</v>
      </c>
      <c r="I30" s="9">
        <f>IF(ISNA(VLOOKUP(A30,'[1]Craig Eval'!A:C,3,FALSE)),"",(VLOOKUP(A30,'[1]Craig Eval'!A:C,3,FALSE))*1000)</f>
        <v>42912.254533264</v>
      </c>
      <c r="J30" s="10">
        <f>IF(ISNA(VLOOKUP(A30,'[1]Craig Eval'!A:M,13,FALSE)),"",VLOOKUP(A30,'[1]Craig Eval'!A:M,13,FALSE))</f>
        <v>119.423334972086</v>
      </c>
      <c r="K30" s="17">
        <v>1</v>
      </c>
    </row>
    <row r="31" spans="1:11" ht="30" x14ac:dyDescent="0.25">
      <c r="A31" s="3" t="s">
        <v>78</v>
      </c>
      <c r="B31" s="4" t="s">
        <v>79</v>
      </c>
      <c r="C31" s="5">
        <v>1139</v>
      </c>
      <c r="D31" s="6" t="s">
        <v>31</v>
      </c>
      <c r="E31" s="6" t="s">
        <v>17</v>
      </c>
      <c r="F31" s="7">
        <v>29221</v>
      </c>
      <c r="G31" s="8">
        <f t="shared" si="0"/>
        <v>29221</v>
      </c>
      <c r="H31" s="6" t="s">
        <v>13</v>
      </c>
      <c r="I31" s="9">
        <f>IF(ISNA(VLOOKUP(A31,'[1]Craig Eval'!A:C,3,FALSE)),"",(VLOOKUP(A31,'[1]Craig Eval'!A:C,3,FALSE))*1000)</f>
        <v>147421.86812518598</v>
      </c>
      <c r="J31" s="10">
        <f>IF(ISNA(VLOOKUP(A31,'[1]Craig Eval'!A:M,13,FALSE)),"",VLOOKUP(A31,'[1]Craig Eval'!A:M,13,FALSE))</f>
        <v>377.25552881713003</v>
      </c>
      <c r="K31" s="17">
        <v>1</v>
      </c>
    </row>
    <row r="32" spans="1:11" ht="30" x14ac:dyDescent="0.25">
      <c r="A32" s="3" t="s">
        <v>80</v>
      </c>
      <c r="B32" s="4" t="s">
        <v>81</v>
      </c>
      <c r="C32" s="14">
        <v>1490</v>
      </c>
      <c r="D32" s="6" t="s">
        <v>28</v>
      </c>
      <c r="E32" s="6" t="s">
        <v>17</v>
      </c>
      <c r="F32" s="7">
        <v>26753</v>
      </c>
      <c r="G32" s="8">
        <f t="shared" si="0"/>
        <v>26753</v>
      </c>
      <c r="H32" s="6" t="s">
        <v>13</v>
      </c>
      <c r="I32" s="9">
        <f>IF(ISNA(VLOOKUP(A32,'[1]Craig Eval'!A:C,3,FALSE)),"",(VLOOKUP(A32,'[1]Craig Eval'!A:C,3,FALSE))*1000)</f>
        <v>17986.6445614882</v>
      </c>
      <c r="J32" s="10">
        <f>IF(ISNA(VLOOKUP(A32,'[1]Craig Eval'!A:M,13,FALSE)),"",VLOOKUP(A32,'[1]Craig Eval'!A:M,13,FALSE))</f>
        <v>52.017384560767098</v>
      </c>
      <c r="K32" s="17">
        <v>1</v>
      </c>
    </row>
    <row r="33" spans="1:11" x14ac:dyDescent="0.25">
      <c r="A33" s="37" t="s">
        <v>82</v>
      </c>
      <c r="B33" s="4" t="s">
        <v>83</v>
      </c>
      <c r="C33" s="5">
        <v>1826</v>
      </c>
      <c r="D33" s="6" t="s">
        <v>31</v>
      </c>
      <c r="E33" s="6" t="s">
        <v>17</v>
      </c>
      <c r="F33" s="7">
        <v>31778</v>
      </c>
      <c r="G33" s="8">
        <f t="shared" si="0"/>
        <v>31778</v>
      </c>
      <c r="H33" s="6" t="s">
        <v>13</v>
      </c>
      <c r="I33" s="9">
        <f>IF(ISNA(VLOOKUP(A33,'[1]Craig Eval'!A:C,3,FALSE)),"",(VLOOKUP(A33,'[1]Craig Eval'!A:C,3,FALSE))*1000)</f>
        <v>355410.03752261598</v>
      </c>
      <c r="J33" s="10">
        <f>IF(ISNA(VLOOKUP(A33,'[1]Craig Eval'!A:M,13,FALSE)),"",VLOOKUP(A33,'[1]Craig Eval'!A:M,13,FALSE))</f>
        <v>833.93895687558302</v>
      </c>
      <c r="K33" s="17">
        <v>4</v>
      </c>
    </row>
    <row r="34" spans="1:11" ht="30" x14ac:dyDescent="0.25">
      <c r="A34" s="3" t="s">
        <v>84</v>
      </c>
      <c r="B34" s="4" t="s">
        <v>85</v>
      </c>
      <c r="C34" s="5">
        <v>1564</v>
      </c>
      <c r="D34" s="6" t="s">
        <v>28</v>
      </c>
      <c r="E34" s="6" t="s">
        <v>17</v>
      </c>
      <c r="F34" s="7">
        <v>25569</v>
      </c>
      <c r="G34" s="8">
        <f t="shared" si="0"/>
        <v>25569</v>
      </c>
      <c r="H34" s="6" t="s">
        <v>13</v>
      </c>
      <c r="I34" s="9">
        <f>IF(ISNA(VLOOKUP(A34,'[1]Craig Eval'!A:C,3,FALSE)),"",(VLOOKUP(A34,'[1]Craig Eval'!A:C,3,FALSE))*1000)</f>
        <v>196719.24712836</v>
      </c>
      <c r="J34" s="10">
        <f>IF(ISNA(VLOOKUP(A34,'[1]Craig Eval'!A:M,13,FALSE)),"",VLOOKUP(A34,'[1]Craig Eval'!A:M,13,FALSE))</f>
        <v>490.61794308499498</v>
      </c>
      <c r="K34" s="17">
        <v>3</v>
      </c>
    </row>
    <row r="35" spans="1:11" ht="30" x14ac:dyDescent="0.25">
      <c r="A35" s="3" t="s">
        <v>86</v>
      </c>
      <c r="B35" s="4" t="s">
        <v>87</v>
      </c>
      <c r="C35" s="5">
        <v>1968</v>
      </c>
      <c r="D35" s="6" t="s">
        <v>16</v>
      </c>
      <c r="E35" s="6" t="s">
        <v>17</v>
      </c>
      <c r="F35" s="7">
        <v>29221</v>
      </c>
      <c r="G35" s="8">
        <f t="shared" si="0"/>
        <v>29221</v>
      </c>
      <c r="H35" s="6" t="s">
        <v>13</v>
      </c>
      <c r="I35" s="9" t="str">
        <f>IF(ISNA(VLOOKUP(A35,'[1]Craig Eval'!A:C,3,FALSE)),"",(VLOOKUP(A35,'[1]Craig Eval'!A:C,3,FALSE))*1000)</f>
        <v/>
      </c>
      <c r="J35" s="10" t="str">
        <f>IF(ISNA(VLOOKUP(A35,'[1]Craig Eval'!A:M,13,FALSE)),"",VLOOKUP(A35,'[1]Craig Eval'!A:M,13,FALSE))</f>
        <v/>
      </c>
      <c r="K35" s="17">
        <v>1</v>
      </c>
    </row>
    <row r="36" spans="1:11" ht="30" x14ac:dyDescent="0.25">
      <c r="A36" s="3" t="s">
        <v>88</v>
      </c>
      <c r="B36" s="4" t="s">
        <v>89</v>
      </c>
      <c r="C36" s="5">
        <v>1369</v>
      </c>
      <c r="D36" s="6" t="s">
        <v>28</v>
      </c>
      <c r="E36" s="6" t="s">
        <v>17</v>
      </c>
      <c r="F36" s="7">
        <v>33813</v>
      </c>
      <c r="G36" s="8">
        <f t="shared" si="0"/>
        <v>33813</v>
      </c>
      <c r="H36" s="6" t="s">
        <v>13</v>
      </c>
      <c r="I36" s="9">
        <f>IF(ISNA(VLOOKUP(A36,'[1]Craig Eval'!A:C,3,FALSE)),"",(VLOOKUP(A36,'[1]Craig Eval'!A:C,3,FALSE))*1000)</f>
        <v>1532.78597399706</v>
      </c>
      <c r="J36" s="10">
        <f>IF(ISNA(VLOOKUP(A36,'[1]Craig Eval'!A:M,13,FALSE)),"",VLOOKUP(A36,'[1]Craig Eval'!A:M,13,FALSE))</f>
        <v>4.6781078061482502</v>
      </c>
      <c r="K36" s="17">
        <v>1</v>
      </c>
    </row>
    <row r="37" spans="1:11" ht="30" x14ac:dyDescent="0.25">
      <c r="A37" s="3" t="s">
        <v>90</v>
      </c>
      <c r="B37" s="4" t="s">
        <v>91</v>
      </c>
      <c r="C37" s="5">
        <v>2241</v>
      </c>
      <c r="D37" s="6" t="s">
        <v>28</v>
      </c>
      <c r="E37" s="6" t="s">
        <v>17</v>
      </c>
      <c r="F37" s="7">
        <v>37117</v>
      </c>
      <c r="G37" s="8">
        <f t="shared" si="0"/>
        <v>37117</v>
      </c>
      <c r="H37" s="6" t="s">
        <v>13</v>
      </c>
      <c r="I37" s="9">
        <f>IF(ISNA(VLOOKUP(A37,'[1]Craig Eval'!A:C,3,FALSE)),"",(VLOOKUP(A37,'[1]Craig Eval'!A:C,3,FALSE))*1000)</f>
        <v>91415.15097210581</v>
      </c>
      <c r="J37" s="10">
        <f>IF(ISNA(VLOOKUP(A37,'[1]Craig Eval'!A:M,13,FALSE)),"",VLOOKUP(A37,'[1]Craig Eval'!A:M,13,FALSE))</f>
        <v>242.808450116964</v>
      </c>
      <c r="K37" s="17">
        <v>2</v>
      </c>
    </row>
    <row r="38" spans="1:11" ht="30" x14ac:dyDescent="0.25">
      <c r="A38" s="3" t="s">
        <v>92</v>
      </c>
      <c r="B38" s="4" t="s">
        <v>93</v>
      </c>
      <c r="C38" s="5">
        <v>2012</v>
      </c>
      <c r="D38" s="6" t="s">
        <v>16</v>
      </c>
      <c r="E38" s="6" t="s">
        <v>17</v>
      </c>
      <c r="F38" s="7">
        <v>29221</v>
      </c>
      <c r="G38" s="8">
        <f t="shared" si="0"/>
        <v>29221</v>
      </c>
      <c r="H38" s="6" t="s">
        <v>13</v>
      </c>
      <c r="I38" s="9">
        <f>IF(ISNA(VLOOKUP(A38,'[1]Craig Eval'!A:C,3,FALSE)),"",(VLOOKUP(A38,'[1]Craig Eval'!A:C,3,FALSE))*1000)</f>
        <v>8177.4899768517207</v>
      </c>
      <c r="J38" s="10">
        <f>IF(ISNA(VLOOKUP(A38,'[1]Craig Eval'!A:M,13,FALSE)),"",VLOOKUP(A38,'[1]Craig Eval'!A:M,13,FALSE))</f>
        <v>24.228522957649599</v>
      </c>
      <c r="K38" s="17">
        <v>1</v>
      </c>
    </row>
    <row r="39" spans="1:11" ht="30" x14ac:dyDescent="0.25">
      <c r="A39" s="3" t="s">
        <v>94</v>
      </c>
      <c r="B39" s="4" t="s">
        <v>95</v>
      </c>
      <c r="C39" s="5">
        <v>89458</v>
      </c>
      <c r="D39" s="6" t="s">
        <v>28</v>
      </c>
      <c r="E39" s="6" t="s">
        <v>17</v>
      </c>
      <c r="F39" s="7">
        <v>31048</v>
      </c>
      <c r="G39" s="8">
        <f t="shared" si="0"/>
        <v>31048</v>
      </c>
      <c r="H39" s="6" t="s">
        <v>13</v>
      </c>
      <c r="I39" s="9">
        <f>IF(ISNA(VLOOKUP(A39,'[1]Craig Eval'!A:C,3,FALSE)),"",(VLOOKUP(A39,'[1]Craig Eval'!A:C,3,FALSE))*1000)</f>
        <v>6798.2711066812099</v>
      </c>
      <c r="J39" s="10">
        <f>IF(ISNA(VLOOKUP(A39,'[1]Craig Eval'!A:M,13,FALSE)),"",VLOOKUP(A39,'[1]Craig Eval'!A:M,13,FALSE))</f>
        <v>20.233439833329101</v>
      </c>
      <c r="K39" s="17">
        <v>1</v>
      </c>
    </row>
    <row r="40" spans="1:11" ht="30" x14ac:dyDescent="0.25">
      <c r="A40" s="3" t="s">
        <v>96</v>
      </c>
      <c r="B40" s="4" t="s">
        <v>97</v>
      </c>
      <c r="C40" s="5">
        <v>1963</v>
      </c>
      <c r="D40" s="6" t="s">
        <v>11</v>
      </c>
      <c r="E40" s="6" t="s">
        <v>17</v>
      </c>
      <c r="F40" s="7">
        <v>36039</v>
      </c>
      <c r="G40" s="8">
        <f t="shared" si="0"/>
        <v>36039</v>
      </c>
      <c r="H40" s="6" t="s">
        <v>13</v>
      </c>
      <c r="I40" s="9" t="str">
        <f>IF(ISNA(VLOOKUP(A40,'[1]Craig Eval'!A:C,3,FALSE)),"",(VLOOKUP(A40,'[1]Craig Eval'!A:C,3,FALSE))*1000)</f>
        <v/>
      </c>
      <c r="J40" s="10" t="str">
        <f>IF(ISNA(VLOOKUP(A40,'[1]Craig Eval'!A:M,13,FALSE)),"",VLOOKUP(A40,'[1]Craig Eval'!A:M,13,FALSE))</f>
        <v/>
      </c>
      <c r="K40" s="17">
        <v>1</v>
      </c>
    </row>
    <row r="41" spans="1:11" ht="30" x14ac:dyDescent="0.25">
      <c r="A41" s="3" t="s">
        <v>98</v>
      </c>
      <c r="B41" s="4" t="s">
        <v>99</v>
      </c>
      <c r="C41" s="14">
        <v>1631</v>
      </c>
      <c r="D41" s="6" t="s">
        <v>31</v>
      </c>
      <c r="E41" s="6" t="s">
        <v>17</v>
      </c>
      <c r="F41" s="7">
        <v>29221</v>
      </c>
      <c r="G41" s="8">
        <f t="shared" si="0"/>
        <v>29221</v>
      </c>
      <c r="H41" s="6" t="s">
        <v>13</v>
      </c>
      <c r="I41" s="9">
        <f>IF(ISNA(VLOOKUP(A41,'[1]Craig Eval'!A:C,3,FALSE)),"",(VLOOKUP(A41,'[1]Craig Eval'!A:C,3,FALSE))*1000)</f>
        <v>510516.08388147899</v>
      </c>
      <c r="J41" s="10">
        <f>IF(ISNA(VLOOKUP(A41,'[1]Craig Eval'!A:M,13,FALSE)),"",VLOOKUP(A41,'[1]Craig Eval'!A:M,13,FALSE))</f>
        <v>1147.46096312434</v>
      </c>
      <c r="K41" s="17">
        <v>2</v>
      </c>
    </row>
    <row r="42" spans="1:11" ht="30" x14ac:dyDescent="0.25">
      <c r="A42" s="3" t="s">
        <v>100</v>
      </c>
      <c r="B42" s="4" t="s">
        <v>101</v>
      </c>
      <c r="C42" s="5">
        <v>1741</v>
      </c>
      <c r="D42" s="6" t="s">
        <v>31</v>
      </c>
      <c r="E42" s="6" t="s">
        <v>17</v>
      </c>
      <c r="F42" s="7">
        <v>25569</v>
      </c>
      <c r="G42" s="8">
        <f t="shared" si="0"/>
        <v>25569</v>
      </c>
      <c r="H42" s="6" t="s">
        <v>13</v>
      </c>
      <c r="I42" s="9">
        <f>IF(ISNA(VLOOKUP(A42,'[1]Craig Eval'!A:C,3,FALSE)),"",(VLOOKUP(A42,'[1]Craig Eval'!A:C,3,FALSE))*1000)</f>
        <v>26656.210009197297</v>
      </c>
      <c r="J42" s="10">
        <f>IF(ISNA(VLOOKUP(A42,'[1]Craig Eval'!A:M,13,FALSE)),"",VLOOKUP(A42,'[1]Craig Eval'!A:M,13,FALSE))</f>
        <v>75.894025324860195</v>
      </c>
      <c r="K42" s="17">
        <v>1</v>
      </c>
    </row>
    <row r="43" spans="1:11" ht="30" x14ac:dyDescent="0.25">
      <c r="A43" s="3" t="s">
        <v>102</v>
      </c>
      <c r="B43" s="4" t="s">
        <v>103</v>
      </c>
      <c r="C43" s="5">
        <v>29846</v>
      </c>
      <c r="D43" s="6" t="s">
        <v>34</v>
      </c>
      <c r="E43" s="6" t="s">
        <v>17</v>
      </c>
      <c r="F43" s="7">
        <v>39029</v>
      </c>
      <c r="G43" s="8">
        <f t="shared" si="0"/>
        <v>39029</v>
      </c>
      <c r="H43" s="6" t="s">
        <v>13</v>
      </c>
      <c r="I43" s="9" t="str">
        <f>IF(ISNA(VLOOKUP(A43,'[1]Craig Eval'!A:C,3,FALSE)),"",(VLOOKUP(A43,'[1]Craig Eval'!A:C,3,FALSE))*1000)</f>
        <v/>
      </c>
      <c r="J43" s="10" t="str">
        <f>IF(ISNA(VLOOKUP(A43,'[1]Craig Eval'!A:M,13,FALSE)),"",VLOOKUP(A43,'[1]Craig Eval'!A:M,13,FALSE))</f>
        <v/>
      </c>
      <c r="K43" s="11">
        <v>2</v>
      </c>
    </row>
    <row r="44" spans="1:11" ht="30" x14ac:dyDescent="0.25">
      <c r="A44" s="18" t="s">
        <v>104</v>
      </c>
      <c r="B44" s="19" t="s">
        <v>105</v>
      </c>
      <c r="C44" s="5">
        <v>1986</v>
      </c>
      <c r="D44" s="21" t="s">
        <v>28</v>
      </c>
      <c r="E44" s="21" t="s">
        <v>17</v>
      </c>
      <c r="F44" s="22">
        <v>29587</v>
      </c>
      <c r="G44" s="23">
        <f t="shared" si="0"/>
        <v>29587</v>
      </c>
      <c r="H44" s="21" t="s">
        <v>13</v>
      </c>
      <c r="I44" s="9">
        <f>IF(ISNA(VLOOKUP(A44,'[1]Craig Eval'!A:C,3,FALSE)),"",(VLOOKUP(A44,'[1]Craig Eval'!A:C,3,FALSE))*1000)</f>
        <v>394776.84759268496</v>
      </c>
      <c r="J44" s="24">
        <f>IF(ISNA(VLOOKUP(A44,'[1]Craig Eval'!A:M,13,FALSE)),"",VLOOKUP(A44,'[1]Craig Eval'!A:M,13,FALSE))</f>
        <v>915.23508076352903</v>
      </c>
      <c r="K44" s="25">
        <v>4</v>
      </c>
    </row>
    <row r="45" spans="1:11" ht="30" x14ac:dyDescent="0.25">
      <c r="A45" s="3" t="s">
        <v>106</v>
      </c>
      <c r="B45" s="4" t="s">
        <v>107</v>
      </c>
      <c r="C45" s="5">
        <v>1344</v>
      </c>
      <c r="D45" s="6" t="s">
        <v>31</v>
      </c>
      <c r="E45" s="6" t="s">
        <v>17</v>
      </c>
      <c r="F45" s="7">
        <v>39213</v>
      </c>
      <c r="G45" s="8">
        <f t="shared" si="0"/>
        <v>39213</v>
      </c>
      <c r="H45" s="6" t="s">
        <v>13</v>
      </c>
      <c r="I45" s="9">
        <f>IF(ISNA(VLOOKUP(A45,'[1]Craig Eval'!A:C,3,FALSE)),"",(VLOOKUP(A45,'[1]Craig Eval'!A:C,3,FALSE))*1000)</f>
        <v>70393.662176458412</v>
      </c>
      <c r="J45" s="10">
        <f>IF(ISNA(VLOOKUP(A45,'[1]Craig Eval'!A:M,13,FALSE)),"",VLOOKUP(A45,'[1]Craig Eval'!A:M,13,FALSE))</f>
        <v>190.31484720948799</v>
      </c>
      <c r="K45" s="17">
        <v>1</v>
      </c>
    </row>
    <row r="46" spans="1:11" ht="30" x14ac:dyDescent="0.25">
      <c r="A46" s="3" t="s">
        <v>108</v>
      </c>
      <c r="B46" s="4" t="s">
        <v>109</v>
      </c>
      <c r="C46" s="5">
        <v>1158</v>
      </c>
      <c r="D46" s="6" t="s">
        <v>31</v>
      </c>
      <c r="E46" s="6" t="s">
        <v>17</v>
      </c>
      <c r="F46" s="7">
        <v>25569</v>
      </c>
      <c r="G46" s="8">
        <f t="shared" si="0"/>
        <v>25569</v>
      </c>
      <c r="H46" s="6" t="s">
        <v>13</v>
      </c>
      <c r="I46" s="9">
        <f>IF(ISNA(VLOOKUP(A46,'[1]Craig Eval'!A:C,3,FALSE)),"",(VLOOKUP(A46,'[1]Craig Eval'!A:C,3,FALSE))*1000)</f>
        <v>48107.933934584798</v>
      </c>
      <c r="J46" s="10">
        <f>IF(ISNA(VLOOKUP(A46,'[1]Craig Eval'!A:M,13,FALSE)),"",VLOOKUP(A46,'[1]Craig Eval'!A:M,13,FALSE))</f>
        <v>133.058053259947</v>
      </c>
      <c r="K46" s="17">
        <v>1</v>
      </c>
    </row>
    <row r="47" spans="1:11" ht="30" x14ac:dyDescent="0.25">
      <c r="A47" s="3" t="s">
        <v>110</v>
      </c>
      <c r="B47" s="4" t="s">
        <v>111</v>
      </c>
      <c r="C47" s="5">
        <v>19856</v>
      </c>
      <c r="D47" s="6" t="s">
        <v>34</v>
      </c>
      <c r="E47" s="6" t="s">
        <v>17</v>
      </c>
      <c r="F47" s="7">
        <v>38512</v>
      </c>
      <c r="G47" s="8">
        <f t="shared" si="0"/>
        <v>38512</v>
      </c>
      <c r="H47" s="6" t="s">
        <v>13</v>
      </c>
      <c r="I47" s="9" t="str">
        <f>IF(ISNA(VLOOKUP(A47,'[1]Craig Eval'!A:C,3,FALSE)),"",(VLOOKUP(A47,'[1]Craig Eval'!A:C,3,FALSE))*1000)</f>
        <v/>
      </c>
      <c r="J47" s="10" t="str">
        <f>IF(ISNA(VLOOKUP(A47,'[1]Craig Eval'!A:M,13,FALSE)),"",VLOOKUP(A47,'[1]Craig Eval'!A:M,13,FALSE))</f>
        <v/>
      </c>
      <c r="K47" s="17">
        <v>1</v>
      </c>
    </row>
    <row r="48" spans="1:11" ht="30" x14ac:dyDescent="0.25">
      <c r="A48" s="3" t="s">
        <v>112</v>
      </c>
      <c r="B48" s="4" t="s">
        <v>113</v>
      </c>
      <c r="C48" s="5">
        <v>1624</v>
      </c>
      <c r="D48" s="6" t="s">
        <v>16</v>
      </c>
      <c r="E48" s="6" t="s">
        <v>17</v>
      </c>
      <c r="F48" s="7">
        <v>32874</v>
      </c>
      <c r="G48" s="8">
        <f t="shared" si="0"/>
        <v>32874</v>
      </c>
      <c r="H48" s="6" t="s">
        <v>13</v>
      </c>
      <c r="I48" s="9" t="str">
        <f>IF(ISNA(VLOOKUP(A48,'[1]Craig Eval'!A:C,3,FALSE)),"",(VLOOKUP(A48,'[1]Craig Eval'!A:C,3,FALSE))*1000)</f>
        <v/>
      </c>
      <c r="J48" s="10" t="str">
        <f>IF(ISNA(VLOOKUP(A48,'[1]Craig Eval'!A:M,13,FALSE)),"",VLOOKUP(A48,'[1]Craig Eval'!A:M,13,FALSE))</f>
        <v/>
      </c>
      <c r="K48" s="17">
        <v>1</v>
      </c>
    </row>
    <row r="49" spans="1:11" ht="30" x14ac:dyDescent="0.25">
      <c r="A49" s="3" t="s">
        <v>114</v>
      </c>
      <c r="B49" s="4" t="s">
        <v>115</v>
      </c>
      <c r="C49" s="14">
        <v>28897</v>
      </c>
      <c r="D49" s="6" t="s">
        <v>11</v>
      </c>
      <c r="E49" s="6" t="s">
        <v>17</v>
      </c>
      <c r="F49" s="7">
        <v>36639</v>
      </c>
      <c r="G49" s="8">
        <f t="shared" si="0"/>
        <v>36639</v>
      </c>
      <c r="H49" s="6" t="s">
        <v>13</v>
      </c>
      <c r="I49" s="9" t="str">
        <f>IF(ISNA(VLOOKUP(A49,'[1]Craig Eval'!A:C,3,FALSE)),"",(VLOOKUP(A49,'[1]Craig Eval'!A:C,3,FALSE))*1000)</f>
        <v/>
      </c>
      <c r="J49" s="10" t="str">
        <f>IF(ISNA(VLOOKUP(A49,'[1]Craig Eval'!A:M,13,FALSE)),"",VLOOKUP(A49,'[1]Craig Eval'!A:M,13,FALSE))</f>
        <v/>
      </c>
      <c r="K49" s="17">
        <v>2</v>
      </c>
    </row>
    <row r="50" spans="1:11" ht="30" x14ac:dyDescent="0.25">
      <c r="A50" s="3" t="s">
        <v>116</v>
      </c>
      <c r="B50" s="4" t="s">
        <v>117</v>
      </c>
      <c r="C50" s="5">
        <v>2881</v>
      </c>
      <c r="D50" s="6" t="s">
        <v>34</v>
      </c>
      <c r="E50" s="6" t="s">
        <v>17</v>
      </c>
      <c r="F50" s="7">
        <v>37099</v>
      </c>
      <c r="G50" s="8">
        <f t="shared" si="0"/>
        <v>37099</v>
      </c>
      <c r="H50" s="6" t="s">
        <v>13</v>
      </c>
      <c r="I50" s="9" t="str">
        <f>IF(ISNA(VLOOKUP(A50,'[1]Craig Eval'!A:C,3,FALSE)),"",(VLOOKUP(A50,'[1]Craig Eval'!A:C,3,FALSE))*1000)</f>
        <v/>
      </c>
      <c r="J50" s="10" t="str">
        <f>IF(ISNA(VLOOKUP(A50,'[1]Craig Eval'!A:M,13,FALSE)),"",VLOOKUP(A50,'[1]Craig Eval'!A:M,13,FALSE))</f>
        <v/>
      </c>
      <c r="K50" s="17">
        <v>1</v>
      </c>
    </row>
    <row r="51" spans="1:11" ht="30" x14ac:dyDescent="0.25">
      <c r="A51" s="3" t="s">
        <v>118</v>
      </c>
      <c r="B51" s="4" t="s">
        <v>119</v>
      </c>
      <c r="C51" s="14">
        <v>2034</v>
      </c>
      <c r="D51" s="6" t="s">
        <v>16</v>
      </c>
      <c r="E51" s="6" t="s">
        <v>17</v>
      </c>
      <c r="F51" s="7">
        <v>29221</v>
      </c>
      <c r="G51" s="8">
        <f t="shared" si="0"/>
        <v>29221</v>
      </c>
      <c r="H51" s="6" t="s">
        <v>13</v>
      </c>
      <c r="I51" s="9">
        <f>IF(ISNA(VLOOKUP(A51,'[1]Craig Eval'!A:C,3,FALSE)),"",(VLOOKUP(A51,'[1]Craig Eval'!A:C,3,FALSE))*1000)</f>
        <v>73010.147173105201</v>
      </c>
      <c r="J51" s="10">
        <f>IF(ISNA(VLOOKUP(A51,'[1]Craig Eval'!A:M,13,FALSE)),"",VLOOKUP(A51,'[1]Craig Eval'!A:M,13,FALSE))</f>
        <v>196.92185570957801</v>
      </c>
      <c r="K51" s="17">
        <v>1</v>
      </c>
    </row>
    <row r="52" spans="1:11" ht="30" x14ac:dyDescent="0.25">
      <c r="A52" s="3" t="s">
        <v>120</v>
      </c>
      <c r="B52" s="4" t="s">
        <v>121</v>
      </c>
      <c r="C52" s="14">
        <v>1069</v>
      </c>
      <c r="D52" s="6" t="s">
        <v>16</v>
      </c>
      <c r="E52" s="6" t="s">
        <v>17</v>
      </c>
      <c r="F52" s="7">
        <v>29221</v>
      </c>
      <c r="G52" s="8">
        <f t="shared" si="0"/>
        <v>29221</v>
      </c>
      <c r="H52" s="6" t="s">
        <v>13</v>
      </c>
      <c r="I52" s="9">
        <f>IF(ISNA(VLOOKUP(A52,'[1]Craig Eval'!A:C,3,FALSE)),"",(VLOOKUP(A52,'[1]Craig Eval'!A:C,3,FALSE))*1000)</f>
        <v>142175.042143914</v>
      </c>
      <c r="J52" s="10">
        <f>IF(ISNA(VLOOKUP(A52,'[1]Craig Eval'!A:M,13,FALSE)),"",VLOOKUP(A52,'[1]Craig Eval'!A:M,13,FALSE))</f>
        <v>364.94191072166802</v>
      </c>
      <c r="K52" s="17">
        <v>2</v>
      </c>
    </row>
    <row r="53" spans="1:11" ht="30" x14ac:dyDescent="0.25">
      <c r="A53" s="3" t="s">
        <v>122</v>
      </c>
      <c r="B53" s="38" t="s">
        <v>123</v>
      </c>
      <c r="C53" s="14">
        <v>30660</v>
      </c>
      <c r="D53" s="6" t="s">
        <v>31</v>
      </c>
      <c r="E53" s="6" t="s">
        <v>17</v>
      </c>
      <c r="F53" s="7">
        <v>38373</v>
      </c>
      <c r="G53" s="8">
        <f t="shared" si="0"/>
        <v>38373</v>
      </c>
      <c r="H53" s="6" t="s">
        <v>13</v>
      </c>
      <c r="I53" s="9">
        <f>IF(ISNA(VLOOKUP(A53,'[1]Craig Eval'!A:C,3,FALSE)),"",(VLOOKUP(A53,'[1]Craig Eval'!A:C,3,FALSE))*1000)</f>
        <v>87672.967703731105</v>
      </c>
      <c r="J53" s="10">
        <f>IF(ISNA(VLOOKUP(A53,'[1]Craig Eval'!A:M,13,FALSE)),"",VLOOKUP(A53,'[1]Craig Eval'!A:M,13,FALSE))</f>
        <v>233.557756349301</v>
      </c>
      <c r="K53" s="17">
        <v>4</v>
      </c>
    </row>
    <row r="54" spans="1:11" ht="30" x14ac:dyDescent="0.25">
      <c r="A54" s="3" t="s">
        <v>124</v>
      </c>
      <c r="B54" s="4" t="s">
        <v>125</v>
      </c>
      <c r="C54" s="5">
        <v>48721</v>
      </c>
      <c r="D54" s="6" t="s">
        <v>37</v>
      </c>
      <c r="E54" s="6" t="s">
        <v>38</v>
      </c>
      <c r="F54" s="7">
        <v>39323</v>
      </c>
      <c r="G54" s="8">
        <f t="shared" si="0"/>
        <v>39323</v>
      </c>
      <c r="H54" s="6" t="s">
        <v>39</v>
      </c>
      <c r="I54" s="9" t="str">
        <f>IF(ISNA(VLOOKUP(A54,'[1]Craig Eval'!A:C,3,FALSE)),"",(VLOOKUP(A54,'[1]Craig Eval'!A:C,3,FALSE))*1000)</f>
        <v/>
      </c>
      <c r="J54" s="10" t="str">
        <f>IF(ISNA(VLOOKUP(A54,'[1]Craig Eval'!A:M,13,FALSE)),"",VLOOKUP(A54,'[1]Craig Eval'!A:M,13,FALSE))</f>
        <v/>
      </c>
      <c r="K54" s="17">
        <v>2</v>
      </c>
    </row>
    <row r="55" spans="1:11" ht="30" x14ac:dyDescent="0.25">
      <c r="A55" s="3" t="s">
        <v>126</v>
      </c>
      <c r="B55" s="4" t="s">
        <v>127</v>
      </c>
      <c r="C55" s="5">
        <v>52257</v>
      </c>
      <c r="D55" s="6" t="s">
        <v>37</v>
      </c>
      <c r="E55" s="6" t="s">
        <v>38</v>
      </c>
      <c r="F55" s="7">
        <v>38568</v>
      </c>
      <c r="G55" s="8">
        <f t="shared" si="0"/>
        <v>38568</v>
      </c>
      <c r="H55" s="6" t="s">
        <v>39</v>
      </c>
      <c r="I55" s="9" t="str">
        <f>IF(ISNA(VLOOKUP(A55,'[1]Craig Eval'!A:C,3,FALSE)),"",(VLOOKUP(A55,'[1]Craig Eval'!A:C,3,FALSE))*1000)</f>
        <v/>
      </c>
      <c r="J55" s="10" t="str">
        <f>IF(ISNA(VLOOKUP(A55,'[1]Craig Eval'!A:M,13,FALSE)),"",VLOOKUP(A55,'[1]Craig Eval'!A:M,13,FALSE))</f>
        <v/>
      </c>
      <c r="K55" s="17">
        <v>2</v>
      </c>
    </row>
    <row r="56" spans="1:11" ht="30" x14ac:dyDescent="0.25">
      <c r="A56" s="3" t="s">
        <v>128</v>
      </c>
      <c r="B56" s="4" t="s">
        <v>129</v>
      </c>
      <c r="C56" s="5">
        <v>21776</v>
      </c>
      <c r="D56" s="6" t="s">
        <v>34</v>
      </c>
      <c r="E56" s="6" t="s">
        <v>17</v>
      </c>
      <c r="F56" s="7">
        <v>38686</v>
      </c>
      <c r="G56" s="8">
        <f t="shared" si="0"/>
        <v>38686</v>
      </c>
      <c r="H56" s="6" t="s">
        <v>13</v>
      </c>
      <c r="I56" s="9" t="str">
        <f>IF(ISNA(VLOOKUP(A56,'[1]Craig Eval'!A:C,3,FALSE)),"",(VLOOKUP(A56,'[1]Craig Eval'!A:C,3,FALSE))*1000)</f>
        <v/>
      </c>
      <c r="J56" s="10" t="str">
        <f>IF(ISNA(VLOOKUP(A56,'[1]Craig Eval'!A:M,13,FALSE)),"",VLOOKUP(A56,'[1]Craig Eval'!A:M,13,FALSE))</f>
        <v/>
      </c>
      <c r="K56" s="17">
        <v>1</v>
      </c>
    </row>
    <row r="57" spans="1:11" ht="30" x14ac:dyDescent="0.25">
      <c r="A57" s="3" t="s">
        <v>130</v>
      </c>
      <c r="B57" s="4" t="s">
        <v>131</v>
      </c>
      <c r="C57" s="5">
        <v>11844</v>
      </c>
      <c r="D57" s="6" t="s">
        <v>34</v>
      </c>
      <c r="E57" s="6" t="s">
        <v>17</v>
      </c>
      <c r="F57" s="7">
        <v>37985</v>
      </c>
      <c r="G57" s="8">
        <f t="shared" si="0"/>
        <v>37985</v>
      </c>
      <c r="H57" s="6" t="s">
        <v>13</v>
      </c>
      <c r="I57" s="9" t="str">
        <f>IF(ISNA(VLOOKUP(A57,'[1]Craig Eval'!A:C,3,FALSE)),"",(VLOOKUP(A57,'[1]Craig Eval'!A:C,3,FALSE))*1000)</f>
        <v/>
      </c>
      <c r="J57" s="10" t="str">
        <f>IF(ISNA(VLOOKUP(A57,'[1]Craig Eval'!A:M,13,FALSE)),"",VLOOKUP(A57,'[1]Craig Eval'!A:M,13,FALSE))</f>
        <v/>
      </c>
      <c r="K57" s="17">
        <v>1</v>
      </c>
    </row>
    <row r="58" spans="1:11" ht="30" x14ac:dyDescent="0.25">
      <c r="A58" s="26" t="s">
        <v>132</v>
      </c>
      <c r="B58" s="27" t="s">
        <v>133</v>
      </c>
      <c r="C58" s="34">
        <v>52944</v>
      </c>
      <c r="D58" s="28" t="s">
        <v>28</v>
      </c>
      <c r="E58" s="28" t="s">
        <v>17</v>
      </c>
      <c r="F58" s="29">
        <v>39114</v>
      </c>
      <c r="G58" s="30">
        <f t="shared" si="0"/>
        <v>39114</v>
      </c>
      <c r="H58" s="28" t="s">
        <v>13</v>
      </c>
      <c r="I58" s="31">
        <f>IF(ISNA(VLOOKUP(A58,'[1]Craig Eval'!A:C,3,FALSE)),"",(VLOOKUP(A58,'[1]Craig Eval'!A:C,3,FALSE))*1000)</f>
        <v>4325.02283477743</v>
      </c>
      <c r="J58" s="32">
        <f>IF(ISNA(VLOOKUP(A58,'[1]Craig Eval'!A:M,13,FALSE)),"",VLOOKUP(A58,'[1]Craig Eval'!A:M,13,FALSE))</f>
        <v>12.9961601208097</v>
      </c>
      <c r="K58" s="33">
        <v>1</v>
      </c>
    </row>
    <row r="59" spans="1:11" ht="30" x14ac:dyDescent="0.25">
      <c r="A59" s="3" t="s">
        <v>134</v>
      </c>
      <c r="B59" s="4" t="s">
        <v>135</v>
      </c>
      <c r="C59" s="5">
        <v>31330</v>
      </c>
      <c r="D59" s="6" t="s">
        <v>31</v>
      </c>
      <c r="E59" s="6" t="s">
        <v>17</v>
      </c>
      <c r="F59" s="7">
        <v>30947</v>
      </c>
      <c r="G59" s="8">
        <f t="shared" si="0"/>
        <v>30947</v>
      </c>
      <c r="H59" s="6" t="s">
        <v>13</v>
      </c>
      <c r="I59" s="9">
        <f>IF(ISNA(VLOOKUP(A59,'[1]Craig Eval'!A:C,3,FALSE)),"",(VLOOKUP(A59,'[1]Craig Eval'!A:C,3,FALSE))*1000)</f>
        <v>4331.3813867746503</v>
      </c>
      <c r="J59" s="10">
        <f>IF(ISNA(VLOOKUP(A59,'[1]Craig Eval'!A:M,13,FALSE)),"",VLOOKUP(A59,'[1]Craig Eval'!A:M,13,FALSE))</f>
        <v>13.0149033675346</v>
      </c>
      <c r="K59" s="17">
        <v>1</v>
      </c>
    </row>
    <row r="60" spans="1:11" ht="30" x14ac:dyDescent="0.25">
      <c r="A60" s="3" t="s">
        <v>136</v>
      </c>
      <c r="B60" s="4" t="s">
        <v>137</v>
      </c>
      <c r="C60" s="5">
        <v>31297</v>
      </c>
      <c r="D60" s="6" t="s">
        <v>31</v>
      </c>
      <c r="E60" s="6" t="s">
        <v>17</v>
      </c>
      <c r="F60" s="7">
        <v>30855</v>
      </c>
      <c r="G60" s="8">
        <f t="shared" si="0"/>
        <v>30855</v>
      </c>
      <c r="H60" s="6" t="s">
        <v>13</v>
      </c>
      <c r="I60" s="9">
        <f>IF(ISNA(VLOOKUP(A60,'[1]Craig Eval'!A:C,3,FALSE)),"",(VLOOKUP(A60,'[1]Craig Eval'!A:C,3,FALSE))*1000)</f>
        <v>27469.823710922898</v>
      </c>
      <c r="J60" s="10">
        <f>IF(ISNA(VLOOKUP(A60,'[1]Craig Eval'!A:M,13,FALSE)),"",VLOOKUP(A60,'[1]Craig Eval'!A:M,13,FALSE))</f>
        <v>78.108283681934196</v>
      </c>
      <c r="K60" s="17">
        <v>1</v>
      </c>
    </row>
    <row r="61" spans="1:11" ht="30" x14ac:dyDescent="0.25">
      <c r="A61" s="3" t="s">
        <v>138</v>
      </c>
      <c r="B61" s="4" t="s">
        <v>139</v>
      </c>
      <c r="C61" s="5">
        <v>54487</v>
      </c>
      <c r="D61" s="6" t="s">
        <v>31</v>
      </c>
      <c r="E61" s="6" t="s">
        <v>17</v>
      </c>
      <c r="F61" s="7">
        <v>38411</v>
      </c>
      <c r="G61" s="8">
        <f t="shared" si="0"/>
        <v>38411</v>
      </c>
      <c r="H61" s="6" t="s">
        <v>13</v>
      </c>
      <c r="I61" s="9">
        <f>IF(ISNA(VLOOKUP(A61,'[1]Craig Eval'!A:C,3,FALSE)),"",(VLOOKUP(A61,'[1]Craig Eval'!A:C,3,FALSE))*1000)</f>
        <v>1736.07294372152</v>
      </c>
      <c r="J61" s="10">
        <f>IF(ISNA(VLOOKUP(A61,'[1]Craig Eval'!A:M,13,FALSE)),"",VLOOKUP(A61,'[1]Craig Eval'!A:M,13,FALSE))</f>
        <v>5.2906659576869099</v>
      </c>
      <c r="K61" s="17">
        <v>1</v>
      </c>
    </row>
    <row r="62" spans="1:11" ht="30" x14ac:dyDescent="0.25">
      <c r="A62" s="3" t="s">
        <v>140</v>
      </c>
      <c r="B62" s="4" t="s">
        <v>141</v>
      </c>
      <c r="C62" s="5">
        <v>72173</v>
      </c>
      <c r="D62" s="6" t="s">
        <v>34</v>
      </c>
      <c r="E62" s="6" t="s">
        <v>17</v>
      </c>
      <c r="F62" s="7">
        <v>38580</v>
      </c>
      <c r="G62" s="8">
        <f t="shared" si="0"/>
        <v>38580</v>
      </c>
      <c r="H62" s="6" t="s">
        <v>13</v>
      </c>
      <c r="I62" s="9">
        <f>IF(ISNA(VLOOKUP(A62,'[1]Craig Eval'!A:C,3,FALSE)),"",(VLOOKUP(A62,'[1]Craig Eval'!A:C,3,FALSE))*1000)</f>
        <v>32750.989744603205</v>
      </c>
      <c r="J62" s="10">
        <f>IF(ISNA(VLOOKUP(A62,'[1]Craig Eval'!A:M,13,FALSE)),"",VLOOKUP(A62,'[1]Craig Eval'!A:M,13,FALSE))</f>
        <v>92.383411864328394</v>
      </c>
      <c r="K62" s="17">
        <v>2</v>
      </c>
    </row>
    <row r="63" spans="1:11" ht="30" x14ac:dyDescent="0.25">
      <c r="A63" s="3" t="s">
        <v>142</v>
      </c>
      <c r="B63" s="4" t="s">
        <v>143</v>
      </c>
      <c r="C63" s="5">
        <v>1118</v>
      </c>
      <c r="D63" s="6" t="s">
        <v>28</v>
      </c>
      <c r="E63" s="6" t="s">
        <v>17</v>
      </c>
      <c r="F63" s="7">
        <v>29221</v>
      </c>
      <c r="G63" s="8">
        <f t="shared" si="0"/>
        <v>29221</v>
      </c>
      <c r="H63" s="6" t="s">
        <v>13</v>
      </c>
      <c r="I63" s="9">
        <f>IF(ISNA(VLOOKUP(A63,'[1]Craig Eval'!A:C,3,FALSE)),"",(VLOOKUP(A63,'[1]Craig Eval'!A:C,3,FALSE))*1000)</f>
        <v>96308.485209603503</v>
      </c>
      <c r="J63" s="10">
        <f>IF(ISNA(VLOOKUP(A63,'[1]Craig Eval'!A:M,13,FALSE)),"",VLOOKUP(A63,'[1]Craig Eval'!A:M,13,FALSE))</f>
        <v>254.84779883116099</v>
      </c>
      <c r="K63" s="17">
        <v>2</v>
      </c>
    </row>
    <row r="64" spans="1:11" ht="30" x14ac:dyDescent="0.25">
      <c r="A64" s="3" t="s">
        <v>144</v>
      </c>
      <c r="B64" s="4" t="s">
        <v>145</v>
      </c>
      <c r="C64" s="5">
        <v>1792</v>
      </c>
      <c r="D64" s="6" t="s">
        <v>28</v>
      </c>
      <c r="E64" s="6" t="s">
        <v>17</v>
      </c>
      <c r="F64" s="7">
        <v>32143</v>
      </c>
      <c r="G64" s="8">
        <f t="shared" si="0"/>
        <v>32143</v>
      </c>
      <c r="H64" s="6" t="s">
        <v>13</v>
      </c>
      <c r="I64" s="9">
        <f>IF(ISNA(VLOOKUP(A64,'[1]Craig Eval'!A:C,3,FALSE)),"",(VLOOKUP(A64,'[1]Craig Eval'!A:C,3,FALSE))*1000)</f>
        <v>137574.447242625</v>
      </c>
      <c r="J64" s="10">
        <f>IF(ISNA(VLOOKUP(A64,'[1]Craig Eval'!A:M,13,FALSE)),"",VLOOKUP(A64,'[1]Craig Eval'!A:M,13,FALSE))</f>
        <v>354.10144610058398</v>
      </c>
      <c r="K64" s="17">
        <v>2</v>
      </c>
    </row>
    <row r="65" spans="1:11" ht="30" x14ac:dyDescent="0.25">
      <c r="A65" s="26" t="s">
        <v>146</v>
      </c>
      <c r="B65" s="27" t="s">
        <v>147</v>
      </c>
      <c r="C65" s="5">
        <v>1514</v>
      </c>
      <c r="D65" s="28" t="s">
        <v>28</v>
      </c>
      <c r="E65" s="28" t="s">
        <v>17</v>
      </c>
      <c r="F65" s="29">
        <v>25569</v>
      </c>
      <c r="G65" s="30">
        <f t="shared" si="0"/>
        <v>25569</v>
      </c>
      <c r="H65" s="28" t="s">
        <v>13</v>
      </c>
      <c r="I65" s="31">
        <f>IF(ISNA(VLOOKUP(A65,'[1]Craig Eval'!A:C,3,FALSE)),"",(VLOOKUP(A65,'[1]Craig Eval'!A:C,3,FALSE))*1000)</f>
        <v>369834.47335766401</v>
      </c>
      <c r="J65" s="32">
        <f>IF(ISNA(VLOOKUP(A65,'[1]Craig Eval'!A:M,13,FALSE)),"",VLOOKUP(A65,'[1]Craig Eval'!A:M,13,FALSE))</f>
        <v>863.87783547556205</v>
      </c>
      <c r="K65" s="33">
        <v>4</v>
      </c>
    </row>
    <row r="66" spans="1:11" ht="30" x14ac:dyDescent="0.25">
      <c r="A66" s="3" t="s">
        <v>148</v>
      </c>
      <c r="B66" s="4" t="s">
        <v>149</v>
      </c>
      <c r="C66" s="5">
        <v>41697</v>
      </c>
      <c r="D66" s="6" t="s">
        <v>28</v>
      </c>
      <c r="E66" s="6" t="s">
        <v>17</v>
      </c>
      <c r="F66" s="7">
        <v>37901</v>
      </c>
      <c r="G66" s="8">
        <f t="shared" ref="G66:G129" si="1">F66</f>
        <v>37901</v>
      </c>
      <c r="H66" s="6" t="s">
        <v>13</v>
      </c>
      <c r="I66" s="9">
        <f>IF(ISNA(VLOOKUP(A66,'[1]Craig Eval'!A:C,3,FALSE)),"",(VLOOKUP(A66,'[1]Craig Eval'!A:C,3,FALSE))*1000)</f>
        <v>12617.5310050837</v>
      </c>
      <c r="J66" s="10">
        <f>IF(ISNA(VLOOKUP(A66,'[1]Craig Eval'!A:M,13,FALSE)),"",VLOOKUP(A66,'[1]Craig Eval'!A:M,13,FALSE))</f>
        <v>36.928530030235699</v>
      </c>
      <c r="K66" s="17">
        <v>1</v>
      </c>
    </row>
    <row r="67" spans="1:11" ht="30" x14ac:dyDescent="0.25">
      <c r="A67" s="3" t="s">
        <v>150</v>
      </c>
      <c r="B67" s="4" t="s">
        <v>151</v>
      </c>
      <c r="C67" s="5">
        <v>27953</v>
      </c>
      <c r="D67" s="6" t="s">
        <v>31</v>
      </c>
      <c r="E67" s="6" t="s">
        <v>17</v>
      </c>
      <c r="F67" s="7">
        <v>21438</v>
      </c>
      <c r="G67" s="8">
        <f t="shared" si="1"/>
        <v>21438</v>
      </c>
      <c r="H67" s="6" t="s">
        <v>13</v>
      </c>
      <c r="I67" s="9" t="str">
        <f>IF(ISNA(VLOOKUP(A67,'[1]Craig Eval'!A:C,3,FALSE)),"",(VLOOKUP(A67,'[1]Craig Eval'!A:C,3,FALSE))*1000)</f>
        <v/>
      </c>
      <c r="J67" s="10" t="str">
        <f>IF(ISNA(VLOOKUP(A67,'[1]Craig Eval'!A:M,13,FALSE)),"",VLOOKUP(A67,'[1]Craig Eval'!A:M,13,FALSE))</f>
        <v/>
      </c>
      <c r="K67" s="17">
        <v>1</v>
      </c>
    </row>
    <row r="68" spans="1:11" ht="30" x14ac:dyDescent="0.25">
      <c r="A68" s="3" t="s">
        <v>152</v>
      </c>
      <c r="B68" s="4" t="s">
        <v>153</v>
      </c>
      <c r="C68" s="5">
        <v>39090</v>
      </c>
      <c r="D68" s="6" t="s">
        <v>31</v>
      </c>
      <c r="E68" s="6" t="s">
        <v>17</v>
      </c>
      <c r="F68" s="7">
        <v>28374</v>
      </c>
      <c r="G68" s="8">
        <f t="shared" si="1"/>
        <v>28374</v>
      </c>
      <c r="H68" s="6" t="s">
        <v>13</v>
      </c>
      <c r="I68" s="9" t="str">
        <f>IF(ISNA(VLOOKUP(A68,'[1]Craig Eval'!A:C,3,FALSE)),"",(VLOOKUP(A68,'[1]Craig Eval'!A:C,3,FALSE))*1000)</f>
        <v/>
      </c>
      <c r="J68" s="10" t="str">
        <f>IF(ISNA(VLOOKUP(A68,'[1]Craig Eval'!A:M,13,FALSE)),"",VLOOKUP(A68,'[1]Craig Eval'!A:M,13,FALSE))</f>
        <v/>
      </c>
      <c r="K68" s="17">
        <v>1</v>
      </c>
    </row>
    <row r="69" spans="1:11" ht="30" x14ac:dyDescent="0.25">
      <c r="A69" s="3" t="s">
        <v>154</v>
      </c>
      <c r="B69" s="4" t="s">
        <v>155</v>
      </c>
      <c r="C69" s="5">
        <v>36881</v>
      </c>
      <c r="D69" s="6" t="s">
        <v>31</v>
      </c>
      <c r="E69" s="6" t="s">
        <v>17</v>
      </c>
      <c r="F69" s="7">
        <v>26151</v>
      </c>
      <c r="G69" s="8">
        <f t="shared" si="1"/>
        <v>26151</v>
      </c>
      <c r="H69" s="6" t="s">
        <v>13</v>
      </c>
      <c r="I69" s="9" t="str">
        <f>IF(ISNA(VLOOKUP(A69,'[1]Craig Eval'!A:C,3,FALSE)),"",(VLOOKUP(A69,'[1]Craig Eval'!A:C,3,FALSE))*1000)</f>
        <v/>
      </c>
      <c r="J69" s="10" t="str">
        <f>IF(ISNA(VLOOKUP(A69,'[1]Craig Eval'!A:M,13,FALSE)),"",VLOOKUP(A69,'[1]Craig Eval'!A:M,13,FALSE))</f>
        <v/>
      </c>
      <c r="K69" s="17">
        <v>1</v>
      </c>
    </row>
    <row r="70" spans="1:11" ht="30" x14ac:dyDescent="0.25">
      <c r="A70" s="3" t="s">
        <v>156</v>
      </c>
      <c r="B70" s="4" t="s">
        <v>157</v>
      </c>
      <c r="C70" s="5">
        <v>39121</v>
      </c>
      <c r="D70" s="6" t="s">
        <v>31</v>
      </c>
      <c r="E70" s="6" t="s">
        <v>17</v>
      </c>
      <c r="F70" s="7">
        <v>32751</v>
      </c>
      <c r="G70" s="8">
        <f t="shared" si="1"/>
        <v>32751</v>
      </c>
      <c r="H70" s="6" t="s">
        <v>13</v>
      </c>
      <c r="I70" s="9" t="str">
        <f>IF(ISNA(VLOOKUP(A70,'[1]Craig Eval'!A:C,3,FALSE)),"",(VLOOKUP(A70,'[1]Craig Eval'!A:C,3,FALSE))*1000)</f>
        <v/>
      </c>
      <c r="J70" s="10" t="str">
        <f>IF(ISNA(VLOOKUP(A70,'[1]Craig Eval'!A:M,13,FALSE)),"",VLOOKUP(A70,'[1]Craig Eval'!A:M,13,FALSE))</f>
        <v/>
      </c>
      <c r="K70" s="17">
        <v>1</v>
      </c>
    </row>
    <row r="71" spans="1:11" ht="30" x14ac:dyDescent="0.25">
      <c r="A71" s="3" t="s">
        <v>158</v>
      </c>
      <c r="B71" s="4" t="s">
        <v>159</v>
      </c>
      <c r="C71" s="5">
        <v>34817</v>
      </c>
      <c r="D71" s="6" t="s">
        <v>31</v>
      </c>
      <c r="E71" s="6" t="s">
        <v>17</v>
      </c>
      <c r="F71" s="7">
        <v>24777</v>
      </c>
      <c r="G71" s="8">
        <f t="shared" si="1"/>
        <v>24777</v>
      </c>
      <c r="H71" s="6" t="s">
        <v>13</v>
      </c>
      <c r="I71" s="9" t="str">
        <f>IF(ISNA(VLOOKUP(A71,'[1]Craig Eval'!A:C,3,FALSE)),"",(VLOOKUP(A71,'[1]Craig Eval'!A:C,3,FALSE))*1000)</f>
        <v/>
      </c>
      <c r="J71" s="10" t="str">
        <f>IF(ISNA(VLOOKUP(A71,'[1]Craig Eval'!A:M,13,FALSE)),"",VLOOKUP(A71,'[1]Craig Eval'!A:M,13,FALSE))</f>
        <v/>
      </c>
      <c r="K71" s="17">
        <v>1</v>
      </c>
    </row>
    <row r="72" spans="1:11" ht="30" x14ac:dyDescent="0.25">
      <c r="A72" s="26" t="s">
        <v>160</v>
      </c>
      <c r="B72" s="27" t="s">
        <v>161</v>
      </c>
      <c r="C72" s="5">
        <v>36785</v>
      </c>
      <c r="D72" s="28" t="s">
        <v>31</v>
      </c>
      <c r="E72" s="28" t="s">
        <v>17</v>
      </c>
      <c r="F72" s="29">
        <v>26402</v>
      </c>
      <c r="G72" s="30">
        <f t="shared" si="1"/>
        <v>26402</v>
      </c>
      <c r="H72" s="28" t="s">
        <v>13</v>
      </c>
      <c r="I72" s="31" t="str">
        <f>IF(ISNA(VLOOKUP(A72,'[1]Craig Eval'!A:C,3,FALSE)),"",(VLOOKUP(A72,'[1]Craig Eval'!A:C,3,FALSE))*1000)</f>
        <v/>
      </c>
      <c r="J72" s="32" t="str">
        <f>IF(ISNA(VLOOKUP(A72,'[1]Craig Eval'!A:M,13,FALSE)),"",VLOOKUP(A72,'[1]Craig Eval'!A:M,13,FALSE))</f>
        <v/>
      </c>
      <c r="K72" s="33">
        <v>2</v>
      </c>
    </row>
    <row r="73" spans="1:11" ht="30" x14ac:dyDescent="0.25">
      <c r="A73" s="3" t="s">
        <v>162</v>
      </c>
      <c r="B73" s="4" t="s">
        <v>163</v>
      </c>
      <c r="C73" s="5">
        <v>8004</v>
      </c>
      <c r="D73" s="6" t="s">
        <v>34</v>
      </c>
      <c r="E73" s="6" t="s">
        <v>17</v>
      </c>
      <c r="F73" s="7">
        <v>37518</v>
      </c>
      <c r="G73" s="8">
        <f t="shared" si="1"/>
        <v>37518</v>
      </c>
      <c r="H73" s="6" t="s">
        <v>13</v>
      </c>
      <c r="I73" s="9" t="str">
        <f>IF(ISNA(VLOOKUP(A73,'[1]Craig Eval'!A:C,3,FALSE)),"",(VLOOKUP(A73,'[1]Craig Eval'!A:C,3,FALSE))*1000)</f>
        <v/>
      </c>
      <c r="J73" s="10" t="str">
        <f>IF(ISNA(VLOOKUP(A73,'[1]Craig Eval'!A:M,13,FALSE)),"",VLOOKUP(A73,'[1]Craig Eval'!A:M,13,FALSE))</f>
        <v/>
      </c>
      <c r="K73" s="17">
        <v>1</v>
      </c>
    </row>
    <row r="74" spans="1:11" ht="30" x14ac:dyDescent="0.25">
      <c r="A74" s="3" t="s">
        <v>164</v>
      </c>
      <c r="B74" s="4" t="s">
        <v>165</v>
      </c>
      <c r="C74" s="5">
        <v>1793</v>
      </c>
      <c r="D74" s="6" t="s">
        <v>28</v>
      </c>
      <c r="E74" s="6" t="s">
        <v>17</v>
      </c>
      <c r="F74" s="7">
        <v>25569</v>
      </c>
      <c r="G74" s="8">
        <f t="shared" si="1"/>
        <v>25569</v>
      </c>
      <c r="H74" s="6" t="s">
        <v>13</v>
      </c>
      <c r="I74" s="9">
        <f>IF(ISNA(VLOOKUP(A74,'[1]Craig Eval'!A:C,3,FALSE)),"",(VLOOKUP(A74,'[1]Craig Eval'!A:C,3,FALSE))*1000)</f>
        <v>9555.2857223027695</v>
      </c>
      <c r="J74" s="10">
        <f>IF(ISNA(VLOOKUP(A74,'[1]Craig Eval'!A:M,13,FALSE)),"",VLOOKUP(A74,'[1]Craig Eval'!A:M,13,FALSE))</f>
        <v>28.194237725223601</v>
      </c>
      <c r="K74" s="17">
        <v>1</v>
      </c>
    </row>
    <row r="75" spans="1:11" ht="30" x14ac:dyDescent="0.25">
      <c r="A75" s="3" t="s">
        <v>166</v>
      </c>
      <c r="B75" s="4" t="s">
        <v>167</v>
      </c>
      <c r="C75" s="14">
        <v>1182</v>
      </c>
      <c r="D75" s="6" t="s">
        <v>16</v>
      </c>
      <c r="E75" s="6" t="s">
        <v>17</v>
      </c>
      <c r="F75" s="7">
        <v>29221</v>
      </c>
      <c r="G75" s="8">
        <f t="shared" si="1"/>
        <v>29221</v>
      </c>
      <c r="H75" s="6" t="s">
        <v>13</v>
      </c>
      <c r="I75" s="9" t="str">
        <f>IF(ISNA(VLOOKUP(A75,'[1]Craig Eval'!A:C,3,FALSE)),"",(VLOOKUP(A75,'[1]Craig Eval'!A:C,3,FALSE))*1000)</f>
        <v/>
      </c>
      <c r="J75" s="10" t="str">
        <f>IF(ISNA(VLOOKUP(A75,'[1]Craig Eval'!A:M,13,FALSE)),"",VLOOKUP(A75,'[1]Craig Eval'!A:M,13,FALSE))</f>
        <v/>
      </c>
      <c r="K75" s="11">
        <v>2</v>
      </c>
    </row>
    <row r="76" spans="1:11" ht="30" x14ac:dyDescent="0.25">
      <c r="A76" s="3" t="s">
        <v>168</v>
      </c>
      <c r="B76" s="4" t="s">
        <v>169</v>
      </c>
      <c r="C76" s="5">
        <v>1191</v>
      </c>
      <c r="D76" s="6" t="s">
        <v>16</v>
      </c>
      <c r="E76" s="6" t="s">
        <v>17</v>
      </c>
      <c r="F76" s="7">
        <v>29221</v>
      </c>
      <c r="G76" s="8">
        <f t="shared" si="1"/>
        <v>29221</v>
      </c>
      <c r="H76" s="6" t="s">
        <v>13</v>
      </c>
      <c r="I76" s="9">
        <f>IF(ISNA(VLOOKUP(A76,'[1]Craig Eval'!A:C,3,FALSE)),"",(VLOOKUP(A76,'[1]Craig Eval'!A:C,3,FALSE))*1000)</f>
        <v>4996.8532270686701</v>
      </c>
      <c r="J76" s="10">
        <f>IF(ISNA(VLOOKUP(A76,'[1]Craig Eval'!A:M,13,FALSE)),"",VLOOKUP(A76,'[1]Craig Eval'!A:M,13,FALSE))</f>
        <v>14.9723688063771</v>
      </c>
      <c r="K76" s="17">
        <v>1</v>
      </c>
    </row>
    <row r="77" spans="1:11" ht="30" x14ac:dyDescent="0.25">
      <c r="A77" s="3" t="s">
        <v>170</v>
      </c>
      <c r="B77" s="4" t="s">
        <v>171</v>
      </c>
      <c r="C77" s="5">
        <v>14731</v>
      </c>
      <c r="D77" s="6" t="s">
        <v>31</v>
      </c>
      <c r="E77" s="6" t="s">
        <v>17</v>
      </c>
      <c r="F77" s="7">
        <v>32806</v>
      </c>
      <c r="G77" s="8">
        <f t="shared" si="1"/>
        <v>32806</v>
      </c>
      <c r="H77" s="6" t="s">
        <v>13</v>
      </c>
      <c r="I77" s="9">
        <f>IF(ISNA(VLOOKUP(A77,'[1]Craig Eval'!A:C,3,FALSE)),"",(VLOOKUP(A77,'[1]Craig Eval'!A:C,3,FALSE))*1000)</f>
        <v>22801.2362969243</v>
      </c>
      <c r="J77" s="10">
        <f>IF(ISNA(VLOOKUP(A77,'[1]Craig Eval'!A:M,13,FALSE)),"",VLOOKUP(A77,'[1]Craig Eval'!A:M,13,FALSE))</f>
        <v>65.343598754331396</v>
      </c>
      <c r="K77" s="17">
        <v>1</v>
      </c>
    </row>
    <row r="78" spans="1:11" ht="30" x14ac:dyDescent="0.25">
      <c r="A78" s="3" t="s">
        <v>172</v>
      </c>
      <c r="B78" s="39" t="s">
        <v>173</v>
      </c>
      <c r="C78" s="5">
        <v>1871</v>
      </c>
      <c r="D78" s="6" t="s">
        <v>31</v>
      </c>
      <c r="E78" s="6" t="s">
        <v>17</v>
      </c>
      <c r="F78" s="7">
        <v>36951</v>
      </c>
      <c r="G78" s="8">
        <f t="shared" si="1"/>
        <v>36951</v>
      </c>
      <c r="H78" s="6" t="s">
        <v>13</v>
      </c>
      <c r="I78" s="9">
        <f>IF(ISNA(VLOOKUP(A78,'[1]Craig Eval'!A:C,3,FALSE)),"",(VLOOKUP(A78,'[1]Craig Eval'!A:C,3,FALSE))*1000)</f>
        <v>810.97040925813599</v>
      </c>
      <c r="J78" s="10">
        <f>IF(ISNA(VLOOKUP(A78,'[1]Craig Eval'!A:M,13,FALSE)),"",VLOOKUP(A78,'[1]Craig Eval'!A:M,13,FALSE))</f>
        <v>2.4908830981606198</v>
      </c>
      <c r="K78" s="17">
        <v>1</v>
      </c>
    </row>
    <row r="79" spans="1:11" ht="30" x14ac:dyDescent="0.25">
      <c r="A79" s="3" t="s">
        <v>174</v>
      </c>
      <c r="B79" s="4" t="s">
        <v>175</v>
      </c>
      <c r="C79" s="5">
        <v>1032</v>
      </c>
      <c r="D79" s="6" t="s">
        <v>31</v>
      </c>
      <c r="E79" s="6" t="s">
        <v>17</v>
      </c>
      <c r="F79" s="7">
        <v>29221</v>
      </c>
      <c r="G79" s="8">
        <f t="shared" si="1"/>
        <v>29221</v>
      </c>
      <c r="H79" s="6" t="s">
        <v>13</v>
      </c>
      <c r="I79" s="9">
        <f>IF(ISNA(VLOOKUP(A79,'[1]Craig Eval'!A:C,3,FALSE)),"",(VLOOKUP(A79,'[1]Craig Eval'!A:C,3,FALSE))*1000)</f>
        <v>72162.803579407904</v>
      </c>
      <c r="J79" s="10">
        <f>IF(ISNA(VLOOKUP(A79,'[1]Craig Eval'!A:M,13,FALSE)),"",VLOOKUP(A79,'[1]Craig Eval'!A:M,13,FALSE))</f>
        <v>194.78461266628</v>
      </c>
      <c r="K79" s="17">
        <v>2</v>
      </c>
    </row>
    <row r="80" spans="1:11" ht="30" x14ac:dyDescent="0.25">
      <c r="A80" s="3" t="s">
        <v>176</v>
      </c>
      <c r="B80" s="4" t="s">
        <v>177</v>
      </c>
      <c r="C80" s="14">
        <v>2055</v>
      </c>
      <c r="D80" s="6" t="s">
        <v>31</v>
      </c>
      <c r="E80" s="6" t="s">
        <v>17</v>
      </c>
      <c r="F80" s="7">
        <v>29952</v>
      </c>
      <c r="G80" s="8">
        <f t="shared" si="1"/>
        <v>29952</v>
      </c>
      <c r="H80" s="6" t="s">
        <v>13</v>
      </c>
      <c r="I80" s="9">
        <f>IF(ISNA(VLOOKUP(A80,'[1]Craig Eval'!A:C,3,FALSE)),"",(VLOOKUP(A80,'[1]Craig Eval'!A:C,3,FALSE))*1000)</f>
        <v>107042.652714846</v>
      </c>
      <c r="J80" s="10">
        <f>IF(ISNA(VLOOKUP(A80,'[1]Craig Eval'!A:M,13,FALSE)),"",VLOOKUP(A80,'[1]Craig Eval'!A:M,13,FALSE))</f>
        <v>281.04266432795299</v>
      </c>
      <c r="K80" s="17">
        <v>2</v>
      </c>
    </row>
    <row r="81" spans="1:11" ht="30" x14ac:dyDescent="0.25">
      <c r="A81" s="3" t="s">
        <v>178</v>
      </c>
      <c r="B81" s="4" t="s">
        <v>179</v>
      </c>
      <c r="C81" s="5">
        <v>1868</v>
      </c>
      <c r="D81" s="6" t="s">
        <v>31</v>
      </c>
      <c r="E81" s="6" t="s">
        <v>17</v>
      </c>
      <c r="F81" s="7">
        <v>25569</v>
      </c>
      <c r="G81" s="8">
        <f t="shared" si="1"/>
        <v>25569</v>
      </c>
      <c r="H81" s="6" t="s">
        <v>13</v>
      </c>
      <c r="I81" s="9">
        <f>IF(ISNA(VLOOKUP(A81,'[1]Craig Eval'!A:C,3,FALSE)),"",(VLOOKUP(A81,'[1]Craig Eval'!A:C,3,FALSE))*1000)</f>
        <v>92124.716906181013</v>
      </c>
      <c r="J81" s="10">
        <f>IF(ISNA(VLOOKUP(A81,'[1]Craig Eval'!A:M,13,FALSE)),"",VLOOKUP(A81,'[1]Craig Eval'!A:M,13,FALSE))</f>
        <v>244.558191012343</v>
      </c>
      <c r="K81" s="17">
        <v>1</v>
      </c>
    </row>
    <row r="82" spans="1:11" ht="30" x14ac:dyDescent="0.25">
      <c r="A82" s="3" t="s">
        <v>180</v>
      </c>
      <c r="B82" s="4" t="s">
        <v>181</v>
      </c>
      <c r="C82" s="14">
        <v>1292</v>
      </c>
      <c r="D82" s="6" t="s">
        <v>28</v>
      </c>
      <c r="E82" s="6" t="s">
        <v>17</v>
      </c>
      <c r="F82" s="7">
        <v>32143</v>
      </c>
      <c r="G82" s="8">
        <f t="shared" si="1"/>
        <v>32143</v>
      </c>
      <c r="H82" s="6" t="s">
        <v>13</v>
      </c>
      <c r="I82" s="9">
        <f>IF(ISNA(VLOOKUP(A82,'[1]Craig Eval'!A:C,3,FALSE)),"",(VLOOKUP(A82,'[1]Craig Eval'!A:C,3,FALSE))*1000)</f>
        <v>101640.51316819599</v>
      </c>
      <c r="J82" s="10">
        <f>IF(ISNA(VLOOKUP(A82,'[1]Craig Eval'!A:M,13,FALSE)),"",VLOOKUP(A82,'[1]Craig Eval'!A:M,13,FALSE))</f>
        <v>267.89564477699099</v>
      </c>
      <c r="K82" s="11">
        <v>2</v>
      </c>
    </row>
    <row r="83" spans="1:11" ht="30" x14ac:dyDescent="0.25">
      <c r="A83" s="3" t="s">
        <v>182</v>
      </c>
      <c r="B83" s="4" t="s">
        <v>183</v>
      </c>
      <c r="C83" s="5">
        <v>30550</v>
      </c>
      <c r="D83" s="6" t="s">
        <v>34</v>
      </c>
      <c r="E83" s="6" t="s">
        <v>17</v>
      </c>
      <c r="F83" s="7">
        <v>38357</v>
      </c>
      <c r="G83" s="8">
        <f t="shared" si="1"/>
        <v>38357</v>
      </c>
      <c r="H83" s="6" t="s">
        <v>13</v>
      </c>
      <c r="I83" s="9" t="str">
        <f>IF(ISNA(VLOOKUP(A83,'[1]Craig Eval'!A:C,3,FALSE)),"",(VLOOKUP(A83,'[1]Craig Eval'!A:C,3,FALSE))*1000)</f>
        <v/>
      </c>
      <c r="J83" s="10" t="str">
        <f>IF(ISNA(VLOOKUP(A83,'[1]Craig Eval'!A:M,13,FALSE)),"",VLOOKUP(A83,'[1]Craig Eval'!A:M,13,FALSE))</f>
        <v/>
      </c>
      <c r="K83" s="17">
        <v>1</v>
      </c>
    </row>
    <row r="84" spans="1:11" ht="30" x14ac:dyDescent="0.25">
      <c r="A84" s="3" t="s">
        <v>184</v>
      </c>
      <c r="B84" s="4" t="s">
        <v>185</v>
      </c>
      <c r="C84" s="5">
        <v>52936</v>
      </c>
      <c r="D84" s="6" t="s">
        <v>28</v>
      </c>
      <c r="E84" s="6" t="s">
        <v>17</v>
      </c>
      <c r="F84" s="7">
        <v>39154</v>
      </c>
      <c r="G84" s="8">
        <f t="shared" si="1"/>
        <v>39154</v>
      </c>
      <c r="H84" s="6" t="s">
        <v>13</v>
      </c>
      <c r="I84" s="9">
        <f>IF(ISNA(VLOOKUP(A84,'[1]Craig Eval'!A:C,3,FALSE)),"",(VLOOKUP(A84,'[1]Craig Eval'!A:C,3,FALSE))*1000)</f>
        <v>3037.04673081282</v>
      </c>
      <c r="J84" s="10">
        <f>IF(ISNA(VLOOKUP(A84,'[1]Craig Eval'!A:M,13,FALSE)),"",VLOOKUP(A84,'[1]Craig Eval'!A:M,13,FALSE))</f>
        <v>9.1825927036876607</v>
      </c>
      <c r="K84" s="17">
        <v>1</v>
      </c>
    </row>
    <row r="85" spans="1:11" ht="30" x14ac:dyDescent="0.25">
      <c r="A85" s="3" t="s">
        <v>186</v>
      </c>
      <c r="B85" s="4" t="s">
        <v>187</v>
      </c>
      <c r="C85" s="5">
        <v>72107</v>
      </c>
      <c r="D85" s="6" t="s">
        <v>31</v>
      </c>
      <c r="E85" s="6" t="s">
        <v>17</v>
      </c>
      <c r="F85" s="7">
        <v>36294</v>
      </c>
      <c r="G85" s="8">
        <f t="shared" si="1"/>
        <v>36294</v>
      </c>
      <c r="H85" s="6" t="s">
        <v>13</v>
      </c>
      <c r="I85" s="9" t="str">
        <f>IF(ISNA(VLOOKUP(A85,'[1]Craig Eval'!A:C,3,FALSE)),"",(VLOOKUP(A85,'[1]Craig Eval'!A:C,3,FALSE))*1000)</f>
        <v/>
      </c>
      <c r="J85" s="10" t="str">
        <f>IF(ISNA(VLOOKUP(A85,'[1]Craig Eval'!A:M,13,FALSE)),"",VLOOKUP(A85,'[1]Craig Eval'!A:M,13,FALSE))</f>
        <v/>
      </c>
      <c r="K85" s="17">
        <v>1</v>
      </c>
    </row>
    <row r="86" spans="1:11" ht="30" x14ac:dyDescent="0.25">
      <c r="A86" s="3" t="s">
        <v>188</v>
      </c>
      <c r="B86" s="4" t="s">
        <v>189</v>
      </c>
      <c r="C86" s="5">
        <v>28865</v>
      </c>
      <c r="D86" s="6" t="s">
        <v>34</v>
      </c>
      <c r="E86" s="6" t="s">
        <v>17</v>
      </c>
      <c r="F86" s="7">
        <v>38275</v>
      </c>
      <c r="G86" s="8">
        <f t="shared" si="1"/>
        <v>38275</v>
      </c>
      <c r="H86" s="6" t="s">
        <v>13</v>
      </c>
      <c r="I86" s="9" t="str">
        <f>IF(ISNA(VLOOKUP(A86,'[1]Craig Eval'!A:C,3,FALSE)),"",(VLOOKUP(A86,'[1]Craig Eval'!A:C,3,FALSE))*1000)</f>
        <v/>
      </c>
      <c r="J86" s="10" t="str">
        <f>IF(ISNA(VLOOKUP(A86,'[1]Craig Eval'!A:M,13,FALSE)),"",VLOOKUP(A86,'[1]Craig Eval'!A:M,13,FALSE))</f>
        <v/>
      </c>
      <c r="K86" s="17">
        <v>2</v>
      </c>
    </row>
    <row r="87" spans="1:11" ht="30" x14ac:dyDescent="0.25">
      <c r="A87" s="3" t="s">
        <v>190</v>
      </c>
      <c r="B87" s="4" t="s">
        <v>191</v>
      </c>
      <c r="C87" s="5">
        <v>52938</v>
      </c>
      <c r="D87" s="6" t="s">
        <v>34</v>
      </c>
      <c r="E87" s="6" t="s">
        <v>17</v>
      </c>
      <c r="F87" s="7">
        <v>39029</v>
      </c>
      <c r="G87" s="8">
        <f t="shared" si="1"/>
        <v>39029</v>
      </c>
      <c r="H87" s="6" t="s">
        <v>13</v>
      </c>
      <c r="I87" s="9" t="str">
        <f>IF(ISNA(VLOOKUP(A87,'[1]Craig Eval'!A:C,3,FALSE)),"",(VLOOKUP(A87,'[1]Craig Eval'!A:C,3,FALSE))*1000)</f>
        <v/>
      </c>
      <c r="J87" s="10" t="str">
        <f>IF(ISNA(VLOOKUP(A87,'[1]Craig Eval'!A:M,13,FALSE)),"",VLOOKUP(A87,'[1]Craig Eval'!A:M,13,FALSE))</f>
        <v/>
      </c>
      <c r="K87" s="17">
        <v>1</v>
      </c>
    </row>
    <row r="88" spans="1:11" ht="30" x14ac:dyDescent="0.25">
      <c r="A88" s="26" t="s">
        <v>192</v>
      </c>
      <c r="B88" s="27" t="s">
        <v>193</v>
      </c>
      <c r="C88" s="34">
        <v>52939</v>
      </c>
      <c r="D88" s="28" t="s">
        <v>34</v>
      </c>
      <c r="E88" s="28" t="s">
        <v>17</v>
      </c>
      <c r="F88" s="29">
        <v>39029</v>
      </c>
      <c r="G88" s="30">
        <f t="shared" si="1"/>
        <v>39029</v>
      </c>
      <c r="H88" s="28" t="s">
        <v>13</v>
      </c>
      <c r="I88" s="31" t="str">
        <f>IF(ISNA(VLOOKUP(A88,'[1]Craig Eval'!A:C,3,FALSE)),"",(VLOOKUP(A88,'[1]Craig Eval'!A:C,3,FALSE))*1000)</f>
        <v/>
      </c>
      <c r="J88" s="32" t="str">
        <f>IF(ISNA(VLOOKUP(A88,'[1]Craig Eval'!A:M,13,FALSE)),"",VLOOKUP(A88,'[1]Craig Eval'!A:M,13,FALSE))</f>
        <v/>
      </c>
      <c r="K88" s="33">
        <v>1</v>
      </c>
    </row>
    <row r="89" spans="1:11" ht="30" x14ac:dyDescent="0.25">
      <c r="A89" s="26" t="s">
        <v>194</v>
      </c>
      <c r="B89" s="27" t="s">
        <v>195</v>
      </c>
      <c r="C89" s="5">
        <v>1081</v>
      </c>
      <c r="D89" s="28" t="s">
        <v>34</v>
      </c>
      <c r="E89" s="28" t="s">
        <v>17</v>
      </c>
      <c r="F89" s="29">
        <v>19725</v>
      </c>
      <c r="G89" s="30">
        <f t="shared" si="1"/>
        <v>19725</v>
      </c>
      <c r="H89" s="28" t="s">
        <v>13</v>
      </c>
      <c r="I89" s="31" t="str">
        <f>IF(ISNA(VLOOKUP(A89,'[1]Craig Eval'!A:C,3,FALSE)),"",(VLOOKUP(A89,'[1]Craig Eval'!A:C,3,FALSE))*1000)</f>
        <v/>
      </c>
      <c r="J89" s="32" t="str">
        <f>IF(ISNA(VLOOKUP(A89,'[1]Craig Eval'!A:M,13,FALSE)),"",VLOOKUP(A89,'[1]Craig Eval'!A:M,13,FALSE))</f>
        <v/>
      </c>
      <c r="K89" s="33">
        <v>1</v>
      </c>
    </row>
    <row r="90" spans="1:11" ht="30" x14ac:dyDescent="0.25">
      <c r="A90" s="3" t="s">
        <v>196</v>
      </c>
      <c r="B90" s="4" t="s">
        <v>197</v>
      </c>
      <c r="C90" s="5">
        <v>1462</v>
      </c>
      <c r="D90" s="6" t="s">
        <v>34</v>
      </c>
      <c r="E90" s="6" t="s">
        <v>17</v>
      </c>
      <c r="F90" s="7">
        <v>29221</v>
      </c>
      <c r="G90" s="8">
        <f t="shared" si="1"/>
        <v>29221</v>
      </c>
      <c r="H90" s="6" t="s">
        <v>13</v>
      </c>
      <c r="I90" s="9" t="str">
        <f>IF(ISNA(VLOOKUP(A90,'[1]Craig Eval'!A:C,3,FALSE)),"",(VLOOKUP(A90,'[1]Craig Eval'!A:C,3,FALSE))*1000)</f>
        <v/>
      </c>
      <c r="J90" s="10" t="str">
        <f>IF(ISNA(VLOOKUP(A90,'[1]Craig Eval'!A:M,13,FALSE)),"",VLOOKUP(A90,'[1]Craig Eval'!A:M,13,FALSE))</f>
        <v/>
      </c>
      <c r="K90" s="17">
        <v>2</v>
      </c>
    </row>
    <row r="91" spans="1:11" ht="30" x14ac:dyDescent="0.25">
      <c r="A91" s="3" t="s">
        <v>198</v>
      </c>
      <c r="B91" s="4" t="s">
        <v>199</v>
      </c>
      <c r="C91" s="5">
        <v>1445</v>
      </c>
      <c r="D91" s="6" t="s">
        <v>16</v>
      </c>
      <c r="E91" s="6" t="s">
        <v>17</v>
      </c>
      <c r="F91" s="7">
        <v>31048</v>
      </c>
      <c r="G91" s="8">
        <f t="shared" si="1"/>
        <v>31048</v>
      </c>
      <c r="H91" s="6" t="s">
        <v>13</v>
      </c>
      <c r="I91" s="9" t="str">
        <f>IF(ISNA(VLOOKUP(A91,'[1]Craig Eval'!A:C,3,FALSE)),"",(VLOOKUP(A91,'[1]Craig Eval'!A:C,3,FALSE))*1000)</f>
        <v/>
      </c>
      <c r="J91" s="10" t="str">
        <f>IF(ISNA(VLOOKUP(A91,'[1]Craig Eval'!A:M,13,FALSE)),"",VLOOKUP(A91,'[1]Craig Eval'!A:M,13,FALSE))</f>
        <v/>
      </c>
      <c r="K91" s="17">
        <v>1</v>
      </c>
    </row>
    <row r="92" spans="1:11" ht="30" x14ac:dyDescent="0.25">
      <c r="A92" s="3" t="s">
        <v>200</v>
      </c>
      <c r="B92" s="4" t="s">
        <v>201</v>
      </c>
      <c r="C92" s="5">
        <v>1901</v>
      </c>
      <c r="D92" s="6" t="s">
        <v>31</v>
      </c>
      <c r="E92" s="6" t="s">
        <v>17</v>
      </c>
      <c r="F92" s="7">
        <v>37950</v>
      </c>
      <c r="G92" s="8">
        <f t="shared" si="1"/>
        <v>37950</v>
      </c>
      <c r="H92" s="6" t="s">
        <v>13</v>
      </c>
      <c r="I92" s="9" t="str">
        <f>IF(ISNA(VLOOKUP(A92,'[1]Craig Eval'!A:C,3,FALSE)),"",(VLOOKUP(A92,'[1]Craig Eval'!A:C,3,FALSE))*1000)</f>
        <v/>
      </c>
      <c r="J92" s="10" t="str">
        <f>IF(ISNA(VLOOKUP(A92,'[1]Craig Eval'!A:M,13,FALSE)),"",VLOOKUP(A92,'[1]Craig Eval'!A:M,13,FALSE))</f>
        <v/>
      </c>
      <c r="K92" s="17">
        <v>3</v>
      </c>
    </row>
    <row r="93" spans="1:11" ht="30" x14ac:dyDescent="0.25">
      <c r="A93" s="3" t="s">
        <v>202</v>
      </c>
      <c r="B93" s="4" t="s">
        <v>203</v>
      </c>
      <c r="C93" s="5">
        <v>52946</v>
      </c>
      <c r="D93" s="6" t="s">
        <v>34</v>
      </c>
      <c r="E93" s="6" t="s">
        <v>17</v>
      </c>
      <c r="F93" s="7">
        <v>35065</v>
      </c>
      <c r="G93" s="8">
        <f t="shared" si="1"/>
        <v>35065</v>
      </c>
      <c r="H93" s="6" t="s">
        <v>13</v>
      </c>
      <c r="I93" s="9" t="str">
        <f>IF(ISNA(VLOOKUP(A93,'[1]Craig Eval'!A:C,3,FALSE)),"",(VLOOKUP(A93,'[1]Craig Eval'!A:C,3,FALSE))*1000)</f>
        <v/>
      </c>
      <c r="J93" s="10" t="str">
        <f>IF(ISNA(VLOOKUP(A93,'[1]Craig Eval'!A:M,13,FALSE)),"",VLOOKUP(A93,'[1]Craig Eval'!A:M,13,FALSE))</f>
        <v/>
      </c>
      <c r="K93" s="11">
        <v>2</v>
      </c>
    </row>
    <row r="94" spans="1:11" ht="30" x14ac:dyDescent="0.25">
      <c r="A94" s="3" t="s">
        <v>204</v>
      </c>
      <c r="B94" s="4" t="s">
        <v>205</v>
      </c>
      <c r="C94" s="5">
        <v>1557</v>
      </c>
      <c r="D94" s="6" t="s">
        <v>28</v>
      </c>
      <c r="E94" s="6" t="s">
        <v>17</v>
      </c>
      <c r="F94" s="7">
        <v>18264</v>
      </c>
      <c r="G94" s="8">
        <f t="shared" si="1"/>
        <v>18264</v>
      </c>
      <c r="H94" s="6" t="s">
        <v>13</v>
      </c>
      <c r="I94" s="9">
        <f>IF(ISNA(VLOOKUP(A94,'[1]Craig Eval'!A:C,3,FALSE)),"",(VLOOKUP(A94,'[1]Craig Eval'!A:C,3,FALSE))*1000)</f>
        <v>742.86763731273197</v>
      </c>
      <c r="J94" s="10">
        <f>IF(ISNA(VLOOKUP(A94,'[1]Craig Eval'!A:M,13,FALSE)),"",VLOOKUP(A94,'[1]Craig Eval'!A:M,13,FALSE))</f>
        <v>2.2833763474345701</v>
      </c>
      <c r="K94" s="17">
        <v>1</v>
      </c>
    </row>
    <row r="95" spans="1:11" ht="30" x14ac:dyDescent="0.25">
      <c r="A95" s="3" t="s">
        <v>206</v>
      </c>
      <c r="B95" s="4" t="s">
        <v>207</v>
      </c>
      <c r="C95" s="14">
        <v>14085</v>
      </c>
      <c r="D95" s="6" t="s">
        <v>11</v>
      </c>
      <c r="E95" s="6" t="s">
        <v>17</v>
      </c>
      <c r="F95" s="7">
        <v>38037</v>
      </c>
      <c r="G95" s="8">
        <f t="shared" si="1"/>
        <v>38037</v>
      </c>
      <c r="H95" s="6" t="s">
        <v>13</v>
      </c>
      <c r="I95" s="9" t="str">
        <f>IF(ISNA(VLOOKUP(A95,'[1]Craig Eval'!A:C,3,FALSE)),"",(VLOOKUP(A95,'[1]Craig Eval'!A:C,3,FALSE))*1000)</f>
        <v/>
      </c>
      <c r="J95" s="10" t="str">
        <f>IF(ISNA(VLOOKUP(A95,'[1]Craig Eval'!A:M,13,FALSE)),"",VLOOKUP(A95,'[1]Craig Eval'!A:M,13,FALSE))</f>
        <v/>
      </c>
      <c r="K95" s="17">
        <v>3</v>
      </c>
    </row>
    <row r="96" spans="1:11" ht="30" x14ac:dyDescent="0.25">
      <c r="A96" s="3" t="s">
        <v>208</v>
      </c>
      <c r="B96" s="4" t="s">
        <v>209</v>
      </c>
      <c r="C96" s="5">
        <v>72134</v>
      </c>
      <c r="D96" s="6" t="s">
        <v>11</v>
      </c>
      <c r="E96" s="6" t="s">
        <v>17</v>
      </c>
      <c r="F96" s="7">
        <v>38832</v>
      </c>
      <c r="G96" s="8">
        <f t="shared" si="1"/>
        <v>38832</v>
      </c>
      <c r="H96" s="6" t="s">
        <v>13</v>
      </c>
      <c r="I96" s="9" t="str">
        <f>IF(ISNA(VLOOKUP(A96,'[1]Craig Eval'!A:C,3,FALSE)),"",(VLOOKUP(A96,'[1]Craig Eval'!A:C,3,FALSE))*1000)</f>
        <v/>
      </c>
      <c r="J96" s="10" t="str">
        <f>IF(ISNA(VLOOKUP(A96,'[1]Craig Eval'!A:M,13,FALSE)),"",VLOOKUP(A96,'[1]Craig Eval'!A:M,13,FALSE))</f>
        <v/>
      </c>
      <c r="K96" s="17">
        <v>1</v>
      </c>
    </row>
    <row r="97" spans="1:11" ht="30" x14ac:dyDescent="0.25">
      <c r="A97" s="3" t="s">
        <v>210</v>
      </c>
      <c r="B97" s="4" t="s">
        <v>211</v>
      </c>
      <c r="C97" s="14">
        <v>72108</v>
      </c>
      <c r="D97" s="6" t="s">
        <v>11</v>
      </c>
      <c r="E97" s="6" t="s">
        <v>17</v>
      </c>
      <c r="F97" s="7">
        <v>39091</v>
      </c>
      <c r="G97" s="8">
        <f t="shared" si="1"/>
        <v>39091</v>
      </c>
      <c r="H97" s="6" t="s">
        <v>13</v>
      </c>
      <c r="I97" s="9" t="str">
        <f>IF(ISNA(VLOOKUP(A97,'[1]Craig Eval'!A:C,3,FALSE)),"",(VLOOKUP(A97,'[1]Craig Eval'!A:C,3,FALSE))*1000)</f>
        <v/>
      </c>
      <c r="J97" s="10" t="str">
        <f>IF(ISNA(VLOOKUP(A97,'[1]Craig Eval'!A:M,13,FALSE)),"",VLOOKUP(A97,'[1]Craig Eval'!A:M,13,FALSE))</f>
        <v/>
      </c>
      <c r="K97" s="17">
        <v>4</v>
      </c>
    </row>
    <row r="98" spans="1:11" ht="30" x14ac:dyDescent="0.25">
      <c r="A98" s="3" t="s">
        <v>212</v>
      </c>
      <c r="B98" s="4" t="s">
        <v>213</v>
      </c>
      <c r="C98" s="5">
        <v>54491</v>
      </c>
      <c r="D98" s="6" t="s">
        <v>11</v>
      </c>
      <c r="E98" s="6" t="s">
        <v>17</v>
      </c>
      <c r="F98" s="7">
        <v>38950</v>
      </c>
      <c r="G98" s="8">
        <f t="shared" si="1"/>
        <v>38950</v>
      </c>
      <c r="H98" s="6" t="s">
        <v>13</v>
      </c>
      <c r="I98" s="9" t="str">
        <f>IF(ISNA(VLOOKUP(A98,'[1]Craig Eval'!A:C,3,FALSE)),"",(VLOOKUP(A98,'[1]Craig Eval'!A:C,3,FALSE))*1000)</f>
        <v/>
      </c>
      <c r="J98" s="10" t="str">
        <f>IF(ISNA(VLOOKUP(A98,'[1]Craig Eval'!A:M,13,FALSE)),"",VLOOKUP(A98,'[1]Craig Eval'!A:M,13,FALSE))</f>
        <v/>
      </c>
      <c r="K98" s="17">
        <v>1</v>
      </c>
    </row>
    <row r="99" spans="1:11" ht="30" x14ac:dyDescent="0.25">
      <c r="A99" s="3" t="s">
        <v>214</v>
      </c>
      <c r="B99" s="4" t="s">
        <v>215</v>
      </c>
      <c r="C99" s="14">
        <v>30537</v>
      </c>
      <c r="D99" s="6" t="s">
        <v>16</v>
      </c>
      <c r="E99" s="6" t="s">
        <v>17</v>
      </c>
      <c r="F99" s="7">
        <v>38540</v>
      </c>
      <c r="G99" s="8">
        <f t="shared" si="1"/>
        <v>38540</v>
      </c>
      <c r="H99" s="6" t="s">
        <v>13</v>
      </c>
      <c r="I99" s="9" t="str">
        <f>IF(ISNA(VLOOKUP(A99,'[1]Craig Eval'!A:C,3,FALSE)),"",(VLOOKUP(A99,'[1]Craig Eval'!A:C,3,FALSE))*1000)</f>
        <v/>
      </c>
      <c r="J99" s="10" t="str">
        <f>IF(ISNA(VLOOKUP(A99,'[1]Craig Eval'!A:M,13,FALSE)),"",VLOOKUP(A99,'[1]Craig Eval'!A:M,13,FALSE))</f>
        <v/>
      </c>
      <c r="K99" s="17">
        <v>2</v>
      </c>
    </row>
    <row r="100" spans="1:11" ht="30" x14ac:dyDescent="0.25">
      <c r="A100" s="3" t="s">
        <v>216</v>
      </c>
      <c r="B100" s="4" t="s">
        <v>217</v>
      </c>
      <c r="C100" s="14">
        <v>14732</v>
      </c>
      <c r="D100" s="6" t="s">
        <v>31</v>
      </c>
      <c r="E100" s="6" t="s">
        <v>17</v>
      </c>
      <c r="F100" s="7">
        <v>31373</v>
      </c>
      <c r="G100" s="8">
        <f t="shared" si="1"/>
        <v>31373</v>
      </c>
      <c r="H100" s="6" t="s">
        <v>13</v>
      </c>
      <c r="I100" s="9">
        <f>IF(ISNA(VLOOKUP(A100,'[1]Craig Eval'!A:C,3,FALSE)),"",(VLOOKUP(A100,'[1]Craig Eval'!A:C,3,FALSE))*1000)</f>
        <v>107757.244320702</v>
      </c>
      <c r="J100" s="10">
        <f>IF(ISNA(VLOOKUP(A100,'[1]Craig Eval'!A:M,13,FALSE)),"",VLOOKUP(A100,'[1]Craig Eval'!A:M,13,FALSE))</f>
        <v>282.77643952747798</v>
      </c>
      <c r="K100" s="17">
        <v>3</v>
      </c>
    </row>
    <row r="101" spans="1:11" ht="30" x14ac:dyDescent="0.25">
      <c r="A101" s="3" t="s">
        <v>218</v>
      </c>
      <c r="B101" s="4" t="s">
        <v>219</v>
      </c>
      <c r="C101" s="5">
        <v>54492</v>
      </c>
      <c r="D101" s="6" t="s">
        <v>34</v>
      </c>
      <c r="E101" s="6" t="s">
        <v>17</v>
      </c>
      <c r="F101" s="7">
        <v>37911</v>
      </c>
      <c r="G101" s="8">
        <f t="shared" si="1"/>
        <v>37911</v>
      </c>
      <c r="H101" s="6" t="s">
        <v>13</v>
      </c>
      <c r="I101" s="9">
        <f>IF(ISNA(VLOOKUP(A101,'[1]Craig Eval'!A:C,3,FALSE)),"",(VLOOKUP(A101,'[1]Craig Eval'!A:C,3,FALSE))*1000)</f>
        <v>817.26233933312494</v>
      </c>
      <c r="J101" s="10">
        <f>IF(ISNA(VLOOKUP(A101,'[1]Craig Eval'!A:M,13,FALSE)),"",VLOOKUP(A101,'[1]Craig Eval'!A:M,13,FALSE))</f>
        <v>2.5100430707512702</v>
      </c>
      <c r="K101" s="6">
        <v>1</v>
      </c>
    </row>
    <row r="102" spans="1:11" ht="30" x14ac:dyDescent="0.25">
      <c r="A102" s="12" t="s">
        <v>220</v>
      </c>
      <c r="B102" s="4" t="s">
        <v>221</v>
      </c>
      <c r="C102" s="14">
        <v>1902</v>
      </c>
      <c r="D102" s="6" t="s">
        <v>34</v>
      </c>
      <c r="E102" s="6" t="s">
        <v>17</v>
      </c>
      <c r="F102" s="7">
        <v>24108</v>
      </c>
      <c r="G102" s="8">
        <f t="shared" si="1"/>
        <v>24108</v>
      </c>
      <c r="H102" s="6" t="s">
        <v>13</v>
      </c>
      <c r="I102" s="9" t="str">
        <f>IF(ISNA(VLOOKUP(A102,'[1]Craig Eval'!A:C,3,FALSE)),"",(VLOOKUP(A102,'[1]Craig Eval'!A:C,3,FALSE))*1000)</f>
        <v/>
      </c>
      <c r="J102" s="10" t="str">
        <f>IF(ISNA(VLOOKUP(A102,'[1]Craig Eval'!A:M,13,FALSE)),"",VLOOKUP(A102,'[1]Craig Eval'!A:M,13,FALSE))</f>
        <v/>
      </c>
      <c r="K102" s="17">
        <v>4</v>
      </c>
    </row>
    <row r="103" spans="1:11" ht="30" x14ac:dyDescent="0.25">
      <c r="A103" s="3" t="s">
        <v>222</v>
      </c>
      <c r="B103" s="4" t="s">
        <v>223</v>
      </c>
      <c r="C103" s="5">
        <v>17601</v>
      </c>
      <c r="D103" s="6" t="s">
        <v>16</v>
      </c>
      <c r="E103" s="6" t="s">
        <v>17</v>
      </c>
      <c r="F103" s="7">
        <v>27485</v>
      </c>
      <c r="G103" s="8">
        <f t="shared" si="1"/>
        <v>27485</v>
      </c>
      <c r="H103" s="6" t="s">
        <v>13</v>
      </c>
      <c r="I103" s="9">
        <f>IF(ISNA(VLOOKUP(A103,'[1]Craig Eval'!A:C,3,FALSE)),"",(VLOOKUP(A103,'[1]Craig Eval'!A:C,3,FALSE))*1000)</f>
        <v>13864.183896943799</v>
      </c>
      <c r="J103" s="10">
        <f>IF(ISNA(VLOOKUP(A103,'[1]Craig Eval'!A:M,13,FALSE)),"",VLOOKUP(A103,'[1]Craig Eval'!A:M,13,FALSE))</f>
        <v>40.455901382129099</v>
      </c>
      <c r="K103" s="17">
        <v>1</v>
      </c>
    </row>
    <row r="104" spans="1:11" ht="30" x14ac:dyDescent="0.25">
      <c r="A104" s="3" t="s">
        <v>224</v>
      </c>
      <c r="B104" s="4" t="s">
        <v>225</v>
      </c>
      <c r="C104" s="5">
        <v>1373</v>
      </c>
      <c r="D104" s="6" t="s">
        <v>28</v>
      </c>
      <c r="E104" s="6" t="s">
        <v>17</v>
      </c>
      <c r="F104" s="7">
        <v>25934</v>
      </c>
      <c r="G104" s="8">
        <f t="shared" si="1"/>
        <v>25934</v>
      </c>
      <c r="H104" s="6" t="s">
        <v>13</v>
      </c>
      <c r="I104" s="9">
        <f>IF(ISNA(VLOOKUP(A104,'[1]Craig Eval'!A:C,3,FALSE)),"",(VLOOKUP(A104,'[1]Craig Eval'!A:C,3,FALSE))*1000)</f>
        <v>10616.426225802099</v>
      </c>
      <c r="J104" s="10">
        <f>IF(ISNA(VLOOKUP(A104,'[1]Craig Eval'!A:M,13,FALSE)),"",VLOOKUP(A104,'[1]Craig Eval'!A:M,13,FALSE))</f>
        <v>31.232745937842999</v>
      </c>
      <c r="K104" s="17">
        <v>1</v>
      </c>
    </row>
    <row r="105" spans="1:11" ht="30" x14ac:dyDescent="0.25">
      <c r="A105" s="3" t="s">
        <v>226</v>
      </c>
      <c r="B105" s="4" t="s">
        <v>227</v>
      </c>
      <c r="C105" s="14">
        <v>17282</v>
      </c>
      <c r="D105" s="6" t="s">
        <v>16</v>
      </c>
      <c r="E105" s="6" t="s">
        <v>17</v>
      </c>
      <c r="F105" s="7">
        <v>26257</v>
      </c>
      <c r="G105" s="8">
        <f t="shared" si="1"/>
        <v>26257</v>
      </c>
      <c r="H105" s="6" t="s">
        <v>13</v>
      </c>
      <c r="I105" s="9">
        <f>IF(ISNA(VLOOKUP(A105,'[1]Craig Eval'!A:C,3,FALSE)),"",(VLOOKUP(A105,'[1]Craig Eval'!A:C,3,FALSE))*1000)</f>
        <v>119108.552755909</v>
      </c>
      <c r="J105" s="10">
        <f>IF(ISNA(VLOOKUP(A105,'[1]Craig Eval'!A:M,13,FALSE)),"",VLOOKUP(A105,'[1]Craig Eval'!A:M,13,FALSE))</f>
        <v>310.15799138963098</v>
      </c>
      <c r="K105" s="17">
        <v>3</v>
      </c>
    </row>
    <row r="106" spans="1:11" ht="30" x14ac:dyDescent="0.25">
      <c r="A106" s="3" t="s">
        <v>228</v>
      </c>
      <c r="B106" s="4" t="s">
        <v>229</v>
      </c>
      <c r="C106" s="5">
        <v>16646</v>
      </c>
      <c r="D106" s="6" t="s">
        <v>16</v>
      </c>
      <c r="E106" s="6" t="s">
        <v>17</v>
      </c>
      <c r="F106" s="7">
        <v>30748</v>
      </c>
      <c r="G106" s="8">
        <f t="shared" si="1"/>
        <v>30748</v>
      </c>
      <c r="H106" s="6" t="s">
        <v>13</v>
      </c>
      <c r="I106" s="9">
        <f>IF(ISNA(VLOOKUP(A106,'[1]Craig Eval'!A:C,3,FALSE)),"",(VLOOKUP(A106,'[1]Craig Eval'!A:C,3,FALSE))*1000)</f>
        <v>69005.944475954399</v>
      </c>
      <c r="J106" s="10">
        <f>IF(ISNA(VLOOKUP(A106,'[1]Craig Eval'!A:M,13,FALSE)),"",VLOOKUP(A106,'[1]Craig Eval'!A:M,13,FALSE))</f>
        <v>186.80157424988201</v>
      </c>
      <c r="K106" s="17">
        <v>1</v>
      </c>
    </row>
    <row r="107" spans="1:11" ht="30" x14ac:dyDescent="0.25">
      <c r="A107" s="3" t="s">
        <v>230</v>
      </c>
      <c r="B107" s="4" t="s">
        <v>231</v>
      </c>
      <c r="C107" s="5">
        <v>16652</v>
      </c>
      <c r="D107" s="6" t="s">
        <v>16</v>
      </c>
      <c r="E107" s="6" t="s">
        <v>17</v>
      </c>
      <c r="F107" s="7">
        <v>26746</v>
      </c>
      <c r="G107" s="8">
        <f t="shared" si="1"/>
        <v>26746</v>
      </c>
      <c r="H107" s="6" t="s">
        <v>13</v>
      </c>
      <c r="I107" s="9">
        <f>IF(ISNA(VLOOKUP(A107,'[1]Craig Eval'!A:C,3,FALSE)),"",(VLOOKUP(A107,'[1]Craig Eval'!A:C,3,FALSE))*1000)</f>
        <v>38164.8140999963</v>
      </c>
      <c r="J107" s="10">
        <f>IF(ISNA(VLOOKUP(A107,'[1]Craig Eval'!A:M,13,FALSE)),"",VLOOKUP(A107,'[1]Craig Eval'!A:M,13,FALSE))</f>
        <v>106.855170856529</v>
      </c>
      <c r="K107" s="17">
        <v>1</v>
      </c>
    </row>
    <row r="108" spans="1:11" ht="30" x14ac:dyDescent="0.25">
      <c r="A108" s="3" t="s">
        <v>232</v>
      </c>
      <c r="B108" s="4" t="s">
        <v>233</v>
      </c>
      <c r="C108" s="14">
        <v>1193</v>
      </c>
      <c r="D108" s="6" t="s">
        <v>16</v>
      </c>
      <c r="E108" s="6" t="s">
        <v>17</v>
      </c>
      <c r="F108" s="7">
        <v>29221</v>
      </c>
      <c r="G108" s="8">
        <f t="shared" si="1"/>
        <v>29221</v>
      </c>
      <c r="H108" s="6" t="s">
        <v>13</v>
      </c>
      <c r="I108" s="9">
        <f>IF(ISNA(VLOOKUP(A108,'[1]Craig Eval'!A:C,3,FALSE)),"",(VLOOKUP(A108,'[1]Craig Eval'!A:C,3,FALSE))*1000)</f>
        <v>348081.96593013505</v>
      </c>
      <c r="J108" s="10">
        <f>IF(ISNA(VLOOKUP(A108,'[1]Craig Eval'!A:M,13,FALSE)),"",VLOOKUP(A108,'[1]Craig Eval'!A:M,13,FALSE))</f>
        <v>818.65947347140695</v>
      </c>
      <c r="K108" s="17">
        <v>3</v>
      </c>
    </row>
    <row r="109" spans="1:11" ht="30" x14ac:dyDescent="0.25">
      <c r="A109" s="3" t="s">
        <v>234</v>
      </c>
      <c r="B109" s="4" t="s">
        <v>235</v>
      </c>
      <c r="C109" s="5">
        <v>15375</v>
      </c>
      <c r="D109" s="6" t="s">
        <v>16</v>
      </c>
      <c r="E109" s="6" t="s">
        <v>17</v>
      </c>
      <c r="F109" s="7">
        <v>26046</v>
      </c>
      <c r="G109" s="8">
        <f t="shared" si="1"/>
        <v>26046</v>
      </c>
      <c r="H109" s="6" t="s">
        <v>13</v>
      </c>
      <c r="I109" s="9">
        <f>IF(ISNA(VLOOKUP(A109,'[1]Craig Eval'!A:C,3,FALSE)),"",(VLOOKUP(A109,'[1]Craig Eval'!A:C,3,FALSE))*1000)</f>
        <v>5907.9120647110103</v>
      </c>
      <c r="J109" s="10">
        <f>IF(ISNA(VLOOKUP(A109,'[1]Craig Eval'!A:M,13,FALSE)),"",VLOOKUP(A109,'[1]Craig Eval'!A:M,13,FALSE))</f>
        <v>17.639646972263499</v>
      </c>
      <c r="K109" s="17">
        <v>1</v>
      </c>
    </row>
    <row r="110" spans="1:11" ht="30" x14ac:dyDescent="0.25">
      <c r="A110" s="3" t="s">
        <v>236</v>
      </c>
      <c r="B110" s="4" t="s">
        <v>237</v>
      </c>
      <c r="C110" s="5">
        <v>382844</v>
      </c>
      <c r="D110" s="6" t="s">
        <v>16</v>
      </c>
      <c r="E110" s="6" t="s">
        <v>17</v>
      </c>
      <c r="F110" s="7">
        <v>45600</v>
      </c>
      <c r="G110" s="8">
        <f t="shared" si="1"/>
        <v>45600</v>
      </c>
      <c r="H110" s="6" t="s">
        <v>13</v>
      </c>
      <c r="I110" s="9">
        <f>IF(ISNA(VLOOKUP(A110,'[1]Craig Eval'!A:C,3,FALSE)),"",(VLOOKUP(A110,'[1]Craig Eval'!A:C,3,FALSE))*1000)</f>
        <v>185315.87332448101</v>
      </c>
      <c r="J110" s="10">
        <f>IF(ISNA(VLOOKUP(A110,'[1]Craig Eval'!A:M,13,FALSE)),"",VLOOKUP(A110,'[1]Craig Eval'!A:M,13,FALSE))</f>
        <v>464.744309264462</v>
      </c>
      <c r="K110" s="17">
        <v>3</v>
      </c>
    </row>
    <row r="111" spans="1:11" ht="30" x14ac:dyDescent="0.25">
      <c r="A111" s="3" t="s">
        <v>238</v>
      </c>
      <c r="B111" s="4" t="s">
        <v>239</v>
      </c>
      <c r="C111" s="14">
        <v>1614</v>
      </c>
      <c r="D111" s="6" t="s">
        <v>16</v>
      </c>
      <c r="E111" s="6" t="s">
        <v>17</v>
      </c>
      <c r="F111" s="7">
        <v>36972</v>
      </c>
      <c r="G111" s="8">
        <f t="shared" si="1"/>
        <v>36972</v>
      </c>
      <c r="H111" s="6" t="s">
        <v>13</v>
      </c>
      <c r="I111" s="9">
        <f>IF(ISNA(VLOOKUP(A111,'[1]Craig Eval'!A:C,3,FALSE)),"",(VLOOKUP(A111,'[1]Craig Eval'!A:C,3,FALSE))*1000)</f>
        <v>154723.45768213799</v>
      </c>
      <c r="J111" s="10">
        <f>IF(ISNA(VLOOKUP(A111,'[1]Craig Eval'!A:M,13,FALSE)),"",VLOOKUP(A111,'[1]Craig Eval'!A:M,13,FALSE))</f>
        <v>394.306226526194</v>
      </c>
      <c r="K111" s="17">
        <v>2</v>
      </c>
    </row>
    <row r="112" spans="1:11" ht="30" x14ac:dyDescent="0.25">
      <c r="A112" s="3" t="s">
        <v>240</v>
      </c>
      <c r="B112" s="4" t="s">
        <v>241</v>
      </c>
      <c r="C112" s="14">
        <v>11845</v>
      </c>
      <c r="D112" s="6" t="s">
        <v>16</v>
      </c>
      <c r="E112" s="6" t="s">
        <v>17</v>
      </c>
      <c r="F112" s="7">
        <v>37812</v>
      </c>
      <c r="G112" s="8">
        <f t="shared" si="1"/>
        <v>37812</v>
      </c>
      <c r="H112" s="6" t="s">
        <v>13</v>
      </c>
      <c r="I112" s="9">
        <f>IF(ISNA(VLOOKUP(A112,'[1]Craig Eval'!A:C,3,FALSE)),"",(VLOOKUP(A112,'[1]Craig Eval'!A:C,3,FALSE))*1000)</f>
        <v>237543.29722691001</v>
      </c>
      <c r="J112" s="10">
        <f>IF(ISNA(VLOOKUP(A112,'[1]Craig Eval'!A:M,13,FALSE)),"",VLOOKUP(A112,'[1]Craig Eval'!A:M,13,FALSE))</f>
        <v>581.73503977925998</v>
      </c>
      <c r="K112" s="17">
        <v>3</v>
      </c>
    </row>
    <row r="113" spans="1:11" ht="30" x14ac:dyDescent="0.25">
      <c r="A113" s="3" t="s">
        <v>242</v>
      </c>
      <c r="B113" s="4" t="s">
        <v>243</v>
      </c>
      <c r="C113" s="5">
        <v>2010</v>
      </c>
      <c r="D113" s="6" t="s">
        <v>16</v>
      </c>
      <c r="E113" s="6" t="s">
        <v>17</v>
      </c>
      <c r="F113" s="7">
        <v>36416</v>
      </c>
      <c r="G113" s="8">
        <f t="shared" si="1"/>
        <v>36416</v>
      </c>
      <c r="H113" s="6" t="s">
        <v>13</v>
      </c>
      <c r="I113" s="9">
        <f>IF(ISNA(VLOOKUP(A113,'[1]Craig Eval'!A:C,3,FALSE)),"",(VLOOKUP(A113,'[1]Craig Eval'!A:C,3,FALSE))*1000)</f>
        <v>22845.9474620648</v>
      </c>
      <c r="J113" s="10">
        <f>IF(ISNA(VLOOKUP(A113,'[1]Craig Eval'!A:M,13,FALSE)),"",VLOOKUP(A113,'[1]Craig Eval'!A:M,13,FALSE))</f>
        <v>65.466547817784502</v>
      </c>
      <c r="K113" s="17">
        <v>2</v>
      </c>
    </row>
    <row r="114" spans="1:11" ht="30" x14ac:dyDescent="0.25">
      <c r="A114" s="3" t="s">
        <v>244</v>
      </c>
      <c r="B114" s="4" t="s">
        <v>245</v>
      </c>
      <c r="C114" s="5">
        <v>18886</v>
      </c>
      <c r="D114" s="6" t="s">
        <v>16</v>
      </c>
      <c r="E114" s="6" t="s">
        <v>17</v>
      </c>
      <c r="F114" s="7">
        <v>29575</v>
      </c>
      <c r="G114" s="8">
        <f t="shared" si="1"/>
        <v>29575</v>
      </c>
      <c r="H114" s="6" t="s">
        <v>13</v>
      </c>
      <c r="I114" s="9">
        <f>IF(ISNA(VLOOKUP(A114,'[1]Craig Eval'!A:C,3,FALSE)),"",(VLOOKUP(A114,'[1]Craig Eval'!A:C,3,FALSE))*1000)</f>
        <v>12014.8836439557</v>
      </c>
      <c r="J114" s="10">
        <f>IF(ISNA(VLOOKUP(A114,'[1]Craig Eval'!A:M,13,FALSE)),"",VLOOKUP(A114,'[1]Craig Eval'!A:M,13,FALSE))</f>
        <v>35.217708448609599</v>
      </c>
      <c r="K114" s="17">
        <v>1</v>
      </c>
    </row>
    <row r="115" spans="1:11" ht="30" x14ac:dyDescent="0.25">
      <c r="A115" s="3" t="s">
        <v>246</v>
      </c>
      <c r="B115" s="4" t="s">
        <v>247</v>
      </c>
      <c r="C115" s="5">
        <v>15693</v>
      </c>
      <c r="D115" s="6" t="s">
        <v>16</v>
      </c>
      <c r="E115" s="6" t="s">
        <v>17</v>
      </c>
      <c r="F115" s="7">
        <v>29929</v>
      </c>
      <c r="G115" s="8">
        <f t="shared" si="1"/>
        <v>29929</v>
      </c>
      <c r="H115" s="6" t="s">
        <v>13</v>
      </c>
      <c r="I115" s="9">
        <f>IF(ISNA(VLOOKUP(A115,'[1]Craig Eval'!A:C,3,FALSE)),"",(VLOOKUP(A115,'[1]Craig Eval'!A:C,3,FALSE))*1000)</f>
        <v>8952.6929354457207</v>
      </c>
      <c r="J115" s="10">
        <f>IF(ISNA(VLOOKUP(A115,'[1]Craig Eval'!A:M,13,FALSE)),"",VLOOKUP(A115,'[1]Craig Eval'!A:M,13,FALSE))</f>
        <v>26.462741801522</v>
      </c>
      <c r="K115" s="17">
        <v>1</v>
      </c>
    </row>
    <row r="116" spans="1:11" ht="30" x14ac:dyDescent="0.25">
      <c r="A116" s="3" t="s">
        <v>248</v>
      </c>
      <c r="B116" s="4" t="s">
        <v>249</v>
      </c>
      <c r="C116" s="14">
        <v>2017</v>
      </c>
      <c r="D116" s="6" t="s">
        <v>16</v>
      </c>
      <c r="E116" s="6" t="s">
        <v>17</v>
      </c>
      <c r="F116" s="7">
        <v>31048</v>
      </c>
      <c r="G116" s="8">
        <f t="shared" si="1"/>
        <v>31048</v>
      </c>
      <c r="H116" s="6" t="s">
        <v>13</v>
      </c>
      <c r="I116" s="9" t="str">
        <f>IF(ISNA(VLOOKUP(A116,'[1]Craig Eval'!A:C,3,FALSE)),"",(VLOOKUP(A116,'[1]Craig Eval'!A:C,3,FALSE))*1000)</f>
        <v/>
      </c>
      <c r="J116" s="10" t="str">
        <f>IF(ISNA(VLOOKUP(A116,'[1]Craig Eval'!A:M,13,FALSE)),"",VLOOKUP(A116,'[1]Craig Eval'!A:M,13,FALSE))</f>
        <v/>
      </c>
      <c r="K116" s="17">
        <v>3</v>
      </c>
    </row>
    <row r="117" spans="1:11" ht="30" x14ac:dyDescent="0.25">
      <c r="A117" s="3" t="s">
        <v>250</v>
      </c>
      <c r="B117" s="4" t="s">
        <v>251</v>
      </c>
      <c r="C117" s="5">
        <v>2037</v>
      </c>
      <c r="D117" s="6" t="s">
        <v>16</v>
      </c>
      <c r="E117" s="6" t="s">
        <v>17</v>
      </c>
      <c r="F117" s="7">
        <v>36526</v>
      </c>
      <c r="G117" s="8">
        <f t="shared" si="1"/>
        <v>36526</v>
      </c>
      <c r="H117" s="6" t="s">
        <v>13</v>
      </c>
      <c r="I117" s="9">
        <f>IF(ISNA(VLOOKUP(A117,'[1]Craig Eval'!A:C,3,FALSE)),"",(VLOOKUP(A117,'[1]Craig Eval'!A:C,3,FALSE))*1000)</f>
        <v>41120.670676149501</v>
      </c>
      <c r="J117" s="10">
        <f>IF(ISNA(VLOOKUP(A117,'[1]Craig Eval'!A:M,13,FALSE)),"",VLOOKUP(A117,'[1]Craig Eval'!A:M,13,FALSE))</f>
        <v>114.693150898368</v>
      </c>
      <c r="K117" s="17">
        <v>1</v>
      </c>
    </row>
    <row r="118" spans="1:11" ht="30" x14ac:dyDescent="0.25">
      <c r="A118" s="3" t="s">
        <v>252</v>
      </c>
      <c r="B118" s="4" t="s">
        <v>253</v>
      </c>
      <c r="C118" s="14">
        <v>1455</v>
      </c>
      <c r="D118" s="6" t="s">
        <v>31</v>
      </c>
      <c r="E118" s="6" t="s">
        <v>17</v>
      </c>
      <c r="F118" s="7">
        <v>32051</v>
      </c>
      <c r="G118" s="8">
        <f t="shared" si="1"/>
        <v>32051</v>
      </c>
      <c r="H118" s="6" t="s">
        <v>13</v>
      </c>
      <c r="I118" s="9">
        <f>IF(ISNA(VLOOKUP(A118,'[1]Craig Eval'!A:C,3,FALSE)),"",(VLOOKUP(A118,'[1]Craig Eval'!A:C,3,FALSE))*1000)</f>
        <v>116034.865382267</v>
      </c>
      <c r="J118" s="10">
        <f>IF(ISNA(VLOOKUP(A118,'[1]Craig Eval'!A:M,13,FALSE)),"",VLOOKUP(A118,'[1]Craig Eval'!A:M,13,FALSE))</f>
        <v>302.77268901146903</v>
      </c>
      <c r="K118" s="17">
        <v>2</v>
      </c>
    </row>
    <row r="119" spans="1:11" ht="30" x14ac:dyDescent="0.25">
      <c r="A119" s="3" t="s">
        <v>254</v>
      </c>
      <c r="B119" s="4" t="s">
        <v>255</v>
      </c>
      <c r="C119" s="5">
        <v>1472</v>
      </c>
      <c r="D119" s="6" t="s">
        <v>31</v>
      </c>
      <c r="E119" s="6" t="s">
        <v>17</v>
      </c>
      <c r="F119" s="7">
        <v>36774</v>
      </c>
      <c r="G119" s="8">
        <f t="shared" si="1"/>
        <v>36774</v>
      </c>
      <c r="H119" s="6" t="s">
        <v>13</v>
      </c>
      <c r="I119" s="9">
        <f>IF(ISNA(VLOOKUP(A119,'[1]Craig Eval'!A:C,3,FALSE)),"",(VLOOKUP(A119,'[1]Craig Eval'!A:C,3,FALSE))*1000)</f>
        <v>5172.7621976820301</v>
      </c>
      <c r="J119" s="10">
        <f>IF(ISNA(VLOOKUP(A119,'[1]Craig Eval'!A:M,13,FALSE)),"",VLOOKUP(A119,'[1]Craig Eval'!A:M,13,FALSE))</f>
        <v>15.488468517152</v>
      </c>
      <c r="K119" s="17">
        <v>1</v>
      </c>
    </row>
    <row r="120" spans="1:11" ht="30" x14ac:dyDescent="0.25">
      <c r="A120" s="3" t="s">
        <v>256</v>
      </c>
      <c r="B120" s="4" t="s">
        <v>257</v>
      </c>
      <c r="C120" s="5">
        <v>60577</v>
      </c>
      <c r="D120" s="6" t="s">
        <v>31</v>
      </c>
      <c r="E120" s="6" t="s">
        <v>17</v>
      </c>
      <c r="F120" s="7">
        <v>38959</v>
      </c>
      <c r="G120" s="8">
        <f t="shared" si="1"/>
        <v>38959</v>
      </c>
      <c r="H120" s="6" t="s">
        <v>13</v>
      </c>
      <c r="I120" s="9">
        <f>IF(ISNA(VLOOKUP(A120,'[1]Craig Eval'!A:C,3,FALSE)),"",(VLOOKUP(A120,'[1]Craig Eval'!A:C,3,FALSE))*1000)</f>
        <v>41678.348681246098</v>
      </c>
      <c r="J120" s="10">
        <f>IF(ISNA(VLOOKUP(A120,'[1]Craig Eval'!A:M,13,FALSE)),"",VLOOKUP(A120,'[1]Craig Eval'!A:M,13,FALSE))</f>
        <v>116.16717405555001</v>
      </c>
      <c r="K120" s="17">
        <v>1</v>
      </c>
    </row>
    <row r="121" spans="1:11" ht="30" x14ac:dyDescent="0.25">
      <c r="A121" s="3" t="s">
        <v>258</v>
      </c>
      <c r="B121" s="4" t="s">
        <v>259</v>
      </c>
      <c r="C121" s="14">
        <v>1352</v>
      </c>
      <c r="D121" s="6" t="s">
        <v>31</v>
      </c>
      <c r="E121" s="6" t="s">
        <v>17</v>
      </c>
      <c r="F121" s="7">
        <v>29221</v>
      </c>
      <c r="G121" s="8">
        <f t="shared" si="1"/>
        <v>29221</v>
      </c>
      <c r="H121" s="6" t="s">
        <v>13</v>
      </c>
      <c r="I121" s="9" t="str">
        <f>IF(ISNA(VLOOKUP(A121,'[1]Craig Eval'!A:C,3,FALSE)),"",(VLOOKUP(A121,'[1]Craig Eval'!A:C,3,FALSE))*1000)</f>
        <v/>
      </c>
      <c r="J121" s="10" t="str">
        <f>IF(ISNA(VLOOKUP(A121,'[1]Craig Eval'!A:M,13,FALSE)),"",VLOOKUP(A121,'[1]Craig Eval'!A:M,13,FALSE))</f>
        <v/>
      </c>
      <c r="K121" s="11">
        <v>2</v>
      </c>
    </row>
    <row r="122" spans="1:11" ht="30" x14ac:dyDescent="0.25">
      <c r="A122" s="3" t="s">
        <v>260</v>
      </c>
      <c r="B122" s="4" t="s">
        <v>261</v>
      </c>
      <c r="C122" s="5">
        <v>21122</v>
      </c>
      <c r="D122" s="6" t="s">
        <v>31</v>
      </c>
      <c r="E122" s="6" t="s">
        <v>17</v>
      </c>
      <c r="F122" s="7">
        <v>35576</v>
      </c>
      <c r="G122" s="8">
        <f t="shared" si="1"/>
        <v>35576</v>
      </c>
      <c r="H122" s="6" t="s">
        <v>13</v>
      </c>
      <c r="I122" s="9">
        <f>IF(ISNA(VLOOKUP(A122,'[1]Craig Eval'!A:C,3,FALSE)),"",(VLOOKUP(A122,'[1]Craig Eval'!A:C,3,FALSE))*1000)</f>
        <v>12525.9378584355</v>
      </c>
      <c r="J122" s="10">
        <f>IF(ISNA(VLOOKUP(A122,'[1]Craig Eval'!A:M,13,FALSE)),"",VLOOKUP(A122,'[1]Craig Eval'!A:M,13,FALSE))</f>
        <v>36.668753656569102</v>
      </c>
      <c r="K122" s="17">
        <v>1</v>
      </c>
    </row>
    <row r="123" spans="1:11" ht="30" x14ac:dyDescent="0.25">
      <c r="A123" s="3" t="s">
        <v>262</v>
      </c>
      <c r="B123" s="4" t="s">
        <v>263</v>
      </c>
      <c r="C123" s="5">
        <v>21444</v>
      </c>
      <c r="D123" s="6" t="s">
        <v>31</v>
      </c>
      <c r="E123" s="6" t="s">
        <v>17</v>
      </c>
      <c r="F123" s="7">
        <v>32273</v>
      </c>
      <c r="G123" s="8">
        <f t="shared" si="1"/>
        <v>32273</v>
      </c>
      <c r="H123" s="6" t="s">
        <v>13</v>
      </c>
      <c r="I123" s="9">
        <f>IF(ISNA(VLOOKUP(A123,'[1]Craig Eval'!A:C,3,FALSE)),"",(VLOOKUP(A123,'[1]Craig Eval'!A:C,3,FALSE))*1000)</f>
        <v>8465.4237855907304</v>
      </c>
      <c r="J123" s="10">
        <f>IF(ISNA(VLOOKUP(A123,'[1]Craig Eval'!A:M,13,FALSE)),"",VLOOKUP(A123,'[1]Craig Eval'!A:M,13,FALSE))</f>
        <v>25.059286978648</v>
      </c>
      <c r="K123" s="17">
        <v>1</v>
      </c>
    </row>
    <row r="124" spans="1:11" ht="30" x14ac:dyDescent="0.25">
      <c r="A124" s="3" t="s">
        <v>264</v>
      </c>
      <c r="B124" s="4" t="s">
        <v>265</v>
      </c>
      <c r="C124" s="5">
        <v>1766</v>
      </c>
      <c r="D124" s="6" t="s">
        <v>31</v>
      </c>
      <c r="E124" s="6" t="s">
        <v>17</v>
      </c>
      <c r="F124" s="7">
        <v>36637</v>
      </c>
      <c r="G124" s="8">
        <f t="shared" si="1"/>
        <v>36637</v>
      </c>
      <c r="H124" s="6" t="s">
        <v>13</v>
      </c>
      <c r="I124" s="9">
        <f>IF(ISNA(VLOOKUP(A124,'[1]Craig Eval'!A:C,3,FALSE)),"",(VLOOKUP(A124,'[1]Craig Eval'!A:C,3,FALSE))*1000)</f>
        <v>5865.4556447805098</v>
      </c>
      <c r="J124" s="10">
        <f>IF(ISNA(VLOOKUP(A124,'[1]Craig Eval'!A:M,13,FALSE)),"",VLOOKUP(A124,'[1]Craig Eval'!A:M,13,FALSE))</f>
        <v>17.515653903811401</v>
      </c>
      <c r="K124" s="17">
        <v>1</v>
      </c>
    </row>
    <row r="125" spans="1:11" ht="30" x14ac:dyDescent="0.25">
      <c r="A125" s="3" t="s">
        <v>266</v>
      </c>
      <c r="B125" s="4" t="s">
        <v>267</v>
      </c>
      <c r="C125" s="5">
        <v>54499</v>
      </c>
      <c r="D125" s="6" t="s">
        <v>31</v>
      </c>
      <c r="E125" s="6" t="s">
        <v>17</v>
      </c>
      <c r="F125" s="7">
        <v>29768</v>
      </c>
      <c r="G125" s="8">
        <f t="shared" si="1"/>
        <v>29768</v>
      </c>
      <c r="H125" s="6" t="s">
        <v>13</v>
      </c>
      <c r="I125" s="9">
        <f>IF(ISNA(VLOOKUP(A125,'[1]Craig Eval'!A:C,3,FALSE)),"",(VLOOKUP(A125,'[1]Craig Eval'!A:C,3,FALSE))*1000)</f>
        <v>14789.2860815937</v>
      </c>
      <c r="J125" s="10">
        <f>IF(ISNA(VLOOKUP(A125,'[1]Craig Eval'!A:M,13,FALSE)),"",VLOOKUP(A125,'[1]Craig Eval'!A:M,13,FALSE))</f>
        <v>43.063696536885097</v>
      </c>
      <c r="K125" s="17">
        <v>1</v>
      </c>
    </row>
    <row r="126" spans="1:11" ht="30" x14ac:dyDescent="0.25">
      <c r="A126" s="26" t="s">
        <v>268</v>
      </c>
      <c r="B126" s="27" t="s">
        <v>269</v>
      </c>
      <c r="C126" s="5">
        <v>14722</v>
      </c>
      <c r="D126" s="28" t="s">
        <v>31</v>
      </c>
      <c r="E126" s="28" t="s">
        <v>17</v>
      </c>
      <c r="F126" s="29">
        <v>27474</v>
      </c>
      <c r="G126" s="30">
        <f t="shared" si="1"/>
        <v>27474</v>
      </c>
      <c r="H126" s="28" t="s">
        <v>13</v>
      </c>
      <c r="I126" s="31">
        <f>IF(ISNA(VLOOKUP(A126,'[1]Craig Eval'!A:C,3,FALSE)),"",(VLOOKUP(A126,'[1]Craig Eval'!A:C,3,FALSE))*1000)</f>
        <v>17460.791958281599</v>
      </c>
      <c r="J126" s="32">
        <f>IF(ISNA(VLOOKUP(A126,'[1]Craig Eval'!A:M,13,FALSE)),"",VLOOKUP(A126,'[1]Craig Eval'!A:M,13,FALSE))</f>
        <v>50.550863669353603</v>
      </c>
      <c r="K126" s="33">
        <v>2</v>
      </c>
    </row>
    <row r="127" spans="1:11" ht="30" x14ac:dyDescent="0.25">
      <c r="A127" s="26" t="s">
        <v>270</v>
      </c>
      <c r="B127" s="27" t="s">
        <v>271</v>
      </c>
      <c r="C127" s="5">
        <v>1719</v>
      </c>
      <c r="D127" s="28" t="s">
        <v>16</v>
      </c>
      <c r="E127" s="28" t="s">
        <v>17</v>
      </c>
      <c r="F127" s="29">
        <v>25569</v>
      </c>
      <c r="G127" s="30">
        <f t="shared" si="1"/>
        <v>25569</v>
      </c>
      <c r="H127" s="28" t="s">
        <v>13</v>
      </c>
      <c r="I127" s="31" t="str">
        <f>IF(ISNA(VLOOKUP(A127,'[1]Craig Eval'!A:C,3,FALSE)),"",(VLOOKUP(A127,'[1]Craig Eval'!A:C,3,FALSE))*1000)</f>
        <v/>
      </c>
      <c r="J127" s="32" t="str">
        <f>IF(ISNA(VLOOKUP(A127,'[1]Craig Eval'!A:M,13,FALSE)),"",VLOOKUP(A127,'[1]Craig Eval'!A:M,13,FALSE))</f>
        <v/>
      </c>
      <c r="K127" s="33">
        <v>1</v>
      </c>
    </row>
    <row r="128" spans="1:11" ht="30" x14ac:dyDescent="0.25">
      <c r="A128" s="3" t="s">
        <v>272</v>
      </c>
      <c r="B128" s="4" t="s">
        <v>273</v>
      </c>
      <c r="C128" s="5">
        <v>1310</v>
      </c>
      <c r="D128" s="6" t="s">
        <v>16</v>
      </c>
      <c r="E128" s="6" t="s">
        <v>17</v>
      </c>
      <c r="F128" s="7">
        <v>25569</v>
      </c>
      <c r="G128" s="8">
        <f t="shared" si="1"/>
        <v>25569</v>
      </c>
      <c r="H128" s="6" t="s">
        <v>13</v>
      </c>
      <c r="I128" s="9" t="str">
        <f>IF(ISNA(VLOOKUP(A128,'[1]Craig Eval'!A:C,3,FALSE)),"",(VLOOKUP(A128,'[1]Craig Eval'!A:C,3,FALSE))*1000)</f>
        <v/>
      </c>
      <c r="J128" s="10" t="str">
        <f>IF(ISNA(VLOOKUP(A128,'[1]Craig Eval'!A:M,13,FALSE)),"",VLOOKUP(A128,'[1]Craig Eval'!A:M,13,FALSE))</f>
        <v/>
      </c>
      <c r="K128" s="17">
        <v>1</v>
      </c>
    </row>
    <row r="129" spans="1:11" ht="30" x14ac:dyDescent="0.25">
      <c r="A129" s="3" t="s">
        <v>274</v>
      </c>
      <c r="B129" s="4" t="s">
        <v>275</v>
      </c>
      <c r="C129" s="5">
        <v>1058</v>
      </c>
      <c r="D129" s="6" t="s">
        <v>16</v>
      </c>
      <c r="E129" s="6" t="s">
        <v>17</v>
      </c>
      <c r="F129" s="7">
        <v>29221</v>
      </c>
      <c r="G129" s="8">
        <f t="shared" si="1"/>
        <v>29221</v>
      </c>
      <c r="H129" s="6" t="s">
        <v>13</v>
      </c>
      <c r="I129" s="9" t="str">
        <f>IF(ISNA(VLOOKUP(A129,'[1]Craig Eval'!A:C,3,FALSE)),"",(VLOOKUP(A129,'[1]Craig Eval'!A:C,3,FALSE))*1000)</f>
        <v/>
      </c>
      <c r="J129" s="10" t="str">
        <f>IF(ISNA(VLOOKUP(A129,'[1]Craig Eval'!A:M,13,FALSE)),"",VLOOKUP(A129,'[1]Craig Eval'!A:M,13,FALSE))</f>
        <v/>
      </c>
      <c r="K129" s="17">
        <v>1</v>
      </c>
    </row>
    <row r="130" spans="1:11" ht="30" x14ac:dyDescent="0.25">
      <c r="A130" s="3" t="s">
        <v>276</v>
      </c>
      <c r="B130" s="4" t="s">
        <v>277</v>
      </c>
      <c r="C130" s="5">
        <v>1851</v>
      </c>
      <c r="D130" s="6" t="s">
        <v>16</v>
      </c>
      <c r="E130" s="6" t="s">
        <v>17</v>
      </c>
      <c r="F130" s="7">
        <v>35795</v>
      </c>
      <c r="G130" s="8">
        <f t="shared" ref="G130:G193" si="2">F130</f>
        <v>35795</v>
      </c>
      <c r="H130" s="6" t="s">
        <v>13</v>
      </c>
      <c r="I130" s="9" t="str">
        <f>IF(ISNA(VLOOKUP(A130,'[1]Craig Eval'!A:C,3,FALSE)),"",(VLOOKUP(A130,'[1]Craig Eval'!A:C,3,FALSE))*1000)</f>
        <v/>
      </c>
      <c r="J130" s="10" t="str">
        <f>IF(ISNA(VLOOKUP(A130,'[1]Craig Eval'!A:M,13,FALSE)),"",VLOOKUP(A130,'[1]Craig Eval'!A:M,13,FALSE))</f>
        <v/>
      </c>
      <c r="K130" s="17">
        <v>1</v>
      </c>
    </row>
    <row r="131" spans="1:11" ht="30" x14ac:dyDescent="0.25">
      <c r="A131" s="3" t="s">
        <v>278</v>
      </c>
      <c r="B131" s="4" t="s">
        <v>279</v>
      </c>
      <c r="C131" s="14">
        <v>54498</v>
      </c>
      <c r="D131" s="6" t="s">
        <v>28</v>
      </c>
      <c r="E131" s="6" t="s">
        <v>17</v>
      </c>
      <c r="F131" s="7">
        <v>38121</v>
      </c>
      <c r="G131" s="8">
        <f t="shared" si="2"/>
        <v>38121</v>
      </c>
      <c r="H131" s="6" t="s">
        <v>13</v>
      </c>
      <c r="I131" s="9">
        <f>IF(ISNA(VLOOKUP(A131,'[1]Craig Eval'!A:C,3,FALSE)),"",(VLOOKUP(A131,'[1]Craig Eval'!A:C,3,FALSE))*1000)</f>
        <v>46798.539986160402</v>
      </c>
      <c r="J131" s="10">
        <f>IF(ISNA(VLOOKUP(A131,'[1]Craig Eval'!A:M,13,FALSE)),"",VLOOKUP(A131,'[1]Craig Eval'!A:M,13,FALSE))</f>
        <v>129.63319149839899</v>
      </c>
      <c r="K131" s="11">
        <v>2</v>
      </c>
    </row>
    <row r="132" spans="1:11" ht="30" x14ac:dyDescent="0.25">
      <c r="A132" s="3" t="s">
        <v>280</v>
      </c>
      <c r="B132" s="4" t="s">
        <v>281</v>
      </c>
      <c r="C132" s="5">
        <v>2067</v>
      </c>
      <c r="D132" s="6" t="s">
        <v>34</v>
      </c>
      <c r="E132" s="6" t="s">
        <v>17</v>
      </c>
      <c r="F132" s="7">
        <v>19725</v>
      </c>
      <c r="G132" s="8">
        <f t="shared" si="2"/>
        <v>19725</v>
      </c>
      <c r="H132" s="6" t="s">
        <v>13</v>
      </c>
      <c r="I132" s="9">
        <f>IF(ISNA(VLOOKUP(A132,'[1]Craig Eval'!A:C,3,FALSE)),"",(VLOOKUP(A132,'[1]Craig Eval'!A:C,3,FALSE))*1000)</f>
        <v>50937.976259536903</v>
      </c>
      <c r="J132" s="10">
        <f>IF(ISNA(VLOOKUP(A132,'[1]Craig Eval'!A:M,13,FALSE)),"",VLOOKUP(A132,'[1]Craig Eval'!A:M,13,FALSE))</f>
        <v>140.435316025015</v>
      </c>
      <c r="K132" s="17">
        <v>2</v>
      </c>
    </row>
    <row r="133" spans="1:11" ht="30" x14ac:dyDescent="0.25">
      <c r="A133" s="3" t="s">
        <v>282</v>
      </c>
      <c r="B133" s="4" t="s">
        <v>283</v>
      </c>
      <c r="C133" s="14">
        <v>1538</v>
      </c>
      <c r="D133" s="6" t="s">
        <v>28</v>
      </c>
      <c r="E133" s="6" t="s">
        <v>17</v>
      </c>
      <c r="F133" s="7">
        <v>33239</v>
      </c>
      <c r="G133" s="8">
        <f t="shared" si="2"/>
        <v>33239</v>
      </c>
      <c r="H133" s="6" t="s">
        <v>13</v>
      </c>
      <c r="I133" s="9">
        <f>IF(ISNA(VLOOKUP(A133,'[1]Craig Eval'!A:C,3,FALSE)),"",(VLOOKUP(A133,'[1]Craig Eval'!A:C,3,FALSE))*1000)</f>
        <v>47849.863921677599</v>
      </c>
      <c r="J133" s="10">
        <f>IF(ISNA(VLOOKUP(A133,'[1]Craig Eval'!A:M,13,FALSE)),"",VLOOKUP(A133,'[1]Craig Eval'!A:M,13,FALSE))</f>
        <v>132.38363121680899</v>
      </c>
      <c r="K133" s="17">
        <v>3</v>
      </c>
    </row>
    <row r="134" spans="1:11" ht="30" x14ac:dyDescent="0.25">
      <c r="A134" s="3" t="s">
        <v>284</v>
      </c>
      <c r="B134" s="4" t="s">
        <v>285</v>
      </c>
      <c r="C134" s="14">
        <v>1454</v>
      </c>
      <c r="D134" s="6" t="s">
        <v>16</v>
      </c>
      <c r="E134" s="6" t="s">
        <v>17</v>
      </c>
      <c r="F134" s="7">
        <v>29952</v>
      </c>
      <c r="G134" s="8">
        <f t="shared" si="2"/>
        <v>29952</v>
      </c>
      <c r="H134" s="6" t="s">
        <v>13</v>
      </c>
      <c r="I134" s="9">
        <f>IF(ISNA(VLOOKUP(A134,'[1]Craig Eval'!A:C,3,FALSE)),"",(VLOOKUP(A134,'[1]Craig Eval'!A:C,3,FALSE))*1000)</f>
        <v>289570.701553052</v>
      </c>
      <c r="J134" s="10">
        <f>IF(ISNA(VLOOKUP(A134,'[1]Craig Eval'!A:M,13,FALSE)),"",VLOOKUP(A134,'[1]Craig Eval'!A:M,13,FALSE))</f>
        <v>694.85257590212598</v>
      </c>
      <c r="K134" s="17">
        <v>2</v>
      </c>
    </row>
    <row r="135" spans="1:11" ht="30" x14ac:dyDescent="0.25">
      <c r="A135" s="3" t="s">
        <v>286</v>
      </c>
      <c r="B135" s="4" t="s">
        <v>287</v>
      </c>
      <c r="C135" s="14">
        <v>52904</v>
      </c>
      <c r="D135" s="6" t="s">
        <v>11</v>
      </c>
      <c r="E135" s="6" t="s">
        <v>12</v>
      </c>
      <c r="F135" s="7">
        <v>39094</v>
      </c>
      <c r="G135" s="8">
        <f t="shared" si="2"/>
        <v>39094</v>
      </c>
      <c r="H135" s="6" t="s">
        <v>39</v>
      </c>
      <c r="I135" s="9" t="str">
        <f>IF(ISNA(VLOOKUP(A135,'[1]Craig Eval'!A:C,3,FALSE)),"",(VLOOKUP(A135,'[1]Craig Eval'!A:C,3,FALSE))*1000)</f>
        <v/>
      </c>
      <c r="J135" s="10" t="str">
        <f>IF(ISNA(VLOOKUP(A135,'[1]Craig Eval'!A:M,13,FALSE)),"",VLOOKUP(A135,'[1]Craig Eval'!A:M,13,FALSE))</f>
        <v/>
      </c>
      <c r="K135" s="17">
        <v>1</v>
      </c>
    </row>
    <row r="136" spans="1:11" ht="30" x14ac:dyDescent="0.25">
      <c r="A136" s="3" t="s">
        <v>288</v>
      </c>
      <c r="B136" s="4" t="s">
        <v>289</v>
      </c>
      <c r="C136" s="5">
        <v>1117</v>
      </c>
      <c r="D136" s="6" t="s">
        <v>28</v>
      </c>
      <c r="E136" s="6" t="s">
        <v>17</v>
      </c>
      <c r="F136" s="7">
        <v>18264</v>
      </c>
      <c r="G136" s="8">
        <f t="shared" si="2"/>
        <v>18264</v>
      </c>
      <c r="H136" s="6" t="s">
        <v>13</v>
      </c>
      <c r="I136" s="9">
        <f>IF(ISNA(VLOOKUP(A136,'[1]Craig Eval'!A:C,3,FALSE)),"",(VLOOKUP(A136,'[1]Craig Eval'!A:C,3,FALSE))*1000)</f>
        <v>39688.651274662494</v>
      </c>
      <c r="J136" s="10">
        <f>IF(ISNA(VLOOKUP(A136,'[1]Craig Eval'!A:M,13,FALSE)),"",VLOOKUP(A136,'[1]Craig Eval'!A:M,13,FALSE))</f>
        <v>110.901256577908</v>
      </c>
      <c r="K136" s="17">
        <v>1</v>
      </c>
    </row>
    <row r="137" spans="1:11" ht="30" x14ac:dyDescent="0.25">
      <c r="A137" s="3" t="s">
        <v>290</v>
      </c>
      <c r="B137" s="4" t="s">
        <v>291</v>
      </c>
      <c r="C137" s="5">
        <v>39105</v>
      </c>
      <c r="D137" s="6" t="s">
        <v>31</v>
      </c>
      <c r="E137" s="6" t="s">
        <v>17</v>
      </c>
      <c r="F137" s="7">
        <v>37377</v>
      </c>
      <c r="G137" s="8">
        <f t="shared" si="2"/>
        <v>37377</v>
      </c>
      <c r="H137" s="6" t="s">
        <v>13</v>
      </c>
      <c r="I137" s="9">
        <f>IF(ISNA(VLOOKUP(A137,'[1]Craig Eval'!A:C,3,FALSE)),"",(VLOOKUP(A137,'[1]Craig Eval'!A:C,3,FALSE))*1000)</f>
        <v>32976.0305854049</v>
      </c>
      <c r="J137" s="10">
        <f>IF(ISNA(VLOOKUP(A137,'[1]Craig Eval'!A:M,13,FALSE)),"",VLOOKUP(A137,'[1]Craig Eval'!A:M,13,FALSE))</f>
        <v>92.988115590826993</v>
      </c>
      <c r="K137" s="17">
        <v>1</v>
      </c>
    </row>
    <row r="138" spans="1:11" ht="30" x14ac:dyDescent="0.25">
      <c r="A138" s="12" t="s">
        <v>292</v>
      </c>
      <c r="B138" s="4" t="s">
        <v>293</v>
      </c>
      <c r="C138" s="14">
        <v>1714</v>
      </c>
      <c r="D138" s="6" t="s">
        <v>16</v>
      </c>
      <c r="E138" s="6" t="s">
        <v>17</v>
      </c>
      <c r="F138" s="7">
        <v>29221</v>
      </c>
      <c r="G138" s="8">
        <f t="shared" si="2"/>
        <v>29221</v>
      </c>
      <c r="H138" s="6" t="s">
        <v>13</v>
      </c>
      <c r="I138" s="9">
        <f>IF(ISNA(VLOOKUP(A138,'[1]Craig Eval'!A:C,3,FALSE)),"",(VLOOKUP(A138,'[1]Craig Eval'!A:C,3,FALSE))*1000)</f>
        <v>134014.8646003</v>
      </c>
      <c r="J138" s="10">
        <f>IF(ISNA(VLOOKUP(A138,'[1]Craig Eval'!A:M,13,FALSE)),"",VLOOKUP(A138,'[1]Craig Eval'!A:M,13,FALSE))</f>
        <v>345.68535155831199</v>
      </c>
      <c r="K138" s="17">
        <v>3</v>
      </c>
    </row>
    <row r="139" spans="1:11" ht="30" x14ac:dyDescent="0.25">
      <c r="A139" s="3" t="s">
        <v>294</v>
      </c>
      <c r="B139" s="4" t="s">
        <v>295</v>
      </c>
      <c r="C139" s="5">
        <v>1176</v>
      </c>
      <c r="D139" s="6" t="s">
        <v>16</v>
      </c>
      <c r="E139" s="6" t="s">
        <v>17</v>
      </c>
      <c r="F139" s="7">
        <v>29221</v>
      </c>
      <c r="G139" s="8">
        <f t="shared" si="2"/>
        <v>29221</v>
      </c>
      <c r="H139" s="6" t="s">
        <v>13</v>
      </c>
      <c r="I139" s="9">
        <f>IF(ISNA(VLOOKUP(A139,'[1]Craig Eval'!A:C,3,FALSE)),"",(VLOOKUP(A139,'[1]Craig Eval'!A:C,3,FALSE))*1000)</f>
        <v>32126.689423298303</v>
      </c>
      <c r="J139" s="10">
        <f>IF(ISNA(VLOOKUP(A139,'[1]Craig Eval'!A:M,13,FALSE)),"",VLOOKUP(A139,'[1]Craig Eval'!A:M,13,FALSE))</f>
        <v>90.704379194578905</v>
      </c>
      <c r="K139" s="17">
        <v>1</v>
      </c>
    </row>
    <row r="140" spans="1:11" ht="30" x14ac:dyDescent="0.25">
      <c r="A140" s="3" t="s">
        <v>296</v>
      </c>
      <c r="B140" s="4" t="s">
        <v>297</v>
      </c>
      <c r="C140" s="5">
        <v>1049</v>
      </c>
      <c r="D140" s="6" t="s">
        <v>16</v>
      </c>
      <c r="E140" s="6" t="s">
        <v>17</v>
      </c>
      <c r="F140" s="7">
        <v>29221</v>
      </c>
      <c r="G140" s="8">
        <f t="shared" si="2"/>
        <v>29221</v>
      </c>
      <c r="H140" s="6" t="s">
        <v>13</v>
      </c>
      <c r="I140" s="9">
        <f>IF(ISNA(VLOOKUP(A140,'[1]Craig Eval'!A:C,3,FALSE)),"",(VLOOKUP(A140,'[1]Craig Eval'!A:C,3,FALSE))*1000)</f>
        <v>15576.5799745555</v>
      </c>
      <c r="J140" s="10">
        <f>IF(ISNA(VLOOKUP(A140,'[1]Craig Eval'!A:M,13,FALSE)),"",VLOOKUP(A140,'[1]Craig Eval'!A:M,13,FALSE))</f>
        <v>45.276747003426799</v>
      </c>
      <c r="K140" s="17">
        <v>1</v>
      </c>
    </row>
    <row r="141" spans="1:11" ht="30" x14ac:dyDescent="0.25">
      <c r="A141" s="3" t="s">
        <v>298</v>
      </c>
      <c r="B141" s="4" t="s">
        <v>299</v>
      </c>
      <c r="C141" s="5">
        <v>1194</v>
      </c>
      <c r="D141" s="6" t="s">
        <v>16</v>
      </c>
      <c r="E141" s="6" t="s">
        <v>17</v>
      </c>
      <c r="F141" s="7">
        <v>31048</v>
      </c>
      <c r="G141" s="8">
        <f t="shared" si="2"/>
        <v>31048</v>
      </c>
      <c r="H141" s="6" t="s">
        <v>13</v>
      </c>
      <c r="I141" s="9">
        <f>IF(ISNA(VLOOKUP(A141,'[1]Craig Eval'!A:C,3,FALSE)),"",(VLOOKUP(A141,'[1]Craig Eval'!A:C,3,FALSE))*1000)</f>
        <v>41072.380361778203</v>
      </c>
      <c r="J141" s="10">
        <f>IF(ISNA(VLOOKUP(A141,'[1]Craig Eval'!A:M,13,FALSE)),"",VLOOKUP(A141,'[1]Craig Eval'!A:M,13,FALSE))</f>
        <v>114.565442730477</v>
      </c>
      <c r="K141" s="11">
        <v>1</v>
      </c>
    </row>
    <row r="142" spans="1:11" ht="30" x14ac:dyDescent="0.25">
      <c r="A142" s="3" t="s">
        <v>300</v>
      </c>
      <c r="B142" s="4" t="s">
        <v>301</v>
      </c>
      <c r="C142" s="14">
        <v>1757</v>
      </c>
      <c r="D142" s="6" t="s">
        <v>31</v>
      </c>
      <c r="E142" s="6" t="s">
        <v>17</v>
      </c>
      <c r="F142" s="7">
        <v>31048</v>
      </c>
      <c r="G142" s="8">
        <f t="shared" si="2"/>
        <v>31048</v>
      </c>
      <c r="H142" s="6" t="s">
        <v>13</v>
      </c>
      <c r="I142" s="9">
        <f>IF(ISNA(VLOOKUP(A142,'[1]Craig Eval'!A:C,3,FALSE)),"",(VLOOKUP(A142,'[1]Craig Eval'!A:C,3,FALSE))*1000)</f>
        <v>81215.663919440995</v>
      </c>
      <c r="J142" s="10">
        <f>IF(ISNA(VLOOKUP(A142,'[1]Craig Eval'!A:M,13,FALSE)),"",VLOOKUP(A142,'[1]Craig Eval'!A:M,13,FALSE))</f>
        <v>217.50259074731099</v>
      </c>
      <c r="K142" s="17">
        <v>2</v>
      </c>
    </row>
    <row r="143" spans="1:11" ht="30" x14ac:dyDescent="0.25">
      <c r="A143" s="3" t="s">
        <v>302</v>
      </c>
      <c r="B143" s="4" t="s">
        <v>303</v>
      </c>
      <c r="C143" s="14">
        <v>1723</v>
      </c>
      <c r="D143" s="6" t="s">
        <v>16</v>
      </c>
      <c r="E143" s="6" t="s">
        <v>17</v>
      </c>
      <c r="F143" s="7">
        <v>31048</v>
      </c>
      <c r="G143" s="8">
        <f t="shared" si="2"/>
        <v>31048</v>
      </c>
      <c r="H143" s="6" t="s">
        <v>13</v>
      </c>
      <c r="I143" s="9" t="str">
        <f>IF(ISNA(VLOOKUP(A143,'[1]Craig Eval'!A:C,3,FALSE)),"",(VLOOKUP(A143,'[1]Craig Eval'!A:C,3,FALSE))*1000)</f>
        <v/>
      </c>
      <c r="J143" s="10" t="str">
        <f>IF(ISNA(VLOOKUP(A143,'[1]Craig Eval'!A:M,13,FALSE)),"",VLOOKUP(A143,'[1]Craig Eval'!A:M,13,FALSE))</f>
        <v/>
      </c>
      <c r="K143" s="17">
        <v>1</v>
      </c>
    </row>
    <row r="144" spans="1:11" ht="30" x14ac:dyDescent="0.25">
      <c r="A144" s="3" t="s">
        <v>304</v>
      </c>
      <c r="B144" s="4" t="s">
        <v>305</v>
      </c>
      <c r="C144" s="5">
        <v>25282</v>
      </c>
      <c r="D144" s="6" t="s">
        <v>31</v>
      </c>
      <c r="E144" s="6" t="s">
        <v>17</v>
      </c>
      <c r="F144" s="7">
        <v>24153</v>
      </c>
      <c r="G144" s="8">
        <f t="shared" si="2"/>
        <v>24153</v>
      </c>
      <c r="H144" s="6" t="s">
        <v>13</v>
      </c>
      <c r="I144" s="9" t="str">
        <f>IF(ISNA(VLOOKUP(A144,'[1]Craig Eval'!A:C,3,FALSE)),"",(VLOOKUP(A144,'[1]Craig Eval'!A:C,3,FALSE))*1000)</f>
        <v/>
      </c>
      <c r="J144" s="10" t="str">
        <f>IF(ISNA(VLOOKUP(A144,'[1]Craig Eval'!A:M,13,FALSE)),"",VLOOKUP(A144,'[1]Craig Eval'!A:M,13,FALSE))</f>
        <v/>
      </c>
      <c r="K144" s="17">
        <v>1</v>
      </c>
    </row>
    <row r="145" spans="1:11" ht="30" x14ac:dyDescent="0.25">
      <c r="A145" s="3" t="s">
        <v>306</v>
      </c>
      <c r="B145" s="4" t="s">
        <v>307</v>
      </c>
      <c r="C145" s="14">
        <v>37505</v>
      </c>
      <c r="D145" s="6" t="s">
        <v>31</v>
      </c>
      <c r="E145" s="6" t="s">
        <v>17</v>
      </c>
      <c r="F145" s="7">
        <v>24590</v>
      </c>
      <c r="G145" s="8">
        <f t="shared" si="2"/>
        <v>24590</v>
      </c>
      <c r="H145" s="6" t="s">
        <v>13</v>
      </c>
      <c r="I145" s="9" t="str">
        <f>IF(ISNA(VLOOKUP(A145,'[1]Craig Eval'!A:C,3,FALSE)),"",(VLOOKUP(A145,'[1]Craig Eval'!A:C,3,FALSE))*1000)</f>
        <v/>
      </c>
      <c r="J145" s="10" t="str">
        <f>IF(ISNA(VLOOKUP(A145,'[1]Craig Eval'!A:M,13,FALSE)),"",VLOOKUP(A145,'[1]Craig Eval'!A:M,13,FALSE))</f>
        <v/>
      </c>
      <c r="K145" s="17">
        <v>1</v>
      </c>
    </row>
    <row r="146" spans="1:11" ht="30" x14ac:dyDescent="0.25">
      <c r="A146" s="3" t="s">
        <v>308</v>
      </c>
      <c r="B146" s="4" t="s">
        <v>309</v>
      </c>
      <c r="C146" s="5">
        <v>12810</v>
      </c>
      <c r="D146" s="6" t="s">
        <v>31</v>
      </c>
      <c r="E146" s="6" t="s">
        <v>17</v>
      </c>
      <c r="F146" s="7">
        <v>37816</v>
      </c>
      <c r="G146" s="8">
        <f t="shared" si="2"/>
        <v>37816</v>
      </c>
      <c r="H146" s="6" t="s">
        <v>13</v>
      </c>
      <c r="I146" s="9">
        <f>IF(ISNA(VLOOKUP(A146,'[1]Craig Eval'!A:C,3,FALSE)),"",(VLOOKUP(A146,'[1]Craig Eval'!A:C,3,FALSE))*1000)</f>
        <v>32211.7667756357</v>
      </c>
      <c r="J146" s="10">
        <f>IF(ISNA(VLOOKUP(A146,'[1]Craig Eval'!A:M,13,FALSE)),"",VLOOKUP(A146,'[1]Craig Eval'!A:M,13,FALSE))</f>
        <v>90.933320745656204</v>
      </c>
      <c r="K146" s="17">
        <v>1</v>
      </c>
    </row>
    <row r="147" spans="1:11" ht="30" x14ac:dyDescent="0.25">
      <c r="A147" s="3" t="s">
        <v>310</v>
      </c>
      <c r="B147" s="4" t="s">
        <v>311</v>
      </c>
      <c r="C147" s="14">
        <v>1219</v>
      </c>
      <c r="D147" s="6" t="s">
        <v>31</v>
      </c>
      <c r="E147" s="6" t="s">
        <v>17</v>
      </c>
      <c r="F147" s="7">
        <v>29952</v>
      </c>
      <c r="G147" s="8">
        <f t="shared" si="2"/>
        <v>29952</v>
      </c>
      <c r="H147" s="6" t="s">
        <v>13</v>
      </c>
      <c r="I147" s="9">
        <f>IF(ISNA(VLOOKUP(A147,'[1]Craig Eval'!A:C,3,FALSE)),"",(VLOOKUP(A147,'[1]Craig Eval'!A:C,3,FALSE))*1000)</f>
        <v>110133.59712745399</v>
      </c>
      <c r="J147" s="10">
        <f>IF(ISNA(VLOOKUP(A147,'[1]Craig Eval'!A:M,13,FALSE)),"",VLOOKUP(A147,'[1]Craig Eval'!A:M,13,FALSE))</f>
        <v>288.53332339518602</v>
      </c>
      <c r="K147" s="17">
        <v>2</v>
      </c>
    </row>
    <row r="148" spans="1:11" ht="30" x14ac:dyDescent="0.25">
      <c r="A148" s="3" t="s">
        <v>312</v>
      </c>
      <c r="B148" s="4" t="s">
        <v>313</v>
      </c>
      <c r="C148" s="5">
        <v>1087</v>
      </c>
      <c r="D148" s="6" t="s">
        <v>31</v>
      </c>
      <c r="E148" s="6" t="s">
        <v>17</v>
      </c>
      <c r="F148" s="7">
        <v>29952</v>
      </c>
      <c r="G148" s="8">
        <f t="shared" si="2"/>
        <v>29952</v>
      </c>
      <c r="H148" s="6" t="s">
        <v>13</v>
      </c>
      <c r="I148" s="9">
        <f>IF(ISNA(VLOOKUP(A148,'[1]Craig Eval'!A:C,3,FALSE)),"",(VLOOKUP(A148,'[1]Craig Eval'!A:C,3,FALSE))*1000)</f>
        <v>65433.497829878506</v>
      </c>
      <c r="J148" s="10">
        <f>IF(ISNA(VLOOKUP(A148,'[1]Craig Eval'!A:M,13,FALSE)),"",VLOOKUP(A148,'[1]Craig Eval'!A:M,13,FALSE))</f>
        <v>177.72750361083499</v>
      </c>
      <c r="K148" s="17">
        <v>2</v>
      </c>
    </row>
    <row r="149" spans="1:11" ht="30" x14ac:dyDescent="0.25">
      <c r="A149" s="3" t="s">
        <v>314</v>
      </c>
      <c r="B149" s="4" t="s">
        <v>315</v>
      </c>
      <c r="C149" s="5">
        <v>54500</v>
      </c>
      <c r="D149" s="6" t="s">
        <v>28</v>
      </c>
      <c r="E149" s="6" t="s">
        <v>17</v>
      </c>
      <c r="F149" s="7">
        <v>39929</v>
      </c>
      <c r="G149" s="8">
        <f t="shared" si="2"/>
        <v>39929</v>
      </c>
      <c r="H149" s="6" t="s">
        <v>13</v>
      </c>
      <c r="I149" s="9">
        <f>IF(ISNA(VLOOKUP(A149,'[1]Craig Eval'!A:C,3,FALSE)),"",(VLOOKUP(A149,'[1]Craig Eval'!A:C,3,FALSE))*1000)</f>
        <v>13399.222871600801</v>
      </c>
      <c r="J149" s="10">
        <f>IF(ISNA(VLOOKUP(A149,'[1]Craig Eval'!A:M,13,FALSE)),"",VLOOKUP(A149,'[1]Craig Eval'!A:M,13,FALSE))</f>
        <v>39.142108357156303</v>
      </c>
      <c r="K149" s="17">
        <v>1</v>
      </c>
    </row>
    <row r="150" spans="1:11" ht="30" x14ac:dyDescent="0.25">
      <c r="A150" s="3" t="s">
        <v>316</v>
      </c>
      <c r="B150" s="4" t="s">
        <v>317</v>
      </c>
      <c r="C150" s="5">
        <v>1912</v>
      </c>
      <c r="D150" s="6" t="s">
        <v>34</v>
      </c>
      <c r="E150" s="6" t="s">
        <v>17</v>
      </c>
      <c r="F150" s="7">
        <v>29952</v>
      </c>
      <c r="G150" s="8">
        <f t="shared" si="2"/>
        <v>29952</v>
      </c>
      <c r="H150" s="6" t="s">
        <v>13</v>
      </c>
      <c r="I150" s="9" t="str">
        <f>IF(ISNA(VLOOKUP(A150,'[1]Craig Eval'!A:C,3,FALSE)),"",(VLOOKUP(A150,'[1]Craig Eval'!A:C,3,FALSE))*1000)</f>
        <v/>
      </c>
      <c r="J150" s="10" t="str">
        <f>IF(ISNA(VLOOKUP(A150,'[1]Craig Eval'!A:M,13,FALSE)),"",VLOOKUP(A150,'[1]Craig Eval'!A:M,13,FALSE))</f>
        <v/>
      </c>
      <c r="K150" s="17">
        <v>2</v>
      </c>
    </row>
    <row r="151" spans="1:11" ht="30" x14ac:dyDescent="0.25">
      <c r="A151" s="3" t="s">
        <v>318</v>
      </c>
      <c r="B151" s="4" t="s">
        <v>319</v>
      </c>
      <c r="C151" s="5">
        <v>12493</v>
      </c>
      <c r="D151" s="6" t="s">
        <v>34</v>
      </c>
      <c r="E151" s="6" t="s">
        <v>17</v>
      </c>
      <c r="F151" s="7">
        <v>37606</v>
      </c>
      <c r="G151" s="8">
        <f t="shared" si="2"/>
        <v>37606</v>
      </c>
      <c r="H151" s="6" t="s">
        <v>13</v>
      </c>
      <c r="I151" s="9" t="str">
        <f>IF(ISNA(VLOOKUP(A151,'[1]Craig Eval'!A:C,3,FALSE)),"",(VLOOKUP(A151,'[1]Craig Eval'!A:C,3,FALSE))*1000)</f>
        <v/>
      </c>
      <c r="J151" s="10" t="str">
        <f>IF(ISNA(VLOOKUP(A151,'[1]Craig Eval'!A:M,13,FALSE)),"",VLOOKUP(A151,'[1]Craig Eval'!A:M,13,FALSE))</f>
        <v/>
      </c>
      <c r="K151" s="17">
        <v>2</v>
      </c>
    </row>
    <row r="152" spans="1:11" ht="30" x14ac:dyDescent="0.25">
      <c r="A152" s="3" t="s">
        <v>320</v>
      </c>
      <c r="B152" s="4" t="s">
        <v>321</v>
      </c>
      <c r="C152" s="5">
        <v>9921</v>
      </c>
      <c r="D152" s="6" t="s">
        <v>11</v>
      </c>
      <c r="E152" s="6" t="s">
        <v>17</v>
      </c>
      <c r="F152" s="7">
        <v>37344</v>
      </c>
      <c r="G152" s="8">
        <f t="shared" si="2"/>
        <v>37344</v>
      </c>
      <c r="H152" s="6" t="s">
        <v>13</v>
      </c>
      <c r="I152" s="9" t="str">
        <f>IF(ISNA(VLOOKUP(A152,'[1]Craig Eval'!A:C,3,FALSE)),"",(VLOOKUP(A152,'[1]Craig Eval'!A:C,3,FALSE))*1000)</f>
        <v/>
      </c>
      <c r="J152" s="10" t="str">
        <f>IF(ISNA(VLOOKUP(A152,'[1]Craig Eval'!A:M,13,FALSE)),"",VLOOKUP(A152,'[1]Craig Eval'!A:M,13,FALSE))</f>
        <v/>
      </c>
      <c r="K152" s="17">
        <v>1</v>
      </c>
    </row>
    <row r="153" spans="1:11" ht="30" x14ac:dyDescent="0.25">
      <c r="A153" s="3" t="s">
        <v>322</v>
      </c>
      <c r="B153" s="4" t="s">
        <v>323</v>
      </c>
      <c r="C153" s="5">
        <v>3201</v>
      </c>
      <c r="D153" s="6" t="s">
        <v>11</v>
      </c>
      <c r="E153" s="6" t="s">
        <v>17</v>
      </c>
      <c r="F153" s="7">
        <v>36098</v>
      </c>
      <c r="G153" s="8">
        <f t="shared" si="2"/>
        <v>36098</v>
      </c>
      <c r="H153" s="6" t="s">
        <v>13</v>
      </c>
      <c r="I153" s="9" t="str">
        <f>IF(ISNA(VLOOKUP(A153,'[1]Craig Eval'!A:C,3,FALSE)),"",(VLOOKUP(A153,'[1]Craig Eval'!A:C,3,FALSE))*1000)</f>
        <v/>
      </c>
      <c r="J153" s="10" t="str">
        <f>IF(ISNA(VLOOKUP(A153,'[1]Craig Eval'!A:M,13,FALSE)),"",VLOOKUP(A153,'[1]Craig Eval'!A:M,13,FALSE))</f>
        <v/>
      </c>
      <c r="K153" s="17">
        <v>1</v>
      </c>
    </row>
    <row r="154" spans="1:11" ht="30" x14ac:dyDescent="0.25">
      <c r="A154" s="3" t="s">
        <v>324</v>
      </c>
      <c r="B154" s="4" t="s">
        <v>325</v>
      </c>
      <c r="C154" s="5">
        <v>10566</v>
      </c>
      <c r="D154" s="6" t="s">
        <v>11</v>
      </c>
      <c r="E154" s="6" t="s">
        <v>17</v>
      </c>
      <c r="F154" s="7">
        <v>37503</v>
      </c>
      <c r="G154" s="8">
        <f t="shared" si="2"/>
        <v>37503</v>
      </c>
      <c r="H154" s="6" t="s">
        <v>13</v>
      </c>
      <c r="I154" s="9" t="str">
        <f>IF(ISNA(VLOOKUP(A154,'[1]Craig Eval'!A:C,3,FALSE)),"",(VLOOKUP(A154,'[1]Craig Eval'!A:C,3,FALSE))*1000)</f>
        <v/>
      </c>
      <c r="J154" s="10" t="str">
        <f>IF(ISNA(VLOOKUP(A154,'[1]Craig Eval'!A:M,13,FALSE)),"",VLOOKUP(A154,'[1]Craig Eval'!A:M,13,FALSE))</f>
        <v/>
      </c>
      <c r="K154" s="17">
        <v>2</v>
      </c>
    </row>
    <row r="155" spans="1:11" ht="30" x14ac:dyDescent="0.25">
      <c r="A155" s="3" t="s">
        <v>326</v>
      </c>
      <c r="B155" s="4" t="s">
        <v>327</v>
      </c>
      <c r="C155" s="5">
        <v>1586</v>
      </c>
      <c r="D155" s="6" t="s">
        <v>34</v>
      </c>
      <c r="E155" s="6" t="s">
        <v>17</v>
      </c>
      <c r="F155" s="7">
        <v>18264</v>
      </c>
      <c r="G155" s="8">
        <f t="shared" si="2"/>
        <v>18264</v>
      </c>
      <c r="H155" s="6" t="s">
        <v>13</v>
      </c>
      <c r="I155" s="9">
        <f>IF(ISNA(VLOOKUP(A155,'[1]Craig Eval'!A:C,3,FALSE)),"",(VLOOKUP(A155,'[1]Craig Eval'!A:C,3,FALSE))*1000)</f>
        <v>18328.353324534</v>
      </c>
      <c r="J155" s="10">
        <f>IF(ISNA(VLOOKUP(A155,'[1]Craig Eval'!A:M,13,FALSE)),"",VLOOKUP(A155,'[1]Craig Eval'!A:M,13,FALSE))</f>
        <v>52.969135495665498</v>
      </c>
      <c r="K155" s="17">
        <v>1</v>
      </c>
    </row>
    <row r="156" spans="1:11" ht="30" x14ac:dyDescent="0.25">
      <c r="A156" s="3" t="s">
        <v>328</v>
      </c>
      <c r="B156" s="4" t="s">
        <v>329</v>
      </c>
      <c r="C156" s="14">
        <v>72106</v>
      </c>
      <c r="D156" s="6" t="s">
        <v>11</v>
      </c>
      <c r="E156" s="6" t="s">
        <v>17</v>
      </c>
      <c r="F156" s="7">
        <v>38854</v>
      </c>
      <c r="G156" s="8">
        <f t="shared" si="2"/>
        <v>38854</v>
      </c>
      <c r="H156" s="6" t="s">
        <v>13</v>
      </c>
      <c r="I156" s="9" t="str">
        <f>IF(ISNA(VLOOKUP(A156,'[1]Craig Eval'!A:C,3,FALSE)),"",(VLOOKUP(A156,'[1]Craig Eval'!A:C,3,FALSE))*1000)</f>
        <v/>
      </c>
      <c r="J156" s="10" t="str">
        <f>IF(ISNA(VLOOKUP(A156,'[1]Craig Eval'!A:M,13,FALSE)),"",VLOOKUP(A156,'[1]Craig Eval'!A:M,13,FALSE))</f>
        <v/>
      </c>
      <c r="K156" s="17">
        <v>1</v>
      </c>
    </row>
    <row r="157" spans="1:11" ht="30" x14ac:dyDescent="0.25">
      <c r="A157" s="3" t="s">
        <v>330</v>
      </c>
      <c r="B157" s="4" t="s">
        <v>331</v>
      </c>
      <c r="C157" s="5">
        <v>52883</v>
      </c>
      <c r="D157" s="6" t="s">
        <v>34</v>
      </c>
      <c r="E157" s="6" t="s">
        <v>17</v>
      </c>
      <c r="F157" s="7">
        <v>39115</v>
      </c>
      <c r="G157" s="8">
        <f t="shared" si="2"/>
        <v>39115</v>
      </c>
      <c r="H157" s="6" t="s">
        <v>13</v>
      </c>
      <c r="I157" s="9" t="str">
        <f>IF(ISNA(VLOOKUP(A157,'[1]Craig Eval'!A:C,3,FALSE)),"",(VLOOKUP(A157,'[1]Craig Eval'!A:C,3,FALSE))*1000)</f>
        <v/>
      </c>
      <c r="J157" s="10" t="str">
        <f>IF(ISNA(VLOOKUP(A157,'[1]Craig Eval'!A:M,13,FALSE)),"",VLOOKUP(A157,'[1]Craig Eval'!A:M,13,FALSE))</f>
        <v/>
      </c>
      <c r="K157" s="17">
        <v>1</v>
      </c>
    </row>
    <row r="158" spans="1:11" ht="30" x14ac:dyDescent="0.25">
      <c r="A158" s="3" t="s">
        <v>332</v>
      </c>
      <c r="B158" s="4" t="s">
        <v>333</v>
      </c>
      <c r="C158" s="5">
        <v>1201</v>
      </c>
      <c r="D158" s="6" t="s">
        <v>11</v>
      </c>
      <c r="E158" s="6" t="s">
        <v>17</v>
      </c>
      <c r="F158" s="7">
        <v>34700</v>
      </c>
      <c r="G158" s="8">
        <f t="shared" si="2"/>
        <v>34700</v>
      </c>
      <c r="H158" s="6" t="s">
        <v>13</v>
      </c>
      <c r="I158" s="9" t="str">
        <f>IF(ISNA(VLOOKUP(A158,'[1]Craig Eval'!A:C,3,FALSE)),"",(VLOOKUP(A158,'[1]Craig Eval'!A:C,3,FALSE))*1000)</f>
        <v/>
      </c>
      <c r="J158" s="10" t="str">
        <f>IF(ISNA(VLOOKUP(A158,'[1]Craig Eval'!A:M,13,FALSE)),"",VLOOKUP(A158,'[1]Craig Eval'!A:M,13,FALSE))</f>
        <v/>
      </c>
      <c r="K158" s="17">
        <v>1</v>
      </c>
    </row>
    <row r="159" spans="1:11" ht="30" x14ac:dyDescent="0.25">
      <c r="A159" s="3" t="s">
        <v>334</v>
      </c>
      <c r="B159" s="4" t="s">
        <v>335</v>
      </c>
      <c r="C159" s="5">
        <v>13761</v>
      </c>
      <c r="D159" s="6" t="s">
        <v>11</v>
      </c>
      <c r="E159" s="6" t="s">
        <v>17</v>
      </c>
      <c r="F159" s="7">
        <v>37922</v>
      </c>
      <c r="G159" s="8">
        <f t="shared" si="2"/>
        <v>37922</v>
      </c>
      <c r="H159" s="6" t="s">
        <v>13</v>
      </c>
      <c r="I159" s="9" t="str">
        <f>IF(ISNA(VLOOKUP(A159,'[1]Craig Eval'!A:C,3,FALSE)),"",(VLOOKUP(A159,'[1]Craig Eval'!A:C,3,FALSE))*1000)</f>
        <v/>
      </c>
      <c r="J159" s="10" t="str">
        <f>IF(ISNA(VLOOKUP(A159,'[1]Craig Eval'!A:M,13,FALSE)),"",VLOOKUP(A159,'[1]Craig Eval'!A:M,13,FALSE))</f>
        <v/>
      </c>
      <c r="K159" s="11">
        <v>1</v>
      </c>
    </row>
    <row r="160" spans="1:11" ht="30" x14ac:dyDescent="0.25">
      <c r="A160" s="3" t="s">
        <v>336</v>
      </c>
      <c r="B160" s="4" t="s">
        <v>337</v>
      </c>
      <c r="C160" s="5">
        <v>1166</v>
      </c>
      <c r="D160" s="6" t="s">
        <v>31</v>
      </c>
      <c r="E160" s="6" t="s">
        <v>17</v>
      </c>
      <c r="F160" s="7">
        <v>36619</v>
      </c>
      <c r="G160" s="8">
        <f t="shared" si="2"/>
        <v>36619</v>
      </c>
      <c r="H160" s="6" t="s">
        <v>13</v>
      </c>
      <c r="I160" s="9">
        <f>IF(ISNA(VLOOKUP(A160,'[1]Craig Eval'!A:C,3,FALSE)),"",(VLOOKUP(A160,'[1]Craig Eval'!A:C,3,FALSE))*1000)</f>
        <v>13315.2412910864</v>
      </c>
      <c r="J160" s="10">
        <f>IF(ISNA(VLOOKUP(A160,'[1]Craig Eval'!A:M,13,FALSE)),"",VLOOKUP(A160,'[1]Craig Eval'!A:M,13,FALSE))</f>
        <v>38.904584044282899</v>
      </c>
      <c r="K160" s="17">
        <v>1</v>
      </c>
    </row>
    <row r="161" spans="1:11" ht="30" x14ac:dyDescent="0.25">
      <c r="A161" s="3" t="s">
        <v>338</v>
      </c>
      <c r="B161" s="4" t="s">
        <v>339</v>
      </c>
      <c r="C161" s="5">
        <v>15041</v>
      </c>
      <c r="D161" s="6" t="s">
        <v>28</v>
      </c>
      <c r="E161" s="6" t="s">
        <v>17</v>
      </c>
      <c r="F161" s="7">
        <v>38274</v>
      </c>
      <c r="G161" s="8">
        <f t="shared" si="2"/>
        <v>38274</v>
      </c>
      <c r="H161" s="6" t="s">
        <v>13</v>
      </c>
      <c r="I161" s="9">
        <f>IF(ISNA(VLOOKUP(A161,'[1]Craig Eval'!A:C,3,FALSE)),"",(VLOOKUP(A161,'[1]Craig Eval'!A:C,3,FALSE))*1000)</f>
        <v>2009.0293441926699</v>
      </c>
      <c r="J161" s="10">
        <f>IF(ISNA(VLOOKUP(A161,'[1]Craig Eval'!A:M,13,FALSE)),"",VLOOKUP(A161,'[1]Craig Eval'!A:M,13,FALSE))</f>
        <v>6.1111068250409701</v>
      </c>
      <c r="K161" s="17">
        <v>1</v>
      </c>
    </row>
    <row r="162" spans="1:11" ht="30" x14ac:dyDescent="0.25">
      <c r="A162" s="3" t="s">
        <v>340</v>
      </c>
      <c r="B162" s="4" t="s">
        <v>341</v>
      </c>
      <c r="C162" s="14">
        <v>12491</v>
      </c>
      <c r="D162" s="6" t="s">
        <v>28</v>
      </c>
      <c r="E162" s="6" t="s">
        <v>17</v>
      </c>
      <c r="F162" s="7">
        <v>36620</v>
      </c>
      <c r="G162" s="8">
        <f t="shared" si="2"/>
        <v>36620</v>
      </c>
      <c r="H162" s="6" t="s">
        <v>13</v>
      </c>
      <c r="I162" s="9">
        <f>IF(ISNA(VLOOKUP(A162,'[1]Craig Eval'!A:C,3,FALSE)),"",(VLOOKUP(A162,'[1]Craig Eval'!A:C,3,FALSE))*1000)</f>
        <v>272753.67632279103</v>
      </c>
      <c r="J162" s="10">
        <f>IF(ISNA(VLOOKUP(A162,'[1]Craig Eval'!A:M,13,FALSE)),"",VLOOKUP(A162,'[1]Craig Eval'!A:M,13,FALSE))</f>
        <v>658.62573139623498</v>
      </c>
      <c r="K162" s="17">
        <v>3</v>
      </c>
    </row>
    <row r="163" spans="1:11" ht="30" x14ac:dyDescent="0.25">
      <c r="A163" s="3" t="s">
        <v>342</v>
      </c>
      <c r="B163" s="4" t="s">
        <v>343</v>
      </c>
      <c r="C163" s="5">
        <v>8336</v>
      </c>
      <c r="D163" s="6" t="s">
        <v>28</v>
      </c>
      <c r="E163" s="6" t="s">
        <v>17</v>
      </c>
      <c r="F163" s="7">
        <v>31293</v>
      </c>
      <c r="G163" s="8">
        <f t="shared" si="2"/>
        <v>31293</v>
      </c>
      <c r="H163" s="6" t="s">
        <v>13</v>
      </c>
      <c r="I163" s="9">
        <f>IF(ISNA(VLOOKUP(A163,'[1]Craig Eval'!A:C,3,FALSE)),"",(VLOOKUP(A163,'[1]Craig Eval'!A:C,3,FALSE))*1000)</f>
        <v>2124.1225771294203</v>
      </c>
      <c r="J163" s="10">
        <f>IF(ISNA(VLOOKUP(A163,'[1]Craig Eval'!A:M,13,FALSE)),"",VLOOKUP(A163,'[1]Craig Eval'!A:M,13,FALSE))</f>
        <v>6.4563847936863104</v>
      </c>
      <c r="K163" s="17">
        <v>1</v>
      </c>
    </row>
    <row r="164" spans="1:11" ht="30" x14ac:dyDescent="0.25">
      <c r="A164" s="3" t="s">
        <v>344</v>
      </c>
      <c r="B164" s="4" t="s">
        <v>345</v>
      </c>
      <c r="C164" s="14">
        <v>1393</v>
      </c>
      <c r="D164" s="6" t="s">
        <v>16</v>
      </c>
      <c r="E164" s="6" t="s">
        <v>17</v>
      </c>
      <c r="F164" s="7">
        <v>27227</v>
      </c>
      <c r="G164" s="8">
        <f t="shared" si="2"/>
        <v>27227</v>
      </c>
      <c r="H164" s="6" t="s">
        <v>13</v>
      </c>
      <c r="I164" s="9">
        <f>IF(ISNA(VLOOKUP(A164,'[1]Craig Eval'!A:C,3,FALSE)),"",(VLOOKUP(A164,'[1]Craig Eval'!A:C,3,FALSE))*1000)</f>
        <v>85742.43524100029</v>
      </c>
      <c r="J164" s="10">
        <f>IF(ISNA(VLOOKUP(A164,'[1]Craig Eval'!A:M,13,FALSE)),"",VLOOKUP(A164,'[1]Craig Eval'!A:M,13,FALSE))</f>
        <v>228.770261717815</v>
      </c>
      <c r="K164" s="17">
        <v>1</v>
      </c>
    </row>
    <row r="165" spans="1:11" ht="30" x14ac:dyDescent="0.25">
      <c r="A165" s="3" t="s">
        <v>346</v>
      </c>
      <c r="B165" s="4" t="s">
        <v>347</v>
      </c>
      <c r="C165" s="14">
        <v>2042</v>
      </c>
      <c r="D165" s="6" t="s">
        <v>34</v>
      </c>
      <c r="E165" s="6" t="s">
        <v>17</v>
      </c>
      <c r="F165" s="7">
        <v>25569</v>
      </c>
      <c r="G165" s="8">
        <f t="shared" si="2"/>
        <v>25569</v>
      </c>
      <c r="H165" s="6" t="s">
        <v>13</v>
      </c>
      <c r="I165" s="9" t="str">
        <f>IF(ISNA(VLOOKUP(A165,'[1]Craig Eval'!A:C,3,FALSE)),"",(VLOOKUP(A165,'[1]Craig Eval'!A:C,3,FALSE))*1000)</f>
        <v/>
      </c>
      <c r="J165" s="10" t="str">
        <f>IF(ISNA(VLOOKUP(A165,'[1]Craig Eval'!A:M,13,FALSE)),"",VLOOKUP(A165,'[1]Craig Eval'!A:M,13,FALSE))</f>
        <v/>
      </c>
      <c r="K165" s="17">
        <v>1</v>
      </c>
    </row>
    <row r="166" spans="1:11" ht="30" x14ac:dyDescent="0.25">
      <c r="A166" s="3" t="s">
        <v>348</v>
      </c>
      <c r="B166" s="4" t="s">
        <v>349</v>
      </c>
      <c r="C166" s="5">
        <v>15687</v>
      </c>
      <c r="D166" s="6" t="s">
        <v>34</v>
      </c>
      <c r="E166" s="6" t="s">
        <v>17</v>
      </c>
      <c r="F166" s="7">
        <v>37196</v>
      </c>
      <c r="G166" s="8">
        <f t="shared" si="2"/>
        <v>37196</v>
      </c>
      <c r="H166" s="6" t="s">
        <v>13</v>
      </c>
      <c r="I166" s="9" t="str">
        <f>IF(ISNA(VLOOKUP(A166,'[1]Craig Eval'!A:C,3,FALSE)),"",(VLOOKUP(A166,'[1]Craig Eval'!A:C,3,FALSE))*1000)</f>
        <v/>
      </c>
      <c r="J166" s="10" t="str">
        <f>IF(ISNA(VLOOKUP(A166,'[1]Craig Eval'!A:M,13,FALSE)),"",VLOOKUP(A166,'[1]Craig Eval'!A:M,13,FALSE))</f>
        <v/>
      </c>
      <c r="K166" s="17">
        <v>1</v>
      </c>
    </row>
    <row r="167" spans="1:11" ht="30" x14ac:dyDescent="0.25">
      <c r="A167" s="3" t="s">
        <v>350</v>
      </c>
      <c r="B167" s="4" t="s">
        <v>351</v>
      </c>
      <c r="C167" s="14">
        <v>13446</v>
      </c>
      <c r="D167" s="6" t="s">
        <v>34</v>
      </c>
      <c r="E167" s="6" t="s">
        <v>17</v>
      </c>
      <c r="F167" s="7">
        <v>36942</v>
      </c>
      <c r="G167" s="8">
        <f t="shared" si="2"/>
        <v>36942</v>
      </c>
      <c r="H167" s="6" t="s">
        <v>13</v>
      </c>
      <c r="I167" s="9" t="str">
        <f>IF(ISNA(VLOOKUP(A167,'[1]Craig Eval'!A:C,3,FALSE)),"",(VLOOKUP(A167,'[1]Craig Eval'!A:C,3,FALSE))*1000)</f>
        <v/>
      </c>
      <c r="J167" s="10" t="str">
        <f>IF(ISNA(VLOOKUP(A167,'[1]Craig Eval'!A:M,13,FALSE)),"",VLOOKUP(A167,'[1]Craig Eval'!A:M,13,FALSE))</f>
        <v/>
      </c>
      <c r="K167" s="17">
        <v>2</v>
      </c>
    </row>
    <row r="168" spans="1:11" ht="30" x14ac:dyDescent="0.25">
      <c r="A168" s="3" t="s">
        <v>352</v>
      </c>
      <c r="B168" s="4" t="s">
        <v>353</v>
      </c>
      <c r="C168" s="5">
        <v>15688</v>
      </c>
      <c r="D168" s="6" t="s">
        <v>34</v>
      </c>
      <c r="E168" s="6" t="s">
        <v>17</v>
      </c>
      <c r="F168" s="7">
        <v>37196</v>
      </c>
      <c r="G168" s="8">
        <f t="shared" si="2"/>
        <v>37196</v>
      </c>
      <c r="H168" s="6" t="s">
        <v>13</v>
      </c>
      <c r="I168" s="9" t="str">
        <f>IF(ISNA(VLOOKUP(A168,'[1]Craig Eval'!A:C,3,FALSE)),"",(VLOOKUP(A168,'[1]Craig Eval'!A:C,3,FALSE))*1000)</f>
        <v/>
      </c>
      <c r="J168" s="10" t="str">
        <f>IF(ISNA(VLOOKUP(A168,'[1]Craig Eval'!A:M,13,FALSE)),"",VLOOKUP(A168,'[1]Craig Eval'!A:M,13,FALSE))</f>
        <v/>
      </c>
      <c r="K168" s="17">
        <v>1</v>
      </c>
    </row>
    <row r="169" spans="1:11" ht="30" x14ac:dyDescent="0.25">
      <c r="A169" s="3" t="s">
        <v>354</v>
      </c>
      <c r="B169" s="4" t="s">
        <v>355</v>
      </c>
      <c r="C169" s="5">
        <v>15689</v>
      </c>
      <c r="D169" s="6" t="s">
        <v>34</v>
      </c>
      <c r="E169" s="6" t="s">
        <v>17</v>
      </c>
      <c r="F169" s="7">
        <v>36161</v>
      </c>
      <c r="G169" s="8">
        <f t="shared" si="2"/>
        <v>36161</v>
      </c>
      <c r="H169" s="6" t="s">
        <v>13</v>
      </c>
      <c r="I169" s="9" t="str">
        <f>IF(ISNA(VLOOKUP(A169,'[1]Craig Eval'!A:C,3,FALSE)),"",(VLOOKUP(A169,'[1]Craig Eval'!A:C,3,FALSE))*1000)</f>
        <v/>
      </c>
      <c r="J169" s="10" t="str">
        <f>IF(ISNA(VLOOKUP(A169,'[1]Craig Eval'!A:M,13,FALSE)),"",VLOOKUP(A169,'[1]Craig Eval'!A:M,13,FALSE))</f>
        <v/>
      </c>
      <c r="K169" s="17">
        <v>1</v>
      </c>
    </row>
    <row r="170" spans="1:11" ht="30" x14ac:dyDescent="0.25">
      <c r="A170" s="3" t="s">
        <v>356</v>
      </c>
      <c r="B170" s="4" t="s">
        <v>357</v>
      </c>
      <c r="C170" s="5">
        <v>1266</v>
      </c>
      <c r="D170" s="6" t="s">
        <v>34</v>
      </c>
      <c r="E170" s="6" t="s">
        <v>17</v>
      </c>
      <c r="F170" s="7">
        <v>36539</v>
      </c>
      <c r="G170" s="8">
        <f t="shared" si="2"/>
        <v>36539</v>
      </c>
      <c r="H170" s="6" t="s">
        <v>13</v>
      </c>
      <c r="I170" s="9" t="str">
        <f>IF(ISNA(VLOOKUP(A170,'[1]Craig Eval'!A:C,3,FALSE)),"",(VLOOKUP(A170,'[1]Craig Eval'!A:C,3,FALSE))*1000)</f>
        <v/>
      </c>
      <c r="J170" s="10" t="str">
        <f>IF(ISNA(VLOOKUP(A170,'[1]Craig Eval'!A:M,13,FALSE)),"",VLOOKUP(A170,'[1]Craig Eval'!A:M,13,FALSE))</f>
        <v/>
      </c>
      <c r="K170" s="17">
        <v>1</v>
      </c>
    </row>
    <row r="171" spans="1:11" ht="30" x14ac:dyDescent="0.25">
      <c r="A171" s="3" t="s">
        <v>358</v>
      </c>
      <c r="B171" s="4" t="s">
        <v>359</v>
      </c>
      <c r="C171" s="5">
        <v>1036</v>
      </c>
      <c r="D171" s="6" t="s">
        <v>31</v>
      </c>
      <c r="E171" s="6" t="s">
        <v>17</v>
      </c>
      <c r="F171" s="7">
        <v>29221</v>
      </c>
      <c r="G171" s="8">
        <f t="shared" si="2"/>
        <v>29221</v>
      </c>
      <c r="H171" s="6" t="s">
        <v>13</v>
      </c>
      <c r="I171" s="9">
        <f>IF(ISNA(VLOOKUP(A171,'[1]Craig Eval'!A:C,3,FALSE)),"",(VLOOKUP(A171,'[1]Craig Eval'!A:C,3,FALSE))*1000)</f>
        <v>75689.563684619206</v>
      </c>
      <c r="J171" s="10">
        <f>IF(ISNA(VLOOKUP(A171,'[1]Craig Eval'!A:M,13,FALSE)),"",VLOOKUP(A171,'[1]Craig Eval'!A:M,13,FALSE))</f>
        <v>203.66509986665699</v>
      </c>
      <c r="K171" s="17">
        <v>2</v>
      </c>
    </row>
    <row r="172" spans="1:11" ht="30" x14ac:dyDescent="0.25">
      <c r="A172" s="18" t="s">
        <v>360</v>
      </c>
      <c r="B172" s="19" t="s">
        <v>361</v>
      </c>
      <c r="C172" s="5">
        <v>2020</v>
      </c>
      <c r="D172" s="21" t="s">
        <v>16</v>
      </c>
      <c r="E172" s="21" t="s">
        <v>17</v>
      </c>
      <c r="F172" s="22">
        <v>29221</v>
      </c>
      <c r="G172" s="23">
        <f t="shared" si="2"/>
        <v>29221</v>
      </c>
      <c r="H172" s="21" t="s">
        <v>13</v>
      </c>
      <c r="I172" s="9" t="str">
        <f>IF(ISNA(VLOOKUP(A172,'[1]Craig Eval'!A:C,3,FALSE)),"",(VLOOKUP(A172,'[1]Craig Eval'!A:C,3,FALSE))*1000)</f>
        <v/>
      </c>
      <c r="J172" s="24" t="str">
        <f>IF(ISNA(VLOOKUP(A172,'[1]Craig Eval'!A:M,13,FALSE)),"",VLOOKUP(A172,'[1]Craig Eval'!A:M,13,FALSE))</f>
        <v/>
      </c>
      <c r="K172" s="25">
        <v>1</v>
      </c>
    </row>
    <row r="173" spans="1:11" ht="30" x14ac:dyDescent="0.25">
      <c r="A173" s="3" t="s">
        <v>362</v>
      </c>
      <c r="B173" s="4" t="s">
        <v>363</v>
      </c>
      <c r="C173" s="14">
        <v>72105</v>
      </c>
      <c r="D173" s="6" t="s">
        <v>11</v>
      </c>
      <c r="E173" s="6" t="s">
        <v>12</v>
      </c>
      <c r="F173" s="7">
        <v>39234</v>
      </c>
      <c r="G173" s="8">
        <f t="shared" si="2"/>
        <v>39234</v>
      </c>
      <c r="H173" s="6" t="s">
        <v>39</v>
      </c>
      <c r="I173" s="9" t="str">
        <f>IF(ISNA(VLOOKUP(A173,'[1]Craig Eval'!A:C,3,FALSE)),"",(VLOOKUP(A173,'[1]Craig Eval'!A:C,3,FALSE))*1000)</f>
        <v/>
      </c>
      <c r="J173" s="10" t="str">
        <f>IF(ISNA(VLOOKUP(A173,'[1]Craig Eval'!A:M,13,FALSE)),"",VLOOKUP(A173,'[1]Craig Eval'!A:M,13,FALSE))</f>
        <v/>
      </c>
      <c r="K173" s="17">
        <v>2</v>
      </c>
    </row>
    <row r="174" spans="1:11" ht="30" x14ac:dyDescent="0.25">
      <c r="A174" s="3" t="s">
        <v>364</v>
      </c>
      <c r="B174" s="4" t="s">
        <v>365</v>
      </c>
      <c r="C174" s="5">
        <v>72104</v>
      </c>
      <c r="D174" s="6" t="s">
        <v>11</v>
      </c>
      <c r="E174" s="6" t="s">
        <v>12</v>
      </c>
      <c r="F174" s="7">
        <v>39234</v>
      </c>
      <c r="G174" s="8">
        <f t="shared" si="2"/>
        <v>39234</v>
      </c>
      <c r="H174" s="6" t="s">
        <v>39</v>
      </c>
      <c r="I174" s="9" t="str">
        <f>IF(ISNA(VLOOKUP(A174,'[1]Craig Eval'!A:C,3,FALSE)),"",(VLOOKUP(A174,'[1]Craig Eval'!A:C,3,FALSE))*1000)</f>
        <v/>
      </c>
      <c r="J174" s="10" t="str">
        <f>IF(ISNA(VLOOKUP(A174,'[1]Craig Eval'!A:M,13,FALSE)),"",VLOOKUP(A174,'[1]Craig Eval'!A:M,13,FALSE))</f>
        <v/>
      </c>
      <c r="K174" s="17">
        <v>1</v>
      </c>
    </row>
    <row r="175" spans="1:11" ht="30" x14ac:dyDescent="0.25">
      <c r="A175" s="3" t="s">
        <v>366</v>
      </c>
      <c r="B175" s="4" t="s">
        <v>367</v>
      </c>
      <c r="C175" s="5">
        <v>72103</v>
      </c>
      <c r="D175" s="6" t="s">
        <v>11</v>
      </c>
      <c r="E175" s="6" t="s">
        <v>12</v>
      </c>
      <c r="F175" s="7">
        <v>39234</v>
      </c>
      <c r="G175" s="8">
        <f t="shared" si="2"/>
        <v>39234</v>
      </c>
      <c r="H175" s="6" t="s">
        <v>39</v>
      </c>
      <c r="I175" s="9" t="str">
        <f>IF(ISNA(VLOOKUP(A175,'[1]Craig Eval'!A:C,3,FALSE)),"",(VLOOKUP(A175,'[1]Craig Eval'!A:C,3,FALSE))*1000)</f>
        <v/>
      </c>
      <c r="J175" s="10" t="str">
        <f>IF(ISNA(VLOOKUP(A175,'[1]Craig Eval'!A:M,13,FALSE)),"",VLOOKUP(A175,'[1]Craig Eval'!A:M,13,FALSE))</f>
        <v/>
      </c>
      <c r="K175" s="17">
        <v>1</v>
      </c>
    </row>
    <row r="176" spans="1:11" ht="30" x14ac:dyDescent="0.25">
      <c r="A176" s="3" t="s">
        <v>368</v>
      </c>
      <c r="B176" s="4" t="s">
        <v>369</v>
      </c>
      <c r="C176" s="5">
        <v>1483</v>
      </c>
      <c r="D176" s="6" t="s">
        <v>34</v>
      </c>
      <c r="E176" s="6" t="s">
        <v>17</v>
      </c>
      <c r="F176" s="7">
        <v>31778</v>
      </c>
      <c r="G176" s="8">
        <f t="shared" si="2"/>
        <v>31778</v>
      </c>
      <c r="H176" s="6" t="s">
        <v>13</v>
      </c>
      <c r="I176" s="9" t="str">
        <f>IF(ISNA(VLOOKUP(A176,'[1]Craig Eval'!A:C,3,FALSE)),"",(VLOOKUP(A176,'[1]Craig Eval'!A:C,3,FALSE))*1000)</f>
        <v/>
      </c>
      <c r="J176" s="10" t="str">
        <f>IF(ISNA(VLOOKUP(A176,'[1]Craig Eval'!A:M,13,FALSE)),"",VLOOKUP(A176,'[1]Craig Eval'!A:M,13,FALSE))</f>
        <v/>
      </c>
      <c r="K176" s="17">
        <v>1</v>
      </c>
    </row>
    <row r="177" spans="1:11" ht="30" x14ac:dyDescent="0.25">
      <c r="A177" s="3" t="s">
        <v>370</v>
      </c>
      <c r="B177" s="4" t="s">
        <v>371</v>
      </c>
      <c r="C177" s="5">
        <v>1173</v>
      </c>
      <c r="D177" s="6" t="s">
        <v>16</v>
      </c>
      <c r="E177" s="6" t="s">
        <v>17</v>
      </c>
      <c r="F177" s="7">
        <v>29221</v>
      </c>
      <c r="G177" s="8">
        <f t="shared" si="2"/>
        <v>29221</v>
      </c>
      <c r="H177" s="6" t="s">
        <v>13</v>
      </c>
      <c r="I177" s="9">
        <f>IF(ISNA(VLOOKUP(A177,'[1]Craig Eval'!A:C,3,FALSE)),"",(VLOOKUP(A177,'[1]Craig Eval'!A:C,3,FALSE))*1000)</f>
        <v>46597.453151395799</v>
      </c>
      <c r="J177" s="10">
        <f>IF(ISNA(VLOOKUP(A177,'[1]Craig Eval'!A:M,13,FALSE)),"",VLOOKUP(A177,'[1]Craig Eval'!A:M,13,FALSE))</f>
        <v>129.10656474092599</v>
      </c>
      <c r="K177" s="11">
        <v>1</v>
      </c>
    </row>
    <row r="178" spans="1:11" ht="30" x14ac:dyDescent="0.25">
      <c r="A178" s="3" t="s">
        <v>372</v>
      </c>
      <c r="B178" s="4" t="s">
        <v>373</v>
      </c>
      <c r="C178" s="5">
        <v>1174</v>
      </c>
      <c r="D178" s="6" t="s">
        <v>16</v>
      </c>
      <c r="E178" s="6" t="s">
        <v>17</v>
      </c>
      <c r="F178" s="7">
        <v>32874</v>
      </c>
      <c r="G178" s="8">
        <f t="shared" si="2"/>
        <v>32874</v>
      </c>
      <c r="H178" s="6" t="s">
        <v>13</v>
      </c>
      <c r="I178" s="9">
        <f>IF(ISNA(VLOOKUP(A178,'[1]Craig Eval'!A:C,3,FALSE)),"",(VLOOKUP(A178,'[1]Craig Eval'!A:C,3,FALSE))*1000)</f>
        <v>61090.288023538698</v>
      </c>
      <c r="J178" s="10">
        <f>IF(ISNA(VLOOKUP(A178,'[1]Craig Eval'!A:M,13,FALSE)),"",VLOOKUP(A178,'[1]Craig Eval'!A:M,13,FALSE))</f>
        <v>166.63600213009801</v>
      </c>
      <c r="K178" s="17">
        <v>2</v>
      </c>
    </row>
    <row r="179" spans="1:11" ht="30" x14ac:dyDescent="0.25">
      <c r="A179" s="3" t="s">
        <v>374</v>
      </c>
      <c r="B179" s="4" t="s">
        <v>375</v>
      </c>
      <c r="C179" s="5">
        <v>14403</v>
      </c>
      <c r="D179" s="6" t="s">
        <v>37</v>
      </c>
      <c r="E179" s="6" t="s">
        <v>38</v>
      </c>
      <c r="F179" s="7">
        <v>37125</v>
      </c>
      <c r="G179" s="8">
        <f t="shared" si="2"/>
        <v>37125</v>
      </c>
      <c r="H179" s="6" t="s">
        <v>39</v>
      </c>
      <c r="I179" s="9" t="str">
        <f>IF(ISNA(VLOOKUP(A179,'[1]Craig Eval'!A:C,3,FALSE)),"",(VLOOKUP(A179,'[1]Craig Eval'!A:C,3,FALSE))*1000)</f>
        <v/>
      </c>
      <c r="J179" s="10" t="str">
        <f>IF(ISNA(VLOOKUP(A179,'[1]Craig Eval'!A:M,13,FALSE)),"",VLOOKUP(A179,'[1]Craig Eval'!A:M,13,FALSE))</f>
        <v/>
      </c>
      <c r="K179" s="17">
        <v>1</v>
      </c>
    </row>
    <row r="180" spans="1:11" ht="30" x14ac:dyDescent="0.25">
      <c r="A180" s="3" t="s">
        <v>376</v>
      </c>
      <c r="B180" s="4" t="s">
        <v>377</v>
      </c>
      <c r="C180" s="14">
        <v>1778</v>
      </c>
      <c r="D180" s="6" t="s">
        <v>34</v>
      </c>
      <c r="E180" s="6" t="s">
        <v>17</v>
      </c>
      <c r="F180" s="7">
        <v>24108</v>
      </c>
      <c r="G180" s="8">
        <f t="shared" si="2"/>
        <v>24108</v>
      </c>
      <c r="H180" s="6" t="s">
        <v>13</v>
      </c>
      <c r="I180" s="9">
        <f>IF(ISNA(VLOOKUP(A180,'[1]Craig Eval'!A:C,3,FALSE)),"",(VLOOKUP(A180,'[1]Craig Eval'!A:C,3,FALSE))*1000)</f>
        <v>205090.124196007</v>
      </c>
      <c r="J180" s="10">
        <f>IF(ISNA(VLOOKUP(A180,'[1]Craig Eval'!A:M,13,FALSE)),"",VLOOKUP(A180,'[1]Craig Eval'!A:M,13,FALSE))</f>
        <v>509.488541149642</v>
      </c>
      <c r="K180" s="17">
        <v>3</v>
      </c>
    </row>
    <row r="181" spans="1:11" ht="30" x14ac:dyDescent="0.25">
      <c r="A181" s="3" t="s">
        <v>378</v>
      </c>
      <c r="B181" s="4" t="s">
        <v>379</v>
      </c>
      <c r="C181" s="14">
        <v>1357</v>
      </c>
      <c r="D181" s="6" t="s">
        <v>31</v>
      </c>
      <c r="E181" s="6" t="s">
        <v>17</v>
      </c>
      <c r="F181" s="7">
        <v>29221</v>
      </c>
      <c r="G181" s="8">
        <f t="shared" si="2"/>
        <v>29221</v>
      </c>
      <c r="H181" s="6" t="s">
        <v>13</v>
      </c>
      <c r="I181" s="9">
        <f>IF(ISNA(VLOOKUP(A181,'[1]Craig Eval'!A:C,3,FALSE)),"",(VLOOKUP(A181,'[1]Craig Eval'!A:C,3,FALSE))*1000)</f>
        <v>43279.332630848599</v>
      </c>
      <c r="J181" s="10">
        <f>IF(ISNA(VLOOKUP(A181,'[1]Craig Eval'!A:M,13,FALSE)),"",VLOOKUP(A181,'[1]Craig Eval'!A:M,13,FALSE))</f>
        <v>120.39064520751199</v>
      </c>
      <c r="K181" s="17">
        <v>2</v>
      </c>
    </row>
    <row r="182" spans="1:11" ht="30" x14ac:dyDescent="0.25">
      <c r="A182" s="3" t="s">
        <v>380</v>
      </c>
      <c r="B182" s="4" t="s">
        <v>381</v>
      </c>
      <c r="C182" s="14">
        <v>24002</v>
      </c>
      <c r="D182" s="6" t="s">
        <v>16</v>
      </c>
      <c r="E182" s="6" t="s">
        <v>17</v>
      </c>
      <c r="F182" s="7">
        <v>38506</v>
      </c>
      <c r="G182" s="8">
        <f t="shared" si="2"/>
        <v>38506</v>
      </c>
      <c r="H182" s="6" t="s">
        <v>13</v>
      </c>
      <c r="I182" s="9">
        <f>IF(ISNA(VLOOKUP(A182,'[1]Craig Eval'!A:C,3,FALSE)),"",(VLOOKUP(A182,'[1]Craig Eval'!A:C,3,FALSE))*1000)</f>
        <v>9709.1376210728995</v>
      </c>
      <c r="J182" s="10">
        <f>IF(ISNA(VLOOKUP(A182,'[1]Craig Eval'!A:M,13,FALSE)),"",VLOOKUP(A182,'[1]Craig Eval'!A:M,13,FALSE))</f>
        <v>28.6356066456589</v>
      </c>
      <c r="K182" s="17">
        <v>1</v>
      </c>
    </row>
    <row r="183" spans="1:11" ht="30" x14ac:dyDescent="0.25">
      <c r="A183" s="3" t="s">
        <v>382</v>
      </c>
      <c r="B183" s="4" t="s">
        <v>383</v>
      </c>
      <c r="C183" s="14">
        <v>1466</v>
      </c>
      <c r="D183" s="6" t="s">
        <v>31</v>
      </c>
      <c r="E183" s="6" t="s">
        <v>17</v>
      </c>
      <c r="F183" s="7">
        <v>39680</v>
      </c>
      <c r="G183" s="8">
        <f t="shared" si="2"/>
        <v>39680</v>
      </c>
      <c r="H183" s="6" t="s">
        <v>13</v>
      </c>
      <c r="I183" s="9" t="str">
        <f>IF(ISNA(VLOOKUP(A183,'[1]Craig Eval'!A:C,3,FALSE)),"",(VLOOKUP(A183,'[1]Craig Eval'!A:C,3,FALSE))*1000)</f>
        <v/>
      </c>
      <c r="J183" s="10" t="str">
        <f>IF(ISNA(VLOOKUP(A183,'[1]Craig Eval'!A:M,13,FALSE)),"",VLOOKUP(A183,'[1]Craig Eval'!A:M,13,FALSE))</f>
        <v/>
      </c>
      <c r="K183" s="17">
        <v>4</v>
      </c>
    </row>
    <row r="184" spans="1:11" ht="30" x14ac:dyDescent="0.25">
      <c r="A184" s="18" t="s">
        <v>384</v>
      </c>
      <c r="B184" s="19" t="s">
        <v>385</v>
      </c>
      <c r="C184" s="5">
        <v>2031</v>
      </c>
      <c r="D184" s="21" t="s">
        <v>31</v>
      </c>
      <c r="E184" s="21" t="s">
        <v>17</v>
      </c>
      <c r="F184" s="22">
        <v>29221</v>
      </c>
      <c r="G184" s="23">
        <f t="shared" si="2"/>
        <v>29221</v>
      </c>
      <c r="H184" s="21" t="s">
        <v>13</v>
      </c>
      <c r="I184" s="9">
        <f>IF(ISNA(VLOOKUP(A184,'[1]Craig Eval'!A:C,3,FALSE)),"",(VLOOKUP(A184,'[1]Craig Eval'!A:C,3,FALSE))*1000)</f>
        <v>44761.049956670096</v>
      </c>
      <c r="J184" s="24">
        <f>IF(ISNA(VLOOKUP(A184,'[1]Craig Eval'!A:M,13,FALSE)),"",VLOOKUP(A184,'[1]Craig Eval'!A:M,13,FALSE))</f>
        <v>124.28890859175699</v>
      </c>
      <c r="K184" s="25">
        <v>1</v>
      </c>
    </row>
    <row r="185" spans="1:11" ht="30" x14ac:dyDescent="0.25">
      <c r="A185" s="3" t="s">
        <v>386</v>
      </c>
      <c r="B185" s="4" t="s">
        <v>387</v>
      </c>
      <c r="C185" s="14">
        <v>1383</v>
      </c>
      <c r="D185" s="6" t="s">
        <v>16</v>
      </c>
      <c r="E185" s="6" t="s">
        <v>17</v>
      </c>
      <c r="F185" s="7">
        <v>29221</v>
      </c>
      <c r="G185" s="8">
        <f t="shared" si="2"/>
        <v>29221</v>
      </c>
      <c r="H185" s="6" t="s">
        <v>13</v>
      </c>
      <c r="I185" s="9" t="str">
        <f>IF(ISNA(VLOOKUP(A185,'[1]Craig Eval'!A:C,3,FALSE)),"",(VLOOKUP(A185,'[1]Craig Eval'!A:C,3,FALSE))*1000)</f>
        <v/>
      </c>
      <c r="J185" s="10" t="str">
        <f>IF(ISNA(VLOOKUP(A185,'[1]Craig Eval'!A:M,13,FALSE)),"",VLOOKUP(A185,'[1]Craig Eval'!A:M,13,FALSE))</f>
        <v/>
      </c>
      <c r="K185" s="17">
        <v>2</v>
      </c>
    </row>
    <row r="186" spans="1:11" ht="30" x14ac:dyDescent="0.25">
      <c r="A186" s="3" t="s">
        <v>388</v>
      </c>
      <c r="B186" s="4" t="s">
        <v>389</v>
      </c>
      <c r="C186" s="5">
        <v>52274</v>
      </c>
      <c r="D186" s="6" t="s">
        <v>37</v>
      </c>
      <c r="E186" s="6" t="s">
        <v>38</v>
      </c>
      <c r="F186" s="7">
        <v>38624</v>
      </c>
      <c r="G186" s="8">
        <f t="shared" si="2"/>
        <v>38624</v>
      </c>
      <c r="H186" s="6" t="s">
        <v>39</v>
      </c>
      <c r="I186" s="9" t="str">
        <f>IF(ISNA(VLOOKUP(A186,'[1]Craig Eval'!A:C,3,FALSE)),"",(VLOOKUP(A186,'[1]Craig Eval'!A:C,3,FALSE))*1000)</f>
        <v/>
      </c>
      <c r="J186" s="10" t="str">
        <f>IF(ISNA(VLOOKUP(A186,'[1]Craig Eval'!A:M,13,FALSE)),"",VLOOKUP(A186,'[1]Craig Eval'!A:M,13,FALSE))</f>
        <v/>
      </c>
      <c r="K186" s="17">
        <v>1</v>
      </c>
    </row>
    <row r="187" spans="1:11" ht="30" x14ac:dyDescent="0.25">
      <c r="A187" s="18" t="s">
        <v>390</v>
      </c>
      <c r="B187" s="19" t="s">
        <v>391</v>
      </c>
      <c r="C187" s="20">
        <v>1392</v>
      </c>
      <c r="D187" s="21" t="s">
        <v>16</v>
      </c>
      <c r="E187" s="21" t="s">
        <v>17</v>
      </c>
      <c r="F187" s="22">
        <v>29221</v>
      </c>
      <c r="G187" s="23">
        <f t="shared" si="2"/>
        <v>29221</v>
      </c>
      <c r="H187" s="21" t="s">
        <v>13</v>
      </c>
      <c r="I187" s="9">
        <f>IF(ISNA(VLOOKUP(A187,'[1]Craig Eval'!A:C,3,FALSE)),"",(VLOOKUP(A187,'[1]Craig Eval'!A:C,3,FALSE))*1000)</f>
        <v>13562.140127540299</v>
      </c>
      <c r="J187" s="24">
        <f>IF(ISNA(VLOOKUP(A187,'[1]Craig Eval'!A:M,13,FALSE)),"",VLOOKUP(A187,'[1]Craig Eval'!A:M,13,FALSE))</f>
        <v>39.602687512766302</v>
      </c>
      <c r="K187" s="25">
        <v>1</v>
      </c>
    </row>
    <row r="188" spans="1:11" ht="30" x14ac:dyDescent="0.25">
      <c r="A188" s="3" t="s">
        <v>392</v>
      </c>
      <c r="B188" s="4" t="s">
        <v>393</v>
      </c>
      <c r="C188" s="5">
        <v>1676</v>
      </c>
      <c r="D188" s="6" t="s">
        <v>34</v>
      </c>
      <c r="E188" s="6" t="s">
        <v>17</v>
      </c>
      <c r="F188" s="7">
        <v>36427</v>
      </c>
      <c r="G188" s="8">
        <f t="shared" si="2"/>
        <v>36427</v>
      </c>
      <c r="H188" s="6" t="s">
        <v>13</v>
      </c>
      <c r="I188" s="9">
        <f>IF(ISNA(VLOOKUP(A188,'[1]Craig Eval'!A:C,3,FALSE)),"",(VLOOKUP(A188,'[1]Craig Eval'!A:C,3,FALSE))*1000)</f>
        <v>11856.951416210301</v>
      </c>
      <c r="J188" s="10">
        <f>IF(ISNA(VLOOKUP(A188,'[1]Craig Eval'!A:M,13,FALSE)),"",VLOOKUP(A188,'[1]Craig Eval'!A:M,13,FALSE))</f>
        <v>34.768735020964797</v>
      </c>
      <c r="K188" s="17">
        <v>1</v>
      </c>
    </row>
    <row r="189" spans="1:11" ht="30" x14ac:dyDescent="0.25">
      <c r="A189" s="26" t="s">
        <v>394</v>
      </c>
      <c r="B189" s="27" t="s">
        <v>395</v>
      </c>
      <c r="C189" s="34">
        <v>35169</v>
      </c>
      <c r="D189" s="28" t="s">
        <v>11</v>
      </c>
      <c r="E189" s="28" t="s">
        <v>12</v>
      </c>
      <c r="F189" s="29">
        <v>37097</v>
      </c>
      <c r="G189" s="30">
        <f t="shared" si="2"/>
        <v>37097</v>
      </c>
      <c r="H189" s="28" t="s">
        <v>39</v>
      </c>
      <c r="I189" s="31" t="str">
        <f>IF(ISNA(VLOOKUP(A189,'[1]Craig Eval'!A:C,3,FALSE)),"",(VLOOKUP(A189,'[1]Craig Eval'!A:C,3,FALSE))*1000)</f>
        <v/>
      </c>
      <c r="J189" s="32" t="str">
        <f>IF(ISNA(VLOOKUP(A189,'[1]Craig Eval'!A:M,13,FALSE)),"",VLOOKUP(A189,'[1]Craig Eval'!A:M,13,FALSE))</f>
        <v/>
      </c>
      <c r="K189" s="33">
        <v>1</v>
      </c>
    </row>
    <row r="190" spans="1:11" ht="30" x14ac:dyDescent="0.25">
      <c r="A190" s="3" t="s">
        <v>396</v>
      </c>
      <c r="B190" s="4" t="s">
        <v>397</v>
      </c>
      <c r="C190" s="5">
        <v>1961</v>
      </c>
      <c r="D190" s="6" t="s">
        <v>28</v>
      </c>
      <c r="E190" s="6" t="s">
        <v>17</v>
      </c>
      <c r="F190" s="7">
        <v>34335</v>
      </c>
      <c r="G190" s="8">
        <f t="shared" si="2"/>
        <v>34335</v>
      </c>
      <c r="H190" s="6" t="s">
        <v>13</v>
      </c>
      <c r="I190" s="9">
        <f>IF(ISNA(VLOOKUP(A190,'[1]Craig Eval'!A:C,3,FALSE)),"",(VLOOKUP(A190,'[1]Craig Eval'!A:C,3,FALSE))*1000)</f>
        <v>65609.192327621306</v>
      </c>
      <c r="J190" s="10">
        <f>IF(ISNA(VLOOKUP(A190,'[1]Craig Eval'!A:M,13,FALSE)),"",VLOOKUP(A190,'[1]Craig Eval'!A:M,13,FALSE))</f>
        <v>178.17478917680901</v>
      </c>
      <c r="K190" s="17">
        <v>2</v>
      </c>
    </row>
    <row r="191" spans="1:11" ht="30" x14ac:dyDescent="0.25">
      <c r="A191" s="3" t="s">
        <v>398</v>
      </c>
      <c r="B191" s="4" t="s">
        <v>399</v>
      </c>
      <c r="C191" s="14">
        <v>1303</v>
      </c>
      <c r="D191" s="6" t="s">
        <v>16</v>
      </c>
      <c r="E191" s="6" t="s">
        <v>17</v>
      </c>
      <c r="F191" s="7">
        <v>35247</v>
      </c>
      <c r="G191" s="8">
        <f t="shared" si="2"/>
        <v>35247</v>
      </c>
      <c r="H191" s="6" t="s">
        <v>13</v>
      </c>
      <c r="I191" s="9">
        <f>IF(ISNA(VLOOKUP(A191,'[1]Craig Eval'!A:C,3,FALSE)),"",(VLOOKUP(A191,'[1]Craig Eval'!A:C,3,FALSE))*1000)</f>
        <v>147650.56113680001</v>
      </c>
      <c r="J191" s="10">
        <f>IF(ISNA(VLOOKUP(A191,'[1]Craig Eval'!A:M,13,FALSE)),"",VLOOKUP(A191,'[1]Craig Eval'!A:M,13,FALSE))</f>
        <v>377.79106245299801</v>
      </c>
      <c r="K191" s="17">
        <v>3</v>
      </c>
    </row>
    <row r="192" spans="1:11" ht="30" x14ac:dyDescent="0.25">
      <c r="A192" s="3" t="s">
        <v>400</v>
      </c>
      <c r="B192" s="4" t="s">
        <v>401</v>
      </c>
      <c r="C192" s="5">
        <v>54503</v>
      </c>
      <c r="D192" s="6" t="s">
        <v>28</v>
      </c>
      <c r="E192" s="6" t="s">
        <v>17</v>
      </c>
      <c r="F192" s="7">
        <v>38453</v>
      </c>
      <c r="G192" s="8">
        <f t="shared" si="2"/>
        <v>38453</v>
      </c>
      <c r="H192" s="6" t="s">
        <v>13</v>
      </c>
      <c r="I192" s="9">
        <f>IF(ISNA(VLOOKUP(A192,'[1]Craig Eval'!A:C,3,FALSE)),"",(VLOOKUP(A192,'[1]Craig Eval'!A:C,3,FALSE))*1000)</f>
        <v>5898.0903071091907</v>
      </c>
      <c r="J192" s="10">
        <f>IF(ISNA(VLOOKUP(A192,'[1]Craig Eval'!A:M,13,FALSE)),"",VLOOKUP(A192,'[1]Craig Eval'!A:M,13,FALSE))</f>
        <v>17.610965311640399</v>
      </c>
      <c r="K192" s="17">
        <v>1</v>
      </c>
    </row>
    <row r="193" spans="1:11" ht="30" x14ac:dyDescent="0.25">
      <c r="A193" s="26" t="s">
        <v>402</v>
      </c>
      <c r="B193" s="27" t="s">
        <v>403</v>
      </c>
      <c r="C193" s="34">
        <v>9284</v>
      </c>
      <c r="D193" s="28" t="s">
        <v>28</v>
      </c>
      <c r="E193" s="28" t="s">
        <v>17</v>
      </c>
      <c r="F193" s="29">
        <v>36446</v>
      </c>
      <c r="G193" s="30">
        <f t="shared" si="2"/>
        <v>36446</v>
      </c>
      <c r="H193" s="28" t="s">
        <v>13</v>
      </c>
      <c r="I193" s="31">
        <f>IF(ISNA(VLOOKUP(A193,'[1]Craig Eval'!A:C,3,FALSE)),"",(VLOOKUP(A193,'[1]Craig Eval'!A:C,3,FALSE))*1000)</f>
        <v>31854.218012675901</v>
      </c>
      <c r="J193" s="32">
        <f>IF(ISNA(VLOOKUP(A193,'[1]Craig Eval'!A:M,13,FALSE)),"",VLOOKUP(A193,'[1]Craig Eval'!A:M,13,FALSE))</f>
        <v>89.9708878042442</v>
      </c>
      <c r="K193" s="33">
        <v>1</v>
      </c>
    </row>
    <row r="194" spans="1:11" ht="30" x14ac:dyDescent="0.25">
      <c r="A194" s="3" t="s">
        <v>404</v>
      </c>
      <c r="B194" s="4" t="s">
        <v>405</v>
      </c>
      <c r="C194" s="5">
        <v>52940</v>
      </c>
      <c r="D194" s="6" t="s">
        <v>34</v>
      </c>
      <c r="E194" s="6" t="s">
        <v>17</v>
      </c>
      <c r="F194" s="7">
        <v>24108</v>
      </c>
      <c r="G194" s="8">
        <f t="shared" ref="G194:G257" si="3">F194</f>
        <v>24108</v>
      </c>
      <c r="H194" s="6" t="s">
        <v>13</v>
      </c>
      <c r="I194" s="9">
        <f>IF(ISNA(VLOOKUP(A194,'[1]Craig Eval'!A:C,3,FALSE)),"",(VLOOKUP(A194,'[1]Craig Eval'!A:C,3,FALSE))*1000)</f>
        <v>100154.592971611</v>
      </c>
      <c r="J194" s="10">
        <f>IF(ISNA(VLOOKUP(A194,'[1]Craig Eval'!A:M,13,FALSE)),"",VLOOKUP(A194,'[1]Craig Eval'!A:M,13,FALSE))</f>
        <v>264.26675262567602</v>
      </c>
      <c r="K194" s="17">
        <v>1</v>
      </c>
    </row>
    <row r="195" spans="1:11" ht="30" x14ac:dyDescent="0.25">
      <c r="A195" s="18" t="s">
        <v>406</v>
      </c>
      <c r="B195" s="19" t="s">
        <v>407</v>
      </c>
      <c r="C195" s="5">
        <v>1102</v>
      </c>
      <c r="D195" s="21" t="s">
        <v>28</v>
      </c>
      <c r="E195" s="21" t="s">
        <v>17</v>
      </c>
      <c r="F195" s="22">
        <v>29221</v>
      </c>
      <c r="G195" s="23">
        <f t="shared" si="3"/>
        <v>29221</v>
      </c>
      <c r="H195" s="21" t="s">
        <v>13</v>
      </c>
      <c r="I195" s="9">
        <f>IF(ISNA(VLOOKUP(A195,'[1]Craig Eval'!A:C,3,FALSE)),"",(VLOOKUP(A195,'[1]Craig Eval'!A:C,3,FALSE))*1000)</f>
        <v>70539.228338887493</v>
      </c>
      <c r="J195" s="24">
        <f>IF(ISNA(VLOOKUP(A195,'[1]Craig Eval'!A:M,13,FALSE)),"",VLOOKUP(A195,'[1]Craig Eval'!A:M,13,FALSE))</f>
        <v>190.68300791589499</v>
      </c>
      <c r="K195" s="25">
        <v>2</v>
      </c>
    </row>
    <row r="196" spans="1:11" ht="30" x14ac:dyDescent="0.25">
      <c r="A196" s="3" t="s">
        <v>408</v>
      </c>
      <c r="B196" s="4" t="s">
        <v>409</v>
      </c>
      <c r="C196" s="5">
        <v>19203</v>
      </c>
      <c r="D196" s="6" t="s">
        <v>31</v>
      </c>
      <c r="E196" s="6" t="s">
        <v>17</v>
      </c>
      <c r="F196" s="7">
        <v>34116</v>
      </c>
      <c r="G196" s="8">
        <f t="shared" si="3"/>
        <v>34116</v>
      </c>
      <c r="H196" s="6" t="s">
        <v>13</v>
      </c>
      <c r="I196" s="9">
        <f>IF(ISNA(VLOOKUP(A196,'[1]Craig Eval'!A:C,3,FALSE)),"",(VLOOKUP(A196,'[1]Craig Eval'!A:C,3,FALSE))*1000)</f>
        <v>34097.1982724966</v>
      </c>
      <c r="J196" s="10">
        <f>IF(ISNA(VLOOKUP(A196,'[1]Craig Eval'!A:M,13,FALSE)),"",VLOOKUP(A196,'[1]Craig Eval'!A:M,13,FALSE))</f>
        <v>95.996616260258193</v>
      </c>
      <c r="K196" s="17">
        <v>1</v>
      </c>
    </row>
    <row r="197" spans="1:11" ht="30" x14ac:dyDescent="0.25">
      <c r="A197" s="3" t="s">
        <v>410</v>
      </c>
      <c r="B197" s="4" t="s">
        <v>411</v>
      </c>
      <c r="C197" s="5">
        <v>72154</v>
      </c>
      <c r="D197" s="6" t="s">
        <v>37</v>
      </c>
      <c r="E197" s="6" t="s">
        <v>38</v>
      </c>
      <c r="F197" s="7">
        <v>38876</v>
      </c>
      <c r="G197" s="8">
        <f t="shared" si="3"/>
        <v>38876</v>
      </c>
      <c r="H197" s="6" t="s">
        <v>39</v>
      </c>
      <c r="I197" s="9" t="str">
        <f>IF(ISNA(VLOOKUP(A197,'[1]Craig Eval'!A:C,3,FALSE)),"",(VLOOKUP(A197,'[1]Craig Eval'!A:C,3,FALSE))*1000)</f>
        <v/>
      </c>
      <c r="J197" s="10" t="str">
        <f>IF(ISNA(VLOOKUP(A197,'[1]Craig Eval'!A:M,13,FALSE)),"",VLOOKUP(A197,'[1]Craig Eval'!A:M,13,FALSE))</f>
        <v/>
      </c>
      <c r="K197" s="17">
        <v>1</v>
      </c>
    </row>
    <row r="198" spans="1:11" ht="30" x14ac:dyDescent="0.25">
      <c r="A198" s="3" t="s">
        <v>412</v>
      </c>
      <c r="B198" s="4" t="s">
        <v>413</v>
      </c>
      <c r="C198" s="14">
        <v>1979</v>
      </c>
      <c r="D198" s="6" t="s">
        <v>34</v>
      </c>
      <c r="E198" s="6" t="s">
        <v>17</v>
      </c>
      <c r="F198" s="7">
        <v>35065</v>
      </c>
      <c r="G198" s="8">
        <f t="shared" si="3"/>
        <v>35065</v>
      </c>
      <c r="H198" s="6" t="s">
        <v>13</v>
      </c>
      <c r="I198" s="9" t="str">
        <f>IF(ISNA(VLOOKUP(A198,'[1]Craig Eval'!A:C,3,FALSE)),"",(VLOOKUP(A198,'[1]Craig Eval'!A:C,3,FALSE))*1000)</f>
        <v/>
      </c>
      <c r="J198" s="10" t="str">
        <f>IF(ISNA(VLOOKUP(A198,'[1]Craig Eval'!A:M,13,FALSE)),"",VLOOKUP(A198,'[1]Craig Eval'!A:M,13,FALSE))</f>
        <v/>
      </c>
      <c r="K198" s="17">
        <v>2</v>
      </c>
    </row>
    <row r="199" spans="1:11" ht="30" x14ac:dyDescent="0.25">
      <c r="A199" s="3" t="s">
        <v>414</v>
      </c>
      <c r="B199" s="4" t="s">
        <v>415</v>
      </c>
      <c r="C199" s="5">
        <v>1078</v>
      </c>
      <c r="D199" s="6" t="s">
        <v>34</v>
      </c>
      <c r="E199" s="6" t="s">
        <v>17</v>
      </c>
      <c r="F199" s="7">
        <v>18264</v>
      </c>
      <c r="G199" s="8">
        <f t="shared" si="3"/>
        <v>18264</v>
      </c>
      <c r="H199" s="6" t="s">
        <v>13</v>
      </c>
      <c r="I199" s="9" t="str">
        <f>IF(ISNA(VLOOKUP(A199,'[1]Craig Eval'!A:C,3,FALSE)),"",(VLOOKUP(A199,'[1]Craig Eval'!A:C,3,FALSE))*1000)</f>
        <v/>
      </c>
      <c r="J199" s="10" t="str">
        <f>IF(ISNA(VLOOKUP(A199,'[1]Craig Eval'!A:M,13,FALSE)),"",VLOOKUP(A199,'[1]Craig Eval'!A:M,13,FALSE))</f>
        <v/>
      </c>
      <c r="K199" s="17">
        <v>1</v>
      </c>
    </row>
    <row r="200" spans="1:11" ht="30" x14ac:dyDescent="0.25">
      <c r="A200" s="3" t="s">
        <v>416</v>
      </c>
      <c r="B200" s="4" t="s">
        <v>417</v>
      </c>
      <c r="C200" s="5">
        <v>1878</v>
      </c>
      <c r="D200" s="6" t="s">
        <v>34</v>
      </c>
      <c r="E200" s="6" t="s">
        <v>17</v>
      </c>
      <c r="F200" s="7">
        <v>25569</v>
      </c>
      <c r="G200" s="8">
        <f t="shared" si="3"/>
        <v>25569</v>
      </c>
      <c r="H200" s="6" t="s">
        <v>13</v>
      </c>
      <c r="I200" s="9" t="str">
        <f>IF(ISNA(VLOOKUP(A200,'[1]Craig Eval'!A:C,3,FALSE)),"",(VLOOKUP(A200,'[1]Craig Eval'!A:C,3,FALSE))*1000)</f>
        <v/>
      </c>
      <c r="J200" s="10" t="str">
        <f>IF(ISNA(VLOOKUP(A200,'[1]Craig Eval'!A:M,13,FALSE)),"",VLOOKUP(A200,'[1]Craig Eval'!A:M,13,FALSE))</f>
        <v/>
      </c>
      <c r="K200" s="17">
        <v>1</v>
      </c>
    </row>
    <row r="201" spans="1:11" ht="30" x14ac:dyDescent="0.25">
      <c r="A201" s="3" t="s">
        <v>418</v>
      </c>
      <c r="B201" s="4" t="s">
        <v>419</v>
      </c>
      <c r="C201" s="14">
        <v>1229</v>
      </c>
      <c r="D201" s="6" t="s">
        <v>34</v>
      </c>
      <c r="E201" s="6" t="s">
        <v>17</v>
      </c>
      <c r="F201" s="7">
        <v>24108</v>
      </c>
      <c r="G201" s="8">
        <f t="shared" si="3"/>
        <v>24108</v>
      </c>
      <c r="H201" s="6" t="s">
        <v>13</v>
      </c>
      <c r="I201" s="9">
        <f>IF(ISNA(VLOOKUP(A201,'[1]Craig Eval'!A:C,3,FALSE)),"",(VLOOKUP(A201,'[1]Craig Eval'!A:C,3,FALSE))*1000)</f>
        <v>31058.938574624801</v>
      </c>
      <c r="J201" s="10">
        <f>IF(ISNA(VLOOKUP(A201,'[1]Craig Eval'!A:M,13,FALSE)),"",VLOOKUP(A201,'[1]Craig Eval'!A:M,13,FALSE))</f>
        <v>87.827575629744103</v>
      </c>
      <c r="K201" s="17">
        <v>2</v>
      </c>
    </row>
    <row r="202" spans="1:11" ht="30" x14ac:dyDescent="0.25">
      <c r="A202" s="3" t="s">
        <v>420</v>
      </c>
      <c r="B202" s="4" t="s">
        <v>421</v>
      </c>
      <c r="C202" s="5">
        <v>1659</v>
      </c>
      <c r="D202" s="6" t="s">
        <v>11</v>
      </c>
      <c r="E202" s="6" t="s">
        <v>17</v>
      </c>
      <c r="F202" s="7">
        <v>34670</v>
      </c>
      <c r="G202" s="8">
        <f t="shared" si="3"/>
        <v>34670</v>
      </c>
      <c r="H202" s="6" t="s">
        <v>13</v>
      </c>
      <c r="I202" s="9" t="str">
        <f>IF(ISNA(VLOOKUP(A202,'[1]Craig Eval'!A:C,3,FALSE)),"",(VLOOKUP(A202,'[1]Craig Eval'!A:C,3,FALSE))*1000)</f>
        <v/>
      </c>
      <c r="J202" s="10" t="str">
        <f>IF(ISNA(VLOOKUP(A202,'[1]Craig Eval'!A:M,13,FALSE)),"",VLOOKUP(A202,'[1]Craig Eval'!A:M,13,FALSE))</f>
        <v/>
      </c>
      <c r="K202" s="17">
        <v>1</v>
      </c>
    </row>
    <row r="203" spans="1:11" ht="30" x14ac:dyDescent="0.25">
      <c r="A203" s="3" t="s">
        <v>422</v>
      </c>
      <c r="B203" s="4" t="s">
        <v>423</v>
      </c>
      <c r="C203" s="14">
        <v>2003</v>
      </c>
      <c r="D203" s="6" t="s">
        <v>34</v>
      </c>
      <c r="E203" s="6" t="s">
        <v>17</v>
      </c>
      <c r="F203" s="7">
        <v>31413</v>
      </c>
      <c r="G203" s="8">
        <f t="shared" si="3"/>
        <v>31413</v>
      </c>
      <c r="H203" s="6" t="s">
        <v>13</v>
      </c>
      <c r="I203" s="9" t="str">
        <f>IF(ISNA(VLOOKUP(A203,'[1]Craig Eval'!A:C,3,FALSE)),"",(VLOOKUP(A203,'[1]Craig Eval'!A:C,3,FALSE))*1000)</f>
        <v/>
      </c>
      <c r="J203" s="10" t="str">
        <f>IF(ISNA(VLOOKUP(A203,'[1]Craig Eval'!A:M,13,FALSE)),"",VLOOKUP(A203,'[1]Craig Eval'!A:M,13,FALSE))</f>
        <v/>
      </c>
      <c r="K203" s="17">
        <v>4</v>
      </c>
    </row>
    <row r="204" spans="1:11" ht="30" x14ac:dyDescent="0.25">
      <c r="A204" s="3" t="s">
        <v>424</v>
      </c>
      <c r="B204" s="4" t="s">
        <v>425</v>
      </c>
      <c r="C204" s="5">
        <v>1306</v>
      </c>
      <c r="D204" s="6" t="s">
        <v>16</v>
      </c>
      <c r="E204" s="6" t="s">
        <v>17</v>
      </c>
      <c r="F204" s="7">
        <v>29952</v>
      </c>
      <c r="G204" s="8">
        <f t="shared" si="3"/>
        <v>29952</v>
      </c>
      <c r="H204" s="6" t="s">
        <v>13</v>
      </c>
      <c r="I204" s="9">
        <f>IF(ISNA(VLOOKUP(A204,'[1]Craig Eval'!A:C,3,FALSE)),"",(VLOOKUP(A204,'[1]Craig Eval'!A:C,3,FALSE))*1000)</f>
        <v>154109.05785999401</v>
      </c>
      <c r="J204" s="10">
        <f>IF(ISNA(VLOOKUP(A204,'[1]Craig Eval'!A:M,13,FALSE)),"",VLOOKUP(A204,'[1]Craig Eval'!A:M,13,FALSE))</f>
        <v>392.87521658024701</v>
      </c>
      <c r="K204" s="17">
        <v>4</v>
      </c>
    </row>
    <row r="205" spans="1:11" ht="30" x14ac:dyDescent="0.25">
      <c r="A205" s="3" t="s">
        <v>426</v>
      </c>
      <c r="B205" s="4" t="s">
        <v>427</v>
      </c>
      <c r="C205" s="14">
        <v>11204</v>
      </c>
      <c r="D205" s="6" t="s">
        <v>16</v>
      </c>
      <c r="E205" s="6" t="s">
        <v>17</v>
      </c>
      <c r="F205" s="7">
        <v>38504</v>
      </c>
      <c r="G205" s="8">
        <f t="shared" si="3"/>
        <v>38504</v>
      </c>
      <c r="H205" s="6" t="s">
        <v>13</v>
      </c>
      <c r="I205" s="9">
        <f>IF(ISNA(VLOOKUP(A205,'[1]Craig Eval'!A:C,3,FALSE)),"",(VLOOKUP(A205,'[1]Craig Eval'!A:C,3,FALSE))*1000)</f>
        <v>57949.590614581401</v>
      </c>
      <c r="J205" s="10">
        <f>IF(ISNA(VLOOKUP(A205,'[1]Craig Eval'!A:M,13,FALSE)),"",VLOOKUP(A205,'[1]Craig Eval'!A:M,13,FALSE))</f>
        <v>158.572881474864</v>
      </c>
      <c r="K205" s="17">
        <v>2</v>
      </c>
    </row>
    <row r="206" spans="1:11" ht="30" x14ac:dyDescent="0.25">
      <c r="A206" s="3" t="s">
        <v>428</v>
      </c>
      <c r="B206" s="4" t="s">
        <v>429</v>
      </c>
      <c r="C206" s="5">
        <v>54504</v>
      </c>
      <c r="D206" s="6" t="s">
        <v>34</v>
      </c>
      <c r="E206" s="6" t="s">
        <v>17</v>
      </c>
      <c r="F206" s="7">
        <v>38534</v>
      </c>
      <c r="G206" s="8">
        <f t="shared" si="3"/>
        <v>38534</v>
      </c>
      <c r="H206" s="6" t="s">
        <v>13</v>
      </c>
      <c r="I206" s="9" t="str">
        <f>IF(ISNA(VLOOKUP(A206,'[1]Craig Eval'!A:C,3,FALSE)),"",(VLOOKUP(A206,'[1]Craig Eval'!A:C,3,FALSE))*1000)</f>
        <v/>
      </c>
      <c r="J206" s="10" t="str">
        <f>IF(ISNA(VLOOKUP(A206,'[1]Craig Eval'!A:M,13,FALSE)),"",VLOOKUP(A206,'[1]Craig Eval'!A:M,13,FALSE))</f>
        <v/>
      </c>
      <c r="K206" s="17">
        <v>1</v>
      </c>
    </row>
    <row r="207" spans="1:11" ht="30" x14ac:dyDescent="0.25">
      <c r="A207" s="18" t="s">
        <v>430</v>
      </c>
      <c r="B207" s="19" t="s">
        <v>431</v>
      </c>
      <c r="C207" s="20">
        <v>1464</v>
      </c>
      <c r="D207" s="21" t="s">
        <v>34</v>
      </c>
      <c r="E207" s="21" t="s">
        <v>17</v>
      </c>
      <c r="F207" s="22">
        <v>27395</v>
      </c>
      <c r="G207" s="23">
        <f t="shared" si="3"/>
        <v>27395</v>
      </c>
      <c r="H207" s="21" t="s">
        <v>13</v>
      </c>
      <c r="I207" s="9" t="str">
        <f>IF(ISNA(VLOOKUP(A207,'[1]Craig Eval'!A:C,3,FALSE)),"",(VLOOKUP(A207,'[1]Craig Eval'!A:C,3,FALSE))*1000)</f>
        <v/>
      </c>
      <c r="J207" s="24" t="str">
        <f>IF(ISNA(VLOOKUP(A207,'[1]Craig Eval'!A:M,13,FALSE)),"",VLOOKUP(A207,'[1]Craig Eval'!A:M,13,FALSE))</f>
        <v/>
      </c>
      <c r="K207" s="25">
        <v>1</v>
      </c>
    </row>
    <row r="208" spans="1:11" ht="30" x14ac:dyDescent="0.25">
      <c r="A208" s="3" t="s">
        <v>432</v>
      </c>
      <c r="B208" s="4" t="s">
        <v>433</v>
      </c>
      <c r="C208" s="5">
        <v>30554</v>
      </c>
      <c r="D208" s="6" t="s">
        <v>34</v>
      </c>
      <c r="E208" s="6" t="s">
        <v>17</v>
      </c>
      <c r="F208" s="7">
        <v>39828</v>
      </c>
      <c r="G208" s="8">
        <f t="shared" si="3"/>
        <v>39828</v>
      </c>
      <c r="H208" s="6" t="s">
        <v>13</v>
      </c>
      <c r="I208" s="9" t="str">
        <f>IF(ISNA(VLOOKUP(A208,'[1]Craig Eval'!A:C,3,FALSE)),"",(VLOOKUP(A208,'[1]Craig Eval'!A:C,3,FALSE))*1000)</f>
        <v/>
      </c>
      <c r="J208" s="10" t="str">
        <f>IF(ISNA(VLOOKUP(A208,'[1]Craig Eval'!A:M,13,FALSE)),"",VLOOKUP(A208,'[1]Craig Eval'!A:M,13,FALSE))</f>
        <v/>
      </c>
      <c r="K208" s="17">
        <v>1</v>
      </c>
    </row>
    <row r="209" spans="1:11" ht="30" x14ac:dyDescent="0.25">
      <c r="A209" s="3" t="s">
        <v>434</v>
      </c>
      <c r="B209" s="4" t="s">
        <v>435</v>
      </c>
      <c r="C209" s="14">
        <v>11203</v>
      </c>
      <c r="D209" s="6" t="s">
        <v>31</v>
      </c>
      <c r="E209" s="6" t="s">
        <v>17</v>
      </c>
      <c r="F209" s="7">
        <v>37931</v>
      </c>
      <c r="G209" s="8">
        <f t="shared" si="3"/>
        <v>37931</v>
      </c>
      <c r="H209" s="6" t="s">
        <v>13</v>
      </c>
      <c r="I209" s="9">
        <f>IF(ISNA(VLOOKUP(A209,'[1]Craig Eval'!A:C,3,FALSE)),"",(VLOOKUP(A209,'[1]Craig Eval'!A:C,3,FALSE))*1000)</f>
        <v>85490.14586433419</v>
      </c>
      <c r="J209" s="10">
        <f>IF(ISNA(VLOOKUP(A209,'[1]Craig Eval'!A:M,13,FALSE)),"",VLOOKUP(A209,'[1]Craig Eval'!A:M,13,FALSE))</f>
        <v>228.14383575618501</v>
      </c>
      <c r="K209" s="17">
        <v>2</v>
      </c>
    </row>
    <row r="210" spans="1:11" ht="30" x14ac:dyDescent="0.25">
      <c r="A210" s="3" t="s">
        <v>436</v>
      </c>
      <c r="B210" s="4" t="s">
        <v>437</v>
      </c>
      <c r="C210" s="5">
        <v>54849</v>
      </c>
      <c r="D210" s="6" t="s">
        <v>34</v>
      </c>
      <c r="E210" s="6" t="s">
        <v>17</v>
      </c>
      <c r="F210" s="7">
        <v>38469</v>
      </c>
      <c r="G210" s="8">
        <f t="shared" si="3"/>
        <v>38469</v>
      </c>
      <c r="H210" s="6" t="s">
        <v>13</v>
      </c>
      <c r="I210" s="9" t="str">
        <f>IF(ISNA(VLOOKUP(A210,'[1]Craig Eval'!A:C,3,FALSE)),"",(VLOOKUP(A210,'[1]Craig Eval'!A:C,3,FALSE))*1000)</f>
        <v/>
      </c>
      <c r="J210" s="10" t="str">
        <f>IF(ISNA(VLOOKUP(A210,'[1]Craig Eval'!A:M,13,FALSE)),"",VLOOKUP(A210,'[1]Craig Eval'!A:M,13,FALSE))</f>
        <v/>
      </c>
      <c r="K210" s="17">
        <v>1</v>
      </c>
    </row>
    <row r="211" spans="1:11" ht="30" x14ac:dyDescent="0.25">
      <c r="A211" s="3" t="s">
        <v>438</v>
      </c>
      <c r="B211" s="4" t="s">
        <v>439</v>
      </c>
      <c r="C211" s="5">
        <v>1223</v>
      </c>
      <c r="D211" s="6" t="s">
        <v>31</v>
      </c>
      <c r="E211" s="6" t="s">
        <v>17</v>
      </c>
      <c r="F211" s="7">
        <v>29221</v>
      </c>
      <c r="G211" s="8">
        <f t="shared" si="3"/>
        <v>29221</v>
      </c>
      <c r="H211" s="6" t="s">
        <v>13</v>
      </c>
      <c r="I211" s="9">
        <f>IF(ISNA(VLOOKUP(A211,'[1]Craig Eval'!A:C,3,FALSE)),"",(VLOOKUP(A211,'[1]Craig Eval'!A:C,3,FALSE))*1000)</f>
        <v>6405.0075048221606</v>
      </c>
      <c r="J211" s="10">
        <f>IF(ISNA(VLOOKUP(A211,'[1]Craig Eval'!A:M,13,FALSE)),"",VLOOKUP(A211,'[1]Craig Eval'!A:M,13,FALSE))</f>
        <v>19.0892851420246</v>
      </c>
      <c r="K211" s="17">
        <v>1</v>
      </c>
    </row>
    <row r="212" spans="1:11" ht="30" x14ac:dyDescent="0.25">
      <c r="A212" s="3" t="s">
        <v>440</v>
      </c>
      <c r="B212" s="4" t="s">
        <v>441</v>
      </c>
      <c r="C212" s="5">
        <v>1088</v>
      </c>
      <c r="D212" s="6" t="s">
        <v>31</v>
      </c>
      <c r="E212" s="6" t="s">
        <v>17</v>
      </c>
      <c r="F212" s="7">
        <v>29221</v>
      </c>
      <c r="G212" s="8">
        <f t="shared" si="3"/>
        <v>29221</v>
      </c>
      <c r="H212" s="6" t="s">
        <v>13</v>
      </c>
      <c r="I212" s="9">
        <f>IF(ISNA(VLOOKUP(A212,'[1]Craig Eval'!A:C,3,FALSE)),"",(VLOOKUP(A212,'[1]Craig Eval'!A:C,3,FALSE))*1000)</f>
        <v>29744.770989590401</v>
      </c>
      <c r="J212" s="10">
        <f>IF(ISNA(VLOOKUP(A212,'[1]Craig Eval'!A:M,13,FALSE)),"",VLOOKUP(A212,'[1]Craig Eval'!A:M,13,FALSE))</f>
        <v>84.277787186622106</v>
      </c>
      <c r="K212" s="17">
        <v>1</v>
      </c>
    </row>
    <row r="213" spans="1:11" ht="30" x14ac:dyDescent="0.25">
      <c r="A213" s="3" t="s">
        <v>442</v>
      </c>
      <c r="B213" s="4" t="s">
        <v>443</v>
      </c>
      <c r="C213" s="5">
        <v>64740</v>
      </c>
      <c r="D213" s="6" t="s">
        <v>34</v>
      </c>
      <c r="E213" s="6" t="s">
        <v>17</v>
      </c>
      <c r="F213" s="7">
        <v>39209</v>
      </c>
      <c r="G213" s="8">
        <f t="shared" si="3"/>
        <v>39209</v>
      </c>
      <c r="H213" s="6" t="s">
        <v>13</v>
      </c>
      <c r="I213" s="9" t="str">
        <f>IF(ISNA(VLOOKUP(A213,'[1]Craig Eval'!A:C,3,FALSE)),"",(VLOOKUP(A213,'[1]Craig Eval'!A:C,3,FALSE))*1000)</f>
        <v/>
      </c>
      <c r="J213" s="10" t="str">
        <f>IF(ISNA(VLOOKUP(A213,'[1]Craig Eval'!A:M,13,FALSE)),"",VLOOKUP(A213,'[1]Craig Eval'!A:M,13,FALSE))</f>
        <v/>
      </c>
      <c r="K213" s="17">
        <v>1</v>
      </c>
    </row>
    <row r="214" spans="1:11" ht="30" x14ac:dyDescent="0.25">
      <c r="A214" s="3" t="s">
        <v>444</v>
      </c>
      <c r="B214" s="4" t="s">
        <v>445</v>
      </c>
      <c r="C214" s="14">
        <v>1339</v>
      </c>
      <c r="D214" s="6" t="s">
        <v>34</v>
      </c>
      <c r="E214" s="6" t="s">
        <v>17</v>
      </c>
      <c r="F214" s="7">
        <v>29221</v>
      </c>
      <c r="G214" s="8">
        <f t="shared" si="3"/>
        <v>29221</v>
      </c>
      <c r="H214" s="6" t="s">
        <v>13</v>
      </c>
      <c r="I214" s="9" t="str">
        <f>IF(ISNA(VLOOKUP(A214,'[1]Craig Eval'!A:C,3,FALSE)),"",(VLOOKUP(A214,'[1]Craig Eval'!A:C,3,FALSE))*1000)</f>
        <v/>
      </c>
      <c r="J214" s="10" t="str">
        <f>IF(ISNA(VLOOKUP(A214,'[1]Craig Eval'!A:M,13,FALSE)),"",VLOOKUP(A214,'[1]Craig Eval'!A:M,13,FALSE))</f>
        <v/>
      </c>
      <c r="K214" s="17">
        <v>2</v>
      </c>
    </row>
    <row r="215" spans="1:11" ht="30" x14ac:dyDescent="0.25">
      <c r="A215" s="3" t="s">
        <v>446</v>
      </c>
      <c r="B215" s="4" t="s">
        <v>447</v>
      </c>
      <c r="C215" s="5">
        <v>56753</v>
      </c>
      <c r="D215" s="6" t="s">
        <v>28</v>
      </c>
      <c r="E215" s="6" t="s">
        <v>17</v>
      </c>
      <c r="F215" s="7">
        <v>39393</v>
      </c>
      <c r="G215" s="8">
        <f t="shared" si="3"/>
        <v>39393</v>
      </c>
      <c r="H215" s="6" t="s">
        <v>13</v>
      </c>
      <c r="I215" s="9">
        <f>IF(ISNA(VLOOKUP(A215,'[1]Craig Eval'!A:C,3,FALSE)),"",(VLOOKUP(A215,'[1]Craig Eval'!A:C,3,FALSE))*1000)</f>
        <v>11914.841968694001</v>
      </c>
      <c r="J215" s="10">
        <f>IF(ISNA(VLOOKUP(A215,'[1]Craig Eval'!A:M,13,FALSE)),"",VLOOKUP(A215,'[1]Craig Eval'!A:M,13,FALSE))</f>
        <v>34.933338297363498</v>
      </c>
      <c r="K215" s="17">
        <v>1</v>
      </c>
    </row>
    <row r="216" spans="1:11" ht="30" x14ac:dyDescent="0.25">
      <c r="A216" s="3" t="s">
        <v>448</v>
      </c>
      <c r="B216" s="4" t="s">
        <v>449</v>
      </c>
      <c r="C216" s="5">
        <v>1995</v>
      </c>
      <c r="D216" s="6" t="s">
        <v>28</v>
      </c>
      <c r="E216" s="6" t="s">
        <v>17</v>
      </c>
      <c r="F216" s="7">
        <v>24108</v>
      </c>
      <c r="G216" s="8">
        <f t="shared" si="3"/>
        <v>24108</v>
      </c>
      <c r="H216" s="6" t="s">
        <v>13</v>
      </c>
      <c r="I216" s="9">
        <f>IF(ISNA(VLOOKUP(A216,'[1]Craig Eval'!A:C,3,FALSE)),"",(VLOOKUP(A216,'[1]Craig Eval'!A:C,3,FALSE))*1000)</f>
        <v>103632.306845699</v>
      </c>
      <c r="J216" s="10">
        <f>IF(ISNA(VLOOKUP(A216,'[1]Craig Eval'!A:M,13,FALSE)),"",VLOOKUP(A216,'[1]Craig Eval'!A:M,13,FALSE))</f>
        <v>272.75133739076801</v>
      </c>
      <c r="K216" s="17">
        <v>2</v>
      </c>
    </row>
    <row r="217" spans="1:11" ht="30" x14ac:dyDescent="0.25">
      <c r="A217" s="3" t="s">
        <v>450</v>
      </c>
      <c r="B217" s="4" t="s">
        <v>451</v>
      </c>
      <c r="C217" s="5">
        <v>1980</v>
      </c>
      <c r="D217" s="6" t="s">
        <v>34</v>
      </c>
      <c r="E217" s="6" t="s">
        <v>17</v>
      </c>
      <c r="F217" s="7">
        <v>29221</v>
      </c>
      <c r="G217" s="8">
        <f t="shared" si="3"/>
        <v>29221</v>
      </c>
      <c r="H217" s="6" t="s">
        <v>13</v>
      </c>
      <c r="I217" s="9">
        <f>IF(ISNA(VLOOKUP(A217,'[1]Craig Eval'!A:C,3,FALSE)),"",(VLOOKUP(A217,'[1]Craig Eval'!A:C,3,FALSE))*1000)</f>
        <v>10743.040928742399</v>
      </c>
      <c r="J217" s="10">
        <f>IF(ISNA(VLOOKUP(A217,'[1]Craig Eval'!A:M,13,FALSE)),"",VLOOKUP(A217,'[1]Craig Eval'!A:M,13,FALSE))</f>
        <v>31.594429334383001</v>
      </c>
      <c r="K217" s="17">
        <v>2</v>
      </c>
    </row>
    <row r="218" spans="1:11" ht="30" x14ac:dyDescent="0.25">
      <c r="A218" s="3" t="s">
        <v>452</v>
      </c>
      <c r="B218" s="4" t="s">
        <v>453</v>
      </c>
      <c r="C218" s="14">
        <v>26241</v>
      </c>
      <c r="D218" s="6" t="s">
        <v>31</v>
      </c>
      <c r="E218" s="6" t="s">
        <v>17</v>
      </c>
      <c r="F218" s="7">
        <v>32827</v>
      </c>
      <c r="G218" s="8">
        <f t="shared" si="3"/>
        <v>32827</v>
      </c>
      <c r="H218" s="6" t="s">
        <v>13</v>
      </c>
      <c r="I218" s="9" t="str">
        <f>IF(ISNA(VLOOKUP(A218,'[1]Craig Eval'!A:C,3,FALSE)),"",(VLOOKUP(A218,'[1]Craig Eval'!A:C,3,FALSE))*1000)</f>
        <v/>
      </c>
      <c r="J218" s="10" t="str">
        <f>IF(ISNA(VLOOKUP(A218,'[1]Craig Eval'!A:M,13,FALSE)),"",VLOOKUP(A218,'[1]Craig Eval'!A:M,13,FALSE))</f>
        <v/>
      </c>
      <c r="K218" s="17">
        <v>3</v>
      </c>
    </row>
    <row r="219" spans="1:11" ht="30" x14ac:dyDescent="0.25">
      <c r="A219" s="3" t="s">
        <v>454</v>
      </c>
      <c r="B219" s="4" t="s">
        <v>455</v>
      </c>
      <c r="C219" s="14">
        <v>26577</v>
      </c>
      <c r="D219" s="6" t="s">
        <v>31</v>
      </c>
      <c r="E219" s="6" t="s">
        <v>17</v>
      </c>
      <c r="F219" s="7">
        <v>20925</v>
      </c>
      <c r="G219" s="8">
        <f t="shared" si="3"/>
        <v>20925</v>
      </c>
      <c r="H219" s="6" t="s">
        <v>13</v>
      </c>
      <c r="I219" s="9" t="str">
        <f>IF(ISNA(VLOOKUP(A219,'[1]Craig Eval'!A:C,3,FALSE)),"",(VLOOKUP(A219,'[1]Craig Eval'!A:C,3,FALSE))*1000)</f>
        <v/>
      </c>
      <c r="J219" s="10" t="str">
        <f>IF(ISNA(VLOOKUP(A219,'[1]Craig Eval'!A:M,13,FALSE)),"",VLOOKUP(A219,'[1]Craig Eval'!A:M,13,FALSE))</f>
        <v/>
      </c>
      <c r="K219" s="17">
        <v>2</v>
      </c>
    </row>
    <row r="220" spans="1:11" ht="30" x14ac:dyDescent="0.25">
      <c r="A220" s="3" t="s">
        <v>456</v>
      </c>
      <c r="B220" s="4" t="s">
        <v>457</v>
      </c>
      <c r="C220" s="5">
        <v>1222</v>
      </c>
      <c r="D220" s="6" t="s">
        <v>31</v>
      </c>
      <c r="E220" s="6" t="s">
        <v>17</v>
      </c>
      <c r="F220" s="7">
        <v>29221</v>
      </c>
      <c r="G220" s="8">
        <f t="shared" si="3"/>
        <v>29221</v>
      </c>
      <c r="H220" s="6" t="s">
        <v>13</v>
      </c>
      <c r="I220" s="9">
        <f>IF(ISNA(VLOOKUP(A220,'[1]Craig Eval'!A:C,3,FALSE)),"",(VLOOKUP(A220,'[1]Craig Eval'!A:C,3,FALSE))*1000)</f>
        <v>4944.3561227604705</v>
      </c>
      <c r="J220" s="10">
        <f>IF(ISNA(VLOOKUP(A220,'[1]Craig Eval'!A:M,13,FALSE)),"",VLOOKUP(A220,'[1]Craig Eval'!A:M,13,FALSE))</f>
        <v>14.818242163149</v>
      </c>
      <c r="K220" s="17">
        <v>1</v>
      </c>
    </row>
    <row r="221" spans="1:11" ht="30" x14ac:dyDescent="0.25">
      <c r="A221" s="3" t="s">
        <v>458</v>
      </c>
      <c r="B221" s="4" t="s">
        <v>459</v>
      </c>
      <c r="C221" s="5">
        <v>54505</v>
      </c>
      <c r="D221" s="6" t="s">
        <v>34</v>
      </c>
      <c r="E221" s="6" t="s">
        <v>17</v>
      </c>
      <c r="F221" s="7">
        <v>18264</v>
      </c>
      <c r="G221" s="8">
        <f t="shared" si="3"/>
        <v>18264</v>
      </c>
      <c r="H221" s="6" t="s">
        <v>13</v>
      </c>
      <c r="I221" s="9">
        <f>IF(ISNA(VLOOKUP(A221,'[1]Craig Eval'!A:C,3,FALSE)),"",(VLOOKUP(A221,'[1]Craig Eval'!A:C,3,FALSE))*1000)</f>
        <v>20577.772650439299</v>
      </c>
      <c r="J221" s="10">
        <f>IF(ISNA(VLOOKUP(A221,'[1]Craig Eval'!A:M,13,FALSE)),"",VLOOKUP(A221,'[1]Craig Eval'!A:M,13,FALSE))</f>
        <v>59.211184257673999</v>
      </c>
      <c r="K221" s="17">
        <v>1</v>
      </c>
    </row>
    <row r="222" spans="1:11" ht="30" x14ac:dyDescent="0.25">
      <c r="A222" s="3" t="s">
        <v>460</v>
      </c>
      <c r="B222" s="4" t="s">
        <v>461</v>
      </c>
      <c r="C222" s="5">
        <v>52929</v>
      </c>
      <c r="D222" s="6" t="s">
        <v>31</v>
      </c>
      <c r="E222" s="6" t="s">
        <v>17</v>
      </c>
      <c r="F222" s="7">
        <v>38950</v>
      </c>
      <c r="G222" s="8">
        <f t="shared" si="3"/>
        <v>38950</v>
      </c>
      <c r="H222" s="6" t="s">
        <v>13</v>
      </c>
      <c r="I222" s="9">
        <f>IF(ISNA(VLOOKUP(A222,'[1]Craig Eval'!A:C,3,FALSE)),"",(VLOOKUP(A222,'[1]Craig Eval'!A:C,3,FALSE))*1000)</f>
        <v>16960.710599437502</v>
      </c>
      <c r="J222" s="10">
        <f>IF(ISNA(VLOOKUP(A222,'[1]Craig Eval'!A:M,13,FALSE)),"",VLOOKUP(A222,'[1]Craig Eval'!A:M,13,FALSE))</f>
        <v>49.154066380772903</v>
      </c>
      <c r="K222" s="17">
        <v>1</v>
      </c>
    </row>
    <row r="223" spans="1:11" ht="30" x14ac:dyDescent="0.25">
      <c r="A223" s="3" t="s">
        <v>462</v>
      </c>
      <c r="B223" s="4" t="s">
        <v>463</v>
      </c>
      <c r="C223" s="5">
        <v>1568</v>
      </c>
      <c r="D223" s="6" t="s">
        <v>11</v>
      </c>
      <c r="E223" s="6" t="s">
        <v>17</v>
      </c>
      <c r="F223" s="7">
        <v>35073</v>
      </c>
      <c r="G223" s="8">
        <f t="shared" si="3"/>
        <v>35073</v>
      </c>
      <c r="H223" s="6" t="s">
        <v>13</v>
      </c>
      <c r="I223" s="9" t="str">
        <f>IF(ISNA(VLOOKUP(A223,'[1]Craig Eval'!A:C,3,FALSE)),"",(VLOOKUP(A223,'[1]Craig Eval'!A:C,3,FALSE))*1000)</f>
        <v/>
      </c>
      <c r="J223" s="10" t="str">
        <f>IF(ISNA(VLOOKUP(A223,'[1]Craig Eval'!A:M,13,FALSE)),"",VLOOKUP(A223,'[1]Craig Eval'!A:M,13,FALSE))</f>
        <v/>
      </c>
      <c r="K223" s="17">
        <v>1</v>
      </c>
    </row>
    <row r="224" spans="1:11" ht="30" x14ac:dyDescent="0.25">
      <c r="A224" s="3" t="s">
        <v>464</v>
      </c>
      <c r="B224" s="4" t="s">
        <v>465</v>
      </c>
      <c r="C224" s="5">
        <v>24338</v>
      </c>
      <c r="D224" s="6" t="s">
        <v>34</v>
      </c>
      <c r="E224" s="6" t="s">
        <v>17</v>
      </c>
      <c r="F224" s="7">
        <v>38608</v>
      </c>
      <c r="G224" s="8">
        <f t="shared" si="3"/>
        <v>38608</v>
      </c>
      <c r="H224" s="6" t="s">
        <v>13</v>
      </c>
      <c r="I224" s="9" t="str">
        <f>IF(ISNA(VLOOKUP(A224,'[1]Craig Eval'!A:C,3,FALSE)),"",(VLOOKUP(A224,'[1]Craig Eval'!A:C,3,FALSE))*1000)</f>
        <v/>
      </c>
      <c r="J224" s="10" t="str">
        <f>IF(ISNA(VLOOKUP(A224,'[1]Craig Eval'!A:M,13,FALSE)),"",VLOOKUP(A224,'[1]Craig Eval'!A:M,13,FALSE))</f>
        <v/>
      </c>
      <c r="K224" s="17">
        <v>2</v>
      </c>
    </row>
    <row r="225" spans="1:11" ht="30" x14ac:dyDescent="0.25">
      <c r="A225" s="3" t="s">
        <v>466</v>
      </c>
      <c r="B225" s="4" t="s">
        <v>467</v>
      </c>
      <c r="C225" s="5">
        <v>2061</v>
      </c>
      <c r="D225" s="6" t="s">
        <v>34</v>
      </c>
      <c r="E225" s="6" t="s">
        <v>17</v>
      </c>
      <c r="F225" s="7">
        <v>20096</v>
      </c>
      <c r="G225" s="8">
        <f t="shared" si="3"/>
        <v>20096</v>
      </c>
      <c r="H225" s="6" t="s">
        <v>13</v>
      </c>
      <c r="I225" s="9">
        <f>IF(ISNA(VLOOKUP(A225,'[1]Craig Eval'!A:C,3,FALSE)),"",(VLOOKUP(A225,'[1]Craig Eval'!A:C,3,FALSE))*1000)</f>
        <v>17165.294606993899</v>
      </c>
      <c r="J225" s="10">
        <f>IF(ISNA(VLOOKUP(A225,'[1]Craig Eval'!A:M,13,FALSE)),"",VLOOKUP(A225,'[1]Craig Eval'!A:M,13,FALSE))</f>
        <v>49.725753818515898</v>
      </c>
      <c r="K225" s="17">
        <v>1</v>
      </c>
    </row>
    <row r="226" spans="1:11" ht="30" x14ac:dyDescent="0.25">
      <c r="A226" s="3" t="s">
        <v>468</v>
      </c>
      <c r="B226" s="4" t="s">
        <v>469</v>
      </c>
      <c r="C226" s="5">
        <v>72098</v>
      </c>
      <c r="D226" s="6" t="s">
        <v>34</v>
      </c>
      <c r="E226" s="6" t="s">
        <v>17</v>
      </c>
      <c r="F226" s="7">
        <v>39108</v>
      </c>
      <c r="G226" s="8">
        <f t="shared" si="3"/>
        <v>39108</v>
      </c>
      <c r="H226" s="6" t="s">
        <v>13</v>
      </c>
      <c r="I226" s="9" t="str">
        <f>IF(ISNA(VLOOKUP(A226,'[1]Craig Eval'!A:C,3,FALSE)),"",(VLOOKUP(A226,'[1]Craig Eval'!A:C,3,FALSE))*1000)</f>
        <v/>
      </c>
      <c r="J226" s="10" t="str">
        <f>IF(ISNA(VLOOKUP(A226,'[1]Craig Eval'!A:M,13,FALSE)),"",VLOOKUP(A226,'[1]Craig Eval'!A:M,13,FALSE))</f>
        <v/>
      </c>
      <c r="K226" s="17">
        <v>1</v>
      </c>
    </row>
    <row r="227" spans="1:11" ht="30" x14ac:dyDescent="0.25">
      <c r="A227" s="3" t="s">
        <v>470</v>
      </c>
      <c r="B227" s="4" t="s">
        <v>471</v>
      </c>
      <c r="C227" s="14">
        <v>22401</v>
      </c>
      <c r="D227" s="6" t="s">
        <v>31</v>
      </c>
      <c r="E227" s="6" t="s">
        <v>17</v>
      </c>
      <c r="F227" s="7">
        <v>38991</v>
      </c>
      <c r="G227" s="8">
        <f t="shared" si="3"/>
        <v>38991</v>
      </c>
      <c r="H227" s="6" t="s">
        <v>13</v>
      </c>
      <c r="I227" s="9" t="str">
        <f>IF(ISNA(VLOOKUP(A227,'[1]Craig Eval'!A:C,3,FALSE)),"",(VLOOKUP(A227,'[1]Craig Eval'!A:C,3,FALSE))*1000)</f>
        <v/>
      </c>
      <c r="J227" s="10" t="str">
        <f>IF(ISNA(VLOOKUP(A227,'[1]Craig Eval'!A:M,13,FALSE)),"",VLOOKUP(A227,'[1]Craig Eval'!A:M,13,FALSE))</f>
        <v/>
      </c>
      <c r="K227" s="17">
        <v>3</v>
      </c>
    </row>
    <row r="228" spans="1:11" ht="30" x14ac:dyDescent="0.25">
      <c r="A228" s="3" t="s">
        <v>472</v>
      </c>
      <c r="B228" s="4" t="s">
        <v>473</v>
      </c>
      <c r="C228" s="5">
        <v>30595</v>
      </c>
      <c r="D228" s="6" t="s">
        <v>34</v>
      </c>
      <c r="E228" s="6" t="s">
        <v>17</v>
      </c>
      <c r="F228" s="7">
        <v>38758</v>
      </c>
      <c r="G228" s="8">
        <f t="shared" si="3"/>
        <v>38758</v>
      </c>
      <c r="H228" s="6" t="s">
        <v>13</v>
      </c>
      <c r="I228" s="9" t="str">
        <f>IF(ISNA(VLOOKUP(A228,'[1]Craig Eval'!A:C,3,FALSE)),"",(VLOOKUP(A228,'[1]Craig Eval'!A:C,3,FALSE))*1000)</f>
        <v/>
      </c>
      <c r="J228" s="10" t="str">
        <f>IF(ISNA(VLOOKUP(A228,'[1]Craig Eval'!A:M,13,FALSE)),"",VLOOKUP(A228,'[1]Craig Eval'!A:M,13,FALSE))</f>
        <v/>
      </c>
      <c r="K228" s="17">
        <v>1</v>
      </c>
    </row>
    <row r="229" spans="1:11" ht="30" x14ac:dyDescent="0.25">
      <c r="A229" s="3" t="s">
        <v>474</v>
      </c>
      <c r="B229" s="4" t="s">
        <v>475</v>
      </c>
      <c r="C229" s="5">
        <v>30553</v>
      </c>
      <c r="D229" s="6" t="s">
        <v>34</v>
      </c>
      <c r="E229" s="6" t="s">
        <v>17</v>
      </c>
      <c r="F229" s="7">
        <v>38377</v>
      </c>
      <c r="G229" s="8">
        <f t="shared" si="3"/>
        <v>38377</v>
      </c>
      <c r="H229" s="6" t="s">
        <v>13</v>
      </c>
      <c r="I229" s="9" t="str">
        <f>IF(ISNA(VLOOKUP(A229,'[1]Craig Eval'!A:C,3,FALSE)),"",(VLOOKUP(A229,'[1]Craig Eval'!A:C,3,FALSE))*1000)</f>
        <v/>
      </c>
      <c r="J229" s="10" t="str">
        <f>IF(ISNA(VLOOKUP(A229,'[1]Craig Eval'!A:M,13,FALSE)),"",VLOOKUP(A229,'[1]Craig Eval'!A:M,13,FALSE))</f>
        <v/>
      </c>
      <c r="K229" s="17">
        <v>1</v>
      </c>
    </row>
    <row r="230" spans="1:11" ht="30" x14ac:dyDescent="0.25">
      <c r="A230" s="3" t="s">
        <v>476</v>
      </c>
      <c r="B230" s="4" t="s">
        <v>477</v>
      </c>
      <c r="C230" s="14">
        <v>2033</v>
      </c>
      <c r="D230" s="6" t="s">
        <v>31</v>
      </c>
      <c r="E230" s="6" t="s">
        <v>17</v>
      </c>
      <c r="F230" s="7">
        <v>32874</v>
      </c>
      <c r="G230" s="8">
        <f t="shared" si="3"/>
        <v>32874</v>
      </c>
      <c r="H230" s="6" t="s">
        <v>13</v>
      </c>
      <c r="I230" s="9">
        <f>IF(ISNA(VLOOKUP(A230,'[1]Craig Eval'!A:C,3,FALSE)),"",(VLOOKUP(A230,'[1]Craig Eval'!A:C,3,FALSE))*1000)</f>
        <v>110457.588529528</v>
      </c>
      <c r="J230" s="10">
        <f>IF(ISNA(VLOOKUP(A230,'[1]Craig Eval'!A:M,13,FALSE)),"",VLOOKUP(A230,'[1]Craig Eval'!A:M,13,FALSE))</f>
        <v>289.31718376555</v>
      </c>
      <c r="K230" s="17">
        <v>3</v>
      </c>
    </row>
    <row r="231" spans="1:11" ht="30" x14ac:dyDescent="0.25">
      <c r="A231" s="3" t="s">
        <v>478</v>
      </c>
      <c r="B231" s="4" t="s">
        <v>479</v>
      </c>
      <c r="C231" s="5">
        <v>1611</v>
      </c>
      <c r="D231" s="6" t="s">
        <v>16</v>
      </c>
      <c r="E231" s="6" t="s">
        <v>17</v>
      </c>
      <c r="F231" s="7">
        <v>29221</v>
      </c>
      <c r="G231" s="8">
        <f t="shared" si="3"/>
        <v>29221</v>
      </c>
      <c r="H231" s="6" t="s">
        <v>13</v>
      </c>
      <c r="I231" s="9">
        <f>IF(ISNA(VLOOKUP(A231,'[1]Craig Eval'!A:C,3,FALSE)),"",(VLOOKUP(A231,'[1]Craig Eval'!A:C,3,FALSE))*1000)</f>
        <v>48228.228742880703</v>
      </c>
      <c r="J231" s="10">
        <f>IF(ISNA(VLOOKUP(A231,'[1]Craig Eval'!A:M,13,FALSE)),"",VLOOKUP(A231,'[1]Craig Eval'!A:M,13,FALSE))</f>
        <v>133.37232529450301</v>
      </c>
      <c r="K231" s="17">
        <v>1</v>
      </c>
    </row>
    <row r="232" spans="1:11" ht="30" x14ac:dyDescent="0.25">
      <c r="A232" s="3" t="s">
        <v>480</v>
      </c>
      <c r="B232" s="4" t="s">
        <v>481</v>
      </c>
      <c r="C232" s="5">
        <v>31618</v>
      </c>
      <c r="D232" s="6" t="s">
        <v>31</v>
      </c>
      <c r="E232" s="6" t="s">
        <v>17</v>
      </c>
      <c r="F232" s="7">
        <v>33428</v>
      </c>
      <c r="G232" s="8">
        <f t="shared" si="3"/>
        <v>33428</v>
      </c>
      <c r="H232" s="6" t="s">
        <v>13</v>
      </c>
      <c r="I232" s="9" t="str">
        <f>IF(ISNA(VLOOKUP(A232,'[1]Craig Eval'!A:C,3,FALSE)),"",(VLOOKUP(A232,'[1]Craig Eval'!A:C,3,FALSE))*1000)</f>
        <v/>
      </c>
      <c r="J232" s="10" t="str">
        <f>IF(ISNA(VLOOKUP(A232,'[1]Craig Eval'!A:M,13,FALSE)),"",VLOOKUP(A232,'[1]Craig Eval'!A:M,13,FALSE))</f>
        <v/>
      </c>
      <c r="K232" s="17">
        <v>1</v>
      </c>
    </row>
    <row r="233" spans="1:11" ht="30" x14ac:dyDescent="0.25">
      <c r="A233" s="3" t="s">
        <v>482</v>
      </c>
      <c r="B233" s="4" t="s">
        <v>483</v>
      </c>
      <c r="C233" s="5">
        <v>18564</v>
      </c>
      <c r="D233" s="6" t="s">
        <v>16</v>
      </c>
      <c r="E233" s="6" t="s">
        <v>17</v>
      </c>
      <c r="F233" s="7">
        <v>21069</v>
      </c>
      <c r="G233" s="8">
        <f t="shared" si="3"/>
        <v>21069</v>
      </c>
      <c r="H233" s="6" t="s">
        <v>13</v>
      </c>
      <c r="I233" s="9">
        <f>IF(ISNA(VLOOKUP(A233,'[1]Craig Eval'!A:C,3,FALSE)),"",(VLOOKUP(A233,'[1]Craig Eval'!A:C,3,FALSE))*1000)</f>
        <v>13737.927791967699</v>
      </c>
      <c r="J233" s="10">
        <f>IF(ISNA(VLOOKUP(A233,'[1]Craig Eval'!A:M,13,FALSE)),"",VLOOKUP(A233,'[1]Craig Eval'!A:M,13,FALSE))</f>
        <v>40.09936077695</v>
      </c>
      <c r="K233" s="17">
        <v>1</v>
      </c>
    </row>
    <row r="234" spans="1:11" ht="30" x14ac:dyDescent="0.25">
      <c r="A234" s="3" t="s">
        <v>484</v>
      </c>
      <c r="B234" s="4" t="s">
        <v>485</v>
      </c>
      <c r="C234" s="5">
        <v>54506</v>
      </c>
      <c r="D234" s="6" t="s">
        <v>28</v>
      </c>
      <c r="E234" s="6" t="s">
        <v>17</v>
      </c>
      <c r="F234" s="7">
        <v>38112</v>
      </c>
      <c r="G234" s="8">
        <f t="shared" si="3"/>
        <v>38112</v>
      </c>
      <c r="H234" s="6" t="s">
        <v>13</v>
      </c>
      <c r="I234" s="9">
        <f>IF(ISNA(VLOOKUP(A234,'[1]Craig Eval'!A:C,3,FALSE)),"",(VLOOKUP(A234,'[1]Craig Eval'!A:C,3,FALSE))*1000)</f>
        <v>27697.205797796101</v>
      </c>
      <c r="J234" s="10">
        <f>IF(ISNA(VLOOKUP(A234,'[1]Craig Eval'!A:M,13,FALSE)),"",VLOOKUP(A234,'[1]Craig Eval'!A:M,13,FALSE))</f>
        <v>78.726360629093506</v>
      </c>
      <c r="K234" s="17">
        <v>1</v>
      </c>
    </row>
    <row r="235" spans="1:11" ht="30" x14ac:dyDescent="0.25">
      <c r="A235" s="3" t="s">
        <v>486</v>
      </c>
      <c r="B235" s="4" t="s">
        <v>487</v>
      </c>
      <c r="C235" s="5">
        <v>1786</v>
      </c>
      <c r="D235" s="6" t="s">
        <v>28</v>
      </c>
      <c r="E235" s="6" t="s">
        <v>17</v>
      </c>
      <c r="F235" s="7">
        <v>40626</v>
      </c>
      <c r="G235" s="8">
        <f t="shared" si="3"/>
        <v>40626</v>
      </c>
      <c r="H235" s="6" t="s">
        <v>13</v>
      </c>
      <c r="I235" s="9">
        <f>IF(ISNA(VLOOKUP(A235,'[1]Craig Eval'!A:C,3,FALSE)),"",(VLOOKUP(A235,'[1]Craig Eval'!A:C,3,FALSE))*1000)</f>
        <v>2628.7621471868401</v>
      </c>
      <c r="J235" s="10">
        <f>IF(ISNA(VLOOKUP(A235,'[1]Craig Eval'!A:M,13,FALSE)),"",VLOOKUP(A235,'[1]Craig Eval'!A:M,13,FALSE))</f>
        <v>7.9659865952065303</v>
      </c>
      <c r="K235" s="17">
        <v>1</v>
      </c>
    </row>
    <row r="236" spans="1:11" ht="30" x14ac:dyDescent="0.25">
      <c r="A236" s="3" t="s">
        <v>488</v>
      </c>
      <c r="B236" s="4" t="s">
        <v>489</v>
      </c>
      <c r="C236" s="5">
        <v>15368</v>
      </c>
      <c r="D236" s="6" t="s">
        <v>28</v>
      </c>
      <c r="E236" s="6" t="s">
        <v>17</v>
      </c>
      <c r="F236" s="7">
        <v>38321</v>
      </c>
      <c r="G236" s="8">
        <f t="shared" si="3"/>
        <v>38321</v>
      </c>
      <c r="H236" s="6" t="s">
        <v>13</v>
      </c>
      <c r="I236" s="9">
        <f>IF(ISNA(VLOOKUP(A236,'[1]Craig Eval'!A:C,3,FALSE)),"",(VLOOKUP(A236,'[1]Craig Eval'!A:C,3,FALSE))*1000)</f>
        <v>12967.1289814544</v>
      </c>
      <c r="J236" s="10">
        <f>IF(ISNA(VLOOKUP(A236,'[1]Craig Eval'!A:M,13,FALSE)),"",VLOOKUP(A236,'[1]Craig Eval'!A:M,13,FALSE))</f>
        <v>37.919273393360498</v>
      </c>
      <c r="K236" s="17">
        <v>1</v>
      </c>
    </row>
    <row r="237" spans="1:11" ht="30" x14ac:dyDescent="0.25">
      <c r="A237" s="18" t="s">
        <v>490</v>
      </c>
      <c r="B237" s="19" t="s">
        <v>491</v>
      </c>
      <c r="C237" s="5">
        <v>1503</v>
      </c>
      <c r="D237" s="21" t="s">
        <v>28</v>
      </c>
      <c r="E237" s="21" t="s">
        <v>17</v>
      </c>
      <c r="F237" s="22">
        <v>18264</v>
      </c>
      <c r="G237" s="23">
        <f t="shared" si="3"/>
        <v>18264</v>
      </c>
      <c r="H237" s="21" t="s">
        <v>13</v>
      </c>
      <c r="I237" s="9">
        <f>IF(ISNA(VLOOKUP(A237,'[1]Craig Eval'!A:C,3,FALSE)),"",(VLOOKUP(A237,'[1]Craig Eval'!A:C,3,FALSE))*1000)</f>
        <v>17896.150052299301</v>
      </c>
      <c r="J237" s="24">
        <f>IF(ISNA(VLOOKUP(A237,'[1]Craig Eval'!A:M,13,FALSE)),"",VLOOKUP(A237,'[1]Craig Eval'!A:M,13,FALSE))</f>
        <v>51.765172641096598</v>
      </c>
      <c r="K237" s="25">
        <v>2</v>
      </c>
    </row>
    <row r="238" spans="1:11" ht="30" x14ac:dyDescent="0.25">
      <c r="A238" s="3" t="s">
        <v>492</v>
      </c>
      <c r="B238" s="4" t="s">
        <v>493</v>
      </c>
      <c r="C238" s="5">
        <v>1831</v>
      </c>
      <c r="D238" s="6" t="s">
        <v>31</v>
      </c>
      <c r="E238" s="6" t="s">
        <v>17</v>
      </c>
      <c r="F238" s="7">
        <v>29221</v>
      </c>
      <c r="G238" s="8">
        <f t="shared" si="3"/>
        <v>29221</v>
      </c>
      <c r="H238" s="6" t="s">
        <v>13</v>
      </c>
      <c r="I238" s="9">
        <f>IF(ISNA(VLOOKUP(A238,'[1]Craig Eval'!A:C,3,FALSE)),"",(VLOOKUP(A238,'[1]Craig Eval'!A:C,3,FALSE))*1000)</f>
        <v>15041.0007474216</v>
      </c>
      <c r="J238" s="10">
        <f>IF(ISNA(VLOOKUP(A238,'[1]Craig Eval'!A:M,13,FALSE)),"",VLOOKUP(A238,'[1]Craig Eval'!A:M,13,FALSE))</f>
        <v>43.771873123794997</v>
      </c>
      <c r="K238" s="17">
        <v>1</v>
      </c>
    </row>
    <row r="239" spans="1:11" ht="30" x14ac:dyDescent="0.25">
      <c r="A239" s="3" t="s">
        <v>494</v>
      </c>
      <c r="B239" s="4" t="s">
        <v>495</v>
      </c>
      <c r="C239" s="5">
        <v>1808</v>
      </c>
      <c r="D239" s="6" t="s">
        <v>28</v>
      </c>
      <c r="E239" s="6" t="s">
        <v>17</v>
      </c>
      <c r="F239" s="7">
        <v>29221</v>
      </c>
      <c r="G239" s="8">
        <f t="shared" si="3"/>
        <v>29221</v>
      </c>
      <c r="H239" s="6" t="s">
        <v>13</v>
      </c>
      <c r="I239" s="9">
        <f>IF(ISNA(VLOOKUP(A239,'[1]Craig Eval'!A:C,3,FALSE)),"",(VLOOKUP(A239,'[1]Craig Eval'!A:C,3,FALSE))*1000)</f>
        <v>23064.0137434524</v>
      </c>
      <c r="J239" s="10">
        <f>IF(ISNA(VLOOKUP(A239,'[1]Craig Eval'!A:M,13,FALSE)),"",VLOOKUP(A239,'[1]Craig Eval'!A:M,13,FALSE))</f>
        <v>66.065995566922098</v>
      </c>
      <c r="K239" s="17">
        <v>1</v>
      </c>
    </row>
    <row r="240" spans="1:11" ht="30" x14ac:dyDescent="0.25">
      <c r="A240" s="3" t="s">
        <v>496</v>
      </c>
      <c r="B240" s="4" t="s">
        <v>497</v>
      </c>
      <c r="C240" s="5">
        <v>42001</v>
      </c>
      <c r="D240" s="6" t="s">
        <v>31</v>
      </c>
      <c r="E240" s="6" t="s">
        <v>17</v>
      </c>
      <c r="F240" s="7">
        <v>34774</v>
      </c>
      <c r="G240" s="8">
        <f t="shared" si="3"/>
        <v>34774</v>
      </c>
      <c r="H240" s="6" t="s">
        <v>13</v>
      </c>
      <c r="I240" s="9">
        <f>IF(ISNA(VLOOKUP(A240,'[1]Craig Eval'!A:C,3,FALSE)),"",(VLOOKUP(A240,'[1]Craig Eval'!A:C,3,FALSE))*1000)</f>
        <v>14853.392480721001</v>
      </c>
      <c r="J240" s="10">
        <f>IF(ISNA(VLOOKUP(A240,'[1]Craig Eval'!A:M,13,FALSE)),"",VLOOKUP(A240,'[1]Craig Eval'!A:M,13,FALSE))</f>
        <v>43.244109726726897</v>
      </c>
      <c r="K240" s="17">
        <v>1</v>
      </c>
    </row>
    <row r="241" spans="1:11" ht="30" x14ac:dyDescent="0.25">
      <c r="A241" s="3" t="s">
        <v>498</v>
      </c>
      <c r="B241" s="4" t="s">
        <v>499</v>
      </c>
      <c r="C241" s="5">
        <v>1610</v>
      </c>
      <c r="D241" s="6" t="s">
        <v>31</v>
      </c>
      <c r="E241" s="6" t="s">
        <v>17</v>
      </c>
      <c r="F241" s="7">
        <v>31048</v>
      </c>
      <c r="G241" s="8">
        <f t="shared" si="3"/>
        <v>31048</v>
      </c>
      <c r="H241" s="6" t="s">
        <v>13</v>
      </c>
      <c r="I241" s="9">
        <f>IF(ISNA(VLOOKUP(A241,'[1]Craig Eval'!A:C,3,FALSE)),"",(VLOOKUP(A241,'[1]Craig Eval'!A:C,3,FALSE))*1000)</f>
        <v>32300.956879746402</v>
      </c>
      <c r="J241" s="10">
        <f>IF(ISNA(VLOOKUP(A241,'[1]Craig Eval'!A:M,13,FALSE)),"",VLOOKUP(A241,'[1]Craig Eval'!A:M,13,FALSE))</f>
        <v>91.173285741855096</v>
      </c>
      <c r="K241" s="17">
        <v>1</v>
      </c>
    </row>
    <row r="242" spans="1:11" ht="30" x14ac:dyDescent="0.25">
      <c r="A242" s="3" t="s">
        <v>500</v>
      </c>
      <c r="B242" s="4" t="s">
        <v>501</v>
      </c>
      <c r="C242" s="14">
        <v>1408</v>
      </c>
      <c r="D242" s="6" t="s">
        <v>28</v>
      </c>
      <c r="E242" s="6" t="s">
        <v>17</v>
      </c>
      <c r="F242" s="7">
        <v>40661</v>
      </c>
      <c r="G242" s="8">
        <f t="shared" si="3"/>
        <v>40661</v>
      </c>
      <c r="H242" s="6" t="s">
        <v>13</v>
      </c>
      <c r="I242" s="9">
        <f>IF(ISNA(VLOOKUP(A242,'[1]Craig Eval'!A:C,3,FALSE)),"",(VLOOKUP(A242,'[1]Craig Eval'!A:C,3,FALSE))*1000)</f>
        <v>100984.403527417</v>
      </c>
      <c r="J242" s="10">
        <f>IF(ISNA(VLOOKUP(A242,'[1]Craig Eval'!A:M,13,FALSE)),"",VLOOKUP(A242,'[1]Craig Eval'!A:M,13,FALSE))</f>
        <v>266.29398689901399</v>
      </c>
      <c r="K242" s="17">
        <v>2</v>
      </c>
    </row>
    <row r="243" spans="1:11" ht="30" x14ac:dyDescent="0.25">
      <c r="A243" s="3" t="s">
        <v>502</v>
      </c>
      <c r="B243" s="4" t="s">
        <v>503</v>
      </c>
      <c r="C243" s="5">
        <v>18892</v>
      </c>
      <c r="D243" s="6" t="s">
        <v>11</v>
      </c>
      <c r="E243" s="6" t="s">
        <v>17</v>
      </c>
      <c r="F243" s="7">
        <v>38358</v>
      </c>
      <c r="G243" s="8">
        <f t="shared" si="3"/>
        <v>38358</v>
      </c>
      <c r="H243" s="6" t="s">
        <v>13</v>
      </c>
      <c r="I243" s="9" t="str">
        <f>IF(ISNA(VLOOKUP(A243,'[1]Craig Eval'!A:C,3,FALSE)),"",(VLOOKUP(A243,'[1]Craig Eval'!A:C,3,FALSE))*1000)</f>
        <v/>
      </c>
      <c r="J243" s="10" t="str">
        <f>IF(ISNA(VLOOKUP(A243,'[1]Craig Eval'!A:M,13,FALSE)),"",VLOOKUP(A243,'[1]Craig Eval'!A:M,13,FALSE))</f>
        <v/>
      </c>
      <c r="K243" s="17">
        <v>1</v>
      </c>
    </row>
    <row r="244" spans="1:11" ht="30" x14ac:dyDescent="0.25">
      <c r="A244" s="3" t="s">
        <v>504</v>
      </c>
      <c r="B244" s="4" t="s">
        <v>505</v>
      </c>
      <c r="C244" s="5">
        <v>1625</v>
      </c>
      <c r="D244" s="6" t="s">
        <v>16</v>
      </c>
      <c r="E244" s="6" t="s">
        <v>17</v>
      </c>
      <c r="F244" s="7">
        <v>29221</v>
      </c>
      <c r="G244" s="8">
        <f t="shared" si="3"/>
        <v>29221</v>
      </c>
      <c r="H244" s="6" t="s">
        <v>13</v>
      </c>
      <c r="I244" s="9">
        <f>IF(ISNA(VLOOKUP(A244,'[1]Craig Eval'!A:C,3,FALSE)),"",(VLOOKUP(A244,'[1]Craig Eval'!A:C,3,FALSE))*1000)</f>
        <v>24644.885038792498</v>
      </c>
      <c r="J244" s="10">
        <f>IF(ISNA(VLOOKUP(A244,'[1]Craig Eval'!A:M,13,FALSE)),"",VLOOKUP(A244,'[1]Craig Eval'!A:M,13,FALSE))</f>
        <v>70.401827288369503</v>
      </c>
      <c r="K244" s="17">
        <v>1</v>
      </c>
    </row>
    <row r="245" spans="1:11" ht="30" x14ac:dyDescent="0.25">
      <c r="A245" s="3" t="s">
        <v>506</v>
      </c>
      <c r="B245" s="4" t="s">
        <v>507</v>
      </c>
      <c r="C245" s="5">
        <v>1262</v>
      </c>
      <c r="D245" s="6" t="s">
        <v>28</v>
      </c>
      <c r="E245" s="6" t="s">
        <v>508</v>
      </c>
      <c r="F245" s="7">
        <v>29221</v>
      </c>
      <c r="G245" s="8">
        <f t="shared" si="3"/>
        <v>29221</v>
      </c>
      <c r="H245" s="6" t="s">
        <v>509</v>
      </c>
      <c r="I245" s="9">
        <f>IF(ISNA(VLOOKUP(A245,'[1]Craig Eval'!A:C,3,FALSE)),"",(VLOOKUP(A245,'[1]Craig Eval'!A:C,3,FALSE))*1000)</f>
        <v>17543.618014333701</v>
      </c>
      <c r="J245" s="10">
        <f>IF(ISNA(VLOOKUP(A245,'[1]Craig Eval'!A:M,13,FALSE)),"",VLOOKUP(A245,'[1]Craig Eval'!A:M,13,FALSE))</f>
        <v>50.782005209632999</v>
      </c>
      <c r="K245" s="17">
        <v>1</v>
      </c>
    </row>
    <row r="246" spans="1:11" ht="30" x14ac:dyDescent="0.25">
      <c r="A246" s="3" t="s">
        <v>510</v>
      </c>
      <c r="B246" s="4" t="s">
        <v>511</v>
      </c>
      <c r="C246" s="5">
        <v>1119</v>
      </c>
      <c r="D246" s="6" t="s">
        <v>28</v>
      </c>
      <c r="E246" s="6" t="s">
        <v>17</v>
      </c>
      <c r="F246" s="7">
        <v>32874</v>
      </c>
      <c r="G246" s="8">
        <f t="shared" si="3"/>
        <v>32874</v>
      </c>
      <c r="H246" s="6" t="s">
        <v>13</v>
      </c>
      <c r="I246" s="9">
        <f>IF(ISNA(VLOOKUP(A246,'[1]Craig Eval'!A:C,3,FALSE)),"",(VLOOKUP(A246,'[1]Craig Eval'!A:C,3,FALSE))*1000)</f>
        <v>21852.995863621501</v>
      </c>
      <c r="J246" s="10">
        <f>IF(ISNA(VLOOKUP(A246,'[1]Craig Eval'!A:M,13,FALSE)),"",VLOOKUP(A246,'[1]Craig Eval'!A:M,13,FALSE))</f>
        <v>62.732718837482402</v>
      </c>
      <c r="K246" s="17">
        <v>2</v>
      </c>
    </row>
    <row r="247" spans="1:11" ht="30" x14ac:dyDescent="0.25">
      <c r="A247" s="3" t="s">
        <v>512</v>
      </c>
      <c r="B247" s="4" t="s">
        <v>513</v>
      </c>
      <c r="C247" s="14">
        <v>1179</v>
      </c>
      <c r="D247" s="6" t="s">
        <v>31</v>
      </c>
      <c r="E247" s="6" t="s">
        <v>17</v>
      </c>
      <c r="F247" s="7">
        <v>29221</v>
      </c>
      <c r="G247" s="8">
        <f t="shared" si="3"/>
        <v>29221</v>
      </c>
      <c r="H247" s="6" t="s">
        <v>13</v>
      </c>
      <c r="I247" s="9">
        <f>IF(ISNA(VLOOKUP(A247,'[1]Craig Eval'!A:C,3,FALSE)),"",(VLOOKUP(A247,'[1]Craig Eval'!A:C,3,FALSE))*1000)</f>
        <v>188577.133019217</v>
      </c>
      <c r="J247" s="10">
        <f>IF(ISNA(VLOOKUP(A247,'[1]Craig Eval'!A:M,13,FALSE)),"",VLOOKUP(A247,'[1]Craig Eval'!A:M,13,FALSE))</f>
        <v>472.16404505260999</v>
      </c>
      <c r="K247" s="17">
        <v>3</v>
      </c>
    </row>
    <row r="248" spans="1:11" ht="30" x14ac:dyDescent="0.25">
      <c r="A248" s="3" t="s">
        <v>514</v>
      </c>
      <c r="B248" s="4" t="s">
        <v>515</v>
      </c>
      <c r="C248" s="5">
        <v>1705</v>
      </c>
      <c r="D248" s="6" t="s">
        <v>16</v>
      </c>
      <c r="E248" s="6" t="s">
        <v>17</v>
      </c>
      <c r="F248" s="7">
        <v>18264</v>
      </c>
      <c r="G248" s="8">
        <f t="shared" si="3"/>
        <v>18264</v>
      </c>
      <c r="H248" s="6" t="s">
        <v>13</v>
      </c>
      <c r="I248" s="9">
        <f>IF(ISNA(VLOOKUP(A248,'[1]Craig Eval'!A:C,3,FALSE)),"",(VLOOKUP(A248,'[1]Craig Eval'!A:C,3,FALSE))*1000)</f>
        <v>5344.4105327143307</v>
      </c>
      <c r="J248" s="10">
        <f>IF(ISNA(VLOOKUP(A248,'[1]Craig Eval'!A:M,13,FALSE)),"",VLOOKUP(A248,'[1]Craig Eval'!A:M,13,FALSE))</f>
        <v>15.9915518947042</v>
      </c>
      <c r="K248" s="17">
        <v>1</v>
      </c>
    </row>
    <row r="249" spans="1:11" ht="30" x14ac:dyDescent="0.25">
      <c r="A249" s="3" t="s">
        <v>516</v>
      </c>
      <c r="B249" s="4" t="s">
        <v>517</v>
      </c>
      <c r="C249" s="14">
        <v>47153</v>
      </c>
      <c r="D249" s="6" t="s">
        <v>28</v>
      </c>
      <c r="E249" s="6" t="s">
        <v>17</v>
      </c>
      <c r="F249" s="7">
        <v>38930</v>
      </c>
      <c r="G249" s="8">
        <f t="shared" si="3"/>
        <v>38930</v>
      </c>
      <c r="H249" s="6" t="s">
        <v>13</v>
      </c>
      <c r="I249" s="9">
        <f>IF(ISNA(VLOOKUP(A249,'[1]Craig Eval'!A:C,3,FALSE)),"",(VLOOKUP(A249,'[1]Craig Eval'!A:C,3,FALSE))*1000)</f>
        <v>25851.400779546901</v>
      </c>
      <c r="J249" s="10">
        <f>IF(ISNA(VLOOKUP(A249,'[1]Craig Eval'!A:M,13,FALSE)),"",VLOOKUP(A249,'[1]Craig Eval'!A:M,13,FALSE))</f>
        <v>73.699562690622102</v>
      </c>
      <c r="K249" s="17">
        <v>1</v>
      </c>
    </row>
    <row r="250" spans="1:11" ht="30" x14ac:dyDescent="0.25">
      <c r="A250" s="3" t="s">
        <v>518</v>
      </c>
      <c r="B250" s="4" t="s">
        <v>519</v>
      </c>
      <c r="C250" s="5">
        <v>9603</v>
      </c>
      <c r="D250" s="6" t="s">
        <v>11</v>
      </c>
      <c r="E250" s="6" t="s">
        <v>17</v>
      </c>
      <c r="F250" s="7">
        <v>37932</v>
      </c>
      <c r="G250" s="8">
        <f t="shared" si="3"/>
        <v>37932</v>
      </c>
      <c r="H250" s="6" t="s">
        <v>13</v>
      </c>
      <c r="I250" s="9" t="str">
        <f>IF(ISNA(VLOOKUP(A250,'[1]Craig Eval'!A:C,3,FALSE)),"",(VLOOKUP(A250,'[1]Craig Eval'!A:C,3,FALSE))*1000)</f>
        <v/>
      </c>
      <c r="J250" s="10" t="str">
        <f>IF(ISNA(VLOOKUP(A250,'[1]Craig Eval'!A:M,13,FALSE)),"",VLOOKUP(A250,'[1]Craig Eval'!A:M,13,FALSE))</f>
        <v/>
      </c>
      <c r="K250" s="17">
        <v>1</v>
      </c>
    </row>
    <row r="251" spans="1:11" ht="30" x14ac:dyDescent="0.25">
      <c r="A251" s="3" t="s">
        <v>520</v>
      </c>
      <c r="B251" s="4" t="s">
        <v>521</v>
      </c>
      <c r="C251" s="5">
        <v>1657</v>
      </c>
      <c r="D251" s="6" t="s">
        <v>28</v>
      </c>
      <c r="E251" s="6" t="s">
        <v>17</v>
      </c>
      <c r="F251" s="7">
        <v>29221</v>
      </c>
      <c r="G251" s="8">
        <f t="shared" si="3"/>
        <v>29221</v>
      </c>
      <c r="H251" s="6" t="s">
        <v>13</v>
      </c>
      <c r="I251" s="9">
        <f>IF(ISNA(VLOOKUP(A251,'[1]Craig Eval'!A:C,3,FALSE)),"",(VLOOKUP(A251,'[1]Craig Eval'!A:C,3,FALSE))*1000)</f>
        <v>30749.054108417797</v>
      </c>
      <c r="J251" s="10">
        <f>IF(ISNA(VLOOKUP(A251,'[1]Craig Eval'!A:M,13,FALSE)),"",VLOOKUP(A251,'[1]Craig Eval'!A:M,13,FALSE))</f>
        <v>86.991436293272599</v>
      </c>
      <c r="K251" s="17">
        <v>1</v>
      </c>
    </row>
    <row r="252" spans="1:11" ht="30" x14ac:dyDescent="0.25">
      <c r="A252" s="3" t="s">
        <v>522</v>
      </c>
      <c r="B252" s="4" t="s">
        <v>523</v>
      </c>
      <c r="C252" s="14">
        <v>52947</v>
      </c>
      <c r="D252" s="6" t="s">
        <v>34</v>
      </c>
      <c r="E252" s="6" t="s">
        <v>17</v>
      </c>
      <c r="F252" s="7">
        <v>39037</v>
      </c>
      <c r="G252" s="8">
        <f t="shared" si="3"/>
        <v>39037</v>
      </c>
      <c r="H252" s="6" t="s">
        <v>13</v>
      </c>
      <c r="I252" s="9" t="str">
        <f>IF(ISNA(VLOOKUP(A252,'[1]Craig Eval'!A:C,3,FALSE)),"",(VLOOKUP(A252,'[1]Craig Eval'!A:C,3,FALSE))*1000)</f>
        <v/>
      </c>
      <c r="J252" s="10" t="str">
        <f>IF(ISNA(VLOOKUP(A252,'[1]Craig Eval'!A:M,13,FALSE)),"",VLOOKUP(A252,'[1]Craig Eval'!A:M,13,FALSE))</f>
        <v/>
      </c>
      <c r="K252" s="17">
        <v>2</v>
      </c>
    </row>
    <row r="253" spans="1:11" ht="30" x14ac:dyDescent="0.25">
      <c r="A253" s="26" t="s">
        <v>524</v>
      </c>
      <c r="B253" s="27" t="s">
        <v>525</v>
      </c>
      <c r="C253" s="34">
        <v>1240</v>
      </c>
      <c r="D253" s="28" t="s">
        <v>34</v>
      </c>
      <c r="E253" s="28" t="s">
        <v>17</v>
      </c>
      <c r="F253" s="29">
        <v>29221</v>
      </c>
      <c r="G253" s="30">
        <f t="shared" si="3"/>
        <v>29221</v>
      </c>
      <c r="H253" s="28" t="s">
        <v>13</v>
      </c>
      <c r="I253" s="31" t="str">
        <f>IF(ISNA(VLOOKUP(A253,'[1]Craig Eval'!A:C,3,FALSE)),"",(VLOOKUP(A253,'[1]Craig Eval'!A:C,3,FALSE))*1000)</f>
        <v/>
      </c>
      <c r="J253" s="32" t="str">
        <f>IF(ISNA(VLOOKUP(A253,'[1]Craig Eval'!A:M,13,FALSE)),"",VLOOKUP(A253,'[1]Craig Eval'!A:M,13,FALSE))</f>
        <v/>
      </c>
      <c r="K253" s="33">
        <v>1</v>
      </c>
    </row>
    <row r="254" spans="1:11" ht="30" x14ac:dyDescent="0.25">
      <c r="A254" s="3" t="s">
        <v>526</v>
      </c>
      <c r="B254" s="4" t="s">
        <v>527</v>
      </c>
      <c r="C254" s="5">
        <v>24337</v>
      </c>
      <c r="D254" s="6" t="s">
        <v>34</v>
      </c>
      <c r="E254" s="6" t="s">
        <v>17</v>
      </c>
      <c r="F254" s="7">
        <v>38608</v>
      </c>
      <c r="G254" s="8">
        <f t="shared" si="3"/>
        <v>38608</v>
      </c>
      <c r="H254" s="6" t="s">
        <v>13</v>
      </c>
      <c r="I254" s="9" t="str">
        <f>IF(ISNA(VLOOKUP(A254,'[1]Craig Eval'!A:C,3,FALSE)),"",(VLOOKUP(A254,'[1]Craig Eval'!A:C,3,FALSE))*1000)</f>
        <v/>
      </c>
      <c r="J254" s="10" t="str">
        <f>IF(ISNA(VLOOKUP(A254,'[1]Craig Eval'!A:M,13,FALSE)),"",VLOOKUP(A254,'[1]Craig Eval'!A:M,13,FALSE))</f>
        <v/>
      </c>
      <c r="K254" s="17">
        <v>2</v>
      </c>
    </row>
    <row r="255" spans="1:11" ht="30" x14ac:dyDescent="0.25">
      <c r="A255" s="3" t="s">
        <v>528</v>
      </c>
      <c r="B255" s="4" t="s">
        <v>529</v>
      </c>
      <c r="C255" s="5">
        <v>1805</v>
      </c>
      <c r="D255" s="6" t="s">
        <v>34</v>
      </c>
      <c r="E255" s="6" t="s">
        <v>17</v>
      </c>
      <c r="F255" s="7">
        <v>28369</v>
      </c>
      <c r="G255" s="8">
        <f t="shared" si="3"/>
        <v>28369</v>
      </c>
      <c r="H255" s="6" t="s">
        <v>13</v>
      </c>
      <c r="I255" s="9">
        <f>IF(ISNA(VLOOKUP(A255,'[1]Craig Eval'!A:C,3,FALSE)),"",(VLOOKUP(A255,'[1]Craig Eval'!A:C,3,FALSE))*1000)</f>
        <v>19641.730957926298</v>
      </c>
      <c r="J255" s="10">
        <f>IF(ISNA(VLOOKUP(A255,'[1]Craig Eval'!A:M,13,FALSE)),"",VLOOKUP(A255,'[1]Craig Eval'!A:M,13,FALSE))</f>
        <v>56.618508797629303</v>
      </c>
      <c r="K255" s="17">
        <v>1</v>
      </c>
    </row>
    <row r="256" spans="1:11" ht="30" x14ac:dyDescent="0.25">
      <c r="A256" s="3" t="s">
        <v>530</v>
      </c>
      <c r="B256" s="4" t="s">
        <v>531</v>
      </c>
      <c r="C256" s="5">
        <v>18566</v>
      </c>
      <c r="D256" s="6" t="s">
        <v>34</v>
      </c>
      <c r="E256" s="6" t="s">
        <v>17</v>
      </c>
      <c r="F256" s="7">
        <v>38197</v>
      </c>
      <c r="G256" s="8">
        <f t="shared" si="3"/>
        <v>38197</v>
      </c>
      <c r="H256" s="6" t="s">
        <v>13</v>
      </c>
      <c r="I256" s="9">
        <f>IF(ISNA(VLOOKUP(A256,'[1]Craig Eval'!A:C,3,FALSE)),"",(VLOOKUP(A256,'[1]Craig Eval'!A:C,3,FALSE))*1000)</f>
        <v>20829.538471372198</v>
      </c>
      <c r="J256" s="10">
        <f>IF(ISNA(VLOOKUP(A256,'[1]Craig Eval'!A:M,13,FALSE)),"",VLOOKUP(A256,'[1]Craig Eval'!A:M,13,FALSE))</f>
        <v>59.907394971384399</v>
      </c>
      <c r="K256" s="17">
        <v>1</v>
      </c>
    </row>
    <row r="257" spans="1:11" ht="30" x14ac:dyDescent="0.25">
      <c r="A257" s="3" t="s">
        <v>532</v>
      </c>
      <c r="B257" s="4" t="s">
        <v>533</v>
      </c>
      <c r="C257" s="14">
        <v>1359</v>
      </c>
      <c r="D257" s="6" t="s">
        <v>31</v>
      </c>
      <c r="E257" s="6" t="s">
        <v>17</v>
      </c>
      <c r="F257" s="7">
        <v>24108</v>
      </c>
      <c r="G257" s="8">
        <f t="shared" si="3"/>
        <v>24108</v>
      </c>
      <c r="H257" s="6" t="s">
        <v>13</v>
      </c>
      <c r="I257" s="9" t="str">
        <f>IF(ISNA(VLOOKUP(A257,'[1]Craig Eval'!A:C,3,FALSE)),"",(VLOOKUP(A257,'[1]Craig Eval'!A:C,3,FALSE))*1000)</f>
        <v/>
      </c>
      <c r="J257" s="10" t="str">
        <f>IF(ISNA(VLOOKUP(A257,'[1]Craig Eval'!A:M,13,FALSE)),"",VLOOKUP(A257,'[1]Craig Eval'!A:M,13,FALSE))</f>
        <v/>
      </c>
      <c r="K257" s="17">
        <v>2</v>
      </c>
    </row>
    <row r="258" spans="1:11" ht="30" x14ac:dyDescent="0.25">
      <c r="A258" s="3" t="s">
        <v>534</v>
      </c>
      <c r="B258" s="4" t="s">
        <v>535</v>
      </c>
      <c r="C258" s="5">
        <v>54507</v>
      </c>
      <c r="D258" s="6" t="s">
        <v>11</v>
      </c>
      <c r="E258" s="6" t="s">
        <v>12</v>
      </c>
      <c r="F258" s="7">
        <v>37494</v>
      </c>
      <c r="G258" s="8">
        <f t="shared" ref="G258:G321" si="4">F258</f>
        <v>37494</v>
      </c>
      <c r="H258" s="6" t="s">
        <v>39</v>
      </c>
      <c r="I258" s="9" t="str">
        <f>IF(ISNA(VLOOKUP(A258,'[1]Craig Eval'!A:C,3,FALSE)),"",(VLOOKUP(A258,'[1]Craig Eval'!A:C,3,FALSE))*1000)</f>
        <v/>
      </c>
      <c r="J258" s="10" t="str">
        <f>IF(ISNA(VLOOKUP(A258,'[1]Craig Eval'!A:M,13,FALSE)),"",VLOOKUP(A258,'[1]Craig Eval'!A:M,13,FALSE))</f>
        <v/>
      </c>
      <c r="K258" s="17">
        <v>1</v>
      </c>
    </row>
    <row r="259" spans="1:11" ht="30" x14ac:dyDescent="0.25">
      <c r="A259" s="3" t="s">
        <v>536</v>
      </c>
      <c r="B259" s="4" t="s">
        <v>537</v>
      </c>
      <c r="C259" s="14">
        <v>1537</v>
      </c>
      <c r="D259" s="6" t="s">
        <v>34</v>
      </c>
      <c r="E259" s="6" t="s">
        <v>17</v>
      </c>
      <c r="F259" s="7">
        <v>29221</v>
      </c>
      <c r="G259" s="8">
        <f t="shared" si="4"/>
        <v>29221</v>
      </c>
      <c r="H259" s="6" t="s">
        <v>13</v>
      </c>
      <c r="I259" s="9">
        <f>IF(ISNA(VLOOKUP(A259,'[1]Craig Eval'!A:C,3,FALSE)),"",(VLOOKUP(A259,'[1]Craig Eval'!A:C,3,FALSE))*1000)</f>
        <v>41110.311010384896</v>
      </c>
      <c r="J259" s="10">
        <f>IF(ISNA(VLOOKUP(A259,'[1]Craig Eval'!A:M,13,FALSE)),"",VLOOKUP(A259,'[1]Craig Eval'!A:M,13,FALSE))</f>
        <v>114.665754753465</v>
      </c>
      <c r="K259" s="17">
        <v>2</v>
      </c>
    </row>
    <row r="260" spans="1:11" ht="30" x14ac:dyDescent="0.25">
      <c r="A260" s="3" t="s">
        <v>538</v>
      </c>
      <c r="B260" s="4" t="s">
        <v>539</v>
      </c>
      <c r="C260" s="5">
        <v>1469</v>
      </c>
      <c r="D260" s="6" t="s">
        <v>31</v>
      </c>
      <c r="E260" s="6" t="s">
        <v>17</v>
      </c>
      <c r="F260" s="7">
        <v>36721</v>
      </c>
      <c r="G260" s="8">
        <f t="shared" si="4"/>
        <v>36721</v>
      </c>
      <c r="H260" s="6" t="s">
        <v>13</v>
      </c>
      <c r="I260" s="9">
        <f>IF(ISNA(VLOOKUP(A260,'[1]Craig Eval'!A:C,3,FALSE)),"",(VLOOKUP(A260,'[1]Craig Eval'!A:C,3,FALSE))*1000)</f>
        <v>37359.746949710396</v>
      </c>
      <c r="J260" s="10">
        <f>IF(ISNA(VLOOKUP(A260,'[1]Craig Eval'!A:M,13,FALSE)),"",VLOOKUP(A260,'[1]Craig Eval'!A:M,13,FALSE))</f>
        <v>104.71285349772501</v>
      </c>
      <c r="K260" s="17">
        <v>1</v>
      </c>
    </row>
    <row r="261" spans="1:11" ht="30" x14ac:dyDescent="0.25">
      <c r="A261" s="3" t="s">
        <v>540</v>
      </c>
      <c r="B261" s="4" t="s">
        <v>541</v>
      </c>
      <c r="C261" s="5">
        <v>21762</v>
      </c>
      <c r="D261" s="6" t="s">
        <v>31</v>
      </c>
      <c r="E261" s="6" t="s">
        <v>17</v>
      </c>
      <c r="F261" s="7">
        <v>36003</v>
      </c>
      <c r="G261" s="8">
        <f t="shared" si="4"/>
        <v>36003</v>
      </c>
      <c r="H261" s="6" t="s">
        <v>13</v>
      </c>
      <c r="I261" s="9">
        <f>IF(ISNA(VLOOKUP(A261,'[1]Craig Eval'!A:C,3,FALSE)),"",(VLOOKUP(A261,'[1]Craig Eval'!A:C,3,FALSE))*1000)</f>
        <v>4045.5038836785002</v>
      </c>
      <c r="J261" s="10">
        <f>IF(ISNA(VLOOKUP(A261,'[1]Craig Eval'!A:M,13,FALSE)),"",VLOOKUP(A261,'[1]Craig Eval'!A:M,13,FALSE))</f>
        <v>12.1714414159766</v>
      </c>
      <c r="K261" s="17">
        <v>1</v>
      </c>
    </row>
    <row r="262" spans="1:11" ht="30" x14ac:dyDescent="0.25">
      <c r="A262" s="3" t="s">
        <v>542</v>
      </c>
      <c r="B262" s="4" t="s">
        <v>543</v>
      </c>
      <c r="C262" s="14">
        <v>1952</v>
      </c>
      <c r="D262" s="6" t="s">
        <v>28</v>
      </c>
      <c r="E262" s="6" t="s">
        <v>17</v>
      </c>
      <c r="F262" s="7">
        <v>37020</v>
      </c>
      <c r="G262" s="8">
        <f t="shared" si="4"/>
        <v>37020</v>
      </c>
      <c r="H262" s="6" t="s">
        <v>13</v>
      </c>
      <c r="I262" s="9">
        <f>IF(ISNA(VLOOKUP(A262,'[1]Craig Eval'!A:C,3,FALSE)),"",(VLOOKUP(A262,'[1]Craig Eval'!A:C,3,FALSE))*1000)</f>
        <v>14836.5082906931</v>
      </c>
      <c r="J262" s="10">
        <f>IF(ISNA(VLOOKUP(A262,'[1]Craig Eval'!A:M,13,FALSE)),"",VLOOKUP(A262,'[1]Craig Eval'!A:M,13,FALSE))</f>
        <v>43.196596628649303</v>
      </c>
      <c r="K262" s="17">
        <v>1</v>
      </c>
    </row>
    <row r="263" spans="1:11" ht="30" x14ac:dyDescent="0.25">
      <c r="A263" s="3" t="s">
        <v>544</v>
      </c>
      <c r="B263" s="4" t="s">
        <v>545</v>
      </c>
      <c r="C263" s="14">
        <v>30338</v>
      </c>
      <c r="D263" s="6" t="s">
        <v>34</v>
      </c>
      <c r="E263" s="6" t="s">
        <v>17</v>
      </c>
      <c r="F263" s="7">
        <v>37236</v>
      </c>
      <c r="G263" s="8">
        <f t="shared" si="4"/>
        <v>37236</v>
      </c>
      <c r="H263" s="6" t="s">
        <v>13</v>
      </c>
      <c r="I263" s="9" t="str">
        <f>IF(ISNA(VLOOKUP(A263,'[1]Craig Eval'!A:C,3,FALSE)),"",(VLOOKUP(A263,'[1]Craig Eval'!A:C,3,FALSE))*1000)</f>
        <v/>
      </c>
      <c r="J263" s="10" t="str">
        <f>IF(ISNA(VLOOKUP(A263,'[1]Craig Eval'!A:M,13,FALSE)),"",VLOOKUP(A263,'[1]Craig Eval'!A:M,13,FALSE))</f>
        <v/>
      </c>
      <c r="K263" s="17">
        <v>3</v>
      </c>
    </row>
    <row r="264" spans="1:11" ht="30" x14ac:dyDescent="0.25">
      <c r="A264" s="3" t="s">
        <v>546</v>
      </c>
      <c r="B264" s="4" t="s">
        <v>547</v>
      </c>
      <c r="C264" s="5">
        <v>1446</v>
      </c>
      <c r="D264" s="6" t="s">
        <v>16</v>
      </c>
      <c r="E264" s="6" t="s">
        <v>17</v>
      </c>
      <c r="F264" s="7">
        <v>29952</v>
      </c>
      <c r="G264" s="8">
        <f t="shared" si="4"/>
        <v>29952</v>
      </c>
      <c r="H264" s="6" t="s">
        <v>13</v>
      </c>
      <c r="I264" s="9" t="str">
        <f>IF(ISNA(VLOOKUP(A264,'[1]Craig Eval'!A:C,3,FALSE)),"",(VLOOKUP(A264,'[1]Craig Eval'!A:C,3,FALSE))*1000)</f>
        <v/>
      </c>
      <c r="J264" s="10" t="str">
        <f>IF(ISNA(VLOOKUP(A264,'[1]Craig Eval'!A:M,13,FALSE)),"",VLOOKUP(A264,'[1]Craig Eval'!A:M,13,FALSE))</f>
        <v/>
      </c>
      <c r="K264" s="17">
        <v>2</v>
      </c>
    </row>
    <row r="265" spans="1:11" ht="30" x14ac:dyDescent="0.25">
      <c r="A265" s="3" t="s">
        <v>548</v>
      </c>
      <c r="B265" s="4" t="s">
        <v>549</v>
      </c>
      <c r="C265" s="5">
        <v>46481</v>
      </c>
      <c r="D265" s="6" t="s">
        <v>16</v>
      </c>
      <c r="E265" s="6" t="s">
        <v>17</v>
      </c>
      <c r="F265" s="7">
        <v>39399</v>
      </c>
      <c r="G265" s="8">
        <f t="shared" si="4"/>
        <v>39399</v>
      </c>
      <c r="H265" s="6" t="s">
        <v>13</v>
      </c>
      <c r="I265" s="9">
        <f>IF(ISNA(VLOOKUP(A265,'[1]Craig Eval'!A:C,3,FALSE)),"",(VLOOKUP(A265,'[1]Craig Eval'!A:C,3,FALSE))*1000)</f>
        <v>3516.1533532162998</v>
      </c>
      <c r="J265" s="10">
        <f>IF(ISNA(VLOOKUP(A265,'[1]Craig Eval'!A:M,13,FALSE)),"",VLOOKUP(A265,'[1]Craig Eval'!A:M,13,FALSE))</f>
        <v>10.605285819281301</v>
      </c>
      <c r="K265" s="17">
        <v>1</v>
      </c>
    </row>
    <row r="266" spans="1:11" ht="30" x14ac:dyDescent="0.25">
      <c r="A266" s="3" t="s">
        <v>550</v>
      </c>
      <c r="B266" s="4" t="s">
        <v>551</v>
      </c>
      <c r="C266" s="5">
        <v>8335</v>
      </c>
      <c r="D266" s="6" t="s">
        <v>28</v>
      </c>
      <c r="E266" s="6" t="s">
        <v>17</v>
      </c>
      <c r="F266" s="7">
        <v>32462</v>
      </c>
      <c r="G266" s="8">
        <f t="shared" si="4"/>
        <v>32462</v>
      </c>
      <c r="H266" s="6" t="s">
        <v>13</v>
      </c>
      <c r="I266" s="9">
        <f>IF(ISNA(VLOOKUP(A266,'[1]Craig Eval'!A:C,3,FALSE)),"",(VLOOKUP(A266,'[1]Craig Eval'!A:C,3,FALSE))*1000)</f>
        <v>10227.165600131899</v>
      </c>
      <c r="J266" s="10">
        <f>IF(ISNA(VLOOKUP(A266,'[1]Craig Eval'!A:M,13,FALSE)),"",VLOOKUP(A266,'[1]Craig Eval'!A:M,13,FALSE))</f>
        <v>30.119650643027899</v>
      </c>
      <c r="K266" s="17">
        <v>2</v>
      </c>
    </row>
    <row r="267" spans="1:11" ht="30" x14ac:dyDescent="0.25">
      <c r="A267" s="3" t="s">
        <v>552</v>
      </c>
      <c r="B267" s="4" t="s">
        <v>553</v>
      </c>
      <c r="C267" s="14">
        <v>8334</v>
      </c>
      <c r="D267" s="6" t="s">
        <v>28</v>
      </c>
      <c r="E267" s="6" t="s">
        <v>17</v>
      </c>
      <c r="F267" s="7">
        <v>31118</v>
      </c>
      <c r="G267" s="8">
        <f t="shared" si="4"/>
        <v>31118</v>
      </c>
      <c r="H267" s="6" t="s">
        <v>13</v>
      </c>
      <c r="I267" s="9">
        <f>IF(ISNA(VLOOKUP(A267,'[1]Craig Eval'!A:C,3,FALSE)),"",(VLOOKUP(A267,'[1]Craig Eval'!A:C,3,FALSE))*1000)</f>
        <v>32344.897809483398</v>
      </c>
      <c r="J267" s="10">
        <f>IF(ISNA(VLOOKUP(A267,'[1]Craig Eval'!A:M,13,FALSE)),"",VLOOKUP(A267,'[1]Craig Eval'!A:M,13,FALSE))</f>
        <v>91.291491835968799</v>
      </c>
      <c r="K267" s="17">
        <v>2</v>
      </c>
    </row>
    <row r="268" spans="1:11" ht="30" x14ac:dyDescent="0.25">
      <c r="A268" s="3" t="s">
        <v>554</v>
      </c>
      <c r="B268" s="4" t="s">
        <v>555</v>
      </c>
      <c r="C268" s="14">
        <v>8328</v>
      </c>
      <c r="D268" s="6" t="s">
        <v>28</v>
      </c>
      <c r="E268" s="6" t="s">
        <v>17</v>
      </c>
      <c r="F268" s="7">
        <v>32682</v>
      </c>
      <c r="G268" s="8">
        <f t="shared" si="4"/>
        <v>32682</v>
      </c>
      <c r="H268" s="6" t="s">
        <v>13</v>
      </c>
      <c r="I268" s="9">
        <f>IF(ISNA(VLOOKUP(A268,'[1]Craig Eval'!A:C,3,FALSE)),"",(VLOOKUP(A268,'[1]Craig Eval'!A:C,3,FALSE))*1000)</f>
        <v>128398.22463396299</v>
      </c>
      <c r="J268" s="10">
        <f>IF(ISNA(VLOOKUP(A268,'[1]Craig Eval'!A:M,13,FALSE)),"",VLOOKUP(A268,'[1]Craig Eval'!A:M,13,FALSE))</f>
        <v>332.35355052814498</v>
      </c>
      <c r="K268" s="17">
        <v>2</v>
      </c>
    </row>
    <row r="269" spans="1:11" ht="30" x14ac:dyDescent="0.25">
      <c r="A269" s="3" t="s">
        <v>556</v>
      </c>
      <c r="B269" s="4" t="s">
        <v>557</v>
      </c>
      <c r="C269" s="5">
        <v>52917</v>
      </c>
      <c r="D269" s="6" t="s">
        <v>28</v>
      </c>
      <c r="E269" s="6" t="s">
        <v>17</v>
      </c>
      <c r="F269" s="7">
        <v>38718</v>
      </c>
      <c r="G269" s="8">
        <f t="shared" si="4"/>
        <v>38718</v>
      </c>
      <c r="H269" s="6" t="s">
        <v>13</v>
      </c>
      <c r="I269" s="9">
        <f>IF(ISNA(VLOOKUP(A269,'[1]Craig Eval'!A:C,3,FALSE)),"",(VLOOKUP(A269,'[1]Craig Eval'!A:C,3,FALSE))*1000)</f>
        <v>2875.57018196032</v>
      </c>
      <c r="J269" s="10">
        <f>IF(ISNA(VLOOKUP(A269,'[1]Craig Eval'!A:M,13,FALSE)),"",VLOOKUP(A269,'[1]Craig Eval'!A:M,13,FALSE))</f>
        <v>8.7019073162779002</v>
      </c>
      <c r="K269" s="17">
        <v>1</v>
      </c>
    </row>
    <row r="270" spans="1:11" ht="30" x14ac:dyDescent="0.25">
      <c r="A270" s="3" t="s">
        <v>558</v>
      </c>
      <c r="B270" s="4" t="s">
        <v>559</v>
      </c>
      <c r="C270" s="14">
        <v>1263</v>
      </c>
      <c r="D270" s="6" t="s">
        <v>28</v>
      </c>
      <c r="E270" s="6" t="s">
        <v>17</v>
      </c>
      <c r="F270" s="7">
        <v>36831</v>
      </c>
      <c r="G270" s="8">
        <f t="shared" si="4"/>
        <v>36831</v>
      </c>
      <c r="H270" s="6" t="s">
        <v>13</v>
      </c>
      <c r="I270" s="9">
        <f>IF(ISNA(VLOOKUP(A270,'[1]Craig Eval'!A:C,3,FALSE)),"",(VLOOKUP(A270,'[1]Craig Eval'!A:C,3,FALSE))*1000)</f>
        <v>47865.611213354103</v>
      </c>
      <c r="J270" s="10">
        <f>IF(ISNA(VLOOKUP(A270,'[1]Craig Eval'!A:M,13,FALSE)),"",VLOOKUP(A270,'[1]Craig Eval'!A:M,13,FALSE))</f>
        <v>132.42479231043899</v>
      </c>
      <c r="K270" s="17">
        <v>2</v>
      </c>
    </row>
    <row r="271" spans="1:11" ht="30" x14ac:dyDescent="0.25">
      <c r="A271" s="18" t="s">
        <v>560</v>
      </c>
      <c r="B271" s="19" t="s">
        <v>561</v>
      </c>
      <c r="C271" s="20">
        <v>8331</v>
      </c>
      <c r="D271" s="21" t="s">
        <v>28</v>
      </c>
      <c r="E271" s="21" t="s">
        <v>17</v>
      </c>
      <c r="F271" s="22">
        <v>32752</v>
      </c>
      <c r="G271" s="23">
        <f t="shared" si="4"/>
        <v>32752</v>
      </c>
      <c r="H271" s="21" t="s">
        <v>13</v>
      </c>
      <c r="I271" s="9">
        <f>IF(ISNA(VLOOKUP(A271,'[1]Craig Eval'!A:C,3,FALSE)),"",(VLOOKUP(A271,'[1]Craig Eval'!A:C,3,FALSE))*1000)</f>
        <v>11168.566201986099</v>
      </c>
      <c r="J271" s="24">
        <f>IF(ISNA(VLOOKUP(A271,'[1]Craig Eval'!A:M,13,FALSE)),"",VLOOKUP(A271,'[1]Craig Eval'!A:M,13,FALSE))</f>
        <v>32.808653200115998</v>
      </c>
      <c r="K271" s="25">
        <v>1</v>
      </c>
    </row>
    <row r="272" spans="1:11" ht="30" x14ac:dyDescent="0.25">
      <c r="A272" s="18" t="s">
        <v>562</v>
      </c>
      <c r="B272" s="19" t="s">
        <v>563</v>
      </c>
      <c r="C272" s="5">
        <v>8332</v>
      </c>
      <c r="D272" s="21" t="s">
        <v>28</v>
      </c>
      <c r="E272" s="21" t="s">
        <v>17</v>
      </c>
      <c r="F272" s="22">
        <v>32752</v>
      </c>
      <c r="G272" s="23">
        <f t="shared" si="4"/>
        <v>32752</v>
      </c>
      <c r="H272" s="21" t="s">
        <v>13</v>
      </c>
      <c r="I272" s="9">
        <f>IF(ISNA(VLOOKUP(A272,'[1]Craig Eval'!A:C,3,FALSE)),"",(VLOOKUP(A272,'[1]Craig Eval'!A:C,3,FALSE))*1000)</f>
        <v>25183.350986731402</v>
      </c>
      <c r="J272" s="10">
        <f>IF(ISNA(VLOOKUP(A272,'[1]Craig Eval'!A:M,13,FALSE)),"",VLOOKUP(A272,'[1]Craig Eval'!A:M,13,FALSE))</f>
        <v>71.874793483124904</v>
      </c>
      <c r="K272" s="17">
        <v>1</v>
      </c>
    </row>
    <row r="273" spans="1:11" ht="30" x14ac:dyDescent="0.25">
      <c r="A273" s="3" t="s">
        <v>564</v>
      </c>
      <c r="B273" s="4" t="s">
        <v>565</v>
      </c>
      <c r="C273" s="5">
        <v>1378</v>
      </c>
      <c r="D273" s="6" t="s">
        <v>28</v>
      </c>
      <c r="E273" s="6" t="s">
        <v>17</v>
      </c>
      <c r="F273" s="7">
        <v>31778</v>
      </c>
      <c r="G273" s="8">
        <f t="shared" si="4"/>
        <v>31778</v>
      </c>
      <c r="H273" s="6" t="s">
        <v>13</v>
      </c>
      <c r="I273" s="9">
        <f>IF(ISNA(VLOOKUP(A273,'[1]Craig Eval'!A:C,3,FALSE)),"",(VLOOKUP(A273,'[1]Craig Eval'!A:C,3,FALSE))*1000)</f>
        <v>41281.2693667001</v>
      </c>
      <c r="J273" s="10">
        <f>IF(ISNA(VLOOKUP(A273,'[1]Craig Eval'!A:M,13,FALSE)),"",VLOOKUP(A273,'[1]Craig Eval'!A:M,13,FALSE))</f>
        <v>115.117788536018</v>
      </c>
      <c r="K273" s="17">
        <v>1</v>
      </c>
    </row>
    <row r="274" spans="1:11" ht="30" x14ac:dyDescent="0.25">
      <c r="A274" s="3" t="s">
        <v>566</v>
      </c>
      <c r="B274" s="4" t="s">
        <v>567</v>
      </c>
      <c r="C274" s="5">
        <v>1856</v>
      </c>
      <c r="D274" s="6" t="s">
        <v>16</v>
      </c>
      <c r="E274" s="6" t="s">
        <v>17</v>
      </c>
      <c r="F274" s="7">
        <v>32874</v>
      </c>
      <c r="G274" s="8">
        <f t="shared" si="4"/>
        <v>32874</v>
      </c>
      <c r="H274" s="6" t="s">
        <v>13</v>
      </c>
      <c r="I274" s="9" t="str">
        <f>IF(ISNA(VLOOKUP(A274,'[1]Craig Eval'!A:C,3,FALSE)),"",(VLOOKUP(A274,'[1]Craig Eval'!A:C,3,FALSE))*1000)</f>
        <v/>
      </c>
      <c r="J274" s="10" t="str">
        <f>IF(ISNA(VLOOKUP(A274,'[1]Craig Eval'!A:M,13,FALSE)),"",VLOOKUP(A274,'[1]Craig Eval'!A:M,13,FALSE))</f>
        <v/>
      </c>
      <c r="K274" s="17">
        <v>2</v>
      </c>
    </row>
    <row r="275" spans="1:11" ht="30" x14ac:dyDescent="0.25">
      <c r="A275" s="3" t="s">
        <v>568</v>
      </c>
      <c r="B275" s="4" t="s">
        <v>569</v>
      </c>
      <c r="C275" s="5">
        <v>28913</v>
      </c>
      <c r="D275" s="6" t="s">
        <v>37</v>
      </c>
      <c r="E275" s="6" t="s">
        <v>38</v>
      </c>
      <c r="F275" s="7">
        <v>38489</v>
      </c>
      <c r="G275" s="8">
        <f t="shared" si="4"/>
        <v>38489</v>
      </c>
      <c r="H275" s="6" t="s">
        <v>39</v>
      </c>
      <c r="I275" s="9" t="str">
        <f>IF(ISNA(VLOOKUP(A275,'[1]Craig Eval'!A:C,3,FALSE)),"",(VLOOKUP(A275,'[1]Craig Eval'!A:C,3,FALSE))*1000)</f>
        <v/>
      </c>
      <c r="J275" s="10" t="str">
        <f>IF(ISNA(VLOOKUP(A275,'[1]Craig Eval'!A:M,13,FALSE)),"",VLOOKUP(A275,'[1]Craig Eval'!A:M,13,FALSE))</f>
        <v/>
      </c>
      <c r="K275" s="17">
        <v>1</v>
      </c>
    </row>
    <row r="276" spans="1:11" ht="30" x14ac:dyDescent="0.25">
      <c r="A276" s="3" t="s">
        <v>570</v>
      </c>
      <c r="B276" s="4" t="s">
        <v>571</v>
      </c>
      <c r="C276" s="5">
        <v>1836</v>
      </c>
      <c r="D276" s="6" t="s">
        <v>31</v>
      </c>
      <c r="E276" s="6" t="s">
        <v>17</v>
      </c>
      <c r="F276" s="7">
        <v>29221</v>
      </c>
      <c r="G276" s="8">
        <f t="shared" si="4"/>
        <v>29221</v>
      </c>
      <c r="H276" s="6" t="s">
        <v>13</v>
      </c>
      <c r="I276" s="9">
        <f>IF(ISNA(VLOOKUP(A276,'[1]Craig Eval'!A:C,3,FALSE)),"",(VLOOKUP(A276,'[1]Craig Eval'!A:C,3,FALSE))*1000)</f>
        <v>3503.5015872893</v>
      </c>
      <c r="J276" s="10">
        <f>IF(ISNA(VLOOKUP(A276,'[1]Craig Eval'!A:M,13,FALSE)),"",VLOOKUP(A276,'[1]Craig Eval'!A:M,13,FALSE))</f>
        <v>10.567781998996701</v>
      </c>
      <c r="K276" s="17">
        <v>1</v>
      </c>
    </row>
    <row r="277" spans="1:11" ht="30" x14ac:dyDescent="0.25">
      <c r="A277" s="3" t="s">
        <v>572</v>
      </c>
      <c r="B277" s="4" t="s">
        <v>573</v>
      </c>
      <c r="C277" s="14">
        <v>15692</v>
      </c>
      <c r="D277" s="6" t="s">
        <v>16</v>
      </c>
      <c r="E277" s="6" t="s">
        <v>17</v>
      </c>
      <c r="F277" s="7">
        <v>27364</v>
      </c>
      <c r="G277" s="8">
        <f t="shared" si="4"/>
        <v>27364</v>
      </c>
      <c r="H277" s="6" t="s">
        <v>13</v>
      </c>
      <c r="I277" s="9">
        <f>IF(ISNA(VLOOKUP(A277,'[1]Craig Eval'!A:C,3,FALSE)),"",(VLOOKUP(A277,'[1]Craig Eval'!A:C,3,FALSE))*1000)</f>
        <v>103577.637910462</v>
      </c>
      <c r="J277" s="10">
        <f>IF(ISNA(VLOOKUP(A277,'[1]Craig Eval'!A:M,13,FALSE)),"",VLOOKUP(A277,'[1]Craig Eval'!A:M,13,FALSE))</f>
        <v>272.61819368250502</v>
      </c>
      <c r="K277" s="17">
        <v>1</v>
      </c>
    </row>
    <row r="278" spans="1:11" ht="30" x14ac:dyDescent="0.25">
      <c r="A278" s="3" t="s">
        <v>574</v>
      </c>
      <c r="B278" s="4" t="s">
        <v>575</v>
      </c>
      <c r="C278" s="5">
        <v>1748</v>
      </c>
      <c r="D278" s="6" t="s">
        <v>34</v>
      </c>
      <c r="E278" s="6" t="s">
        <v>17</v>
      </c>
      <c r="F278" s="7">
        <v>29221</v>
      </c>
      <c r="G278" s="8">
        <f t="shared" si="4"/>
        <v>29221</v>
      </c>
      <c r="H278" s="6" t="s">
        <v>13</v>
      </c>
      <c r="I278" s="9" t="str">
        <f>IF(ISNA(VLOOKUP(A278,'[1]Craig Eval'!A:C,3,FALSE)),"",(VLOOKUP(A278,'[1]Craig Eval'!A:C,3,FALSE))*1000)</f>
        <v/>
      </c>
      <c r="J278" s="10" t="str">
        <f>IF(ISNA(VLOOKUP(A278,'[1]Craig Eval'!A:M,13,FALSE)),"",VLOOKUP(A278,'[1]Craig Eval'!A:M,13,FALSE))</f>
        <v/>
      </c>
      <c r="K278" s="17">
        <v>1</v>
      </c>
    </row>
    <row r="279" spans="1:11" ht="30" x14ac:dyDescent="0.25">
      <c r="A279" s="3" t="s">
        <v>576</v>
      </c>
      <c r="B279" s="4" t="s">
        <v>577</v>
      </c>
      <c r="C279" s="5">
        <v>1658</v>
      </c>
      <c r="D279" s="6" t="s">
        <v>28</v>
      </c>
      <c r="E279" s="6" t="s">
        <v>17</v>
      </c>
      <c r="F279" s="7">
        <v>18264</v>
      </c>
      <c r="G279" s="8">
        <f t="shared" si="4"/>
        <v>18264</v>
      </c>
      <c r="H279" s="6" t="s">
        <v>13</v>
      </c>
      <c r="I279" s="9">
        <f>IF(ISNA(VLOOKUP(A279,'[1]Craig Eval'!A:C,3,FALSE)),"",(VLOOKUP(A279,'[1]Craig Eval'!A:C,3,FALSE))*1000)</f>
        <v>24912.530834674199</v>
      </c>
      <c r="J279" s="10">
        <f>IF(ISNA(VLOOKUP(A279,'[1]Craig Eval'!A:M,13,FALSE)),"",VLOOKUP(A279,'[1]Craig Eval'!A:M,13,FALSE))</f>
        <v>71.134210894047101</v>
      </c>
      <c r="K279" s="17">
        <v>2</v>
      </c>
    </row>
    <row r="280" spans="1:11" ht="30" x14ac:dyDescent="0.25">
      <c r="A280" s="3" t="s">
        <v>578</v>
      </c>
      <c r="B280" s="4" t="s">
        <v>579</v>
      </c>
      <c r="C280" s="14">
        <v>1067</v>
      </c>
      <c r="D280" s="6" t="s">
        <v>11</v>
      </c>
      <c r="E280" s="6" t="s">
        <v>17</v>
      </c>
      <c r="F280" s="7">
        <v>31048</v>
      </c>
      <c r="G280" s="8">
        <f t="shared" si="4"/>
        <v>31048</v>
      </c>
      <c r="H280" s="6" t="s">
        <v>13</v>
      </c>
      <c r="I280" s="9" t="str">
        <f>IF(ISNA(VLOOKUP(A280,'[1]Craig Eval'!A:C,3,FALSE)),"",(VLOOKUP(A280,'[1]Craig Eval'!A:C,3,FALSE))*1000)</f>
        <v/>
      </c>
      <c r="J280" s="10" t="str">
        <f>IF(ISNA(VLOOKUP(A280,'[1]Craig Eval'!A:M,13,FALSE)),"",VLOOKUP(A280,'[1]Craig Eval'!A:M,13,FALSE))</f>
        <v/>
      </c>
      <c r="K280" s="17">
        <v>3</v>
      </c>
    </row>
    <row r="281" spans="1:11" ht="30" x14ac:dyDescent="0.25">
      <c r="A281" s="18" t="s">
        <v>580</v>
      </c>
      <c r="B281" s="19" t="s">
        <v>581</v>
      </c>
      <c r="C281" s="20">
        <v>1274</v>
      </c>
      <c r="D281" s="21" t="s">
        <v>31</v>
      </c>
      <c r="E281" s="21" t="s">
        <v>17</v>
      </c>
      <c r="F281" s="22">
        <v>29221</v>
      </c>
      <c r="G281" s="23">
        <f t="shared" si="4"/>
        <v>29221</v>
      </c>
      <c r="H281" s="21" t="s">
        <v>13</v>
      </c>
      <c r="I281" s="9">
        <f>IF(ISNA(VLOOKUP(A281,'[1]Craig Eval'!A:C,3,FALSE)),"",(VLOOKUP(A281,'[1]Craig Eval'!A:C,3,FALSE))*1000)</f>
        <v>116078.15333324599</v>
      </c>
      <c r="J281" s="24">
        <f>IF(ISNA(VLOOKUP(A281,'[1]Craig Eval'!A:M,13,FALSE)),"",VLOOKUP(A281,'[1]Craig Eval'!A:M,13,FALSE))</f>
        <v>302.87684599223002</v>
      </c>
      <c r="K281" s="25">
        <v>2</v>
      </c>
    </row>
    <row r="282" spans="1:11" ht="30" x14ac:dyDescent="0.25">
      <c r="A282" s="3" t="s">
        <v>582</v>
      </c>
      <c r="B282" s="4" t="s">
        <v>583</v>
      </c>
      <c r="C282" s="5">
        <v>1085</v>
      </c>
      <c r="D282" s="6" t="s">
        <v>31</v>
      </c>
      <c r="E282" s="6" t="s">
        <v>17</v>
      </c>
      <c r="F282" s="7">
        <v>25569</v>
      </c>
      <c r="G282" s="8">
        <f t="shared" si="4"/>
        <v>25569</v>
      </c>
      <c r="H282" s="6" t="s">
        <v>13</v>
      </c>
      <c r="I282" s="9">
        <f>IF(ISNA(VLOOKUP(A282,'[1]Craig Eval'!A:C,3,FALSE)),"",(VLOOKUP(A282,'[1]Craig Eval'!A:C,3,FALSE))*1000)</f>
        <v>24137.452074071502</v>
      </c>
      <c r="J282" s="10">
        <f>IF(ISNA(VLOOKUP(A282,'[1]Craig Eval'!A:M,13,FALSE)),"",VLOOKUP(A282,'[1]Craig Eval'!A:M,13,FALSE))</f>
        <v>69.011965891783703</v>
      </c>
      <c r="K282" s="17">
        <v>1</v>
      </c>
    </row>
    <row r="283" spans="1:11" ht="30" x14ac:dyDescent="0.25">
      <c r="A283" s="3" t="s">
        <v>584</v>
      </c>
      <c r="B283" s="4" t="s">
        <v>585</v>
      </c>
      <c r="C283" s="5">
        <v>2000</v>
      </c>
      <c r="D283" s="6" t="s">
        <v>31</v>
      </c>
      <c r="E283" s="6" t="s">
        <v>17</v>
      </c>
      <c r="F283" s="7">
        <v>29221</v>
      </c>
      <c r="G283" s="8">
        <f t="shared" si="4"/>
        <v>29221</v>
      </c>
      <c r="H283" s="6" t="s">
        <v>13</v>
      </c>
      <c r="I283" s="9">
        <f>IF(ISNA(VLOOKUP(A283,'[1]Craig Eval'!A:C,3,FALSE)),"",(VLOOKUP(A283,'[1]Craig Eval'!A:C,3,FALSE))*1000)</f>
        <v>37560.200315056594</v>
      </c>
      <c r="J283" s="10">
        <f>IF(ISNA(VLOOKUP(A283,'[1]Craig Eval'!A:M,13,FALSE)),"",VLOOKUP(A283,'[1]Craig Eval'!A:M,13,FALSE))</f>
        <v>105.246576364207</v>
      </c>
      <c r="K283" s="17">
        <v>1</v>
      </c>
    </row>
    <row r="284" spans="1:11" ht="30" x14ac:dyDescent="0.25">
      <c r="A284" s="3" t="s">
        <v>586</v>
      </c>
      <c r="B284" s="4" t="s">
        <v>587</v>
      </c>
      <c r="C284" s="5">
        <v>27906</v>
      </c>
      <c r="D284" s="6" t="s">
        <v>11</v>
      </c>
      <c r="E284" s="6" t="s">
        <v>17</v>
      </c>
      <c r="F284" s="7">
        <v>35908</v>
      </c>
      <c r="G284" s="8">
        <f t="shared" si="4"/>
        <v>35908</v>
      </c>
      <c r="H284" s="6" t="s">
        <v>39</v>
      </c>
      <c r="I284" s="9" t="str">
        <f>IF(ISNA(VLOOKUP(A284,'[1]Craig Eval'!A:C,3,FALSE)),"",(VLOOKUP(A284,'[1]Craig Eval'!A:C,3,FALSE))*1000)</f>
        <v/>
      </c>
      <c r="J284" s="10" t="str">
        <f>IF(ISNA(VLOOKUP(A284,'[1]Craig Eval'!A:M,13,FALSE)),"",VLOOKUP(A284,'[1]Craig Eval'!A:M,13,FALSE))</f>
        <v/>
      </c>
      <c r="K284" s="17">
        <v>1</v>
      </c>
    </row>
    <row r="285" spans="1:11" ht="30" x14ac:dyDescent="0.25">
      <c r="A285" s="3" t="s">
        <v>588</v>
      </c>
      <c r="B285" s="4" t="s">
        <v>589</v>
      </c>
      <c r="C285" s="5">
        <v>54510</v>
      </c>
      <c r="D285" s="6" t="s">
        <v>11</v>
      </c>
      <c r="E285" s="6" t="s">
        <v>12</v>
      </c>
      <c r="F285" s="7">
        <v>41801</v>
      </c>
      <c r="G285" s="8">
        <f t="shared" si="4"/>
        <v>41801</v>
      </c>
      <c r="H285" s="6" t="s">
        <v>13</v>
      </c>
      <c r="I285" s="9" t="str">
        <f>IF(ISNA(VLOOKUP(A285,'[1]Craig Eval'!A:C,3,FALSE)),"",(VLOOKUP(A285,'[1]Craig Eval'!A:C,3,FALSE))*1000)</f>
        <v/>
      </c>
      <c r="J285" s="10" t="str">
        <f>IF(ISNA(VLOOKUP(A285,'[1]Craig Eval'!A:M,13,FALSE)),"",VLOOKUP(A285,'[1]Craig Eval'!A:M,13,FALSE))</f>
        <v/>
      </c>
      <c r="K285" s="40">
        <v>1</v>
      </c>
    </row>
    <row r="286" spans="1:11" ht="30" x14ac:dyDescent="0.25">
      <c r="A286" s="3" t="s">
        <v>590</v>
      </c>
      <c r="B286" s="4" t="s">
        <v>591</v>
      </c>
      <c r="C286" s="14">
        <v>9606</v>
      </c>
      <c r="D286" s="6" t="s">
        <v>11</v>
      </c>
      <c r="E286" s="6" t="s">
        <v>12</v>
      </c>
      <c r="F286" s="7">
        <v>32660</v>
      </c>
      <c r="G286" s="8">
        <f t="shared" si="4"/>
        <v>32660</v>
      </c>
      <c r="H286" s="6" t="s">
        <v>13</v>
      </c>
      <c r="I286" s="9" t="str">
        <f>IF(ISNA(VLOOKUP(A286,'[1]Craig Eval'!A:C,3,FALSE)),"",(VLOOKUP(A286,'[1]Craig Eval'!A:C,3,FALSE))*1000)</f>
        <v/>
      </c>
      <c r="J286" s="10" t="str">
        <f>IF(ISNA(VLOOKUP(A286,'[1]Craig Eval'!A:M,13,FALSE)),"",VLOOKUP(A286,'[1]Craig Eval'!A:M,13,FALSE))</f>
        <v/>
      </c>
      <c r="K286" s="17">
        <v>2</v>
      </c>
    </row>
    <row r="287" spans="1:11" ht="30" x14ac:dyDescent="0.25">
      <c r="A287" s="3" t="s">
        <v>592</v>
      </c>
      <c r="B287" s="4" t="s">
        <v>593</v>
      </c>
      <c r="C287" s="5">
        <v>1308</v>
      </c>
      <c r="D287" s="6" t="s">
        <v>16</v>
      </c>
      <c r="E287" s="6" t="s">
        <v>17</v>
      </c>
      <c r="F287" s="7">
        <v>28765</v>
      </c>
      <c r="G287" s="8">
        <f t="shared" si="4"/>
        <v>28765</v>
      </c>
      <c r="H287" s="6" t="s">
        <v>13</v>
      </c>
      <c r="I287" s="9">
        <f>IF(ISNA(VLOOKUP(A287,'[1]Craig Eval'!A:C,3,FALSE)),"",(VLOOKUP(A287,'[1]Craig Eval'!A:C,3,FALSE))*1000)</f>
        <v>5517.5070611244701</v>
      </c>
      <c r="J287" s="10">
        <f>IF(ISNA(VLOOKUP(A287,'[1]Craig Eval'!A:M,13,FALSE)),"",VLOOKUP(A287,'[1]Craig Eval'!A:M,13,FALSE))</f>
        <v>16.498373245272401</v>
      </c>
      <c r="K287" s="17">
        <v>1</v>
      </c>
    </row>
    <row r="288" spans="1:11" ht="30" x14ac:dyDescent="0.25">
      <c r="A288" s="3" t="s">
        <v>594</v>
      </c>
      <c r="B288" s="4" t="s">
        <v>595</v>
      </c>
      <c r="C288" s="5">
        <v>22402</v>
      </c>
      <c r="D288" s="6" t="s">
        <v>11</v>
      </c>
      <c r="E288" s="6" t="s">
        <v>17</v>
      </c>
      <c r="F288" s="7">
        <v>33463</v>
      </c>
      <c r="G288" s="8">
        <f t="shared" si="4"/>
        <v>33463</v>
      </c>
      <c r="H288" s="6" t="s">
        <v>13</v>
      </c>
      <c r="I288" s="9" t="str">
        <f>IF(ISNA(VLOOKUP(A288,'[1]Craig Eval'!A:C,3,FALSE)),"",(VLOOKUP(A288,'[1]Craig Eval'!A:C,3,FALSE))*1000)</f>
        <v/>
      </c>
      <c r="J288" s="10" t="str">
        <f>IF(ISNA(VLOOKUP(A288,'[1]Craig Eval'!A:M,13,FALSE)),"",VLOOKUP(A288,'[1]Craig Eval'!A:M,13,FALSE))</f>
        <v/>
      </c>
      <c r="K288" s="17">
        <v>1</v>
      </c>
    </row>
    <row r="289" spans="1:11" ht="30" x14ac:dyDescent="0.25">
      <c r="A289" s="3" t="s">
        <v>596</v>
      </c>
      <c r="B289" s="4" t="s">
        <v>597</v>
      </c>
      <c r="C289" s="14">
        <v>40065</v>
      </c>
      <c r="D289" s="6" t="s">
        <v>34</v>
      </c>
      <c r="E289" s="6" t="s">
        <v>17</v>
      </c>
      <c r="F289" s="7">
        <v>38883</v>
      </c>
      <c r="G289" s="8">
        <f t="shared" si="4"/>
        <v>38883</v>
      </c>
      <c r="H289" s="6" t="s">
        <v>13</v>
      </c>
      <c r="I289" s="9" t="str">
        <f>IF(ISNA(VLOOKUP(A289,'[1]Craig Eval'!A:C,3,FALSE)),"",(VLOOKUP(A289,'[1]Craig Eval'!A:C,3,FALSE))*1000)</f>
        <v/>
      </c>
      <c r="J289" s="10" t="str">
        <f>IF(ISNA(VLOOKUP(A289,'[1]Craig Eval'!A:M,13,FALSE)),"",VLOOKUP(A289,'[1]Craig Eval'!A:M,13,FALSE))</f>
        <v/>
      </c>
      <c r="K289" s="17">
        <v>1</v>
      </c>
    </row>
    <row r="290" spans="1:11" ht="30" x14ac:dyDescent="0.25">
      <c r="A290" s="18" t="s">
        <v>598</v>
      </c>
      <c r="B290" s="19" t="s">
        <v>599</v>
      </c>
      <c r="C290" s="20">
        <v>20161</v>
      </c>
      <c r="D290" s="21" t="s">
        <v>16</v>
      </c>
      <c r="E290" s="21" t="s">
        <v>17</v>
      </c>
      <c r="F290" s="22">
        <v>32064</v>
      </c>
      <c r="G290" s="23">
        <f t="shared" si="4"/>
        <v>32064</v>
      </c>
      <c r="H290" s="21" t="s">
        <v>13</v>
      </c>
      <c r="I290" s="9">
        <f>IF(ISNA(VLOOKUP(A290,'[1]Craig Eval'!A:C,3,FALSE)),"",(VLOOKUP(A290,'[1]Craig Eval'!A:C,3,FALSE))*1000)</f>
        <v>42425.800956643099</v>
      </c>
      <c r="J290" s="24">
        <f>IF(ISNA(VLOOKUP(A290,'[1]Craig Eval'!A:M,13,FALSE)),"",VLOOKUP(A290,'[1]Craig Eval'!A:M,13,FALSE))</f>
        <v>118.140484051702</v>
      </c>
      <c r="K290" s="25">
        <v>1</v>
      </c>
    </row>
    <row r="291" spans="1:11" ht="30" x14ac:dyDescent="0.25">
      <c r="A291" s="3" t="s">
        <v>600</v>
      </c>
      <c r="B291" s="4" t="s">
        <v>601</v>
      </c>
      <c r="C291" s="5">
        <v>39763</v>
      </c>
      <c r="D291" s="6" t="s">
        <v>31</v>
      </c>
      <c r="E291" s="6" t="s">
        <v>17</v>
      </c>
      <c r="F291" s="7">
        <v>26427</v>
      </c>
      <c r="G291" s="8">
        <f t="shared" si="4"/>
        <v>26427</v>
      </c>
      <c r="H291" s="6" t="s">
        <v>13</v>
      </c>
      <c r="I291" s="9" t="str">
        <f>IF(ISNA(VLOOKUP(A291,'[1]Craig Eval'!A:C,3,FALSE)),"",(VLOOKUP(A291,'[1]Craig Eval'!A:C,3,FALSE))*1000)</f>
        <v/>
      </c>
      <c r="J291" s="10" t="str">
        <f>IF(ISNA(VLOOKUP(A291,'[1]Craig Eval'!A:M,13,FALSE)),"",VLOOKUP(A291,'[1]Craig Eval'!A:M,13,FALSE))</f>
        <v/>
      </c>
      <c r="K291" s="17">
        <v>1</v>
      </c>
    </row>
    <row r="292" spans="1:11" ht="30" x14ac:dyDescent="0.25">
      <c r="A292" s="3" t="s">
        <v>602</v>
      </c>
      <c r="B292" s="4" t="s">
        <v>603</v>
      </c>
      <c r="C292" s="5">
        <v>1097</v>
      </c>
      <c r="D292" s="6" t="s">
        <v>34</v>
      </c>
      <c r="E292" s="6" t="s">
        <v>17</v>
      </c>
      <c r="F292" s="7">
        <v>37617</v>
      </c>
      <c r="G292" s="8">
        <f t="shared" si="4"/>
        <v>37617</v>
      </c>
      <c r="H292" s="6" t="s">
        <v>13</v>
      </c>
      <c r="I292" s="9" t="str">
        <f>IF(ISNA(VLOOKUP(A292,'[1]Craig Eval'!A:C,3,FALSE)),"",(VLOOKUP(A292,'[1]Craig Eval'!A:C,3,FALSE))*1000)</f>
        <v/>
      </c>
      <c r="J292" s="10" t="str">
        <f>IF(ISNA(VLOOKUP(A292,'[1]Craig Eval'!A:M,13,FALSE)),"",VLOOKUP(A292,'[1]Craig Eval'!A:M,13,FALSE))</f>
        <v/>
      </c>
      <c r="K292" s="17">
        <v>1</v>
      </c>
    </row>
    <row r="293" spans="1:11" ht="30" x14ac:dyDescent="0.25">
      <c r="A293" s="3" t="s">
        <v>604</v>
      </c>
      <c r="B293" s="4" t="s">
        <v>605</v>
      </c>
      <c r="C293" s="5">
        <v>36801</v>
      </c>
      <c r="D293" s="6" t="s">
        <v>28</v>
      </c>
      <c r="E293" s="6" t="s">
        <v>17</v>
      </c>
      <c r="F293" s="7">
        <v>31923</v>
      </c>
      <c r="G293" s="8">
        <f t="shared" si="4"/>
        <v>31923</v>
      </c>
      <c r="H293" s="6" t="s">
        <v>13</v>
      </c>
      <c r="I293" s="9">
        <f>IF(ISNA(VLOOKUP(A293,'[1]Craig Eval'!A:C,3,FALSE)),"",(VLOOKUP(A293,'[1]Craig Eval'!A:C,3,FALSE))*1000)</f>
        <v>411.92238192460201</v>
      </c>
      <c r="J293" s="10">
        <f>IF(ISNA(VLOOKUP(A293,'[1]Craig Eval'!A:M,13,FALSE)),"",VLOOKUP(A293,'[1]Craig Eval'!A:M,13,FALSE))</f>
        <v>1.2714465804602799</v>
      </c>
      <c r="K293" s="17">
        <v>2</v>
      </c>
    </row>
    <row r="294" spans="1:11" ht="30" x14ac:dyDescent="0.25">
      <c r="A294" s="3" t="s">
        <v>606</v>
      </c>
      <c r="B294" s="4" t="s">
        <v>607</v>
      </c>
      <c r="C294" s="5">
        <v>1760</v>
      </c>
      <c r="D294" s="6" t="s">
        <v>31</v>
      </c>
      <c r="E294" s="6" t="s">
        <v>17</v>
      </c>
      <c r="F294" s="7">
        <v>37011</v>
      </c>
      <c r="G294" s="8">
        <f t="shared" si="4"/>
        <v>37011</v>
      </c>
      <c r="H294" s="6" t="s">
        <v>13</v>
      </c>
      <c r="I294" s="9">
        <f>IF(ISNA(VLOOKUP(A294,'[1]Craig Eval'!A:C,3,FALSE)),"",(VLOOKUP(A294,'[1]Craig Eval'!A:C,3,FALSE))*1000)</f>
        <v>117241.69963023299</v>
      </c>
      <c r="J294" s="10">
        <f>IF(ISNA(VLOOKUP(A294,'[1]Craig Eval'!A:M,13,FALSE)),"",VLOOKUP(A294,'[1]Craig Eval'!A:M,13,FALSE))</f>
        <v>305.67492573685797</v>
      </c>
      <c r="K294" s="17">
        <v>1</v>
      </c>
    </row>
    <row r="295" spans="1:11" ht="30" x14ac:dyDescent="0.25">
      <c r="A295" s="3" t="s">
        <v>608</v>
      </c>
      <c r="B295" s="4" t="s">
        <v>609</v>
      </c>
      <c r="C295" s="5">
        <v>1107</v>
      </c>
      <c r="D295" s="6" t="s">
        <v>28</v>
      </c>
      <c r="E295" s="6" t="s">
        <v>17</v>
      </c>
      <c r="F295" s="7">
        <v>29221</v>
      </c>
      <c r="G295" s="8">
        <f t="shared" si="4"/>
        <v>29221</v>
      </c>
      <c r="H295" s="6" t="s">
        <v>13</v>
      </c>
      <c r="I295" s="9">
        <f>IF(ISNA(VLOOKUP(A295,'[1]Craig Eval'!A:C,3,FALSE)),"",(VLOOKUP(A295,'[1]Craig Eval'!A:C,3,FALSE))*1000)</f>
        <v>19082.759763262398</v>
      </c>
      <c r="J295" s="10">
        <f>IF(ISNA(VLOOKUP(A295,'[1]Craig Eval'!A:M,13,FALSE)),"",VLOOKUP(A295,'[1]Craig Eval'!A:M,13,FALSE))</f>
        <v>55.067016220398997</v>
      </c>
      <c r="K295" s="11">
        <v>2</v>
      </c>
    </row>
    <row r="296" spans="1:11" ht="30" x14ac:dyDescent="0.25">
      <c r="A296" s="3" t="s">
        <v>610</v>
      </c>
      <c r="B296" s="4" t="s">
        <v>611</v>
      </c>
      <c r="C296" s="5">
        <v>1855</v>
      </c>
      <c r="D296" s="6" t="s">
        <v>16</v>
      </c>
      <c r="E296" s="6" t="s">
        <v>17</v>
      </c>
      <c r="F296" s="7">
        <v>29221</v>
      </c>
      <c r="G296" s="8">
        <f t="shared" si="4"/>
        <v>29221</v>
      </c>
      <c r="H296" s="6" t="s">
        <v>13</v>
      </c>
      <c r="I296" s="9" t="str">
        <f>IF(ISNA(VLOOKUP(A296,'[1]Craig Eval'!A:C,3,FALSE)),"",(VLOOKUP(A296,'[1]Craig Eval'!A:C,3,FALSE))*1000)</f>
        <v/>
      </c>
      <c r="J296" s="10" t="str">
        <f>IF(ISNA(VLOOKUP(A296,'[1]Craig Eval'!A:M,13,FALSE)),"",VLOOKUP(A296,'[1]Craig Eval'!A:M,13,FALSE))</f>
        <v/>
      </c>
      <c r="K296" s="17">
        <v>1</v>
      </c>
    </row>
    <row r="297" spans="1:11" ht="30" x14ac:dyDescent="0.25">
      <c r="A297" s="3" t="s">
        <v>612</v>
      </c>
      <c r="B297" s="4" t="s">
        <v>613</v>
      </c>
      <c r="C297" s="5">
        <v>1261</v>
      </c>
      <c r="D297" s="6" t="s">
        <v>28</v>
      </c>
      <c r="E297" s="6" t="s">
        <v>17</v>
      </c>
      <c r="F297" s="7">
        <v>29221</v>
      </c>
      <c r="G297" s="8">
        <f t="shared" si="4"/>
        <v>29221</v>
      </c>
      <c r="H297" s="6" t="s">
        <v>13</v>
      </c>
      <c r="I297" s="9">
        <f>IF(ISNA(VLOOKUP(A297,'[1]Craig Eval'!A:C,3,FALSE)),"",(VLOOKUP(A297,'[1]Craig Eval'!A:C,3,FALSE))*1000)</f>
        <v>13186.9505249834</v>
      </c>
      <c r="J297" s="10">
        <f>IF(ISNA(VLOOKUP(A297,'[1]Craig Eval'!A:M,13,FALSE)),"",VLOOKUP(A297,'[1]Craig Eval'!A:M,13,FALSE))</f>
        <v>38.541605535194797</v>
      </c>
      <c r="K297" s="17">
        <v>1</v>
      </c>
    </row>
    <row r="298" spans="1:11" ht="30" x14ac:dyDescent="0.25">
      <c r="A298" s="3" t="s">
        <v>614</v>
      </c>
      <c r="B298" s="4" t="s">
        <v>615</v>
      </c>
      <c r="C298" s="5">
        <v>1569</v>
      </c>
      <c r="D298" s="6" t="s">
        <v>11</v>
      </c>
      <c r="E298" s="6" t="s">
        <v>17</v>
      </c>
      <c r="F298" s="7">
        <v>34335</v>
      </c>
      <c r="G298" s="8">
        <f t="shared" si="4"/>
        <v>34335</v>
      </c>
      <c r="H298" s="6" t="s">
        <v>13</v>
      </c>
      <c r="I298" s="9" t="str">
        <f>IF(ISNA(VLOOKUP(A298,'[1]Craig Eval'!A:C,3,FALSE)),"",(VLOOKUP(A298,'[1]Craig Eval'!A:C,3,FALSE))*1000)</f>
        <v/>
      </c>
      <c r="J298" s="10" t="str">
        <f>IF(ISNA(VLOOKUP(A298,'[1]Craig Eval'!A:M,13,FALSE)),"",VLOOKUP(A298,'[1]Craig Eval'!A:M,13,FALSE))</f>
        <v/>
      </c>
      <c r="K298" s="17">
        <v>1</v>
      </c>
    </row>
    <row r="299" spans="1:11" ht="30" x14ac:dyDescent="0.25">
      <c r="A299" s="3" t="s">
        <v>616</v>
      </c>
      <c r="B299" s="4" t="s">
        <v>617</v>
      </c>
      <c r="C299" s="5">
        <v>23681</v>
      </c>
      <c r="D299" s="6" t="s">
        <v>11</v>
      </c>
      <c r="E299" s="6" t="s">
        <v>17</v>
      </c>
      <c r="F299" s="7">
        <v>33817</v>
      </c>
      <c r="G299" s="8">
        <f t="shared" si="4"/>
        <v>33817</v>
      </c>
      <c r="H299" s="6" t="s">
        <v>13</v>
      </c>
      <c r="I299" s="9" t="str">
        <f>IF(ISNA(VLOOKUP(A299,'[1]Craig Eval'!A:C,3,FALSE)),"",(VLOOKUP(A299,'[1]Craig Eval'!A:C,3,FALSE))*1000)</f>
        <v/>
      </c>
      <c r="J299" s="10" t="str">
        <f>IF(ISNA(VLOOKUP(A299,'[1]Craig Eval'!A:M,13,FALSE)),"",VLOOKUP(A299,'[1]Craig Eval'!A:M,13,FALSE))</f>
        <v/>
      </c>
      <c r="K299" s="17">
        <v>1</v>
      </c>
    </row>
    <row r="300" spans="1:11" ht="30" x14ac:dyDescent="0.25">
      <c r="A300" s="3" t="s">
        <v>618</v>
      </c>
      <c r="B300" s="4" t="s">
        <v>619</v>
      </c>
      <c r="C300" s="5">
        <v>1159</v>
      </c>
      <c r="D300" s="6" t="s">
        <v>31</v>
      </c>
      <c r="E300" s="6" t="s">
        <v>17</v>
      </c>
      <c r="F300" s="7">
        <v>29952</v>
      </c>
      <c r="G300" s="8">
        <f t="shared" si="4"/>
        <v>29952</v>
      </c>
      <c r="H300" s="6" t="s">
        <v>13</v>
      </c>
      <c r="I300" s="9">
        <f>IF(ISNA(VLOOKUP(A300,'[1]Craig Eval'!A:C,3,FALSE)),"",(VLOOKUP(A300,'[1]Craig Eval'!A:C,3,FALSE))*1000)</f>
        <v>38844.195298780003</v>
      </c>
      <c r="J300" s="10">
        <f>IF(ISNA(VLOOKUP(A300,'[1]Craig Eval'!A:M,13,FALSE)),"",VLOOKUP(A300,'[1]Craig Eval'!A:M,13,FALSE))</f>
        <v>108.66048848568801</v>
      </c>
      <c r="K300" s="17">
        <v>1</v>
      </c>
    </row>
    <row r="301" spans="1:11" ht="30" x14ac:dyDescent="0.25">
      <c r="A301" s="3" t="s">
        <v>620</v>
      </c>
      <c r="B301" s="4" t="s">
        <v>621</v>
      </c>
      <c r="C301" s="5">
        <v>17615</v>
      </c>
      <c r="D301" s="6" t="s">
        <v>16</v>
      </c>
      <c r="E301" s="6" t="s">
        <v>17</v>
      </c>
      <c r="F301" s="7">
        <v>29850</v>
      </c>
      <c r="G301" s="8">
        <f t="shared" si="4"/>
        <v>29850</v>
      </c>
      <c r="H301" s="6" t="s">
        <v>13</v>
      </c>
      <c r="I301" s="9">
        <f>IF(ISNA(VLOOKUP(A301,'[1]Craig Eval'!A:C,3,FALSE)),"",(VLOOKUP(A301,'[1]Craig Eval'!A:C,3,FALSE))*1000)</f>
        <v>15977.7754146262</v>
      </c>
      <c r="J301" s="10">
        <f>IF(ISNA(VLOOKUP(A301,'[1]Craig Eval'!A:M,13,FALSE)),"",VLOOKUP(A301,'[1]Craig Eval'!A:M,13,FALSE))</f>
        <v>46.402335338114398</v>
      </c>
      <c r="K301" s="17">
        <v>1</v>
      </c>
    </row>
    <row r="302" spans="1:11" ht="30" x14ac:dyDescent="0.25">
      <c r="A302" s="3" t="s">
        <v>622</v>
      </c>
      <c r="B302" s="4" t="s">
        <v>623</v>
      </c>
      <c r="C302" s="5">
        <v>1730</v>
      </c>
      <c r="D302" s="6" t="s">
        <v>16</v>
      </c>
      <c r="E302" s="6" t="s">
        <v>17</v>
      </c>
      <c r="F302" s="7">
        <v>29221</v>
      </c>
      <c r="G302" s="8">
        <f t="shared" si="4"/>
        <v>29221</v>
      </c>
      <c r="H302" s="6" t="s">
        <v>13</v>
      </c>
      <c r="I302" s="9">
        <f>IF(ISNA(VLOOKUP(A302,'[1]Craig Eval'!A:C,3,FALSE)),"",(VLOOKUP(A302,'[1]Craig Eval'!A:C,3,FALSE))*1000)</f>
        <v>12011.368959093901</v>
      </c>
      <c r="J302" s="10">
        <f>IF(ISNA(VLOOKUP(A302,'[1]Craig Eval'!A:M,13,FALSE)),"",VLOOKUP(A302,'[1]Craig Eval'!A:M,13,FALSE))</f>
        <v>35.207719688971402</v>
      </c>
      <c r="K302" s="17">
        <v>1</v>
      </c>
    </row>
    <row r="303" spans="1:11" ht="30" x14ac:dyDescent="0.25">
      <c r="A303" s="3" t="s">
        <v>624</v>
      </c>
      <c r="B303" s="4" t="s">
        <v>625</v>
      </c>
      <c r="C303" s="14">
        <v>19522</v>
      </c>
      <c r="D303" s="6" t="s">
        <v>34</v>
      </c>
      <c r="E303" s="6" t="s">
        <v>17</v>
      </c>
      <c r="F303" s="7">
        <v>21916</v>
      </c>
      <c r="G303" s="8">
        <f t="shared" si="4"/>
        <v>21916</v>
      </c>
      <c r="H303" s="6" t="s">
        <v>13</v>
      </c>
      <c r="I303" s="9">
        <f>IF(ISNA(VLOOKUP(A303,'[1]Craig Eval'!A:C,3,FALSE)),"",(VLOOKUP(A303,'[1]Craig Eval'!A:C,3,FALSE))*1000)</f>
        <v>127788.23426340599</v>
      </c>
      <c r="J303" s="10">
        <f>IF(ISNA(VLOOKUP(A303,'[1]Craig Eval'!A:M,13,FALSE)),"",VLOOKUP(A303,'[1]Craig Eval'!A:M,13,FALSE))</f>
        <v>330.90174605895299</v>
      </c>
      <c r="K303" s="17">
        <v>2</v>
      </c>
    </row>
    <row r="304" spans="1:11" ht="30" x14ac:dyDescent="0.25">
      <c r="A304" s="3" t="s">
        <v>626</v>
      </c>
      <c r="B304" s="4" t="s">
        <v>627</v>
      </c>
      <c r="C304" s="5">
        <v>19211</v>
      </c>
      <c r="D304" s="6" t="s">
        <v>34</v>
      </c>
      <c r="E304" s="6" t="s">
        <v>17</v>
      </c>
      <c r="F304" s="7">
        <v>34405</v>
      </c>
      <c r="G304" s="8">
        <f t="shared" si="4"/>
        <v>34405</v>
      </c>
      <c r="H304" s="6" t="s">
        <v>13</v>
      </c>
      <c r="I304" s="9">
        <f>IF(ISNA(VLOOKUP(A304,'[1]Craig Eval'!A:C,3,FALSE)),"",(VLOOKUP(A304,'[1]Craig Eval'!A:C,3,FALSE))*1000)</f>
        <v>22823.342035256199</v>
      </c>
      <c r="J304" s="10">
        <f>IF(ISNA(VLOOKUP(A304,'[1]Craig Eval'!A:M,13,FALSE)),"",VLOOKUP(A304,'[1]Craig Eval'!A:M,13,FALSE))</f>
        <v>65.404388018205196</v>
      </c>
      <c r="K304" s="17">
        <v>1</v>
      </c>
    </row>
    <row r="305" spans="1:11" ht="30" x14ac:dyDescent="0.25">
      <c r="A305" s="3" t="s">
        <v>628</v>
      </c>
      <c r="B305" s="4" t="s">
        <v>629</v>
      </c>
      <c r="C305" s="5">
        <v>38161</v>
      </c>
      <c r="D305" s="6" t="s">
        <v>34</v>
      </c>
      <c r="E305" s="6" t="s">
        <v>17</v>
      </c>
      <c r="F305" s="7">
        <v>18264</v>
      </c>
      <c r="G305" s="8">
        <f t="shared" si="4"/>
        <v>18264</v>
      </c>
      <c r="H305" s="6" t="s">
        <v>13</v>
      </c>
      <c r="I305" s="9">
        <f>IF(ISNA(VLOOKUP(A305,'[1]Craig Eval'!A:C,3,FALSE)),"",(VLOOKUP(A305,'[1]Craig Eval'!A:C,3,FALSE))*1000)</f>
        <v>34703.746645347899</v>
      </c>
      <c r="J305" s="10">
        <f>IF(ISNA(VLOOKUP(A305,'[1]Craig Eval'!A:M,13,FALSE)),"",VLOOKUP(A305,'[1]Craig Eval'!A:M,13,FALSE))</f>
        <v>97.621346943768899</v>
      </c>
      <c r="K305" s="17">
        <v>1</v>
      </c>
    </row>
    <row r="306" spans="1:11" ht="30" x14ac:dyDescent="0.25">
      <c r="A306" s="3" t="s">
        <v>630</v>
      </c>
      <c r="B306" s="4" t="s">
        <v>631</v>
      </c>
      <c r="C306" s="5">
        <v>1898</v>
      </c>
      <c r="D306" s="6" t="s">
        <v>31</v>
      </c>
      <c r="E306" s="6" t="s">
        <v>17</v>
      </c>
      <c r="F306" s="7">
        <v>19725</v>
      </c>
      <c r="G306" s="8">
        <f t="shared" si="4"/>
        <v>19725</v>
      </c>
      <c r="H306" s="6" t="s">
        <v>13</v>
      </c>
      <c r="I306" s="9">
        <f>IF(ISNA(VLOOKUP(A306,'[1]Craig Eval'!A:C,3,FALSE)),"",(VLOOKUP(A306,'[1]Craig Eval'!A:C,3,FALSE))*1000)</f>
        <v>5648.4457198643595</v>
      </c>
      <c r="J306" s="10">
        <f>IF(ISNA(VLOOKUP(A306,'[1]Craig Eval'!A:M,13,FALSE)),"",VLOOKUP(A306,'[1]Craig Eval'!A:M,13,FALSE))</f>
        <v>16.881425342409699</v>
      </c>
      <c r="K306" s="17">
        <v>1</v>
      </c>
    </row>
    <row r="307" spans="1:11" ht="30" x14ac:dyDescent="0.25">
      <c r="A307" s="3" t="s">
        <v>632</v>
      </c>
      <c r="B307" s="4" t="s">
        <v>633</v>
      </c>
      <c r="C307" s="5">
        <v>1470</v>
      </c>
      <c r="D307" s="6" t="s">
        <v>31</v>
      </c>
      <c r="E307" s="6" t="s">
        <v>17</v>
      </c>
      <c r="F307" s="7">
        <v>25569</v>
      </c>
      <c r="G307" s="8">
        <f t="shared" si="4"/>
        <v>25569</v>
      </c>
      <c r="H307" s="6" t="s">
        <v>13</v>
      </c>
      <c r="I307" s="9">
        <f>IF(ISNA(VLOOKUP(A307,'[1]Craig Eval'!A:C,3,FALSE)),"",(VLOOKUP(A307,'[1]Craig Eval'!A:C,3,FALSE))*1000)</f>
        <v>45837.418948549799</v>
      </c>
      <c r="J307" s="10">
        <f>IF(ISNA(VLOOKUP(A307,'[1]Craig Eval'!A:M,13,FALSE)),"",VLOOKUP(A307,'[1]Craig Eval'!A:M,13,FALSE))</f>
        <v>127.11449863142199</v>
      </c>
      <c r="K307" s="17">
        <v>1</v>
      </c>
    </row>
    <row r="308" spans="1:11" ht="30" x14ac:dyDescent="0.25">
      <c r="A308" s="3" t="s">
        <v>634</v>
      </c>
      <c r="B308" s="4" t="s">
        <v>635</v>
      </c>
      <c r="C308" s="14">
        <v>30593</v>
      </c>
      <c r="D308" s="6" t="s">
        <v>28</v>
      </c>
      <c r="E308" s="6" t="s">
        <v>17</v>
      </c>
      <c r="F308" s="7">
        <v>38642</v>
      </c>
      <c r="G308" s="8">
        <f t="shared" si="4"/>
        <v>38642</v>
      </c>
      <c r="H308" s="6" t="s">
        <v>13</v>
      </c>
      <c r="I308" s="9">
        <f>IF(ISNA(VLOOKUP(A308,'[1]Craig Eval'!A:C,3,FALSE)),"",(VLOOKUP(A308,'[1]Craig Eval'!A:C,3,FALSE))*1000)</f>
        <v>4171.2600592456201</v>
      </c>
      <c r="J308" s="10">
        <f>IF(ISNA(VLOOKUP(A308,'[1]Craig Eval'!A:M,13,FALSE)),"",VLOOKUP(A308,'[1]Craig Eval'!A:M,13,FALSE))</f>
        <v>12.5426728674611</v>
      </c>
      <c r="K308" s="17">
        <v>1</v>
      </c>
    </row>
    <row r="309" spans="1:11" ht="30" x14ac:dyDescent="0.25">
      <c r="A309" s="3" t="s">
        <v>636</v>
      </c>
      <c r="B309" s="4" t="s">
        <v>637</v>
      </c>
      <c r="C309" s="14">
        <v>10881</v>
      </c>
      <c r="D309" s="6" t="s">
        <v>34</v>
      </c>
      <c r="E309" s="6" t="s">
        <v>17</v>
      </c>
      <c r="F309" s="7">
        <v>37006</v>
      </c>
      <c r="G309" s="8">
        <f t="shared" si="4"/>
        <v>37006</v>
      </c>
      <c r="H309" s="6" t="s">
        <v>13</v>
      </c>
      <c r="I309" s="9" t="str">
        <f>IF(ISNA(VLOOKUP(A309,'[1]Craig Eval'!A:C,3,FALSE)),"",(VLOOKUP(A309,'[1]Craig Eval'!A:C,3,FALSE))*1000)</f>
        <v/>
      </c>
      <c r="J309" s="10" t="str">
        <f>IF(ISNA(VLOOKUP(A309,'[1]Craig Eval'!A:M,13,FALSE)),"",VLOOKUP(A309,'[1]Craig Eval'!A:M,13,FALSE))</f>
        <v/>
      </c>
      <c r="K309" s="17">
        <v>1</v>
      </c>
    </row>
    <row r="310" spans="1:11" ht="30" x14ac:dyDescent="0.25">
      <c r="A310" s="3" t="s">
        <v>638</v>
      </c>
      <c r="B310" s="4" t="s">
        <v>639</v>
      </c>
      <c r="C310" s="5">
        <v>1759</v>
      </c>
      <c r="D310" s="6" t="s">
        <v>31</v>
      </c>
      <c r="E310" s="6" t="s">
        <v>17</v>
      </c>
      <c r="F310" s="7">
        <v>27395</v>
      </c>
      <c r="G310" s="8">
        <f t="shared" si="4"/>
        <v>27395</v>
      </c>
      <c r="H310" s="6" t="s">
        <v>13</v>
      </c>
      <c r="I310" s="9">
        <f>IF(ISNA(VLOOKUP(A310,'[1]Craig Eval'!A:C,3,FALSE)),"",(VLOOKUP(A310,'[1]Craig Eval'!A:C,3,FALSE))*1000)</f>
        <v>11315.0066402669</v>
      </c>
      <c r="J310" s="10">
        <f>IF(ISNA(VLOOKUP(A310,'[1]Craig Eval'!A:M,13,FALSE)),"",VLOOKUP(A310,'[1]Craig Eval'!A:M,13,FALSE))</f>
        <v>33.226052916961102</v>
      </c>
      <c r="K310" s="17">
        <v>1</v>
      </c>
    </row>
    <row r="311" spans="1:11" ht="30" x14ac:dyDescent="0.25">
      <c r="A311" s="3" t="s">
        <v>640</v>
      </c>
      <c r="B311" s="4" t="s">
        <v>641</v>
      </c>
      <c r="C311" s="5">
        <v>9605</v>
      </c>
      <c r="D311" s="6" t="s">
        <v>16</v>
      </c>
      <c r="E311" s="6" t="s">
        <v>17</v>
      </c>
      <c r="F311" s="7">
        <v>37361</v>
      </c>
      <c r="G311" s="8">
        <f t="shared" si="4"/>
        <v>37361</v>
      </c>
      <c r="H311" s="6" t="s">
        <v>13</v>
      </c>
      <c r="I311" s="9" t="str">
        <f>IF(ISNA(VLOOKUP(A311,'[1]Craig Eval'!A:C,3,FALSE)),"",(VLOOKUP(A311,'[1]Craig Eval'!A:C,3,FALSE))*1000)</f>
        <v/>
      </c>
      <c r="J311" s="10" t="str">
        <f>IF(ISNA(VLOOKUP(A311,'[1]Craig Eval'!A:M,13,FALSE)),"",VLOOKUP(A311,'[1]Craig Eval'!A:M,13,FALSE))</f>
        <v/>
      </c>
      <c r="K311" s="17">
        <v>1</v>
      </c>
    </row>
    <row r="312" spans="1:11" ht="30" x14ac:dyDescent="0.25">
      <c r="A312" s="3" t="s">
        <v>642</v>
      </c>
      <c r="B312" s="4" t="s">
        <v>643</v>
      </c>
      <c r="C312" s="5">
        <v>1052</v>
      </c>
      <c r="D312" s="6" t="s">
        <v>16</v>
      </c>
      <c r="E312" s="6" t="s">
        <v>17</v>
      </c>
      <c r="F312" s="7">
        <v>29221</v>
      </c>
      <c r="G312" s="8">
        <f t="shared" si="4"/>
        <v>29221</v>
      </c>
      <c r="H312" s="6" t="s">
        <v>13</v>
      </c>
      <c r="I312" s="9">
        <f>IF(ISNA(VLOOKUP(A312,'[1]Craig Eval'!A:C,3,FALSE)),"",(VLOOKUP(A312,'[1]Craig Eval'!A:C,3,FALSE))*1000)</f>
        <v>83802.691649282904</v>
      </c>
      <c r="J312" s="10">
        <f>IF(ISNA(VLOOKUP(A312,'[1]Craig Eval'!A:M,13,FALSE)),"",VLOOKUP(A312,'[1]Craig Eval'!A:M,13,FALSE))</f>
        <v>223.949268787493</v>
      </c>
      <c r="K312" s="17">
        <v>2</v>
      </c>
    </row>
    <row r="313" spans="1:11" ht="30" x14ac:dyDescent="0.25">
      <c r="A313" s="3" t="s">
        <v>644</v>
      </c>
      <c r="B313" s="4" t="s">
        <v>645</v>
      </c>
      <c r="C313" s="14">
        <v>1192</v>
      </c>
      <c r="D313" s="6" t="s">
        <v>16</v>
      </c>
      <c r="E313" s="6" t="s">
        <v>17</v>
      </c>
      <c r="F313" s="7">
        <v>32874</v>
      </c>
      <c r="G313" s="8">
        <f t="shared" si="4"/>
        <v>32874</v>
      </c>
      <c r="H313" s="6" t="s">
        <v>13</v>
      </c>
      <c r="I313" s="9">
        <f>IF(ISNA(VLOOKUP(A313,'[1]Craig Eval'!A:C,3,FALSE)),"",(VLOOKUP(A313,'[1]Craig Eval'!A:C,3,FALSE))*1000)</f>
        <v>97963.435340271506</v>
      </c>
      <c r="J313" s="10">
        <f>IF(ISNA(VLOOKUP(A313,'[1]Craig Eval'!A:M,13,FALSE)),"",VLOOKUP(A313,'[1]Craig Eval'!A:M,13,FALSE))</f>
        <v>258.90535029343903</v>
      </c>
      <c r="K313" s="17">
        <v>3</v>
      </c>
    </row>
    <row r="314" spans="1:11" ht="30" x14ac:dyDescent="0.25">
      <c r="A314" s="3" t="s">
        <v>646</v>
      </c>
      <c r="B314" s="4" t="s">
        <v>647</v>
      </c>
      <c r="C314" s="5">
        <v>1515</v>
      </c>
      <c r="D314" s="6" t="s">
        <v>28</v>
      </c>
      <c r="E314" s="6" t="s">
        <v>508</v>
      </c>
      <c r="F314" s="7">
        <v>32143</v>
      </c>
      <c r="G314" s="8">
        <f t="shared" si="4"/>
        <v>32143</v>
      </c>
      <c r="H314" s="6" t="s">
        <v>509</v>
      </c>
      <c r="I314" s="9">
        <f>IF(ISNA(VLOOKUP(A314,'[1]Craig Eval'!A:C,3,FALSE)),"",(VLOOKUP(A314,'[1]Craig Eval'!A:C,3,FALSE))*1000)</f>
        <v>22807.5389116039</v>
      </c>
      <c r="J314" s="10">
        <f>IF(ISNA(VLOOKUP(A314,'[1]Craig Eval'!A:M,13,FALSE)),"",VLOOKUP(A314,'[1]Craig Eval'!A:M,13,FALSE))</f>
        <v>65.360930864576702</v>
      </c>
      <c r="K314" s="17">
        <v>1</v>
      </c>
    </row>
    <row r="315" spans="1:11" ht="30" x14ac:dyDescent="0.25">
      <c r="A315" s="3" t="s">
        <v>648</v>
      </c>
      <c r="B315" s="4" t="s">
        <v>649</v>
      </c>
      <c r="C315" s="5">
        <v>1621</v>
      </c>
      <c r="D315" s="6" t="s">
        <v>16</v>
      </c>
      <c r="E315" s="6" t="s">
        <v>17</v>
      </c>
      <c r="F315" s="7">
        <v>29221</v>
      </c>
      <c r="G315" s="8">
        <f t="shared" si="4"/>
        <v>29221</v>
      </c>
      <c r="H315" s="6" t="s">
        <v>13</v>
      </c>
      <c r="I315" s="9" t="str">
        <f>IF(ISNA(VLOOKUP(A315,'[1]Craig Eval'!A:C,3,FALSE)),"",(VLOOKUP(A315,'[1]Craig Eval'!A:C,3,FALSE))*1000)</f>
        <v/>
      </c>
      <c r="J315" s="10" t="str">
        <f>IF(ISNA(VLOOKUP(A315,'[1]Craig Eval'!A:M,13,FALSE)),"",VLOOKUP(A315,'[1]Craig Eval'!A:M,13,FALSE))</f>
        <v/>
      </c>
      <c r="K315" s="17">
        <v>2</v>
      </c>
    </row>
    <row r="316" spans="1:11" ht="30" x14ac:dyDescent="0.25">
      <c r="A316" s="3" t="s">
        <v>650</v>
      </c>
      <c r="B316" s="4" t="s">
        <v>651</v>
      </c>
      <c r="C316" s="14">
        <v>1716</v>
      </c>
      <c r="D316" s="6" t="s">
        <v>16</v>
      </c>
      <c r="E316" s="6" t="s">
        <v>17</v>
      </c>
      <c r="F316" s="7">
        <v>32509</v>
      </c>
      <c r="G316" s="8">
        <f t="shared" si="4"/>
        <v>32509</v>
      </c>
      <c r="H316" s="6" t="s">
        <v>13</v>
      </c>
      <c r="I316" s="9">
        <f>IF(ISNA(VLOOKUP(A316,'[1]Craig Eval'!A:C,3,FALSE)),"",(VLOOKUP(A316,'[1]Craig Eval'!A:C,3,FALSE))*1000)</f>
        <v>55325.785577685798</v>
      </c>
      <c r="J316" s="10">
        <f>IF(ISNA(VLOOKUP(A316,'[1]Craig Eval'!A:M,13,FALSE)),"",VLOOKUP(A316,'[1]Craig Eval'!A:M,13,FALSE))</f>
        <v>151.808285531889</v>
      </c>
      <c r="K316" s="17">
        <v>2</v>
      </c>
    </row>
    <row r="317" spans="1:11" ht="30" x14ac:dyDescent="0.25">
      <c r="A317" s="18" t="s">
        <v>652</v>
      </c>
      <c r="B317" s="19" t="s">
        <v>653</v>
      </c>
      <c r="C317" s="5">
        <v>21775</v>
      </c>
      <c r="D317" s="21" t="s">
        <v>34</v>
      </c>
      <c r="E317" s="21" t="s">
        <v>17</v>
      </c>
      <c r="F317" s="22">
        <v>38639</v>
      </c>
      <c r="G317" s="23">
        <f t="shared" si="4"/>
        <v>38639</v>
      </c>
      <c r="H317" s="21" t="s">
        <v>13</v>
      </c>
      <c r="I317" s="9">
        <f>IF(ISNA(VLOOKUP(A317,'[1]Craig Eval'!A:C,3,FALSE)),"",(VLOOKUP(A317,'[1]Craig Eval'!A:C,3,FALSE))*1000)</f>
        <v>31890.901869899801</v>
      </c>
      <c r="J317" s="24">
        <f>IF(ISNA(VLOOKUP(A317,'[1]Craig Eval'!A:M,13,FALSE)),"",VLOOKUP(A317,'[1]Craig Eval'!A:M,13,FALSE))</f>
        <v>90.069665081731202</v>
      </c>
      <c r="K317" s="41">
        <v>1</v>
      </c>
    </row>
    <row r="318" spans="1:11" ht="30" x14ac:dyDescent="0.25">
      <c r="A318" s="3" t="s">
        <v>654</v>
      </c>
      <c r="B318" s="4" t="s">
        <v>655</v>
      </c>
      <c r="C318" s="5">
        <v>1305</v>
      </c>
      <c r="D318" s="6" t="s">
        <v>16</v>
      </c>
      <c r="E318" s="6" t="s">
        <v>17</v>
      </c>
      <c r="F318" s="7">
        <v>29221</v>
      </c>
      <c r="G318" s="8">
        <f t="shared" si="4"/>
        <v>29221</v>
      </c>
      <c r="H318" s="6" t="s">
        <v>13</v>
      </c>
      <c r="I318" s="9">
        <f>IF(ISNA(VLOOKUP(A318,'[1]Craig Eval'!A:C,3,FALSE)),"",(VLOOKUP(A318,'[1]Craig Eval'!A:C,3,FALSE))*1000)</f>
        <v>5615.4151098227394</v>
      </c>
      <c r="J318" s="10">
        <f>IF(ISNA(VLOOKUP(A318,'[1]Craig Eval'!A:M,13,FALSE)),"",VLOOKUP(A318,'[1]Craig Eval'!A:M,13,FALSE))</f>
        <v>16.784823292248699</v>
      </c>
      <c r="K318" s="17">
        <v>1</v>
      </c>
    </row>
    <row r="319" spans="1:11" ht="30" x14ac:dyDescent="0.25">
      <c r="A319" s="3" t="s">
        <v>656</v>
      </c>
      <c r="B319" s="4" t="s">
        <v>657</v>
      </c>
      <c r="C319" s="5">
        <v>1055</v>
      </c>
      <c r="D319" s="6" t="s">
        <v>16</v>
      </c>
      <c r="E319" s="6" t="s">
        <v>17</v>
      </c>
      <c r="F319" s="7">
        <v>30682</v>
      </c>
      <c r="G319" s="8">
        <f t="shared" si="4"/>
        <v>30682</v>
      </c>
      <c r="H319" s="6" t="s">
        <v>13</v>
      </c>
      <c r="I319" s="9">
        <f>IF(ISNA(VLOOKUP(A319,'[1]Craig Eval'!A:C,3,FALSE)),"",(VLOOKUP(A319,'[1]Craig Eval'!A:C,3,FALSE))*1000)</f>
        <v>8774.7521376620098</v>
      </c>
      <c r="J319" s="10">
        <f>IF(ISNA(VLOOKUP(A319,'[1]Craig Eval'!A:M,13,FALSE)),"",VLOOKUP(A319,'[1]Craig Eval'!A:M,13,FALSE))</f>
        <v>25.950579819585201</v>
      </c>
      <c r="K319" s="17">
        <v>2</v>
      </c>
    </row>
    <row r="320" spans="1:11" ht="30" x14ac:dyDescent="0.25">
      <c r="A320" s="3" t="s">
        <v>658</v>
      </c>
      <c r="B320" s="4" t="s">
        <v>659</v>
      </c>
      <c r="C320" s="5">
        <v>28225</v>
      </c>
      <c r="D320" s="6" t="s">
        <v>16</v>
      </c>
      <c r="E320" s="6" t="s">
        <v>17</v>
      </c>
      <c r="F320" s="7">
        <v>38754</v>
      </c>
      <c r="G320" s="8">
        <f t="shared" si="4"/>
        <v>38754</v>
      </c>
      <c r="H320" s="6" t="s">
        <v>13</v>
      </c>
      <c r="I320" s="9">
        <f>IF(ISNA(VLOOKUP(A320,'[1]Craig Eval'!A:C,3,FALSE)),"",(VLOOKUP(A320,'[1]Craig Eval'!A:C,3,FALSE))*1000)</f>
        <v>25318.796691040698</v>
      </c>
      <c r="J320" s="10">
        <f>IF(ISNA(VLOOKUP(A320,'[1]Craig Eval'!A:M,13,FALSE)),"",VLOOKUP(A320,'[1]Craig Eval'!A:M,13,FALSE))</f>
        <v>72.244999393464198</v>
      </c>
      <c r="K320" s="17">
        <v>1</v>
      </c>
    </row>
    <row r="321" spans="1:11" ht="30" x14ac:dyDescent="0.25">
      <c r="A321" s="3" t="s">
        <v>660</v>
      </c>
      <c r="B321" s="4" t="s">
        <v>661</v>
      </c>
      <c r="C321" s="5">
        <v>46801</v>
      </c>
      <c r="D321" s="6" t="s">
        <v>31</v>
      </c>
      <c r="E321" s="6" t="s">
        <v>17</v>
      </c>
      <c r="F321" s="7">
        <v>38148</v>
      </c>
      <c r="G321" s="8">
        <f t="shared" si="4"/>
        <v>38148</v>
      </c>
      <c r="H321" s="6" t="s">
        <v>13</v>
      </c>
      <c r="I321" s="9">
        <f>IF(ISNA(VLOOKUP(A321,'[1]Craig Eval'!A:C,3,FALSE)),"",(VLOOKUP(A321,'[1]Craig Eval'!A:C,3,FALSE))*1000)</f>
        <v>795.63842610150698</v>
      </c>
      <c r="J321" s="10">
        <f>IF(ISNA(VLOOKUP(A321,'[1]Craig Eval'!A:M,13,FALSE)),"",VLOOKUP(A321,'[1]Craig Eval'!A:M,13,FALSE))</f>
        <v>2.4441867402661299</v>
      </c>
      <c r="K321" s="17">
        <v>1</v>
      </c>
    </row>
    <row r="322" spans="1:11" ht="30" x14ac:dyDescent="0.25">
      <c r="A322" s="3" t="s">
        <v>662</v>
      </c>
      <c r="B322" s="4" t="s">
        <v>663</v>
      </c>
      <c r="C322" s="5">
        <v>2044</v>
      </c>
      <c r="D322" s="6" t="s">
        <v>34</v>
      </c>
      <c r="E322" s="6" t="s">
        <v>17</v>
      </c>
      <c r="F322" s="7">
        <v>19725</v>
      </c>
      <c r="G322" s="8">
        <f t="shared" ref="G322:G385" si="5">F322</f>
        <v>19725</v>
      </c>
      <c r="H322" s="6" t="s">
        <v>13</v>
      </c>
      <c r="I322" s="9" t="str">
        <f>IF(ISNA(VLOOKUP(A322,'[1]Craig Eval'!A:C,3,FALSE)),"",(VLOOKUP(A322,'[1]Craig Eval'!A:C,3,FALSE))*1000)</f>
        <v/>
      </c>
      <c r="J322" s="10" t="str">
        <f>IF(ISNA(VLOOKUP(A322,'[1]Craig Eval'!A:M,13,FALSE)),"",VLOOKUP(A322,'[1]Craig Eval'!A:M,13,FALSE))</f>
        <v/>
      </c>
      <c r="K322" s="17">
        <v>1</v>
      </c>
    </row>
    <row r="323" spans="1:11" ht="30" x14ac:dyDescent="0.25">
      <c r="A323" s="3" t="s">
        <v>664</v>
      </c>
      <c r="B323" s="4" t="s">
        <v>665</v>
      </c>
      <c r="C323" s="5">
        <v>1645</v>
      </c>
      <c r="D323" s="6" t="s">
        <v>28</v>
      </c>
      <c r="E323" s="6" t="s">
        <v>17</v>
      </c>
      <c r="F323" s="7">
        <v>32143</v>
      </c>
      <c r="G323" s="8">
        <f t="shared" si="5"/>
        <v>32143</v>
      </c>
      <c r="H323" s="6" t="s">
        <v>13</v>
      </c>
      <c r="I323" s="9">
        <f>IF(ISNA(VLOOKUP(A323,'[1]Craig Eval'!A:C,3,FALSE)),"",(VLOOKUP(A323,'[1]Craig Eval'!A:C,3,FALSE))*1000)</f>
        <v>24592.3671335215</v>
      </c>
      <c r="J323" s="10">
        <f>IF(ISNA(VLOOKUP(A323,'[1]Craig Eval'!A:M,13,FALSE)),"",VLOOKUP(A323,'[1]Craig Eval'!A:M,13,FALSE))</f>
        <v>70.258061278139195</v>
      </c>
      <c r="K323" s="17">
        <v>1</v>
      </c>
    </row>
    <row r="324" spans="1:11" ht="30" x14ac:dyDescent="0.25">
      <c r="A324" s="26" t="s">
        <v>666</v>
      </c>
      <c r="B324" s="27" t="s">
        <v>667</v>
      </c>
      <c r="C324" s="5">
        <v>18570</v>
      </c>
      <c r="D324" s="28" t="s">
        <v>34</v>
      </c>
      <c r="E324" s="28" t="s">
        <v>17</v>
      </c>
      <c r="F324" s="29">
        <v>38197</v>
      </c>
      <c r="G324" s="30">
        <f t="shared" si="5"/>
        <v>38197</v>
      </c>
      <c r="H324" s="28" t="s">
        <v>13</v>
      </c>
      <c r="I324" s="31">
        <f>IF(ISNA(VLOOKUP(A324,'[1]Craig Eval'!A:C,3,FALSE)),"",(VLOOKUP(A324,'[1]Craig Eval'!A:C,3,FALSE))*1000)</f>
        <v>38899.638375015398</v>
      </c>
      <c r="J324" s="32">
        <f>IF(ISNA(VLOOKUP(A324,'[1]Craig Eval'!A:M,13,FALSE)),"",VLOOKUP(A324,'[1]Craig Eval'!A:M,13,FALSE))</f>
        <v>108.80771535774799</v>
      </c>
      <c r="K324" s="33">
        <v>2</v>
      </c>
    </row>
    <row r="325" spans="1:11" ht="30" x14ac:dyDescent="0.25">
      <c r="A325" s="3" t="s">
        <v>668</v>
      </c>
      <c r="B325" s="4" t="s">
        <v>669</v>
      </c>
      <c r="C325" s="14">
        <v>1523</v>
      </c>
      <c r="D325" s="6" t="s">
        <v>11</v>
      </c>
      <c r="E325" s="6" t="s">
        <v>17</v>
      </c>
      <c r="F325" s="7">
        <v>36486</v>
      </c>
      <c r="G325" s="8">
        <f t="shared" si="5"/>
        <v>36486</v>
      </c>
      <c r="H325" s="6" t="s">
        <v>13</v>
      </c>
      <c r="I325" s="9" t="str">
        <f>IF(ISNA(VLOOKUP(A325,'[1]Craig Eval'!A:C,3,FALSE)),"",(VLOOKUP(A325,'[1]Craig Eval'!A:C,3,FALSE))*1000)</f>
        <v/>
      </c>
      <c r="J325" s="10" t="str">
        <f>IF(ISNA(VLOOKUP(A325,'[1]Craig Eval'!A:M,13,FALSE)),"",VLOOKUP(A325,'[1]Craig Eval'!A:M,13,FALSE))</f>
        <v/>
      </c>
      <c r="K325" s="17">
        <v>2</v>
      </c>
    </row>
    <row r="326" spans="1:11" ht="30" x14ac:dyDescent="0.25">
      <c r="A326" s="3" t="s">
        <v>670</v>
      </c>
      <c r="B326" s="4" t="s">
        <v>671</v>
      </c>
      <c r="C326" s="5">
        <v>1128</v>
      </c>
      <c r="D326" s="6" t="s">
        <v>11</v>
      </c>
      <c r="E326" s="6" t="s">
        <v>17</v>
      </c>
      <c r="F326" s="7">
        <v>33970</v>
      </c>
      <c r="G326" s="8">
        <f t="shared" si="5"/>
        <v>33970</v>
      </c>
      <c r="H326" s="6" t="s">
        <v>13</v>
      </c>
      <c r="I326" s="9" t="str">
        <f>IF(ISNA(VLOOKUP(A326,'[1]Craig Eval'!A:C,3,FALSE)),"",(VLOOKUP(A326,'[1]Craig Eval'!A:C,3,FALSE))*1000)</f>
        <v/>
      </c>
      <c r="J326" s="10" t="str">
        <f>IF(ISNA(VLOOKUP(A326,'[1]Craig Eval'!A:M,13,FALSE)),"",VLOOKUP(A326,'[1]Craig Eval'!A:M,13,FALSE))</f>
        <v/>
      </c>
      <c r="K326" s="17">
        <v>1</v>
      </c>
    </row>
    <row r="327" spans="1:11" ht="30" x14ac:dyDescent="0.25">
      <c r="A327" s="3" t="s">
        <v>672</v>
      </c>
      <c r="B327" s="4" t="s">
        <v>673</v>
      </c>
      <c r="C327" s="5">
        <v>1574</v>
      </c>
      <c r="D327" s="6" t="s">
        <v>11</v>
      </c>
      <c r="E327" s="6" t="s">
        <v>17</v>
      </c>
      <c r="F327" s="7">
        <v>36581</v>
      </c>
      <c r="G327" s="8">
        <f t="shared" si="5"/>
        <v>36581</v>
      </c>
      <c r="H327" s="6" t="s">
        <v>13</v>
      </c>
      <c r="I327" s="9" t="str">
        <f>IF(ISNA(VLOOKUP(A327,'[1]Craig Eval'!A:C,3,FALSE)),"",(VLOOKUP(A327,'[1]Craig Eval'!A:C,3,FALSE))*1000)</f>
        <v/>
      </c>
      <c r="J327" s="10" t="str">
        <f>IF(ISNA(VLOOKUP(A327,'[1]Craig Eval'!A:M,13,FALSE)),"",VLOOKUP(A327,'[1]Craig Eval'!A:M,13,FALSE))</f>
        <v/>
      </c>
      <c r="K327" s="17">
        <v>1</v>
      </c>
    </row>
    <row r="328" spans="1:11" ht="30" x14ac:dyDescent="0.25">
      <c r="A328" s="3" t="s">
        <v>674</v>
      </c>
      <c r="B328" s="4" t="s">
        <v>675</v>
      </c>
      <c r="C328" s="14">
        <v>1527</v>
      </c>
      <c r="D328" s="6" t="s">
        <v>16</v>
      </c>
      <c r="E328" s="6" t="s">
        <v>17</v>
      </c>
      <c r="F328" s="7">
        <v>29221</v>
      </c>
      <c r="G328" s="8">
        <f t="shared" si="5"/>
        <v>29221</v>
      </c>
      <c r="H328" s="6" t="s">
        <v>13</v>
      </c>
      <c r="I328" s="9">
        <f>IF(ISNA(VLOOKUP(A328,'[1]Craig Eval'!A:C,3,FALSE)),"",(VLOOKUP(A328,'[1]Craig Eval'!A:C,3,FALSE))*1000)</f>
        <v>24652.572888289298</v>
      </c>
      <c r="J328" s="10">
        <f>IF(ISNA(VLOOKUP(A328,'[1]Craig Eval'!A:M,13,FALSE)),"",VLOOKUP(A328,'[1]Craig Eval'!A:M,13,FALSE))</f>
        <v>70.422870961256606</v>
      </c>
      <c r="K328" s="17">
        <v>1</v>
      </c>
    </row>
    <row r="329" spans="1:11" ht="30" x14ac:dyDescent="0.25">
      <c r="A329" s="3" t="s">
        <v>676</v>
      </c>
      <c r="B329" s="4" t="s">
        <v>677</v>
      </c>
      <c r="C329" s="5">
        <v>29842</v>
      </c>
      <c r="D329" s="6" t="s">
        <v>34</v>
      </c>
      <c r="E329" s="6" t="s">
        <v>17</v>
      </c>
      <c r="F329" s="7">
        <v>38831</v>
      </c>
      <c r="G329" s="8">
        <f t="shared" si="5"/>
        <v>38831</v>
      </c>
      <c r="H329" s="6" t="s">
        <v>13</v>
      </c>
      <c r="I329" s="9" t="str">
        <f>IF(ISNA(VLOOKUP(A329,'[1]Craig Eval'!A:C,3,FALSE)),"",(VLOOKUP(A329,'[1]Craig Eval'!A:C,3,FALSE))*1000)</f>
        <v/>
      </c>
      <c r="J329" s="10" t="str">
        <f>IF(ISNA(VLOOKUP(A329,'[1]Craig Eval'!A:M,13,FALSE)),"",VLOOKUP(A329,'[1]Craig Eval'!A:M,13,FALSE))</f>
        <v/>
      </c>
      <c r="K329" s="17">
        <v>1</v>
      </c>
    </row>
    <row r="330" spans="1:11" ht="30" x14ac:dyDescent="0.25">
      <c r="A330" s="3" t="s">
        <v>678</v>
      </c>
      <c r="B330" s="4" t="s">
        <v>679</v>
      </c>
      <c r="C330" s="5">
        <v>11843</v>
      </c>
      <c r="D330" s="6" t="s">
        <v>28</v>
      </c>
      <c r="E330" s="6" t="s">
        <v>17</v>
      </c>
      <c r="F330" s="7">
        <v>37572</v>
      </c>
      <c r="G330" s="8">
        <f t="shared" si="5"/>
        <v>37572</v>
      </c>
      <c r="H330" s="6" t="s">
        <v>13</v>
      </c>
      <c r="I330" s="9">
        <f>IF(ISNA(VLOOKUP(A330,'[1]Craig Eval'!A:C,3,FALSE)),"",(VLOOKUP(A330,'[1]Craig Eval'!A:C,3,FALSE))*1000)</f>
        <v>971.84627442874</v>
      </c>
      <c r="J330" s="10">
        <f>IF(ISNA(VLOOKUP(A330,'[1]Craig Eval'!A:M,13,FALSE)),"",VLOOKUP(A330,'[1]Craig Eval'!A:M,13,FALSE))</f>
        <v>2.9802039212856299</v>
      </c>
      <c r="K330" s="17">
        <v>1</v>
      </c>
    </row>
    <row r="331" spans="1:11" ht="30" x14ac:dyDescent="0.25">
      <c r="A331" s="3" t="s">
        <v>680</v>
      </c>
      <c r="B331" s="4" t="s">
        <v>681</v>
      </c>
      <c r="C331" s="5">
        <v>17611</v>
      </c>
      <c r="D331" s="6" t="s">
        <v>16</v>
      </c>
      <c r="E331" s="6" t="s">
        <v>17</v>
      </c>
      <c r="F331" s="7">
        <v>28965</v>
      </c>
      <c r="G331" s="8">
        <f t="shared" si="5"/>
        <v>28965</v>
      </c>
      <c r="H331" s="6" t="s">
        <v>13</v>
      </c>
      <c r="I331" s="9">
        <f>IF(ISNA(VLOOKUP(A331,'[1]Craig Eval'!A:C,3,FALSE)),"",(VLOOKUP(A331,'[1]Craig Eval'!A:C,3,FALSE))*1000)</f>
        <v>71384.846333167894</v>
      </c>
      <c r="J331" s="10">
        <f>IF(ISNA(VLOOKUP(A331,'[1]Craig Eval'!A:M,13,FALSE)),"",VLOOKUP(A331,'[1]Craig Eval'!A:M,13,FALSE))</f>
        <v>192.82034428809499</v>
      </c>
      <c r="K331" s="17">
        <v>1</v>
      </c>
    </row>
    <row r="332" spans="1:11" ht="30" x14ac:dyDescent="0.25">
      <c r="A332" s="3" t="s">
        <v>682</v>
      </c>
      <c r="B332" s="4" t="s">
        <v>683</v>
      </c>
      <c r="C332" s="5">
        <v>54511</v>
      </c>
      <c r="D332" s="6" t="s">
        <v>34</v>
      </c>
      <c r="E332" s="6" t="s">
        <v>17</v>
      </c>
      <c r="F332" s="7">
        <v>39517</v>
      </c>
      <c r="G332" s="8">
        <f t="shared" si="5"/>
        <v>39517</v>
      </c>
      <c r="H332" s="6" t="s">
        <v>13</v>
      </c>
      <c r="I332" s="9" t="str">
        <f>IF(ISNA(VLOOKUP(A332,'[1]Craig Eval'!A:C,3,FALSE)),"",(VLOOKUP(A332,'[1]Craig Eval'!A:C,3,FALSE))*1000)</f>
        <v/>
      </c>
      <c r="J332" s="10" t="str">
        <f>IF(ISNA(VLOOKUP(A332,'[1]Craig Eval'!A:M,13,FALSE)),"",VLOOKUP(A332,'[1]Craig Eval'!A:M,13,FALSE))</f>
        <v/>
      </c>
      <c r="K332" s="11">
        <v>1</v>
      </c>
    </row>
    <row r="333" spans="1:11" ht="30" x14ac:dyDescent="0.25">
      <c r="A333" s="3" t="s">
        <v>684</v>
      </c>
      <c r="B333" s="4" t="s">
        <v>685</v>
      </c>
      <c r="C333" s="5">
        <v>8002</v>
      </c>
      <c r="D333" s="6" t="s">
        <v>28</v>
      </c>
      <c r="E333" s="6" t="s">
        <v>17</v>
      </c>
      <c r="F333" s="7">
        <v>33512</v>
      </c>
      <c r="G333" s="8">
        <f t="shared" si="5"/>
        <v>33512</v>
      </c>
      <c r="H333" s="6" t="s">
        <v>13</v>
      </c>
      <c r="I333" s="9">
        <f>IF(ISNA(VLOOKUP(A333,'[1]Craig Eval'!A:C,3,FALSE)),"",(VLOOKUP(A333,'[1]Craig Eval'!A:C,3,FALSE))*1000)</f>
        <v>2695.5642606276201</v>
      </c>
      <c r="J333" s="10">
        <f>IF(ISNA(VLOOKUP(A333,'[1]Craig Eval'!A:M,13,FALSE)),"",VLOOKUP(A333,'[1]Craig Eval'!A:M,13,FALSE))</f>
        <v>8.1653228470760695</v>
      </c>
      <c r="K333" s="17">
        <v>1</v>
      </c>
    </row>
    <row r="334" spans="1:11" ht="30" x14ac:dyDescent="0.25">
      <c r="A334" s="3" t="s">
        <v>686</v>
      </c>
      <c r="B334" s="4" t="s">
        <v>687</v>
      </c>
      <c r="C334" s="14">
        <v>17926</v>
      </c>
      <c r="D334" s="6" t="s">
        <v>28</v>
      </c>
      <c r="E334" s="6" t="s">
        <v>17</v>
      </c>
      <c r="F334" s="7">
        <v>26420</v>
      </c>
      <c r="G334" s="8">
        <f t="shared" si="5"/>
        <v>26420</v>
      </c>
      <c r="H334" s="6" t="s">
        <v>13</v>
      </c>
      <c r="I334" s="9">
        <f>IF(ISNA(VLOOKUP(A334,'[1]Craig Eval'!A:C,3,FALSE)),"",(VLOOKUP(A334,'[1]Craig Eval'!A:C,3,FALSE))*1000)</f>
        <v>11911.592597350402</v>
      </c>
      <c r="J334" s="10">
        <f>IF(ISNA(VLOOKUP(A334,'[1]Craig Eval'!A:M,13,FALSE)),"",VLOOKUP(A334,'[1]Craig Eval'!A:M,13,FALSE))</f>
        <v>34.924100129206899</v>
      </c>
      <c r="K334" s="17">
        <v>1</v>
      </c>
    </row>
    <row r="335" spans="1:11" ht="30" x14ac:dyDescent="0.25">
      <c r="A335" s="3" t="s">
        <v>688</v>
      </c>
      <c r="B335" s="4" t="s">
        <v>689</v>
      </c>
      <c r="C335" s="5">
        <v>1076</v>
      </c>
      <c r="D335" s="6" t="s">
        <v>34</v>
      </c>
      <c r="E335" s="6" t="s">
        <v>17</v>
      </c>
      <c r="F335" s="7">
        <v>29952</v>
      </c>
      <c r="G335" s="8">
        <f t="shared" si="5"/>
        <v>29952</v>
      </c>
      <c r="H335" s="6" t="s">
        <v>13</v>
      </c>
      <c r="I335" s="9" t="str">
        <f>IF(ISNA(VLOOKUP(A335,'[1]Craig Eval'!A:C,3,FALSE)),"",(VLOOKUP(A335,'[1]Craig Eval'!A:C,3,FALSE))*1000)</f>
        <v/>
      </c>
      <c r="J335" s="10" t="str">
        <f>IF(ISNA(VLOOKUP(A335,'[1]Craig Eval'!A:M,13,FALSE)),"",VLOOKUP(A335,'[1]Craig Eval'!A:M,13,FALSE))</f>
        <v/>
      </c>
      <c r="K335" s="17">
        <v>2</v>
      </c>
    </row>
    <row r="336" spans="1:11" ht="30" x14ac:dyDescent="0.25">
      <c r="A336" s="3" t="s">
        <v>690</v>
      </c>
      <c r="B336" s="4" t="s">
        <v>691</v>
      </c>
      <c r="C336" s="5">
        <v>29841</v>
      </c>
      <c r="D336" s="6" t="s">
        <v>34</v>
      </c>
      <c r="E336" s="6" t="s">
        <v>17</v>
      </c>
      <c r="F336" s="7">
        <v>39029</v>
      </c>
      <c r="G336" s="8">
        <f t="shared" si="5"/>
        <v>39029</v>
      </c>
      <c r="H336" s="6" t="s">
        <v>13</v>
      </c>
      <c r="I336" s="9" t="str">
        <f>IF(ISNA(VLOOKUP(A336,'[1]Craig Eval'!A:C,3,FALSE)),"",(VLOOKUP(A336,'[1]Craig Eval'!A:C,3,FALSE))*1000)</f>
        <v/>
      </c>
      <c r="J336" s="10" t="str">
        <f>IF(ISNA(VLOOKUP(A336,'[1]Craig Eval'!A:M,13,FALSE)),"",VLOOKUP(A336,'[1]Craig Eval'!A:M,13,FALSE))</f>
        <v/>
      </c>
      <c r="K336" s="17">
        <v>2</v>
      </c>
    </row>
    <row r="337" spans="1:11" ht="30" x14ac:dyDescent="0.25">
      <c r="A337" s="3" t="s">
        <v>692</v>
      </c>
      <c r="B337" s="4" t="s">
        <v>693</v>
      </c>
      <c r="C337" s="14">
        <v>16641</v>
      </c>
      <c r="D337" s="6" t="s">
        <v>16</v>
      </c>
      <c r="E337" s="6" t="s">
        <v>17</v>
      </c>
      <c r="F337" s="7">
        <v>35142</v>
      </c>
      <c r="G337" s="8">
        <f t="shared" si="5"/>
        <v>35142</v>
      </c>
      <c r="H337" s="6" t="s">
        <v>13</v>
      </c>
      <c r="I337" s="9">
        <f>IF(ISNA(VLOOKUP(A337,'[1]Craig Eval'!A:C,3,FALSE)),"",(VLOOKUP(A337,'[1]Craig Eval'!A:C,3,FALSE))*1000)</f>
        <v>41270.252163873498</v>
      </c>
      <c r="J337" s="10">
        <f>IF(ISNA(VLOOKUP(A337,'[1]Craig Eval'!A:M,13,FALSE)),"",VLOOKUP(A337,'[1]Craig Eval'!A:M,13,FALSE))</f>
        <v>115.088661985492</v>
      </c>
      <c r="K337" s="17">
        <v>2</v>
      </c>
    </row>
    <row r="338" spans="1:11" ht="30" x14ac:dyDescent="0.25">
      <c r="A338" s="3" t="s">
        <v>694</v>
      </c>
      <c r="B338" s="4" t="s">
        <v>695</v>
      </c>
      <c r="C338" s="5">
        <v>17287</v>
      </c>
      <c r="D338" s="6" t="s">
        <v>16</v>
      </c>
      <c r="E338" s="6" t="s">
        <v>17</v>
      </c>
      <c r="F338" s="7">
        <v>32325</v>
      </c>
      <c r="G338" s="8">
        <f t="shared" si="5"/>
        <v>32325</v>
      </c>
      <c r="H338" s="6" t="s">
        <v>13</v>
      </c>
      <c r="I338" s="9" t="str">
        <f>IF(ISNA(VLOOKUP(A338,'[1]Craig Eval'!A:C,3,FALSE)),"",(VLOOKUP(A338,'[1]Craig Eval'!A:C,3,FALSE))*1000)</f>
        <v/>
      </c>
      <c r="J338" s="10" t="str">
        <f>IF(ISNA(VLOOKUP(A338,'[1]Craig Eval'!A:M,13,FALSE)),"",VLOOKUP(A338,'[1]Craig Eval'!A:M,13,FALSE))</f>
        <v/>
      </c>
      <c r="K338" s="17">
        <v>1</v>
      </c>
    </row>
    <row r="339" spans="1:11" ht="30" x14ac:dyDescent="0.25">
      <c r="A339" s="3" t="s">
        <v>696</v>
      </c>
      <c r="B339" s="4" t="s">
        <v>697</v>
      </c>
      <c r="C339" s="5">
        <v>1662</v>
      </c>
      <c r="D339" s="6" t="s">
        <v>11</v>
      </c>
      <c r="E339" s="6" t="s">
        <v>17</v>
      </c>
      <c r="F339" s="7">
        <v>34700</v>
      </c>
      <c r="G339" s="8">
        <f t="shared" si="5"/>
        <v>34700</v>
      </c>
      <c r="H339" s="6" t="s">
        <v>13</v>
      </c>
      <c r="I339" s="9" t="str">
        <f>IF(ISNA(VLOOKUP(A339,'[1]Craig Eval'!A:C,3,FALSE)),"",(VLOOKUP(A339,'[1]Craig Eval'!A:C,3,FALSE))*1000)</f>
        <v/>
      </c>
      <c r="J339" s="10" t="str">
        <f>IF(ISNA(VLOOKUP(A339,'[1]Craig Eval'!A:M,13,FALSE)),"",VLOOKUP(A339,'[1]Craig Eval'!A:M,13,FALSE))</f>
        <v/>
      </c>
      <c r="K339" s="17">
        <v>1</v>
      </c>
    </row>
    <row r="340" spans="1:11" ht="30" x14ac:dyDescent="0.25">
      <c r="A340" s="3" t="s">
        <v>698</v>
      </c>
      <c r="B340" s="4" t="s">
        <v>699</v>
      </c>
      <c r="C340" s="5">
        <v>1797</v>
      </c>
      <c r="D340" s="6" t="s">
        <v>11</v>
      </c>
      <c r="E340" s="6" t="s">
        <v>17</v>
      </c>
      <c r="F340" s="7">
        <v>33970</v>
      </c>
      <c r="G340" s="8">
        <f t="shared" si="5"/>
        <v>33970</v>
      </c>
      <c r="H340" s="6" t="s">
        <v>13</v>
      </c>
      <c r="I340" s="9" t="str">
        <f>IF(ISNA(VLOOKUP(A340,'[1]Craig Eval'!A:C,3,FALSE)),"",(VLOOKUP(A340,'[1]Craig Eval'!A:C,3,FALSE))*1000)</f>
        <v/>
      </c>
      <c r="J340" s="10" t="str">
        <f>IF(ISNA(VLOOKUP(A340,'[1]Craig Eval'!A:M,13,FALSE)),"",VLOOKUP(A340,'[1]Craig Eval'!A:M,13,FALSE))</f>
        <v/>
      </c>
      <c r="K340" s="17">
        <v>1</v>
      </c>
    </row>
    <row r="341" spans="1:11" ht="30" x14ac:dyDescent="0.25">
      <c r="A341" s="3" t="s">
        <v>700</v>
      </c>
      <c r="B341" s="4" t="s">
        <v>701</v>
      </c>
      <c r="C341" s="5">
        <v>1136</v>
      </c>
      <c r="D341" s="6" t="s">
        <v>31</v>
      </c>
      <c r="E341" s="6" t="s">
        <v>17</v>
      </c>
      <c r="F341" s="7">
        <v>29221</v>
      </c>
      <c r="G341" s="8">
        <f t="shared" si="5"/>
        <v>29221</v>
      </c>
      <c r="H341" s="6" t="s">
        <v>13</v>
      </c>
      <c r="I341" s="9">
        <f>IF(ISNA(VLOOKUP(A341,'[1]Craig Eval'!A:C,3,FALSE)),"",(VLOOKUP(A341,'[1]Craig Eval'!A:C,3,FALSE))*1000)</f>
        <v>9756.4215380210899</v>
      </c>
      <c r="J341" s="10">
        <f>IF(ISNA(VLOOKUP(A341,'[1]Craig Eval'!A:M,13,FALSE)),"",VLOOKUP(A341,'[1]Craig Eval'!A:M,13,FALSE))</f>
        <v>28.771197213657398</v>
      </c>
      <c r="K341" s="17">
        <v>1</v>
      </c>
    </row>
    <row r="342" spans="1:11" ht="30" x14ac:dyDescent="0.25">
      <c r="A342" s="3" t="s">
        <v>702</v>
      </c>
      <c r="B342" s="4" t="s">
        <v>703</v>
      </c>
      <c r="C342" s="5">
        <v>1936</v>
      </c>
      <c r="D342" s="6" t="s">
        <v>34</v>
      </c>
      <c r="E342" s="6" t="s">
        <v>17</v>
      </c>
      <c r="F342" s="7">
        <v>36314</v>
      </c>
      <c r="G342" s="8">
        <f t="shared" si="5"/>
        <v>36314</v>
      </c>
      <c r="H342" s="6" t="s">
        <v>13</v>
      </c>
      <c r="I342" s="9" t="str">
        <f>IF(ISNA(VLOOKUP(A342,'[1]Craig Eval'!A:C,3,FALSE)),"",(VLOOKUP(A342,'[1]Craig Eval'!A:C,3,FALSE))*1000)</f>
        <v/>
      </c>
      <c r="J342" s="10" t="str">
        <f>IF(ISNA(VLOOKUP(A342,'[1]Craig Eval'!A:M,13,FALSE)),"",VLOOKUP(A342,'[1]Craig Eval'!A:M,13,FALSE))</f>
        <v/>
      </c>
      <c r="K342" s="17">
        <v>1</v>
      </c>
    </row>
    <row r="343" spans="1:11" ht="30" x14ac:dyDescent="0.25">
      <c r="A343" s="3" t="s">
        <v>704</v>
      </c>
      <c r="B343" s="4" t="s">
        <v>705</v>
      </c>
      <c r="C343" s="14">
        <v>1481</v>
      </c>
      <c r="D343" s="6" t="s">
        <v>34</v>
      </c>
      <c r="E343" s="6" t="s">
        <v>17</v>
      </c>
      <c r="F343" s="7">
        <v>37803</v>
      </c>
      <c r="G343" s="8">
        <f t="shared" si="5"/>
        <v>37803</v>
      </c>
      <c r="H343" s="6" t="s">
        <v>13</v>
      </c>
      <c r="I343" s="9" t="str">
        <f>IF(ISNA(VLOOKUP(A343,'[1]Craig Eval'!A:C,3,FALSE)),"",(VLOOKUP(A343,'[1]Craig Eval'!A:C,3,FALSE))*1000)</f>
        <v/>
      </c>
      <c r="J343" s="10" t="str">
        <f>IF(ISNA(VLOOKUP(A343,'[1]Craig Eval'!A:M,13,FALSE)),"",VLOOKUP(A343,'[1]Craig Eval'!A:M,13,FALSE))</f>
        <v/>
      </c>
      <c r="K343" s="17">
        <v>4</v>
      </c>
    </row>
    <row r="344" spans="1:11" ht="30" x14ac:dyDescent="0.25">
      <c r="A344" s="18" t="s">
        <v>706</v>
      </c>
      <c r="B344" s="19" t="s">
        <v>707</v>
      </c>
      <c r="C344" s="20">
        <v>8968</v>
      </c>
      <c r="D344" s="21" t="s">
        <v>34</v>
      </c>
      <c r="E344" s="21" t="s">
        <v>17</v>
      </c>
      <c r="F344" s="22">
        <v>37734</v>
      </c>
      <c r="G344" s="23">
        <f t="shared" si="5"/>
        <v>37734</v>
      </c>
      <c r="H344" s="21" t="s">
        <v>13</v>
      </c>
      <c r="I344" s="9" t="str">
        <f>IF(ISNA(VLOOKUP(A344,'[1]Craig Eval'!A:C,3,FALSE)),"",(VLOOKUP(A344,'[1]Craig Eval'!A:C,3,FALSE))*1000)</f>
        <v/>
      </c>
      <c r="J344" s="24" t="str">
        <f>IF(ISNA(VLOOKUP(A344,'[1]Craig Eval'!A:M,13,FALSE)),"",VLOOKUP(A344,'[1]Craig Eval'!A:M,13,FALSE))</f>
        <v/>
      </c>
      <c r="K344" s="25">
        <v>1</v>
      </c>
    </row>
    <row r="345" spans="1:11" ht="30" x14ac:dyDescent="0.25">
      <c r="A345" s="3" t="s">
        <v>708</v>
      </c>
      <c r="B345" s="4" t="s">
        <v>709</v>
      </c>
      <c r="C345" s="5">
        <v>47441</v>
      </c>
      <c r="D345" s="6" t="s">
        <v>34</v>
      </c>
      <c r="E345" s="6" t="s">
        <v>17</v>
      </c>
      <c r="F345" s="7">
        <v>38483</v>
      </c>
      <c r="G345" s="8">
        <f t="shared" si="5"/>
        <v>38483</v>
      </c>
      <c r="H345" s="6" t="s">
        <v>13</v>
      </c>
      <c r="I345" s="9" t="str">
        <f>IF(ISNA(VLOOKUP(A345,'[1]Craig Eval'!A:C,3,FALSE)),"",(VLOOKUP(A345,'[1]Craig Eval'!A:C,3,FALSE))*1000)</f>
        <v/>
      </c>
      <c r="J345" s="10" t="str">
        <f>IF(ISNA(VLOOKUP(A345,'[1]Craig Eval'!A:M,13,FALSE)),"",VLOOKUP(A345,'[1]Craig Eval'!A:M,13,FALSE))</f>
        <v/>
      </c>
      <c r="K345" s="17">
        <v>1</v>
      </c>
    </row>
    <row r="346" spans="1:11" ht="30" x14ac:dyDescent="0.25">
      <c r="A346" s="3" t="s">
        <v>710</v>
      </c>
      <c r="B346" s="4" t="s">
        <v>711</v>
      </c>
      <c r="C346" s="5">
        <v>1485</v>
      </c>
      <c r="D346" s="6" t="s">
        <v>34</v>
      </c>
      <c r="E346" s="6" t="s">
        <v>17</v>
      </c>
      <c r="F346" s="7">
        <v>36433</v>
      </c>
      <c r="G346" s="8">
        <f t="shared" si="5"/>
        <v>36433</v>
      </c>
      <c r="H346" s="6" t="s">
        <v>13</v>
      </c>
      <c r="I346" s="9" t="str">
        <f>IF(ISNA(VLOOKUP(A346,'[1]Craig Eval'!A:C,3,FALSE)),"",(VLOOKUP(A346,'[1]Craig Eval'!A:C,3,FALSE))*1000)</f>
        <v/>
      </c>
      <c r="J346" s="10" t="str">
        <f>IF(ISNA(VLOOKUP(A346,'[1]Craig Eval'!A:M,13,FALSE)),"",VLOOKUP(A346,'[1]Craig Eval'!A:M,13,FALSE))</f>
        <v/>
      </c>
      <c r="K346" s="17">
        <v>2</v>
      </c>
    </row>
    <row r="347" spans="1:11" ht="30" x14ac:dyDescent="0.25">
      <c r="A347" s="3" t="s">
        <v>712</v>
      </c>
      <c r="B347" s="4" t="s">
        <v>713</v>
      </c>
      <c r="C347" s="5">
        <v>85859</v>
      </c>
      <c r="D347" s="6" t="s">
        <v>28</v>
      </c>
      <c r="E347" s="6" t="s">
        <v>17</v>
      </c>
      <c r="F347" s="7">
        <v>40554</v>
      </c>
      <c r="G347" s="8">
        <f t="shared" si="5"/>
        <v>40554</v>
      </c>
      <c r="H347" s="6" t="s">
        <v>13</v>
      </c>
      <c r="I347" s="9">
        <f>IF(ISNA(VLOOKUP(A347,'[1]Craig Eval'!A:C,3,FALSE)),"",(VLOOKUP(A347,'[1]Craig Eval'!A:C,3,FALSE))*1000)</f>
        <v>485.44015864819198</v>
      </c>
      <c r="J347" s="10">
        <f>IF(ISNA(VLOOKUP(A347,'[1]Craig Eval'!A:M,13,FALSE)),"",VLOOKUP(A347,'[1]Craig Eval'!A:M,13,FALSE))</f>
        <v>1.49680058125011</v>
      </c>
      <c r="K347" s="17">
        <v>1</v>
      </c>
    </row>
    <row r="348" spans="1:11" ht="30" x14ac:dyDescent="0.25">
      <c r="A348" s="18" t="s">
        <v>714</v>
      </c>
      <c r="B348" s="19" t="s">
        <v>715</v>
      </c>
      <c r="C348" s="5">
        <v>54512</v>
      </c>
      <c r="D348" s="21" t="s">
        <v>11</v>
      </c>
      <c r="E348" s="21" t="s">
        <v>12</v>
      </c>
      <c r="F348" s="22">
        <v>37546</v>
      </c>
      <c r="G348" s="23">
        <f t="shared" si="5"/>
        <v>37546</v>
      </c>
      <c r="H348" s="21" t="s">
        <v>39</v>
      </c>
      <c r="I348" s="9" t="str">
        <f>IF(ISNA(VLOOKUP(A348,'[1]Craig Eval'!A:C,3,FALSE)),"",(VLOOKUP(A348,'[1]Craig Eval'!A:C,3,FALSE))*1000)</f>
        <v/>
      </c>
      <c r="J348" s="24" t="str">
        <f>IF(ISNA(VLOOKUP(A348,'[1]Craig Eval'!A:M,13,FALSE)),"",VLOOKUP(A348,'[1]Craig Eval'!A:M,13,FALSE))</f>
        <v/>
      </c>
      <c r="K348" s="25">
        <v>1</v>
      </c>
    </row>
    <row r="349" spans="1:11" ht="30" x14ac:dyDescent="0.25">
      <c r="A349" s="3" t="s">
        <v>716</v>
      </c>
      <c r="B349" s="4" t="s">
        <v>717</v>
      </c>
      <c r="C349" s="5">
        <v>1513</v>
      </c>
      <c r="D349" s="6" t="s">
        <v>28</v>
      </c>
      <c r="E349" s="6" t="s">
        <v>17</v>
      </c>
      <c r="F349" s="7">
        <v>29952</v>
      </c>
      <c r="G349" s="8">
        <f t="shared" si="5"/>
        <v>29952</v>
      </c>
      <c r="H349" s="6" t="s">
        <v>13</v>
      </c>
      <c r="I349" s="9">
        <f>IF(ISNA(VLOOKUP(A349,'[1]Craig Eval'!A:C,3,FALSE)),"",(VLOOKUP(A349,'[1]Craig Eval'!A:C,3,FALSE))*1000)</f>
        <v>37198.602250417105</v>
      </c>
      <c r="J349" s="10">
        <f>IF(ISNA(VLOOKUP(A349,'[1]Craig Eval'!A:M,13,FALSE)),"",VLOOKUP(A349,'[1]Craig Eval'!A:M,13,FALSE))</f>
        <v>104.283644071372</v>
      </c>
      <c r="K349" s="17">
        <v>2</v>
      </c>
    </row>
    <row r="350" spans="1:11" ht="30" x14ac:dyDescent="0.25">
      <c r="A350" s="3" t="s">
        <v>718</v>
      </c>
      <c r="B350" s="4" t="s">
        <v>719</v>
      </c>
      <c r="C350" s="5">
        <v>14088</v>
      </c>
      <c r="D350" s="6" t="s">
        <v>37</v>
      </c>
      <c r="E350" s="6" t="s">
        <v>38</v>
      </c>
      <c r="F350" s="7">
        <v>37125</v>
      </c>
      <c r="G350" s="8">
        <f t="shared" si="5"/>
        <v>37125</v>
      </c>
      <c r="H350" s="6" t="s">
        <v>39</v>
      </c>
      <c r="I350" s="9" t="str">
        <f>IF(ISNA(VLOOKUP(A350,'[1]Craig Eval'!A:C,3,FALSE)),"",(VLOOKUP(A350,'[1]Craig Eval'!A:C,3,FALSE))*1000)</f>
        <v/>
      </c>
      <c r="J350" s="10" t="str">
        <f>IF(ISNA(VLOOKUP(A350,'[1]Craig Eval'!A:M,13,FALSE)),"",VLOOKUP(A350,'[1]Craig Eval'!A:M,13,FALSE))</f>
        <v/>
      </c>
      <c r="K350" s="17">
        <v>1</v>
      </c>
    </row>
    <row r="351" spans="1:11" ht="30" x14ac:dyDescent="0.25">
      <c r="A351" s="3" t="s">
        <v>720</v>
      </c>
      <c r="B351" s="4" t="s">
        <v>721</v>
      </c>
      <c r="C351" s="5">
        <v>2046</v>
      </c>
      <c r="D351" s="6" t="s">
        <v>34</v>
      </c>
      <c r="E351" s="6" t="s">
        <v>17</v>
      </c>
      <c r="F351" s="7">
        <v>35431</v>
      </c>
      <c r="G351" s="8">
        <f t="shared" si="5"/>
        <v>35431</v>
      </c>
      <c r="H351" s="6" t="s">
        <v>13</v>
      </c>
      <c r="I351" s="9" t="str">
        <f>IF(ISNA(VLOOKUP(A351,'[1]Craig Eval'!A:C,3,FALSE)),"",(VLOOKUP(A351,'[1]Craig Eval'!A:C,3,FALSE))*1000)</f>
        <v/>
      </c>
      <c r="J351" s="10" t="str">
        <f>IF(ISNA(VLOOKUP(A351,'[1]Craig Eval'!A:M,13,FALSE)),"",VLOOKUP(A351,'[1]Craig Eval'!A:M,13,FALSE))</f>
        <v/>
      </c>
      <c r="K351" s="17">
        <v>1</v>
      </c>
    </row>
    <row r="352" spans="1:11" ht="30" x14ac:dyDescent="0.25">
      <c r="A352" s="3" t="s">
        <v>722</v>
      </c>
      <c r="B352" s="4" t="s">
        <v>723</v>
      </c>
      <c r="C352" s="5">
        <v>1703</v>
      </c>
      <c r="D352" s="6" t="s">
        <v>31</v>
      </c>
      <c r="E352" s="6" t="s">
        <v>17</v>
      </c>
      <c r="F352" s="7">
        <v>29221</v>
      </c>
      <c r="G352" s="8">
        <f t="shared" si="5"/>
        <v>29221</v>
      </c>
      <c r="H352" s="6" t="s">
        <v>13</v>
      </c>
      <c r="I352" s="9">
        <f>IF(ISNA(VLOOKUP(A352,'[1]Craig Eval'!A:C,3,FALSE)),"",(VLOOKUP(A352,'[1]Craig Eval'!A:C,3,FALSE))*1000)</f>
        <v>4408.7533154165703</v>
      </c>
      <c r="J352" s="10">
        <f>IF(ISNA(VLOOKUP(A352,'[1]Craig Eval'!A:M,13,FALSE)),"",VLOOKUP(A352,'[1]Craig Eval'!A:M,13,FALSE))</f>
        <v>13.242912557349401</v>
      </c>
      <c r="K352" s="17">
        <v>1</v>
      </c>
    </row>
    <row r="353" spans="1:11" ht="30" x14ac:dyDescent="0.25">
      <c r="A353" s="3" t="s">
        <v>724</v>
      </c>
      <c r="B353" s="4" t="s">
        <v>725</v>
      </c>
      <c r="C353" s="5">
        <v>54529</v>
      </c>
      <c r="D353" s="6" t="s">
        <v>31</v>
      </c>
      <c r="E353" s="6" t="s">
        <v>17</v>
      </c>
      <c r="F353" s="7">
        <v>37167</v>
      </c>
      <c r="G353" s="8">
        <f t="shared" si="5"/>
        <v>37167</v>
      </c>
      <c r="H353" s="6" t="s">
        <v>13</v>
      </c>
      <c r="I353" s="9">
        <f>IF(ISNA(VLOOKUP(A353,'[1]Craig Eval'!A:C,3,FALSE)),"",(VLOOKUP(A353,'[1]Craig Eval'!A:C,3,FALSE))*1000)</f>
        <v>23203.336676011801</v>
      </c>
      <c r="J353" s="10">
        <f>IF(ISNA(VLOOKUP(A353,'[1]Craig Eval'!A:M,13,FALSE)),"",VLOOKUP(A353,'[1]Craig Eval'!A:M,13,FALSE))</f>
        <v>66.448808805289104</v>
      </c>
      <c r="K353" s="17">
        <v>1</v>
      </c>
    </row>
    <row r="354" spans="1:11" ht="30" x14ac:dyDescent="0.25">
      <c r="A354" s="3" t="s">
        <v>726</v>
      </c>
      <c r="B354" s="4" t="s">
        <v>727</v>
      </c>
      <c r="C354" s="5">
        <v>17288</v>
      </c>
      <c r="D354" s="6" t="s">
        <v>31</v>
      </c>
      <c r="E354" s="6" t="s">
        <v>17</v>
      </c>
      <c r="F354" s="7">
        <v>41361</v>
      </c>
      <c r="G354" s="8">
        <f t="shared" si="5"/>
        <v>41361</v>
      </c>
      <c r="H354" s="6" t="s">
        <v>13</v>
      </c>
      <c r="I354" s="9" t="str">
        <f>IF(ISNA(VLOOKUP(A354,'[1]Craig Eval'!A:C,3,FALSE)),"",(VLOOKUP(A354,'[1]Craig Eval'!A:C,3,FALSE))*1000)</f>
        <v/>
      </c>
      <c r="J354" s="10" t="str">
        <f>IF(ISNA(VLOOKUP(A354,'[1]Craig Eval'!A:M,13,FALSE)),"",VLOOKUP(A354,'[1]Craig Eval'!A:M,13,FALSE))</f>
        <v/>
      </c>
      <c r="K354" s="17">
        <v>3</v>
      </c>
    </row>
    <row r="355" spans="1:11" ht="30" x14ac:dyDescent="0.25">
      <c r="A355" s="3" t="s">
        <v>728</v>
      </c>
      <c r="B355" s="4" t="s">
        <v>729</v>
      </c>
      <c r="C355" s="5">
        <v>12483</v>
      </c>
      <c r="D355" s="6" t="s">
        <v>31</v>
      </c>
      <c r="E355" s="6" t="s">
        <v>17</v>
      </c>
      <c r="F355" s="7">
        <v>32532</v>
      </c>
      <c r="G355" s="8">
        <f t="shared" si="5"/>
        <v>32532</v>
      </c>
      <c r="H355" s="6" t="s">
        <v>13</v>
      </c>
      <c r="I355" s="9">
        <f>IF(ISNA(VLOOKUP(A355,'[1]Craig Eval'!A:C,3,FALSE)),"",(VLOOKUP(A355,'[1]Craig Eval'!A:C,3,FALSE))*1000)</f>
        <v>8709.7767927301684</v>
      </c>
      <c r="J355" s="10">
        <f>IF(ISNA(VLOOKUP(A355,'[1]Craig Eval'!A:M,13,FALSE)),"",VLOOKUP(A355,'[1]Craig Eval'!A:M,13,FALSE))</f>
        <v>25.763462958991401</v>
      </c>
      <c r="K355" s="17">
        <v>1</v>
      </c>
    </row>
    <row r="356" spans="1:11" ht="30" x14ac:dyDescent="0.25">
      <c r="A356" s="3" t="s">
        <v>730</v>
      </c>
      <c r="B356" s="4" t="s">
        <v>731</v>
      </c>
      <c r="C356" s="5">
        <v>19205</v>
      </c>
      <c r="D356" s="6" t="s">
        <v>16</v>
      </c>
      <c r="E356" s="6" t="s">
        <v>17</v>
      </c>
      <c r="F356" s="7">
        <v>38426</v>
      </c>
      <c r="G356" s="8">
        <f t="shared" si="5"/>
        <v>38426</v>
      </c>
      <c r="H356" s="6" t="s">
        <v>13</v>
      </c>
      <c r="I356" s="9" t="str">
        <f>IF(ISNA(VLOOKUP(A356,'[1]Craig Eval'!A:C,3,FALSE)),"",(VLOOKUP(A356,'[1]Craig Eval'!A:C,3,FALSE))*1000)</f>
        <v/>
      </c>
      <c r="J356" s="10" t="str">
        <f>IF(ISNA(VLOOKUP(A356,'[1]Craig Eval'!A:M,13,FALSE)),"",VLOOKUP(A356,'[1]Craig Eval'!A:M,13,FALSE))</f>
        <v/>
      </c>
      <c r="K356" s="17">
        <v>1</v>
      </c>
    </row>
    <row r="357" spans="1:11" ht="30" x14ac:dyDescent="0.25">
      <c r="A357" s="3" t="s">
        <v>732</v>
      </c>
      <c r="B357" s="4" t="s">
        <v>733</v>
      </c>
      <c r="C357" s="5">
        <v>72146</v>
      </c>
      <c r="D357" s="6" t="s">
        <v>34</v>
      </c>
      <c r="E357" s="6" t="s">
        <v>17</v>
      </c>
      <c r="F357" s="7">
        <v>39017</v>
      </c>
      <c r="G357" s="8">
        <f t="shared" si="5"/>
        <v>39017</v>
      </c>
      <c r="H357" s="6" t="s">
        <v>13</v>
      </c>
      <c r="I357" s="9">
        <f>IF(ISNA(VLOOKUP(A357,'[1]Craig Eval'!A:C,3,FALSE)),"",(VLOOKUP(A357,'[1]Craig Eval'!A:C,3,FALSE))*1000)</f>
        <v>3057.8138899728201</v>
      </c>
      <c r="J357" s="10">
        <f>IF(ISNA(VLOOKUP(A357,'[1]Craig Eval'!A:M,13,FALSE)),"",VLOOKUP(A357,'[1]Craig Eval'!A:M,13,FALSE))</f>
        <v>9.2443680775770094</v>
      </c>
      <c r="K357" s="17">
        <v>1</v>
      </c>
    </row>
    <row r="358" spans="1:11" ht="30" x14ac:dyDescent="0.25">
      <c r="A358" s="3" t="s">
        <v>734</v>
      </c>
      <c r="B358" s="4" t="s">
        <v>735</v>
      </c>
      <c r="C358" s="5">
        <v>1143</v>
      </c>
      <c r="D358" s="6" t="s">
        <v>34</v>
      </c>
      <c r="E358" s="6" t="s">
        <v>17</v>
      </c>
      <c r="F358" s="7">
        <v>34828</v>
      </c>
      <c r="G358" s="8">
        <f t="shared" si="5"/>
        <v>34828</v>
      </c>
      <c r="H358" s="6" t="s">
        <v>13</v>
      </c>
      <c r="I358" s="9">
        <f>IF(ISNA(VLOOKUP(A358,'[1]Craig Eval'!A:C,3,FALSE)),"",(VLOOKUP(A358,'[1]Craig Eval'!A:C,3,FALSE))*1000)</f>
        <v>1444.4013172984801</v>
      </c>
      <c r="J358" s="10">
        <f>IF(ISNA(VLOOKUP(A358,'[1]Craig Eval'!A:M,13,FALSE)),"",VLOOKUP(A358,'[1]Craig Eval'!A:M,13,FALSE))</f>
        <v>4.4113491938859699</v>
      </c>
      <c r="K358" s="17">
        <v>1</v>
      </c>
    </row>
    <row r="359" spans="1:11" ht="30" x14ac:dyDescent="0.25">
      <c r="A359" s="3" t="s">
        <v>736</v>
      </c>
      <c r="B359" s="4" t="s">
        <v>737</v>
      </c>
      <c r="C359" s="5">
        <v>14404</v>
      </c>
      <c r="D359" s="6" t="s">
        <v>11</v>
      </c>
      <c r="E359" s="6" t="s">
        <v>17</v>
      </c>
      <c r="F359" s="7">
        <v>38211</v>
      </c>
      <c r="G359" s="8">
        <f t="shared" si="5"/>
        <v>38211</v>
      </c>
      <c r="H359" s="6" t="s">
        <v>13</v>
      </c>
      <c r="I359" s="9" t="str">
        <f>IF(ISNA(VLOOKUP(A359,'[1]Craig Eval'!A:C,3,FALSE)),"",(VLOOKUP(A359,'[1]Craig Eval'!A:C,3,FALSE))*1000)</f>
        <v/>
      </c>
      <c r="J359" s="10" t="str">
        <f>IF(ISNA(VLOOKUP(A359,'[1]Craig Eval'!A:M,13,FALSE)),"",VLOOKUP(A359,'[1]Craig Eval'!A:M,13,FALSE))</f>
        <v/>
      </c>
      <c r="K359" s="17">
        <v>1</v>
      </c>
    </row>
    <row r="360" spans="1:11" ht="30" x14ac:dyDescent="0.25">
      <c r="A360" s="3" t="s">
        <v>738</v>
      </c>
      <c r="B360" s="4" t="s">
        <v>739</v>
      </c>
      <c r="C360" s="14">
        <v>1577</v>
      </c>
      <c r="D360" s="6" t="s">
        <v>31</v>
      </c>
      <c r="E360" s="6" t="s">
        <v>17</v>
      </c>
      <c r="F360" s="7">
        <v>29221</v>
      </c>
      <c r="G360" s="8">
        <f t="shared" si="5"/>
        <v>29221</v>
      </c>
      <c r="H360" s="6" t="s">
        <v>13</v>
      </c>
      <c r="I360" s="9">
        <f>IF(ISNA(VLOOKUP(A360,'[1]Craig Eval'!A:C,3,FALSE)),"",(VLOOKUP(A360,'[1]Craig Eval'!A:C,3,FALSE))*1000)</f>
        <v>127144.580837906</v>
      </c>
      <c r="J360" s="10">
        <f>IF(ISNA(VLOOKUP(A360,'[1]Craig Eval'!A:M,13,FALSE)),"",VLOOKUP(A360,'[1]Craig Eval'!A:M,13,FALSE))</f>
        <v>329.368978470549</v>
      </c>
      <c r="K360" s="17">
        <v>2</v>
      </c>
    </row>
    <row r="361" spans="1:11" ht="30" x14ac:dyDescent="0.25">
      <c r="A361" s="18" t="s">
        <v>740</v>
      </c>
      <c r="B361" s="19" t="s">
        <v>741</v>
      </c>
      <c r="C361" s="5">
        <v>1492</v>
      </c>
      <c r="D361" s="21" t="s">
        <v>28</v>
      </c>
      <c r="E361" s="21" t="s">
        <v>17</v>
      </c>
      <c r="F361" s="22">
        <v>26549</v>
      </c>
      <c r="G361" s="23">
        <f t="shared" si="5"/>
        <v>26549</v>
      </c>
      <c r="H361" s="21" t="s">
        <v>13</v>
      </c>
      <c r="I361" s="9" t="str">
        <f>IF(ISNA(VLOOKUP(A361,'[1]Craig Eval'!A:C,3,FALSE)),"",(VLOOKUP(A361,'[1]Craig Eval'!A:C,3,FALSE))*1000)</f>
        <v/>
      </c>
      <c r="J361" s="24" t="str">
        <f>IF(ISNA(VLOOKUP(A361,'[1]Craig Eval'!A:M,13,FALSE)),"",VLOOKUP(A361,'[1]Craig Eval'!A:M,13,FALSE))</f>
        <v/>
      </c>
      <c r="K361" s="25">
        <v>3</v>
      </c>
    </row>
    <row r="362" spans="1:11" ht="30" x14ac:dyDescent="0.25">
      <c r="A362" s="3" t="s">
        <v>742</v>
      </c>
      <c r="B362" s="4" t="s">
        <v>743</v>
      </c>
      <c r="C362" s="5">
        <v>1504</v>
      </c>
      <c r="D362" s="6" t="s">
        <v>28</v>
      </c>
      <c r="E362" s="6" t="s">
        <v>17</v>
      </c>
      <c r="F362" s="7">
        <v>29221</v>
      </c>
      <c r="G362" s="8">
        <f t="shared" si="5"/>
        <v>29221</v>
      </c>
      <c r="H362" s="6" t="s">
        <v>13</v>
      </c>
      <c r="I362" s="9">
        <f>IF(ISNA(VLOOKUP(A362,'[1]Craig Eval'!A:C,3,FALSE)),"",(VLOOKUP(A362,'[1]Craig Eval'!A:C,3,FALSE))*1000)</f>
        <v>11011.485975060999</v>
      </c>
      <c r="J362" s="10">
        <f>IF(ISNA(VLOOKUP(A362,'[1]Craig Eval'!A:M,13,FALSE)),"",VLOOKUP(A362,'[1]Craig Eval'!A:M,13,FALSE))</f>
        <v>32.360664153892998</v>
      </c>
      <c r="K362" s="17">
        <v>1</v>
      </c>
    </row>
    <row r="363" spans="1:11" ht="30" x14ac:dyDescent="0.25">
      <c r="A363" s="3" t="s">
        <v>744</v>
      </c>
      <c r="B363" s="4" t="s">
        <v>745</v>
      </c>
      <c r="C363" s="5">
        <v>1448</v>
      </c>
      <c r="D363" s="6" t="s">
        <v>11</v>
      </c>
      <c r="E363" s="6" t="s">
        <v>17</v>
      </c>
      <c r="F363" s="7">
        <v>35431</v>
      </c>
      <c r="G363" s="8">
        <f t="shared" si="5"/>
        <v>35431</v>
      </c>
      <c r="H363" s="6" t="s">
        <v>13</v>
      </c>
      <c r="I363" s="9" t="str">
        <f>IF(ISNA(VLOOKUP(A363,'[1]Craig Eval'!A:C,3,FALSE)),"",(VLOOKUP(A363,'[1]Craig Eval'!A:C,3,FALSE))*1000)</f>
        <v/>
      </c>
      <c r="J363" s="10" t="str">
        <f>IF(ISNA(VLOOKUP(A363,'[1]Craig Eval'!A:M,13,FALSE)),"",VLOOKUP(A363,'[1]Craig Eval'!A:M,13,FALSE))</f>
        <v/>
      </c>
      <c r="K363" s="17">
        <v>1</v>
      </c>
    </row>
    <row r="364" spans="1:11" ht="30" x14ac:dyDescent="0.25">
      <c r="A364" s="3" t="s">
        <v>746</v>
      </c>
      <c r="B364" s="4" t="s">
        <v>747</v>
      </c>
      <c r="C364" s="5">
        <v>12815</v>
      </c>
      <c r="D364" s="6" t="s">
        <v>31</v>
      </c>
      <c r="E364" s="6" t="s">
        <v>17</v>
      </c>
      <c r="F364" s="7">
        <v>34129</v>
      </c>
      <c r="G364" s="8">
        <f t="shared" si="5"/>
        <v>34129</v>
      </c>
      <c r="H364" s="6" t="s">
        <v>13</v>
      </c>
      <c r="I364" s="9">
        <f>IF(ISNA(VLOOKUP(A364,'[1]Craig Eval'!A:C,3,FALSE)),"",(VLOOKUP(A364,'[1]Craig Eval'!A:C,3,FALSE))*1000)</f>
        <v>4945.1040182616298</v>
      </c>
      <c r="J364" s="10">
        <f>IF(ISNA(VLOOKUP(A364,'[1]Craig Eval'!A:M,13,FALSE)),"",VLOOKUP(A364,'[1]Craig Eval'!A:M,13,FALSE))</f>
        <v>14.8204382579171</v>
      </c>
      <c r="K364" s="17">
        <v>1</v>
      </c>
    </row>
    <row r="365" spans="1:11" ht="30" x14ac:dyDescent="0.25">
      <c r="A365" s="3" t="s">
        <v>748</v>
      </c>
      <c r="B365" s="4" t="s">
        <v>749</v>
      </c>
      <c r="C365" s="5">
        <v>1272</v>
      </c>
      <c r="D365" s="6" t="s">
        <v>16</v>
      </c>
      <c r="E365" s="6" t="s">
        <v>17</v>
      </c>
      <c r="F365" s="7">
        <v>29221</v>
      </c>
      <c r="G365" s="8">
        <f t="shared" si="5"/>
        <v>29221</v>
      </c>
      <c r="H365" s="6" t="s">
        <v>13</v>
      </c>
      <c r="I365" s="9">
        <f>IF(ISNA(VLOOKUP(A365,'[1]Craig Eval'!A:C,3,FALSE)),"",(VLOOKUP(A365,'[1]Craig Eval'!A:C,3,FALSE))*1000)</f>
        <v>4200.7780551055994</v>
      </c>
      <c r="J365" s="10">
        <f>IF(ISNA(VLOOKUP(A365,'[1]Craig Eval'!A:M,13,FALSE)),"",VLOOKUP(A365,'[1]Craig Eval'!A:M,13,FALSE))</f>
        <v>12.6297648219845</v>
      </c>
      <c r="K365" s="17">
        <v>1</v>
      </c>
    </row>
    <row r="366" spans="1:11" ht="30" x14ac:dyDescent="0.25">
      <c r="A366" s="3" t="s">
        <v>750</v>
      </c>
      <c r="B366" s="4" t="s">
        <v>751</v>
      </c>
      <c r="C366" s="5">
        <v>1833</v>
      </c>
      <c r="D366" s="6" t="s">
        <v>16</v>
      </c>
      <c r="E366" s="6" t="s">
        <v>17</v>
      </c>
      <c r="F366" s="7">
        <v>29221</v>
      </c>
      <c r="G366" s="8">
        <f t="shared" si="5"/>
        <v>29221</v>
      </c>
      <c r="H366" s="6" t="s">
        <v>13</v>
      </c>
      <c r="I366" s="9">
        <f>IF(ISNA(VLOOKUP(A366,'[1]Craig Eval'!A:C,3,FALSE)),"",(VLOOKUP(A366,'[1]Craig Eval'!A:C,3,FALSE))*1000)</f>
        <v>17985.740088792001</v>
      </c>
      <c r="J366" s="10">
        <f>IF(ISNA(VLOOKUP(A366,'[1]Craig Eval'!A:M,13,FALSE)),"",VLOOKUP(A366,'[1]Craig Eval'!A:M,13,FALSE))</f>
        <v>52.014864091664101</v>
      </c>
      <c r="K366" s="17">
        <v>1</v>
      </c>
    </row>
    <row r="367" spans="1:11" ht="30" x14ac:dyDescent="0.25">
      <c r="A367" s="3" t="s">
        <v>752</v>
      </c>
      <c r="B367" s="4" t="s">
        <v>753</v>
      </c>
      <c r="C367" s="5">
        <v>29847</v>
      </c>
      <c r="D367" s="6" t="s">
        <v>34</v>
      </c>
      <c r="E367" s="6" t="s">
        <v>17</v>
      </c>
      <c r="F367" s="7">
        <v>33176</v>
      </c>
      <c r="G367" s="8">
        <f t="shared" si="5"/>
        <v>33176</v>
      </c>
      <c r="H367" s="6" t="s">
        <v>13</v>
      </c>
      <c r="I367" s="9" t="str">
        <f>IF(ISNA(VLOOKUP(A367,'[1]Craig Eval'!A:C,3,FALSE)),"",(VLOOKUP(A367,'[1]Craig Eval'!A:C,3,FALSE))*1000)</f>
        <v/>
      </c>
      <c r="J367" s="10" t="str">
        <f>IF(ISNA(VLOOKUP(A367,'[1]Craig Eval'!A:M,13,FALSE)),"",VLOOKUP(A367,'[1]Craig Eval'!A:M,13,FALSE))</f>
        <v/>
      </c>
      <c r="K367" s="17">
        <v>3</v>
      </c>
    </row>
    <row r="368" spans="1:11" ht="30" x14ac:dyDescent="0.25">
      <c r="A368" s="3" t="s">
        <v>754</v>
      </c>
      <c r="B368" s="4" t="s">
        <v>755</v>
      </c>
      <c r="C368" s="5">
        <v>2008</v>
      </c>
      <c r="D368" s="6" t="s">
        <v>16</v>
      </c>
      <c r="E368" s="6" t="s">
        <v>17</v>
      </c>
      <c r="F368" s="7">
        <v>32874</v>
      </c>
      <c r="G368" s="8">
        <f t="shared" si="5"/>
        <v>32874</v>
      </c>
      <c r="H368" s="6" t="s">
        <v>13</v>
      </c>
      <c r="I368" s="9">
        <f>IF(ISNA(VLOOKUP(A368,'[1]Craig Eval'!A:C,3,FALSE)),"",(VLOOKUP(A368,'[1]Craig Eval'!A:C,3,FALSE))*1000)</f>
        <v>8721.5931893258603</v>
      </c>
      <c r="J368" s="10">
        <f>IF(ISNA(VLOOKUP(A368,'[1]Craig Eval'!A:M,13,FALSE)),"",VLOOKUP(A368,'[1]Craig Eval'!A:M,13,FALSE))</f>
        <v>25.797495981415601</v>
      </c>
      <c r="K368" s="17">
        <v>1</v>
      </c>
    </row>
    <row r="369" spans="1:11" ht="30" x14ac:dyDescent="0.25">
      <c r="A369" s="3" t="s">
        <v>756</v>
      </c>
      <c r="B369" s="4" t="s">
        <v>757</v>
      </c>
      <c r="C369" s="5">
        <v>54530</v>
      </c>
      <c r="D369" s="6" t="s">
        <v>28</v>
      </c>
      <c r="E369" s="6" t="s">
        <v>17</v>
      </c>
      <c r="F369" s="7">
        <v>38401</v>
      </c>
      <c r="G369" s="8">
        <f t="shared" si="5"/>
        <v>38401</v>
      </c>
      <c r="H369" s="6" t="s">
        <v>13</v>
      </c>
      <c r="I369" s="9">
        <f>IF(ISNA(VLOOKUP(A369,'[1]Craig Eval'!A:C,3,FALSE)),"",(VLOOKUP(A369,'[1]Craig Eval'!A:C,3,FALSE))*1000)</f>
        <v>2991.5672817155801</v>
      </c>
      <c r="J369" s="10">
        <f>IF(ISNA(VLOOKUP(A369,'[1]Craig Eval'!A:M,13,FALSE)),"",VLOOKUP(A369,'[1]Craig Eval'!A:M,13,FALSE))</f>
        <v>9.0472712873748193</v>
      </c>
      <c r="K369" s="11">
        <v>1</v>
      </c>
    </row>
    <row r="370" spans="1:11" ht="30" x14ac:dyDescent="0.25">
      <c r="A370" s="3" t="s">
        <v>758</v>
      </c>
      <c r="B370" s="4" t="s">
        <v>759</v>
      </c>
      <c r="C370" s="5">
        <v>21451</v>
      </c>
      <c r="D370" s="6" t="s">
        <v>28</v>
      </c>
      <c r="E370" s="6" t="s">
        <v>17</v>
      </c>
      <c r="F370" s="7">
        <v>38665</v>
      </c>
      <c r="G370" s="8">
        <f t="shared" si="5"/>
        <v>38665</v>
      </c>
      <c r="H370" s="6" t="s">
        <v>13</v>
      </c>
      <c r="I370" s="9">
        <f>IF(ISNA(VLOOKUP(A370,'[1]Craig Eval'!A:C,3,FALSE)),"",(VLOOKUP(A370,'[1]Craig Eval'!A:C,3,FALSE))*1000)</f>
        <v>5056.97390316992</v>
      </c>
      <c r="J370" s="10">
        <f>IF(ISNA(VLOOKUP(A370,'[1]Craig Eval'!A:M,13,FALSE)),"",VLOOKUP(A370,'[1]Craig Eval'!A:M,13,FALSE))</f>
        <v>15.1488178472336</v>
      </c>
      <c r="K370" s="17">
        <v>1</v>
      </c>
    </row>
    <row r="371" spans="1:11" ht="30" x14ac:dyDescent="0.25">
      <c r="A371" s="3" t="s">
        <v>760</v>
      </c>
      <c r="B371" s="4" t="s">
        <v>761</v>
      </c>
      <c r="C371" s="5">
        <v>17924</v>
      </c>
      <c r="D371" s="6" t="s">
        <v>28</v>
      </c>
      <c r="E371" s="6" t="s">
        <v>17</v>
      </c>
      <c r="F371" s="7">
        <v>22661</v>
      </c>
      <c r="G371" s="8">
        <f t="shared" si="5"/>
        <v>22661</v>
      </c>
      <c r="H371" s="6" t="s">
        <v>13</v>
      </c>
      <c r="I371" s="9">
        <f>IF(ISNA(VLOOKUP(A371,'[1]Craig Eval'!A:C,3,FALSE)),"",(VLOOKUP(A371,'[1]Craig Eval'!A:C,3,FALSE))*1000)</f>
        <v>6371.5105339392003</v>
      </c>
      <c r="J371" s="10">
        <f>IF(ISNA(VLOOKUP(A371,'[1]Craig Eval'!A:M,13,FALSE)),"",VLOOKUP(A371,'[1]Craig Eval'!A:M,13,FALSE))</f>
        <v>18.9917214307834</v>
      </c>
      <c r="K371" s="17">
        <v>1</v>
      </c>
    </row>
    <row r="372" spans="1:11" ht="30" x14ac:dyDescent="0.25">
      <c r="A372" s="3" t="s">
        <v>762</v>
      </c>
      <c r="B372" s="4" t="s">
        <v>763</v>
      </c>
      <c r="C372" s="5">
        <v>1646</v>
      </c>
      <c r="D372" s="6" t="s">
        <v>28</v>
      </c>
      <c r="E372" s="6" t="s">
        <v>17</v>
      </c>
      <c r="F372" s="7">
        <v>36990</v>
      </c>
      <c r="G372" s="8">
        <f t="shared" si="5"/>
        <v>36990</v>
      </c>
      <c r="H372" s="6" t="s">
        <v>13</v>
      </c>
      <c r="I372" s="9">
        <f>IF(ISNA(VLOOKUP(A372,'[1]Craig Eval'!A:C,3,FALSE)),"",(VLOOKUP(A372,'[1]Craig Eval'!A:C,3,FALSE))*1000)</f>
        <v>25565.898437128802</v>
      </c>
      <c r="J372" s="10">
        <f>IF(ISNA(VLOOKUP(A372,'[1]Craig Eval'!A:M,13,FALSE)),"",VLOOKUP(A372,'[1]Craig Eval'!A:M,13,FALSE))</f>
        <v>72.920076008755302</v>
      </c>
      <c r="K372" s="17">
        <v>1</v>
      </c>
    </row>
    <row r="373" spans="1:11" ht="30" x14ac:dyDescent="0.25">
      <c r="A373" s="3" t="s">
        <v>764</v>
      </c>
      <c r="B373" s="4" t="s">
        <v>765</v>
      </c>
      <c r="C373" s="5">
        <v>16961</v>
      </c>
      <c r="D373" s="6" t="s">
        <v>16</v>
      </c>
      <c r="E373" s="6" t="s">
        <v>17</v>
      </c>
      <c r="F373" s="7">
        <v>30687</v>
      </c>
      <c r="G373" s="8">
        <f t="shared" si="5"/>
        <v>30687</v>
      </c>
      <c r="H373" s="6" t="s">
        <v>13</v>
      </c>
      <c r="I373" s="9">
        <f>IF(ISNA(VLOOKUP(A373,'[1]Craig Eval'!A:C,3,FALSE)),"",(VLOOKUP(A373,'[1]Craig Eval'!A:C,3,FALSE))*1000)</f>
        <v>10333.933884976499</v>
      </c>
      <c r="J373" s="10">
        <f>IF(ISNA(VLOOKUP(A373,'[1]Craig Eval'!A:M,13,FALSE)),"",VLOOKUP(A373,'[1]Craig Eval'!A:M,13,FALSE))</f>
        <v>30.425129299407399</v>
      </c>
      <c r="K373" s="17">
        <v>1</v>
      </c>
    </row>
    <row r="374" spans="1:11" ht="30" x14ac:dyDescent="0.25">
      <c r="A374" s="3" t="s">
        <v>766</v>
      </c>
      <c r="B374" s="4" t="s">
        <v>767</v>
      </c>
      <c r="C374" s="5">
        <v>1506</v>
      </c>
      <c r="D374" s="6" t="s">
        <v>28</v>
      </c>
      <c r="E374" s="6" t="s">
        <v>17</v>
      </c>
      <c r="F374" s="7">
        <v>25204</v>
      </c>
      <c r="G374" s="8">
        <f t="shared" si="5"/>
        <v>25204</v>
      </c>
      <c r="H374" s="6" t="s">
        <v>13</v>
      </c>
      <c r="I374" s="9">
        <f>IF(ISNA(VLOOKUP(A374,'[1]Craig Eval'!A:C,3,FALSE)),"",(VLOOKUP(A374,'[1]Craig Eval'!A:C,3,FALSE))*1000)</f>
        <v>8521.41737536861</v>
      </c>
      <c r="J374" s="10">
        <f>IF(ISNA(VLOOKUP(A374,'[1]Craig Eval'!A:M,13,FALSE)),"",VLOOKUP(A374,'[1]Craig Eval'!A:M,13,FALSE))</f>
        <v>25.220717247984101</v>
      </c>
      <c r="K374" s="17">
        <v>1</v>
      </c>
    </row>
    <row r="375" spans="1:11" ht="30" x14ac:dyDescent="0.25">
      <c r="A375" s="26" t="s">
        <v>768</v>
      </c>
      <c r="B375" s="27" t="s">
        <v>769</v>
      </c>
      <c r="C375" s="34">
        <v>1976</v>
      </c>
      <c r="D375" s="28" t="s">
        <v>31</v>
      </c>
      <c r="E375" s="28" t="s">
        <v>17</v>
      </c>
      <c r="F375" s="29">
        <v>29221</v>
      </c>
      <c r="G375" s="30">
        <f t="shared" si="5"/>
        <v>29221</v>
      </c>
      <c r="H375" s="28" t="s">
        <v>13</v>
      </c>
      <c r="I375" s="31">
        <f>IF(ISNA(VLOOKUP(A375,'[1]Craig Eval'!A:C,3,FALSE)),"",(VLOOKUP(A375,'[1]Craig Eval'!A:C,3,FALSE))*1000)</f>
        <v>140295.73170624202</v>
      </c>
      <c r="J375" s="32">
        <f>IF(ISNA(VLOOKUP(A375,'[1]Craig Eval'!A:M,13,FALSE)),"",VLOOKUP(A375,'[1]Craig Eval'!A:M,13,FALSE))</f>
        <v>360.51863028837801</v>
      </c>
      <c r="K375" s="33">
        <v>3</v>
      </c>
    </row>
    <row r="376" spans="1:11" ht="30" x14ac:dyDescent="0.25">
      <c r="A376" s="3" t="s">
        <v>770</v>
      </c>
      <c r="B376" s="4" t="s">
        <v>771</v>
      </c>
      <c r="C376" s="14">
        <v>1670</v>
      </c>
      <c r="D376" s="6" t="s">
        <v>31</v>
      </c>
      <c r="E376" s="6" t="s">
        <v>17</v>
      </c>
      <c r="F376" s="7">
        <v>25569</v>
      </c>
      <c r="G376" s="8">
        <f t="shared" si="5"/>
        <v>25569</v>
      </c>
      <c r="H376" s="6" t="s">
        <v>13</v>
      </c>
      <c r="I376" s="9">
        <f>IF(ISNA(VLOOKUP(A376,'[1]Craig Eval'!A:C,3,FALSE)),"",(VLOOKUP(A376,'[1]Craig Eval'!A:C,3,FALSE))*1000)</f>
        <v>136335.14637364299</v>
      </c>
      <c r="J376" s="10">
        <f>IF(ISNA(VLOOKUP(A376,'[1]Craig Eval'!A:M,13,FALSE)),"",VLOOKUP(A376,'[1]Craig Eval'!A:M,13,FALSE))</f>
        <v>351.174168556008</v>
      </c>
      <c r="K376" s="17">
        <v>1</v>
      </c>
    </row>
    <row r="377" spans="1:11" ht="30" x14ac:dyDescent="0.25">
      <c r="A377" s="3" t="s">
        <v>772</v>
      </c>
      <c r="B377" s="4" t="s">
        <v>773</v>
      </c>
      <c r="C377" s="5">
        <v>1796</v>
      </c>
      <c r="D377" s="6" t="s">
        <v>16</v>
      </c>
      <c r="E377" s="6" t="s">
        <v>17</v>
      </c>
      <c r="F377" s="7">
        <v>29221</v>
      </c>
      <c r="G377" s="8">
        <f t="shared" si="5"/>
        <v>29221</v>
      </c>
      <c r="H377" s="6" t="s">
        <v>13</v>
      </c>
      <c r="I377" s="9" t="str">
        <f>IF(ISNA(VLOOKUP(A377,'[1]Craig Eval'!A:C,3,FALSE)),"",(VLOOKUP(A377,'[1]Craig Eval'!A:C,3,FALSE))*1000)</f>
        <v/>
      </c>
      <c r="J377" s="10" t="str">
        <f>IF(ISNA(VLOOKUP(A377,'[1]Craig Eval'!A:M,13,FALSE)),"",VLOOKUP(A377,'[1]Craig Eval'!A:M,13,FALSE))</f>
        <v/>
      </c>
      <c r="K377" s="17">
        <v>1</v>
      </c>
    </row>
    <row r="378" spans="1:11" ht="30" x14ac:dyDescent="0.25">
      <c r="A378" s="3" t="s">
        <v>774</v>
      </c>
      <c r="B378" s="4" t="s">
        <v>775</v>
      </c>
      <c r="C378" s="5">
        <v>36130</v>
      </c>
      <c r="D378" s="6" t="s">
        <v>11</v>
      </c>
      <c r="E378" s="6" t="s">
        <v>12</v>
      </c>
      <c r="F378" s="7">
        <v>35907</v>
      </c>
      <c r="G378" s="8">
        <f t="shared" si="5"/>
        <v>35907</v>
      </c>
      <c r="H378" s="6" t="s">
        <v>776</v>
      </c>
      <c r="I378" s="9" t="str">
        <f>IF(ISNA(VLOOKUP(A378,'[1]Craig Eval'!A:C,3,FALSE)),"",(VLOOKUP(A378,'[1]Craig Eval'!A:C,3,FALSE))*1000)</f>
        <v/>
      </c>
      <c r="J378" s="10" t="str">
        <f>IF(ISNA(VLOOKUP(A378,'[1]Craig Eval'!A:M,13,FALSE)),"",VLOOKUP(A378,'[1]Craig Eval'!A:M,13,FALSE))</f>
        <v/>
      </c>
      <c r="K378" s="17">
        <v>1</v>
      </c>
    </row>
    <row r="379" spans="1:11" ht="30" x14ac:dyDescent="0.25">
      <c r="A379" s="3" t="s">
        <v>777</v>
      </c>
      <c r="B379" s="4" t="s">
        <v>778</v>
      </c>
      <c r="C379" s="5">
        <v>53553</v>
      </c>
      <c r="D379" s="6" t="s">
        <v>28</v>
      </c>
      <c r="E379" s="6" t="s">
        <v>17</v>
      </c>
      <c r="F379" s="7">
        <v>39129</v>
      </c>
      <c r="G379" s="8">
        <f t="shared" si="5"/>
        <v>39129</v>
      </c>
      <c r="H379" s="6" t="s">
        <v>13</v>
      </c>
      <c r="I379" s="9">
        <f>IF(ISNA(VLOOKUP(A379,'[1]Craig Eval'!A:C,3,FALSE)),"",(VLOOKUP(A379,'[1]Craig Eval'!A:C,3,FALSE))*1000)</f>
        <v>3700.76666761158</v>
      </c>
      <c r="J379" s="10">
        <f>IF(ISNA(VLOOKUP(A379,'[1]Craig Eval'!A:M,13,FALSE)),"",VLOOKUP(A379,'[1]Craig Eval'!A:M,13,FALSE))</f>
        <v>11.152149608279</v>
      </c>
      <c r="K379" s="17">
        <v>1</v>
      </c>
    </row>
    <row r="380" spans="1:11" ht="30" x14ac:dyDescent="0.25">
      <c r="A380" s="3" t="s">
        <v>779</v>
      </c>
      <c r="B380" s="4" t="s">
        <v>780</v>
      </c>
      <c r="C380" s="14">
        <v>14086</v>
      </c>
      <c r="D380" s="6" t="s">
        <v>34</v>
      </c>
      <c r="E380" s="6" t="s">
        <v>17</v>
      </c>
      <c r="F380" s="7">
        <v>38251</v>
      </c>
      <c r="G380" s="8">
        <f t="shared" si="5"/>
        <v>38251</v>
      </c>
      <c r="H380" s="6" t="s">
        <v>13</v>
      </c>
      <c r="I380" s="9" t="str">
        <f>IF(ISNA(VLOOKUP(A380,'[1]Craig Eval'!A:C,3,FALSE)),"",(VLOOKUP(A380,'[1]Craig Eval'!A:C,3,FALSE))*1000)</f>
        <v/>
      </c>
      <c r="J380" s="10" t="str">
        <f>IF(ISNA(VLOOKUP(A380,'[1]Craig Eval'!A:M,13,FALSE)),"",VLOOKUP(A380,'[1]Craig Eval'!A:M,13,FALSE))</f>
        <v/>
      </c>
      <c r="K380" s="11">
        <v>1</v>
      </c>
    </row>
    <row r="381" spans="1:11" ht="30" x14ac:dyDescent="0.25">
      <c r="A381" s="3" t="s">
        <v>781</v>
      </c>
      <c r="B381" s="4" t="s">
        <v>782</v>
      </c>
      <c r="C381" s="14">
        <v>1547</v>
      </c>
      <c r="D381" s="6" t="s">
        <v>28</v>
      </c>
      <c r="E381" s="6" t="s">
        <v>17</v>
      </c>
      <c r="F381" s="7">
        <v>28185</v>
      </c>
      <c r="G381" s="8">
        <f t="shared" si="5"/>
        <v>28185</v>
      </c>
      <c r="H381" s="6" t="s">
        <v>13</v>
      </c>
      <c r="I381" s="9">
        <f>IF(ISNA(VLOOKUP(A381,'[1]Craig Eval'!A:C,3,FALSE)),"",(VLOOKUP(A381,'[1]Craig Eval'!A:C,3,FALSE))*1000)</f>
        <v>45572.2342492725</v>
      </c>
      <c r="J381" s="10">
        <f>IF(ISNA(VLOOKUP(A381,'[1]Craig Eval'!A:M,13,FALSE)),"",VLOOKUP(A381,'[1]Craig Eval'!A:M,13,FALSE))</f>
        <v>126.41884058550799</v>
      </c>
      <c r="K381" s="17">
        <v>3</v>
      </c>
    </row>
    <row r="382" spans="1:11" ht="30" x14ac:dyDescent="0.25">
      <c r="A382" s="3" t="s">
        <v>783</v>
      </c>
      <c r="B382" s="4" t="s">
        <v>784</v>
      </c>
      <c r="C382" s="5">
        <v>1407</v>
      </c>
      <c r="D382" s="6" t="s">
        <v>34</v>
      </c>
      <c r="E382" s="6" t="s">
        <v>17</v>
      </c>
      <c r="F382" s="7">
        <v>32143</v>
      </c>
      <c r="G382" s="8">
        <f t="shared" si="5"/>
        <v>32143</v>
      </c>
      <c r="H382" s="6" t="s">
        <v>13</v>
      </c>
      <c r="I382" s="9">
        <f>IF(ISNA(VLOOKUP(A382,'[1]Craig Eval'!A:C,3,FALSE)),"",(VLOOKUP(A382,'[1]Craig Eval'!A:C,3,FALSE))*1000)</f>
        <v>6025.9657223221102</v>
      </c>
      <c r="J382" s="10">
        <f>IF(ISNA(VLOOKUP(A382,'[1]Craig Eval'!A:M,13,FALSE)),"",VLOOKUP(A382,'[1]Craig Eval'!A:M,13,FALSE))</f>
        <v>17.984268687814598</v>
      </c>
      <c r="K382" s="17">
        <v>2</v>
      </c>
    </row>
    <row r="383" spans="1:11" ht="30" x14ac:dyDescent="0.25">
      <c r="A383" s="3" t="s">
        <v>785</v>
      </c>
      <c r="B383" s="4" t="s">
        <v>786</v>
      </c>
      <c r="C383" s="5">
        <v>1599</v>
      </c>
      <c r="D383" s="6" t="s">
        <v>31</v>
      </c>
      <c r="E383" s="6" t="s">
        <v>17</v>
      </c>
      <c r="F383" s="7">
        <v>29221</v>
      </c>
      <c r="G383" s="8">
        <f t="shared" si="5"/>
        <v>29221</v>
      </c>
      <c r="H383" s="6" t="s">
        <v>13</v>
      </c>
      <c r="I383" s="9">
        <f>IF(ISNA(VLOOKUP(A383,'[1]Craig Eval'!A:C,3,FALSE)),"",(VLOOKUP(A383,'[1]Craig Eval'!A:C,3,FALSE))*1000)</f>
        <v>24853.6868341134</v>
      </c>
      <c r="J383" s="10">
        <f>IF(ISNA(VLOOKUP(A383,'[1]Craig Eval'!A:M,13,FALSE)),"",VLOOKUP(A383,'[1]Craig Eval'!A:M,13,FALSE))</f>
        <v>70.973231862143095</v>
      </c>
      <c r="K383" s="17">
        <v>1</v>
      </c>
    </row>
    <row r="384" spans="1:11" ht="30" x14ac:dyDescent="0.25">
      <c r="A384" s="3" t="s">
        <v>787</v>
      </c>
      <c r="B384" s="4" t="s">
        <v>788</v>
      </c>
      <c r="C384" s="5">
        <v>1449</v>
      </c>
      <c r="D384" s="6" t="s">
        <v>11</v>
      </c>
      <c r="E384" s="6" t="s">
        <v>17</v>
      </c>
      <c r="F384" s="7">
        <v>35221</v>
      </c>
      <c r="G384" s="8">
        <f t="shared" si="5"/>
        <v>35221</v>
      </c>
      <c r="H384" s="6" t="s">
        <v>13</v>
      </c>
      <c r="I384" s="9" t="str">
        <f>IF(ISNA(VLOOKUP(A384,'[1]Craig Eval'!A:C,3,FALSE)),"",(VLOOKUP(A384,'[1]Craig Eval'!A:C,3,FALSE))*1000)</f>
        <v/>
      </c>
      <c r="J384" s="10" t="str">
        <f>IF(ISNA(VLOOKUP(A384,'[1]Craig Eval'!A:M,13,FALSE)),"",VLOOKUP(A384,'[1]Craig Eval'!A:M,13,FALSE))</f>
        <v/>
      </c>
      <c r="K384" s="17">
        <v>1</v>
      </c>
    </row>
    <row r="385" spans="1:11" ht="30" x14ac:dyDescent="0.25">
      <c r="A385" s="3" t="s">
        <v>789</v>
      </c>
      <c r="B385" s="4" t="s">
        <v>790</v>
      </c>
      <c r="C385" s="5">
        <v>1265</v>
      </c>
      <c r="D385" s="6" t="s">
        <v>11</v>
      </c>
      <c r="E385" s="6" t="s">
        <v>17</v>
      </c>
      <c r="F385" s="7">
        <v>35796</v>
      </c>
      <c r="G385" s="8">
        <f t="shared" si="5"/>
        <v>35796</v>
      </c>
      <c r="H385" s="6" t="s">
        <v>13</v>
      </c>
      <c r="I385" s="9" t="str">
        <f>IF(ISNA(VLOOKUP(A385,'[1]Craig Eval'!A:C,3,FALSE)),"",(VLOOKUP(A385,'[1]Craig Eval'!A:C,3,FALSE))*1000)</f>
        <v/>
      </c>
      <c r="J385" s="10" t="str">
        <f>IF(ISNA(VLOOKUP(A385,'[1]Craig Eval'!A:M,13,FALSE)),"",VLOOKUP(A385,'[1]Craig Eval'!A:M,13,FALSE))</f>
        <v/>
      </c>
      <c r="K385" s="17">
        <v>1</v>
      </c>
    </row>
    <row r="386" spans="1:11" ht="30" x14ac:dyDescent="0.25">
      <c r="A386" s="3" t="s">
        <v>791</v>
      </c>
      <c r="B386" s="4" t="s">
        <v>792</v>
      </c>
      <c r="C386" s="14">
        <v>10568</v>
      </c>
      <c r="D386" s="6" t="s">
        <v>11</v>
      </c>
      <c r="E386" s="6" t="s">
        <v>17</v>
      </c>
      <c r="F386" s="7">
        <v>37582</v>
      </c>
      <c r="G386" s="8">
        <f t="shared" ref="G386:G449" si="6">F386</f>
        <v>37582</v>
      </c>
      <c r="H386" s="6" t="s">
        <v>13</v>
      </c>
      <c r="I386" s="9" t="str">
        <f>IF(ISNA(VLOOKUP(A386,'[1]Craig Eval'!A:C,3,FALSE)),"",(VLOOKUP(A386,'[1]Craig Eval'!A:C,3,FALSE))*1000)</f>
        <v/>
      </c>
      <c r="J386" s="10" t="str">
        <f>IF(ISNA(VLOOKUP(A386,'[1]Craig Eval'!A:M,13,FALSE)),"",VLOOKUP(A386,'[1]Craig Eval'!A:M,13,FALSE))</f>
        <v/>
      </c>
      <c r="K386" s="17">
        <v>2</v>
      </c>
    </row>
    <row r="387" spans="1:11" ht="30" x14ac:dyDescent="0.25">
      <c r="A387" s="3" t="s">
        <v>793</v>
      </c>
      <c r="B387" s="4" t="s">
        <v>794</v>
      </c>
      <c r="C387" s="5">
        <v>48785</v>
      </c>
      <c r="D387" s="6" t="s">
        <v>37</v>
      </c>
      <c r="E387" s="6" t="s">
        <v>38</v>
      </c>
      <c r="F387" s="7">
        <v>36304</v>
      </c>
      <c r="G387" s="8">
        <f t="shared" si="6"/>
        <v>36304</v>
      </c>
      <c r="H387" s="6" t="s">
        <v>39</v>
      </c>
      <c r="I387" s="9" t="str">
        <f>IF(ISNA(VLOOKUP(A387,'[1]Craig Eval'!A:C,3,FALSE)),"",(VLOOKUP(A387,'[1]Craig Eval'!A:C,3,FALSE))*1000)</f>
        <v/>
      </c>
      <c r="J387" s="10" t="str">
        <f>IF(ISNA(VLOOKUP(A387,'[1]Craig Eval'!A:M,13,FALSE)),"",VLOOKUP(A387,'[1]Craig Eval'!A:M,13,FALSE))</f>
        <v/>
      </c>
      <c r="K387" s="17">
        <v>1</v>
      </c>
    </row>
    <row r="388" spans="1:11" ht="30" x14ac:dyDescent="0.25">
      <c r="A388" s="3" t="s">
        <v>795</v>
      </c>
      <c r="B388" s="4" t="s">
        <v>796</v>
      </c>
      <c r="C388" s="5">
        <v>1144</v>
      </c>
      <c r="D388" s="6" t="s">
        <v>34</v>
      </c>
      <c r="E388" s="6" t="s">
        <v>17</v>
      </c>
      <c r="F388" s="7">
        <v>25569</v>
      </c>
      <c r="G388" s="8">
        <f t="shared" si="6"/>
        <v>25569</v>
      </c>
      <c r="H388" s="6" t="s">
        <v>13</v>
      </c>
      <c r="I388" s="9">
        <f>IF(ISNA(VLOOKUP(A388,'[1]Craig Eval'!A:C,3,FALSE)),"",(VLOOKUP(A388,'[1]Craig Eval'!A:C,3,FALSE))*1000)</f>
        <v>2136.8286390317999</v>
      </c>
      <c r="J388" s="10">
        <f>IF(ISNA(VLOOKUP(A388,'[1]Craig Eval'!A:M,13,FALSE)),"",VLOOKUP(A388,'[1]Craig Eval'!A:M,13,FALSE))</f>
        <v>6.4944795010002903</v>
      </c>
      <c r="K388" s="17">
        <v>1</v>
      </c>
    </row>
    <row r="389" spans="1:11" ht="30" x14ac:dyDescent="0.25">
      <c r="A389" s="3" t="s">
        <v>797</v>
      </c>
      <c r="B389" s="4" t="s">
        <v>798</v>
      </c>
      <c r="C389" s="5">
        <v>1620</v>
      </c>
      <c r="D389" s="6" t="s">
        <v>16</v>
      </c>
      <c r="E389" s="6" t="s">
        <v>17</v>
      </c>
      <c r="F389" s="7">
        <v>29354</v>
      </c>
      <c r="G389" s="8">
        <f t="shared" si="6"/>
        <v>29354</v>
      </c>
      <c r="H389" s="6" t="s">
        <v>13</v>
      </c>
      <c r="I389" s="9" t="str">
        <f>IF(ISNA(VLOOKUP(A389,'[1]Craig Eval'!A:C,3,FALSE)),"",(VLOOKUP(A389,'[1]Craig Eval'!A:C,3,FALSE))*1000)</f>
        <v/>
      </c>
      <c r="J389" s="10" t="str">
        <f>IF(ISNA(VLOOKUP(A389,'[1]Craig Eval'!A:M,13,FALSE)),"",VLOOKUP(A389,'[1]Craig Eval'!A:M,13,FALSE))</f>
        <v/>
      </c>
      <c r="K389" s="17">
        <v>1</v>
      </c>
    </row>
    <row r="390" spans="1:11" ht="30" x14ac:dyDescent="0.25">
      <c r="A390" s="3" t="s">
        <v>799</v>
      </c>
      <c r="B390" s="4" t="s">
        <v>800</v>
      </c>
      <c r="C390" s="5">
        <v>1320</v>
      </c>
      <c r="D390" s="6" t="s">
        <v>16</v>
      </c>
      <c r="E390" s="6" t="s">
        <v>17</v>
      </c>
      <c r="F390" s="7">
        <v>32385</v>
      </c>
      <c r="G390" s="8">
        <f t="shared" si="6"/>
        <v>32385</v>
      </c>
      <c r="H390" s="6" t="s">
        <v>13</v>
      </c>
      <c r="I390" s="9" t="str">
        <f>IF(ISNA(VLOOKUP(A390,'[1]Craig Eval'!A:C,3,FALSE)),"",(VLOOKUP(A390,'[1]Craig Eval'!A:C,3,FALSE))*1000)</f>
        <v/>
      </c>
      <c r="J390" s="10" t="str">
        <f>IF(ISNA(VLOOKUP(A390,'[1]Craig Eval'!A:M,13,FALSE)),"",VLOOKUP(A390,'[1]Craig Eval'!A:M,13,FALSE))</f>
        <v/>
      </c>
      <c r="K390" s="17">
        <v>2</v>
      </c>
    </row>
    <row r="391" spans="1:11" ht="30" x14ac:dyDescent="0.25">
      <c r="A391" s="3" t="s">
        <v>801</v>
      </c>
      <c r="B391" s="4" t="s">
        <v>802</v>
      </c>
      <c r="C391" s="5">
        <v>21454</v>
      </c>
      <c r="D391" s="6" t="s">
        <v>31</v>
      </c>
      <c r="E391" s="6" t="s">
        <v>17</v>
      </c>
      <c r="F391" s="7">
        <v>36004</v>
      </c>
      <c r="G391" s="8">
        <f t="shared" si="6"/>
        <v>36004</v>
      </c>
      <c r="H391" s="6" t="s">
        <v>13</v>
      </c>
      <c r="I391" s="9">
        <f>IF(ISNA(VLOOKUP(A391,'[1]Craig Eval'!A:C,3,FALSE)),"",(VLOOKUP(A391,'[1]Craig Eval'!A:C,3,FALSE))*1000)</f>
        <v>21810.695504628398</v>
      </c>
      <c r="J391" s="10">
        <f>IF(ISNA(VLOOKUP(A391,'[1]Craig Eval'!A:M,13,FALSE)),"",VLOOKUP(A391,'[1]Craig Eval'!A:M,13,FALSE))</f>
        <v>62.616098275992002</v>
      </c>
      <c r="K391" s="17">
        <v>1</v>
      </c>
    </row>
    <row r="392" spans="1:11" ht="30" x14ac:dyDescent="0.25">
      <c r="A392" s="3" t="s">
        <v>803</v>
      </c>
      <c r="B392" s="4" t="s">
        <v>804</v>
      </c>
      <c r="C392" s="5">
        <v>12481</v>
      </c>
      <c r="D392" s="6" t="s">
        <v>34</v>
      </c>
      <c r="E392" s="6" t="s">
        <v>17</v>
      </c>
      <c r="F392" s="7">
        <v>34145</v>
      </c>
      <c r="G392" s="8">
        <f t="shared" si="6"/>
        <v>34145</v>
      </c>
      <c r="H392" s="6" t="s">
        <v>13</v>
      </c>
      <c r="I392" s="9" t="str">
        <f>IF(ISNA(VLOOKUP(A392,'[1]Craig Eval'!A:C,3,FALSE)),"",(VLOOKUP(A392,'[1]Craig Eval'!A:C,3,FALSE))*1000)</f>
        <v/>
      </c>
      <c r="J392" s="10" t="str">
        <f>IF(ISNA(VLOOKUP(A392,'[1]Craig Eval'!A:M,13,FALSE)),"",VLOOKUP(A392,'[1]Craig Eval'!A:M,13,FALSE))</f>
        <v/>
      </c>
      <c r="K392" s="17">
        <v>1</v>
      </c>
    </row>
    <row r="393" spans="1:11" ht="30" x14ac:dyDescent="0.25">
      <c r="A393" s="3" t="s">
        <v>805</v>
      </c>
      <c r="B393" s="4" t="s">
        <v>806</v>
      </c>
      <c r="C393" s="5">
        <v>1945</v>
      </c>
      <c r="D393" s="6" t="s">
        <v>28</v>
      </c>
      <c r="E393" s="6" t="s">
        <v>17</v>
      </c>
      <c r="F393" s="7">
        <v>25569</v>
      </c>
      <c r="G393" s="8">
        <f t="shared" si="6"/>
        <v>25569</v>
      </c>
      <c r="H393" s="6" t="s">
        <v>13</v>
      </c>
      <c r="I393" s="9">
        <f>IF(ISNA(VLOOKUP(A393,'[1]Craig Eval'!A:C,3,FALSE)),"",(VLOOKUP(A393,'[1]Craig Eval'!A:C,3,FALSE))*1000)</f>
        <v>14134.4842166364</v>
      </c>
      <c r="J393" s="10">
        <f>IF(ISNA(VLOOKUP(A393,'[1]Craig Eval'!A:M,13,FALSE)),"",VLOOKUP(A393,'[1]Craig Eval'!A:M,13,FALSE))</f>
        <v>41.2186985355413</v>
      </c>
      <c r="K393" s="17">
        <v>1</v>
      </c>
    </row>
    <row r="394" spans="1:11" ht="30" x14ac:dyDescent="0.25">
      <c r="A394" s="3" t="s">
        <v>807</v>
      </c>
      <c r="B394" s="4" t="s">
        <v>808</v>
      </c>
      <c r="C394" s="5">
        <v>13449</v>
      </c>
      <c r="D394" s="6" t="s">
        <v>28</v>
      </c>
      <c r="E394" s="6" t="s">
        <v>17</v>
      </c>
      <c r="F394" s="7">
        <v>38020</v>
      </c>
      <c r="G394" s="8">
        <f t="shared" si="6"/>
        <v>38020</v>
      </c>
      <c r="H394" s="6" t="s">
        <v>13</v>
      </c>
      <c r="I394" s="9">
        <f>IF(ISNA(VLOOKUP(A394,'[1]Craig Eval'!A:C,3,FALSE)),"",(VLOOKUP(A394,'[1]Craig Eval'!A:C,3,FALSE))*1000)</f>
        <v>8752.9442161647603</v>
      </c>
      <c r="J394" s="10">
        <f>IF(ISNA(VLOOKUP(A394,'[1]Craig Eval'!A:M,13,FALSE)),"",VLOOKUP(A394,'[1]Craig Eval'!A:M,13,FALSE))</f>
        <v>25.8877830783691</v>
      </c>
      <c r="K394" s="17">
        <v>1</v>
      </c>
    </row>
    <row r="395" spans="1:11" ht="30" x14ac:dyDescent="0.25">
      <c r="A395" s="3" t="s">
        <v>809</v>
      </c>
      <c r="B395" s="4" t="s">
        <v>810</v>
      </c>
      <c r="C395" s="14">
        <v>19214</v>
      </c>
      <c r="D395" s="6" t="s">
        <v>16</v>
      </c>
      <c r="E395" s="6" t="s">
        <v>17</v>
      </c>
      <c r="F395" s="7">
        <v>33641</v>
      </c>
      <c r="G395" s="8">
        <f t="shared" si="6"/>
        <v>33641</v>
      </c>
      <c r="H395" s="6" t="s">
        <v>13</v>
      </c>
      <c r="I395" s="9">
        <f>IF(ISNA(VLOOKUP(A395,'[1]Craig Eval'!A:C,3,FALSE)),"",(VLOOKUP(A395,'[1]Craig Eval'!A:C,3,FALSE))*1000)</f>
        <v>46488.889309023099</v>
      </c>
      <c r="J395" s="10">
        <f>IF(ISNA(VLOOKUP(A395,'[1]Craig Eval'!A:M,13,FALSE)),"",VLOOKUP(A395,'[1]Craig Eval'!A:M,13,FALSE))</f>
        <v>128.82217276184201</v>
      </c>
      <c r="K395" s="17">
        <v>2</v>
      </c>
    </row>
    <row r="396" spans="1:11" ht="30" x14ac:dyDescent="0.25">
      <c r="A396" s="3" t="s">
        <v>811</v>
      </c>
      <c r="B396" s="4" t="s">
        <v>812</v>
      </c>
      <c r="C396" s="5">
        <v>18891</v>
      </c>
      <c r="D396" s="6" t="s">
        <v>28</v>
      </c>
      <c r="E396" s="6" t="s">
        <v>17</v>
      </c>
      <c r="F396" s="7">
        <v>38482</v>
      </c>
      <c r="G396" s="8">
        <f t="shared" si="6"/>
        <v>38482</v>
      </c>
      <c r="H396" s="6" t="s">
        <v>13</v>
      </c>
      <c r="I396" s="9">
        <f>IF(ISNA(VLOOKUP(A396,'[1]Craig Eval'!A:C,3,FALSE)),"",(VLOOKUP(A396,'[1]Craig Eval'!A:C,3,FALSE))*1000)</f>
        <v>1485.1327080563601</v>
      </c>
      <c r="J396" s="10">
        <f>IF(ISNA(VLOOKUP(A396,'[1]Craig Eval'!A:M,13,FALSE)),"",VLOOKUP(A396,'[1]Craig Eval'!A:M,13,FALSE))</f>
        <v>4.5343163316141997</v>
      </c>
      <c r="K396" s="17">
        <v>1</v>
      </c>
    </row>
    <row r="397" spans="1:11" ht="30" x14ac:dyDescent="0.25">
      <c r="A397" s="3" t="s">
        <v>813</v>
      </c>
      <c r="B397" s="4" t="s">
        <v>814</v>
      </c>
      <c r="C397" s="5">
        <v>1904</v>
      </c>
      <c r="D397" s="6" t="s">
        <v>34</v>
      </c>
      <c r="E397" s="6" t="s">
        <v>17</v>
      </c>
      <c r="F397" s="7">
        <v>23874</v>
      </c>
      <c r="G397" s="8">
        <f t="shared" si="6"/>
        <v>23874</v>
      </c>
      <c r="H397" s="6" t="s">
        <v>13</v>
      </c>
      <c r="I397" s="9">
        <f>IF(ISNA(VLOOKUP(A397,'[1]Craig Eval'!A:C,3,FALSE)),"",(VLOOKUP(A397,'[1]Craig Eval'!A:C,3,FALSE))*1000)</f>
        <v>2050.4810990851001</v>
      </c>
      <c r="J397" s="10">
        <f>IF(ISNA(VLOOKUP(A397,'[1]Craig Eval'!A:M,13,FALSE)),"",VLOOKUP(A397,'[1]Craig Eval'!A:M,13,FALSE))</f>
        <v>6.2355055754681299</v>
      </c>
      <c r="K397" s="17">
        <v>1</v>
      </c>
    </row>
    <row r="398" spans="1:11" ht="30" x14ac:dyDescent="0.25">
      <c r="A398" s="3" t="s">
        <v>815</v>
      </c>
      <c r="B398" s="4" t="s">
        <v>816</v>
      </c>
      <c r="C398" s="14">
        <v>18561</v>
      </c>
      <c r="D398" s="6" t="s">
        <v>16</v>
      </c>
      <c r="E398" s="6" t="s">
        <v>17</v>
      </c>
      <c r="F398" s="7">
        <v>32188</v>
      </c>
      <c r="G398" s="8">
        <f t="shared" si="6"/>
        <v>32188</v>
      </c>
      <c r="H398" s="6" t="s">
        <v>13</v>
      </c>
      <c r="I398" s="9">
        <f>IF(ISNA(VLOOKUP(A398,'[1]Craig Eval'!A:C,3,FALSE)),"",(VLOOKUP(A398,'[1]Craig Eval'!A:C,3,FALSE))*1000)</f>
        <v>50062.8957459538</v>
      </c>
      <c r="J398" s="10">
        <f>IF(ISNA(VLOOKUP(A398,'[1]Craig Eval'!A:M,13,FALSE)),"",VLOOKUP(A398,'[1]Craig Eval'!A:M,13,FALSE))</f>
        <v>138.15778194792</v>
      </c>
      <c r="K398" s="17">
        <v>2</v>
      </c>
    </row>
    <row r="399" spans="1:11" ht="30" x14ac:dyDescent="0.25">
      <c r="A399" s="3" t="s">
        <v>817</v>
      </c>
      <c r="B399" s="4" t="s">
        <v>818</v>
      </c>
      <c r="C399" s="14">
        <v>17612</v>
      </c>
      <c r="D399" s="6" t="s">
        <v>16</v>
      </c>
      <c r="E399" s="6" t="s">
        <v>17</v>
      </c>
      <c r="F399" s="7">
        <v>32318</v>
      </c>
      <c r="G399" s="8">
        <f t="shared" si="6"/>
        <v>32318</v>
      </c>
      <c r="H399" s="6" t="s">
        <v>13</v>
      </c>
      <c r="I399" s="9">
        <f>IF(ISNA(VLOOKUP(A399,'[1]Craig Eval'!A:C,3,FALSE)),"",(VLOOKUP(A399,'[1]Craig Eval'!A:C,3,FALSE))*1000)</f>
        <v>11364.2270462254</v>
      </c>
      <c r="J399" s="10">
        <f>IF(ISNA(VLOOKUP(A399,'[1]Craig Eval'!A:M,13,FALSE)),"",VLOOKUP(A399,'[1]Craig Eval'!A:M,13,FALSE))</f>
        <v>33.3662932901887</v>
      </c>
      <c r="K399" s="17">
        <v>1</v>
      </c>
    </row>
    <row r="400" spans="1:11" ht="30" x14ac:dyDescent="0.25">
      <c r="A400" s="3" t="s">
        <v>819</v>
      </c>
      <c r="B400" s="4" t="s">
        <v>820</v>
      </c>
      <c r="C400" s="5">
        <v>72119</v>
      </c>
      <c r="D400" s="6" t="s">
        <v>31</v>
      </c>
      <c r="E400" s="6" t="s">
        <v>17</v>
      </c>
      <c r="F400" s="7">
        <v>38873</v>
      </c>
      <c r="G400" s="8">
        <f t="shared" si="6"/>
        <v>38873</v>
      </c>
      <c r="H400" s="6" t="s">
        <v>13</v>
      </c>
      <c r="I400" s="9">
        <f>IF(ISNA(VLOOKUP(A400,'[1]Craig Eval'!A:C,3,FALSE)),"",(VLOOKUP(A400,'[1]Craig Eval'!A:C,3,FALSE))*1000)</f>
        <v>3543.1721177374097</v>
      </c>
      <c r="J400" s="10">
        <f>IF(ISNA(VLOOKUP(A400,'[1]Craig Eval'!A:M,13,FALSE)),"",VLOOKUP(A400,'[1]Craig Eval'!A:M,13,FALSE))</f>
        <v>10.685366428837501</v>
      </c>
      <c r="K400" s="17">
        <v>1</v>
      </c>
    </row>
    <row r="401" spans="1:11" ht="30" x14ac:dyDescent="0.25">
      <c r="A401" s="3" t="s">
        <v>821</v>
      </c>
      <c r="B401" s="4" t="s">
        <v>822</v>
      </c>
      <c r="C401" s="14">
        <v>1802</v>
      </c>
      <c r="D401" s="6" t="s">
        <v>31</v>
      </c>
      <c r="E401" s="6" t="s">
        <v>17</v>
      </c>
      <c r="F401" s="7">
        <v>29952</v>
      </c>
      <c r="G401" s="8">
        <f t="shared" si="6"/>
        <v>29952</v>
      </c>
      <c r="H401" s="6" t="s">
        <v>13</v>
      </c>
      <c r="I401" s="9">
        <f>IF(ISNA(VLOOKUP(A401,'[1]Craig Eval'!A:C,3,FALSE)),"",(VLOOKUP(A401,'[1]Craig Eval'!A:C,3,FALSE))*1000)</f>
        <v>218361.98978286699</v>
      </c>
      <c r="J401" s="10">
        <f>IF(ISNA(VLOOKUP(A401,'[1]Craig Eval'!A:M,13,FALSE)),"",VLOOKUP(A401,'[1]Craig Eval'!A:M,13,FALSE))</f>
        <v>539.20454488984399</v>
      </c>
      <c r="K401" s="17">
        <v>2</v>
      </c>
    </row>
    <row r="402" spans="1:11" ht="30" x14ac:dyDescent="0.25">
      <c r="A402" s="3" t="s">
        <v>823</v>
      </c>
      <c r="B402" s="4" t="s">
        <v>824</v>
      </c>
      <c r="C402" s="5">
        <v>17294</v>
      </c>
      <c r="D402" s="6" t="s">
        <v>31</v>
      </c>
      <c r="E402" s="6" t="s">
        <v>17</v>
      </c>
      <c r="F402" s="7">
        <v>32154</v>
      </c>
      <c r="G402" s="8">
        <f t="shared" si="6"/>
        <v>32154</v>
      </c>
      <c r="H402" s="6" t="s">
        <v>13</v>
      </c>
      <c r="I402" s="9">
        <f>IF(ISNA(VLOOKUP(A402,'[1]Craig Eval'!A:C,3,FALSE)),"",(VLOOKUP(A402,'[1]Craig Eval'!A:C,3,FALSE))*1000)</f>
        <v>37140.072569956094</v>
      </c>
      <c r="J402" s="10">
        <f>IF(ISNA(VLOOKUP(A402,'[1]Craig Eval'!A:M,13,FALSE)),"",VLOOKUP(A402,'[1]Craig Eval'!A:M,13,FALSE))</f>
        <v>104.127717122671</v>
      </c>
      <c r="K402" s="17">
        <v>1</v>
      </c>
    </row>
    <row r="403" spans="1:11" ht="30" x14ac:dyDescent="0.25">
      <c r="A403" s="18" t="s">
        <v>825</v>
      </c>
      <c r="B403" s="19" t="s">
        <v>826</v>
      </c>
      <c r="C403" s="5">
        <v>45857</v>
      </c>
      <c r="D403" s="21" t="s">
        <v>31</v>
      </c>
      <c r="E403" s="21" t="s">
        <v>17</v>
      </c>
      <c r="F403" s="22">
        <v>31786</v>
      </c>
      <c r="G403" s="23">
        <f t="shared" si="6"/>
        <v>31786</v>
      </c>
      <c r="H403" s="21" t="s">
        <v>13</v>
      </c>
      <c r="I403" s="9">
        <f>IF(ISNA(VLOOKUP(A403,'[1]Craig Eval'!A:C,3,FALSE)),"",(VLOOKUP(A403,'[1]Craig Eval'!A:C,3,FALSE))*1000)</f>
        <v>367481.982674914</v>
      </c>
      <c r="J403" s="24">
        <f>IF(ISNA(VLOOKUP(A403,'[1]Craig Eval'!A:M,13,FALSE)),"",VLOOKUP(A403,'[1]Craig Eval'!A:M,13,FALSE))</f>
        <v>859.00727850685701</v>
      </c>
      <c r="K403" s="25">
        <v>3</v>
      </c>
    </row>
    <row r="404" spans="1:11" ht="30" x14ac:dyDescent="0.25">
      <c r="A404" s="3" t="s">
        <v>827</v>
      </c>
      <c r="B404" s="4" t="s">
        <v>828</v>
      </c>
      <c r="C404" s="5">
        <v>20484</v>
      </c>
      <c r="D404" s="6" t="s">
        <v>31</v>
      </c>
      <c r="E404" s="6" t="s">
        <v>17</v>
      </c>
      <c r="F404" s="7">
        <v>31653</v>
      </c>
      <c r="G404" s="8">
        <f t="shared" si="6"/>
        <v>31653</v>
      </c>
      <c r="H404" s="6" t="s">
        <v>13</v>
      </c>
      <c r="I404" s="9">
        <f>IF(ISNA(VLOOKUP(A404,'[1]Craig Eval'!A:C,3,FALSE)),"",(VLOOKUP(A404,'[1]Craig Eval'!A:C,3,FALSE))*1000)</f>
        <v>29056.074430161501</v>
      </c>
      <c r="J404" s="10">
        <f>IF(ISNA(VLOOKUP(A404,'[1]Craig Eval'!A:M,13,FALSE)),"",VLOOKUP(A404,'[1]Craig Eval'!A:M,13,FALSE))</f>
        <v>82.413413968121404</v>
      </c>
      <c r="K404" s="17">
        <v>1</v>
      </c>
    </row>
    <row r="405" spans="1:11" ht="30" x14ac:dyDescent="0.25">
      <c r="A405" s="3" t="s">
        <v>829</v>
      </c>
      <c r="B405" s="4" t="s">
        <v>830</v>
      </c>
      <c r="C405" s="5">
        <v>14724</v>
      </c>
      <c r="D405" s="6" t="s">
        <v>31</v>
      </c>
      <c r="E405" s="6" t="s">
        <v>17</v>
      </c>
      <c r="F405" s="7">
        <v>32954</v>
      </c>
      <c r="G405" s="8">
        <f t="shared" si="6"/>
        <v>32954</v>
      </c>
      <c r="H405" s="6" t="s">
        <v>13</v>
      </c>
      <c r="I405" s="9">
        <f>IF(ISNA(VLOOKUP(A405,'[1]Craig Eval'!A:C,3,FALSE)),"",(VLOOKUP(A405,'[1]Craig Eval'!A:C,3,FALSE))*1000)</f>
        <v>8545.5653120015395</v>
      </c>
      <c r="J405" s="10">
        <f>IF(ISNA(VLOOKUP(A405,'[1]Craig Eval'!A:M,13,FALSE)),"",VLOOKUP(A405,'[1]Craig Eval'!A:M,13,FALSE))</f>
        <v>25.290323537184999</v>
      </c>
      <c r="K405" s="17">
        <v>1</v>
      </c>
    </row>
    <row r="406" spans="1:11" ht="30" x14ac:dyDescent="0.25">
      <c r="A406" s="3" t="s">
        <v>831</v>
      </c>
      <c r="B406" s="4" t="s">
        <v>832</v>
      </c>
      <c r="C406" s="5">
        <v>1978</v>
      </c>
      <c r="D406" s="6" t="s">
        <v>31</v>
      </c>
      <c r="E406" s="6" t="s">
        <v>17</v>
      </c>
      <c r="F406" s="7">
        <v>29221</v>
      </c>
      <c r="G406" s="8">
        <f t="shared" si="6"/>
        <v>29221</v>
      </c>
      <c r="H406" s="6" t="s">
        <v>13</v>
      </c>
      <c r="I406" s="9">
        <f>IF(ISNA(VLOOKUP(A406,'[1]Craig Eval'!A:C,3,FALSE)),"",(VLOOKUP(A406,'[1]Craig Eval'!A:C,3,FALSE))*1000)</f>
        <v>20945.305634902903</v>
      </c>
      <c r="J406" s="10">
        <f>IF(ISNA(VLOOKUP(A406,'[1]Craig Eval'!A:M,13,FALSE)),"",VLOOKUP(A406,'[1]Craig Eval'!A:M,13,FALSE))</f>
        <v>60.227367460591999</v>
      </c>
      <c r="K406" s="17">
        <v>2</v>
      </c>
    </row>
    <row r="407" spans="1:11" ht="30" x14ac:dyDescent="0.25">
      <c r="A407" s="3" t="s">
        <v>833</v>
      </c>
      <c r="B407" s="4" t="s">
        <v>834</v>
      </c>
      <c r="C407" s="5">
        <v>54545</v>
      </c>
      <c r="D407" s="6" t="s">
        <v>31</v>
      </c>
      <c r="E407" s="6" t="s">
        <v>17</v>
      </c>
      <c r="F407" s="7">
        <v>39143</v>
      </c>
      <c r="G407" s="8">
        <f t="shared" si="6"/>
        <v>39143</v>
      </c>
      <c r="H407" s="6" t="s">
        <v>13</v>
      </c>
      <c r="I407" s="9">
        <f>IF(ISNA(VLOOKUP(A407,'[1]Craig Eval'!A:C,3,FALSE)),"",(VLOOKUP(A407,'[1]Craig Eval'!A:C,3,FALSE))*1000)</f>
        <v>432.90271605207499</v>
      </c>
      <c r="J407" s="10">
        <f>IF(ISNA(VLOOKUP(A407,'[1]Craig Eval'!A:M,13,FALSE)),"",VLOOKUP(A407,'[1]Craig Eval'!A:M,13,FALSE))</f>
        <v>1.3357936987876999</v>
      </c>
      <c r="K407" s="17">
        <v>1</v>
      </c>
    </row>
    <row r="408" spans="1:11" ht="30" x14ac:dyDescent="0.25">
      <c r="A408" s="3" t="s">
        <v>835</v>
      </c>
      <c r="B408" s="4" t="s">
        <v>836</v>
      </c>
      <c r="C408" s="5">
        <v>14727</v>
      </c>
      <c r="D408" s="6" t="s">
        <v>31</v>
      </c>
      <c r="E408" s="6" t="s">
        <v>17</v>
      </c>
      <c r="F408" s="7">
        <v>33695</v>
      </c>
      <c r="G408" s="8">
        <f t="shared" si="6"/>
        <v>33695</v>
      </c>
      <c r="H408" s="6" t="s">
        <v>13</v>
      </c>
      <c r="I408" s="9">
        <f>IF(ISNA(VLOOKUP(A408,'[1]Craig Eval'!A:C,3,FALSE)),"",(VLOOKUP(A408,'[1]Craig Eval'!A:C,3,FALSE))*1000)</f>
        <v>12362.8821780568</v>
      </c>
      <c r="J408" s="10">
        <f>IF(ISNA(VLOOKUP(A408,'[1]Craig Eval'!A:M,13,FALSE)),"",VLOOKUP(A408,'[1]Craig Eval'!A:M,13,FALSE))</f>
        <v>36.2060816725675</v>
      </c>
      <c r="K408" s="17">
        <v>1</v>
      </c>
    </row>
    <row r="409" spans="1:11" ht="30" x14ac:dyDescent="0.25">
      <c r="A409" s="12" t="s">
        <v>837</v>
      </c>
      <c r="B409" s="4" t="s">
        <v>838</v>
      </c>
      <c r="C409" s="5">
        <v>1260</v>
      </c>
      <c r="D409" s="6" t="s">
        <v>28</v>
      </c>
      <c r="E409" s="6" t="s">
        <v>17</v>
      </c>
      <c r="F409" s="7">
        <v>39639</v>
      </c>
      <c r="G409" s="8">
        <f t="shared" si="6"/>
        <v>39639</v>
      </c>
      <c r="H409" s="6" t="s">
        <v>13</v>
      </c>
      <c r="I409" s="9" t="str">
        <f>IF(ISNA(VLOOKUP(A409,'[1]Craig Eval'!A:C,3,FALSE)),"",(VLOOKUP(A409,'[1]Craig Eval'!A:C,3,FALSE))*1000)</f>
        <v/>
      </c>
      <c r="J409" s="10" t="str">
        <f>IF(ISNA(VLOOKUP(A409,'[1]Craig Eval'!A:M,13,FALSE)),"",VLOOKUP(A409,'[1]Craig Eval'!A:M,13,FALSE))</f>
        <v/>
      </c>
      <c r="K409" s="17">
        <v>4</v>
      </c>
    </row>
    <row r="410" spans="1:11" ht="30" x14ac:dyDescent="0.25">
      <c r="A410" s="3" t="s">
        <v>839</v>
      </c>
      <c r="B410" s="4" t="s">
        <v>840</v>
      </c>
      <c r="C410" s="5">
        <v>1900</v>
      </c>
      <c r="D410" s="6" t="s">
        <v>31</v>
      </c>
      <c r="E410" s="6" t="s">
        <v>17</v>
      </c>
      <c r="F410" s="7">
        <v>35065</v>
      </c>
      <c r="G410" s="8">
        <f t="shared" si="6"/>
        <v>35065</v>
      </c>
      <c r="H410" s="6" t="s">
        <v>13</v>
      </c>
      <c r="I410" s="9">
        <f>IF(ISNA(VLOOKUP(A410,'[1]Craig Eval'!A:C,3,FALSE)),"",(VLOOKUP(A410,'[1]Craig Eval'!A:C,3,FALSE))*1000)</f>
        <v>4572.6355400808907</v>
      </c>
      <c r="J410" s="10">
        <f>IF(ISNA(VLOOKUP(A410,'[1]Craig Eval'!A:M,13,FALSE)),"",VLOOKUP(A410,'[1]Craig Eval'!A:M,13,FALSE))</f>
        <v>13.7254879133614</v>
      </c>
      <c r="K410" s="17">
        <v>1</v>
      </c>
    </row>
    <row r="411" spans="1:11" ht="30" x14ac:dyDescent="0.25">
      <c r="A411" s="3" t="s">
        <v>841</v>
      </c>
      <c r="B411" s="4" t="s">
        <v>842</v>
      </c>
      <c r="C411" s="14">
        <v>26897</v>
      </c>
      <c r="D411" s="6" t="s">
        <v>11</v>
      </c>
      <c r="E411" s="6" t="s">
        <v>12</v>
      </c>
      <c r="F411" s="7">
        <v>41313</v>
      </c>
      <c r="G411" s="8">
        <f t="shared" si="6"/>
        <v>41313</v>
      </c>
      <c r="H411" s="6" t="s">
        <v>39</v>
      </c>
      <c r="I411" s="9" t="str">
        <f>IF(ISNA(VLOOKUP(A411,'[1]Craig Eval'!A:C,3,FALSE)),"",(VLOOKUP(A411,'[1]Craig Eval'!A:C,3,FALSE))*1000)</f>
        <v/>
      </c>
      <c r="J411" s="10" t="str">
        <f>IF(ISNA(VLOOKUP(A411,'[1]Craig Eval'!A:M,13,FALSE)),"",VLOOKUP(A411,'[1]Craig Eval'!A:M,13,FALSE))</f>
        <v/>
      </c>
      <c r="K411" s="17">
        <v>2</v>
      </c>
    </row>
    <row r="412" spans="1:11" ht="30" x14ac:dyDescent="0.25">
      <c r="A412" s="3" t="s">
        <v>843</v>
      </c>
      <c r="B412" s="4" t="s">
        <v>844</v>
      </c>
      <c r="C412" s="14">
        <v>1307</v>
      </c>
      <c r="D412" s="6" t="s">
        <v>16</v>
      </c>
      <c r="E412" s="6" t="s">
        <v>17</v>
      </c>
      <c r="F412" s="7">
        <v>29221</v>
      </c>
      <c r="G412" s="8">
        <f t="shared" si="6"/>
        <v>29221</v>
      </c>
      <c r="H412" s="6" t="s">
        <v>13</v>
      </c>
      <c r="I412" s="9">
        <f>IF(ISNA(VLOOKUP(A412,'[1]Craig Eval'!A:C,3,FALSE)),"",(VLOOKUP(A412,'[1]Craig Eval'!A:C,3,FALSE))*1000)</f>
        <v>99597.611773260694</v>
      </c>
      <c r="J412" s="10">
        <f>IF(ISNA(VLOOKUP(A412,'[1]Craig Eval'!A:M,13,FALSE)),"",VLOOKUP(A412,'[1]Craig Eval'!A:M,13,FALSE))</f>
        <v>262.90506836995598</v>
      </c>
      <c r="K412" s="17">
        <v>2</v>
      </c>
    </row>
    <row r="413" spans="1:11" ht="30" x14ac:dyDescent="0.25">
      <c r="A413" s="3" t="s">
        <v>845</v>
      </c>
      <c r="B413" s="4" t="s">
        <v>846</v>
      </c>
      <c r="C413" s="14">
        <v>16653</v>
      </c>
      <c r="D413" s="6" t="s">
        <v>16</v>
      </c>
      <c r="E413" s="6" t="s">
        <v>17</v>
      </c>
      <c r="F413" s="7">
        <v>38133</v>
      </c>
      <c r="G413" s="8">
        <f t="shared" si="6"/>
        <v>38133</v>
      </c>
      <c r="H413" s="6" t="s">
        <v>13</v>
      </c>
      <c r="I413" s="9">
        <f>IF(ISNA(VLOOKUP(A413,'[1]Craig Eval'!A:C,3,FALSE)),"",(VLOOKUP(A413,'[1]Craig Eval'!A:C,3,FALSE))*1000)</f>
        <v>267692.65518211998</v>
      </c>
      <c r="J413" s="10">
        <f>IF(ISNA(VLOOKUP(A413,'[1]Craig Eval'!A:M,13,FALSE)),"",VLOOKUP(A413,'[1]Craig Eval'!A:M,13,FALSE))</f>
        <v>647.66253193792795</v>
      </c>
      <c r="K413" s="17">
        <v>4</v>
      </c>
    </row>
    <row r="414" spans="1:11" ht="30" x14ac:dyDescent="0.25">
      <c r="A414" s="3" t="s">
        <v>847</v>
      </c>
      <c r="B414" s="4" t="s">
        <v>848</v>
      </c>
      <c r="C414" s="5">
        <v>17296</v>
      </c>
      <c r="D414" s="6" t="s">
        <v>16</v>
      </c>
      <c r="E414" s="6" t="s">
        <v>17</v>
      </c>
      <c r="F414" s="7">
        <v>38363</v>
      </c>
      <c r="G414" s="8">
        <f t="shared" si="6"/>
        <v>38363</v>
      </c>
      <c r="H414" s="6" t="s">
        <v>13</v>
      </c>
      <c r="I414" s="9">
        <f>IF(ISNA(VLOOKUP(A414,'[1]Craig Eval'!A:C,3,FALSE)),"",(VLOOKUP(A414,'[1]Craig Eval'!A:C,3,FALSE))*1000)</f>
        <v>25588.811935957299</v>
      </c>
      <c r="J414" s="10">
        <f>IF(ISNA(VLOOKUP(A414,'[1]Craig Eval'!A:M,13,FALSE)),"",VLOOKUP(A414,'[1]Craig Eval'!A:M,13,FALSE))</f>
        <v>72.982654821061004</v>
      </c>
      <c r="K414" s="17">
        <v>1</v>
      </c>
    </row>
    <row r="415" spans="1:11" ht="30" x14ac:dyDescent="0.25">
      <c r="A415" s="3" t="s">
        <v>849</v>
      </c>
      <c r="B415" s="4" t="s">
        <v>850</v>
      </c>
      <c r="C415" s="5">
        <v>54547</v>
      </c>
      <c r="D415" s="6" t="s">
        <v>16</v>
      </c>
      <c r="E415" s="6" t="s">
        <v>17</v>
      </c>
      <c r="F415" s="7">
        <v>38287</v>
      </c>
      <c r="G415" s="8">
        <f t="shared" si="6"/>
        <v>38287</v>
      </c>
      <c r="H415" s="6" t="s">
        <v>13</v>
      </c>
      <c r="I415" s="9">
        <f>IF(ISNA(VLOOKUP(A415,'[1]Craig Eval'!A:C,3,FALSE)),"",(VLOOKUP(A415,'[1]Craig Eval'!A:C,3,FALSE))*1000)</f>
        <v>67917.745487606793</v>
      </c>
      <c r="J415" s="10">
        <f>IF(ISNA(VLOOKUP(A415,'[1]Craig Eval'!A:M,13,FALSE)),"",VLOOKUP(A415,'[1]Craig Eval'!A:M,13,FALSE))</f>
        <v>184.042108408611</v>
      </c>
      <c r="K415" s="17">
        <v>1</v>
      </c>
    </row>
    <row r="416" spans="1:11" ht="30" x14ac:dyDescent="0.25">
      <c r="A416" s="3" t="s">
        <v>851</v>
      </c>
      <c r="B416" s="4" t="s">
        <v>852</v>
      </c>
      <c r="C416" s="5">
        <v>1421</v>
      </c>
      <c r="D416" s="6" t="s">
        <v>31</v>
      </c>
      <c r="E416" s="6" t="s">
        <v>17</v>
      </c>
      <c r="F416" s="7">
        <v>25569</v>
      </c>
      <c r="G416" s="8">
        <f t="shared" si="6"/>
        <v>25569</v>
      </c>
      <c r="H416" s="6" t="s">
        <v>13</v>
      </c>
      <c r="I416" s="9">
        <f>IF(ISNA(VLOOKUP(A416,'[1]Craig Eval'!A:C,3,FALSE)),"",(VLOOKUP(A416,'[1]Craig Eval'!A:C,3,FALSE))*1000)</f>
        <v>32898.6062350992</v>
      </c>
      <c r="J416" s="10">
        <f>IF(ISNA(VLOOKUP(A416,'[1]Craig Eval'!A:M,13,FALSE)),"",VLOOKUP(A416,'[1]Craig Eval'!A:M,13,FALSE))</f>
        <v>92.780101670830703</v>
      </c>
      <c r="K416" s="17">
        <v>1</v>
      </c>
    </row>
    <row r="417" spans="1:11" ht="30" x14ac:dyDescent="0.25">
      <c r="A417" s="3" t="s">
        <v>853</v>
      </c>
      <c r="B417" s="4" t="s">
        <v>854</v>
      </c>
      <c r="C417" s="5">
        <v>54546</v>
      </c>
      <c r="D417" s="6" t="s">
        <v>31</v>
      </c>
      <c r="E417" s="6" t="s">
        <v>17</v>
      </c>
      <c r="F417" s="7">
        <v>38898</v>
      </c>
      <c r="G417" s="8">
        <f t="shared" si="6"/>
        <v>38898</v>
      </c>
      <c r="H417" s="6" t="s">
        <v>13</v>
      </c>
      <c r="I417" s="9">
        <f>IF(ISNA(VLOOKUP(A417,'[1]Craig Eval'!A:C,3,FALSE)),"",(VLOOKUP(A417,'[1]Craig Eval'!A:C,3,FALSE))*1000)</f>
        <v>2802.6822358581298</v>
      </c>
      <c r="J417" s="10">
        <f>IF(ISNA(VLOOKUP(A417,'[1]Craig Eval'!A:M,13,FALSE)),"",VLOOKUP(A417,'[1]Craig Eval'!A:M,13,FALSE))</f>
        <v>8.4847291898665294</v>
      </c>
      <c r="K417" s="17">
        <v>1</v>
      </c>
    </row>
    <row r="418" spans="1:11" ht="30" x14ac:dyDescent="0.25">
      <c r="A418" s="3" t="s">
        <v>855</v>
      </c>
      <c r="B418" s="4" t="s">
        <v>856</v>
      </c>
      <c r="C418" s="5">
        <v>18567</v>
      </c>
      <c r="D418" s="6" t="s">
        <v>34</v>
      </c>
      <c r="E418" s="6" t="s">
        <v>17</v>
      </c>
      <c r="F418" s="7">
        <v>38894</v>
      </c>
      <c r="G418" s="8">
        <f t="shared" si="6"/>
        <v>38894</v>
      </c>
      <c r="H418" s="6" t="s">
        <v>13</v>
      </c>
      <c r="I418" s="9">
        <f>IF(ISNA(VLOOKUP(A418,'[1]Craig Eval'!A:C,3,FALSE)),"",(VLOOKUP(A418,'[1]Craig Eval'!A:C,3,FALSE))*1000)</f>
        <v>5731.3723426295101</v>
      </c>
      <c r="J418" s="10">
        <f>IF(ISNA(VLOOKUP(A418,'[1]Craig Eval'!A:M,13,FALSE)),"",VLOOKUP(A418,'[1]Craig Eval'!A:M,13,FALSE))</f>
        <v>17.123875432141499</v>
      </c>
      <c r="K418" s="17">
        <v>1</v>
      </c>
    </row>
    <row r="419" spans="1:11" ht="30" x14ac:dyDescent="0.25">
      <c r="A419" s="3" t="s">
        <v>857</v>
      </c>
      <c r="B419" s="4" t="s">
        <v>858</v>
      </c>
      <c r="C419" s="5">
        <v>1282</v>
      </c>
      <c r="D419" s="6" t="s">
        <v>34</v>
      </c>
      <c r="E419" s="6" t="s">
        <v>17</v>
      </c>
      <c r="F419" s="7">
        <v>29221</v>
      </c>
      <c r="G419" s="8">
        <f t="shared" si="6"/>
        <v>29221</v>
      </c>
      <c r="H419" s="6" t="s">
        <v>13</v>
      </c>
      <c r="I419" s="9">
        <f>IF(ISNA(VLOOKUP(A419,'[1]Craig Eval'!A:C,3,FALSE)),"",(VLOOKUP(A419,'[1]Craig Eval'!A:C,3,FALSE))*1000)</f>
        <v>10271.258447460401</v>
      </c>
      <c r="J419" s="10">
        <f>IF(ISNA(VLOOKUP(A419,'[1]Craig Eval'!A:M,13,FALSE)),"",VLOOKUP(A419,'[1]Craig Eval'!A:M,13,FALSE))</f>
        <v>30.245822309047899</v>
      </c>
      <c r="K419" s="17">
        <v>1</v>
      </c>
    </row>
    <row r="420" spans="1:11" ht="30" x14ac:dyDescent="0.25">
      <c r="A420" s="3" t="s">
        <v>859</v>
      </c>
      <c r="B420" s="4" t="s">
        <v>860</v>
      </c>
      <c r="C420" s="5">
        <v>54548</v>
      </c>
      <c r="D420" s="6" t="s">
        <v>16</v>
      </c>
      <c r="E420" s="6" t="s">
        <v>17</v>
      </c>
      <c r="F420" s="7">
        <v>32953</v>
      </c>
      <c r="G420" s="8">
        <f t="shared" si="6"/>
        <v>32953</v>
      </c>
      <c r="H420" s="6" t="s">
        <v>13</v>
      </c>
      <c r="I420" s="9" t="str">
        <f>IF(ISNA(VLOOKUP(A420,'[1]Craig Eval'!A:C,3,FALSE)),"",(VLOOKUP(A420,'[1]Craig Eval'!A:C,3,FALSE))*1000)</f>
        <v/>
      </c>
      <c r="J420" s="10" t="str">
        <f>IF(ISNA(VLOOKUP(A420,'[1]Craig Eval'!A:M,13,FALSE)),"",VLOOKUP(A420,'[1]Craig Eval'!A:M,13,FALSE))</f>
        <v/>
      </c>
      <c r="K420" s="17">
        <v>1</v>
      </c>
    </row>
    <row r="421" spans="1:11" ht="30" x14ac:dyDescent="0.25">
      <c r="A421" s="3" t="s">
        <v>861</v>
      </c>
      <c r="B421" s="4" t="s">
        <v>862</v>
      </c>
      <c r="C421" s="5">
        <v>37489</v>
      </c>
      <c r="D421" s="6" t="s">
        <v>37</v>
      </c>
      <c r="E421" s="6" t="s">
        <v>38</v>
      </c>
      <c r="F421" s="7">
        <v>29074</v>
      </c>
      <c r="G421" s="8">
        <f t="shared" si="6"/>
        <v>29074</v>
      </c>
      <c r="H421" s="6" t="s">
        <v>39</v>
      </c>
      <c r="I421" s="9" t="str">
        <f>IF(ISNA(VLOOKUP(A421,'[1]Craig Eval'!A:C,3,FALSE)),"",(VLOOKUP(A421,'[1]Craig Eval'!A:C,3,FALSE))*1000)</f>
        <v/>
      </c>
      <c r="J421" s="10" t="str">
        <f>IF(ISNA(VLOOKUP(A421,'[1]Craig Eval'!A:M,13,FALSE)),"",VLOOKUP(A421,'[1]Craig Eval'!A:M,13,FALSE))</f>
        <v/>
      </c>
      <c r="K421" s="17">
        <v>2</v>
      </c>
    </row>
    <row r="422" spans="1:11" ht="30" x14ac:dyDescent="0.25">
      <c r="A422" s="3" t="s">
        <v>863</v>
      </c>
      <c r="B422" s="4" t="s">
        <v>864</v>
      </c>
      <c r="C422" s="5">
        <v>72127</v>
      </c>
      <c r="D422" s="6" t="s">
        <v>28</v>
      </c>
      <c r="E422" s="6" t="s">
        <v>17</v>
      </c>
      <c r="F422" s="7">
        <v>39209</v>
      </c>
      <c r="G422" s="8">
        <f t="shared" si="6"/>
        <v>39209</v>
      </c>
      <c r="H422" s="6" t="s">
        <v>13</v>
      </c>
      <c r="I422" s="9">
        <f>IF(ISNA(VLOOKUP(A422,'[1]Craig Eval'!A:C,3,FALSE)),"",(VLOOKUP(A422,'[1]Craig Eval'!A:C,3,FALSE))*1000)</f>
        <v>2864.5917721535898</v>
      </c>
      <c r="J422" s="10">
        <f>IF(ISNA(VLOOKUP(A422,'[1]Craig Eval'!A:M,13,FALSE)),"",VLOOKUP(A422,'[1]Craig Eval'!A:M,13,FALSE))</f>
        <v>8.6692040871325702</v>
      </c>
      <c r="K422" s="17">
        <v>1</v>
      </c>
    </row>
    <row r="423" spans="1:11" ht="30" x14ac:dyDescent="0.25">
      <c r="A423" s="3" t="s">
        <v>865</v>
      </c>
      <c r="B423" s="4" t="s">
        <v>866</v>
      </c>
      <c r="C423" s="5">
        <v>1345</v>
      </c>
      <c r="D423" s="6" t="s">
        <v>31</v>
      </c>
      <c r="E423" s="6" t="s">
        <v>17</v>
      </c>
      <c r="F423" s="7">
        <v>29615</v>
      </c>
      <c r="G423" s="8">
        <f t="shared" si="6"/>
        <v>29615</v>
      </c>
      <c r="H423" s="6" t="s">
        <v>13</v>
      </c>
      <c r="I423" s="9">
        <f>IF(ISNA(VLOOKUP(A423,'[1]Craig Eval'!A:C,3,FALSE)),"",(VLOOKUP(A423,'[1]Craig Eval'!A:C,3,FALSE))*1000)</f>
        <v>9071.7142778830002</v>
      </c>
      <c r="J423" s="10">
        <f>IF(ISNA(VLOOKUP(A423,'[1]Craig Eval'!A:M,13,FALSE)),"",VLOOKUP(A423,'[1]Craig Eval'!A:M,13,FALSE))</f>
        <v>26.805095086548899</v>
      </c>
      <c r="K423" s="17">
        <v>1</v>
      </c>
    </row>
    <row r="424" spans="1:11" ht="30" x14ac:dyDescent="0.25">
      <c r="A424" s="3" t="s">
        <v>867</v>
      </c>
      <c r="B424" s="4" t="s">
        <v>868</v>
      </c>
      <c r="C424" s="5">
        <v>1488</v>
      </c>
      <c r="D424" s="6" t="s">
        <v>34</v>
      </c>
      <c r="E424" s="6" t="s">
        <v>17</v>
      </c>
      <c r="F424" s="7">
        <v>35431</v>
      </c>
      <c r="G424" s="8">
        <f t="shared" si="6"/>
        <v>35431</v>
      </c>
      <c r="H424" s="6" t="s">
        <v>13</v>
      </c>
      <c r="I424" s="9">
        <f>IF(ISNA(VLOOKUP(A424,'[1]Craig Eval'!A:C,3,FALSE)),"",(VLOOKUP(A424,'[1]Craig Eval'!A:C,3,FALSE))*1000)</f>
        <v>1802.1236746053899</v>
      </c>
      <c r="J424" s="10">
        <f>IF(ISNA(VLOOKUP(A424,'[1]Craig Eval'!A:M,13,FALSE)),"",VLOOKUP(A424,'[1]Craig Eval'!A:M,13,FALSE))</f>
        <v>5.4894080519877297</v>
      </c>
      <c r="K424" s="17">
        <v>1</v>
      </c>
    </row>
    <row r="425" spans="1:11" ht="30" x14ac:dyDescent="0.25">
      <c r="A425" s="3" t="s">
        <v>869</v>
      </c>
      <c r="B425" s="4" t="s">
        <v>870</v>
      </c>
      <c r="C425" s="14">
        <v>13442</v>
      </c>
      <c r="D425" s="6" t="s">
        <v>11</v>
      </c>
      <c r="E425" s="6" t="s">
        <v>17</v>
      </c>
      <c r="F425" s="7">
        <v>37945</v>
      </c>
      <c r="G425" s="8">
        <f t="shared" si="6"/>
        <v>37945</v>
      </c>
      <c r="H425" s="6" t="s">
        <v>13</v>
      </c>
      <c r="I425" s="9" t="str">
        <f>IF(ISNA(VLOOKUP(A425,'[1]Craig Eval'!A:C,3,FALSE)),"",(VLOOKUP(A425,'[1]Craig Eval'!A:C,3,FALSE))*1000)</f>
        <v/>
      </c>
      <c r="J425" s="10" t="str">
        <f>IF(ISNA(VLOOKUP(A425,'[1]Craig Eval'!A:M,13,FALSE)),"",VLOOKUP(A425,'[1]Craig Eval'!A:M,13,FALSE))</f>
        <v/>
      </c>
      <c r="K425" s="17">
        <v>4</v>
      </c>
    </row>
    <row r="426" spans="1:11" ht="30" x14ac:dyDescent="0.25">
      <c r="A426" s="3" t="s">
        <v>871</v>
      </c>
      <c r="B426" s="4" t="s">
        <v>872</v>
      </c>
      <c r="C426" s="5">
        <v>34177</v>
      </c>
      <c r="D426" s="6" t="s">
        <v>31</v>
      </c>
      <c r="E426" s="6" t="s">
        <v>17</v>
      </c>
      <c r="F426" s="7">
        <v>31199</v>
      </c>
      <c r="G426" s="8">
        <f t="shared" si="6"/>
        <v>31199</v>
      </c>
      <c r="H426" s="6" t="s">
        <v>13</v>
      </c>
      <c r="I426" s="9" t="str">
        <f>IF(ISNA(VLOOKUP(A426,'[1]Craig Eval'!A:C,3,FALSE)),"",(VLOOKUP(A426,'[1]Craig Eval'!A:C,3,FALSE))*1000)</f>
        <v/>
      </c>
      <c r="J426" s="10" t="str">
        <f>IF(ISNA(VLOOKUP(A426,'[1]Craig Eval'!A:M,13,FALSE)),"",VLOOKUP(A426,'[1]Craig Eval'!A:M,13,FALSE))</f>
        <v/>
      </c>
      <c r="K426" s="17">
        <v>1</v>
      </c>
    </row>
    <row r="427" spans="1:11" ht="30" x14ac:dyDescent="0.25">
      <c r="A427" s="3" t="s">
        <v>873</v>
      </c>
      <c r="B427" s="4" t="s">
        <v>874</v>
      </c>
      <c r="C427" s="5">
        <v>1633</v>
      </c>
      <c r="D427" s="6" t="s">
        <v>31</v>
      </c>
      <c r="E427" s="6" t="s">
        <v>17</v>
      </c>
      <c r="F427" s="7">
        <v>29221</v>
      </c>
      <c r="G427" s="8">
        <f t="shared" si="6"/>
        <v>29221</v>
      </c>
      <c r="H427" s="6" t="s">
        <v>13</v>
      </c>
      <c r="I427" s="9">
        <f>IF(ISNA(VLOOKUP(A427,'[1]Craig Eval'!A:C,3,FALSE)),"",(VLOOKUP(A427,'[1]Craig Eval'!A:C,3,FALSE))*1000)</f>
        <v>3870.2286649308403</v>
      </c>
      <c r="J427" s="10">
        <f>IF(ISNA(VLOOKUP(A427,'[1]Craig Eval'!A:M,13,FALSE)),"",VLOOKUP(A427,'[1]Craig Eval'!A:M,13,FALSE))</f>
        <v>11.6535042005865</v>
      </c>
      <c r="K427" s="17">
        <v>1</v>
      </c>
    </row>
    <row r="428" spans="1:11" ht="30" x14ac:dyDescent="0.25">
      <c r="A428" s="3" t="s">
        <v>875</v>
      </c>
      <c r="B428" s="4" t="s">
        <v>876</v>
      </c>
      <c r="C428" s="5">
        <v>10573</v>
      </c>
      <c r="D428" s="6" t="s">
        <v>34</v>
      </c>
      <c r="E428" s="6" t="s">
        <v>17</v>
      </c>
      <c r="F428" s="7">
        <v>37468</v>
      </c>
      <c r="G428" s="8">
        <f t="shared" si="6"/>
        <v>37468</v>
      </c>
      <c r="H428" s="6" t="s">
        <v>13</v>
      </c>
      <c r="I428" s="9" t="str">
        <f>IF(ISNA(VLOOKUP(A428,'[1]Craig Eval'!A:C,3,FALSE)),"",(VLOOKUP(A428,'[1]Craig Eval'!A:C,3,FALSE))*1000)</f>
        <v/>
      </c>
      <c r="J428" s="10" t="str">
        <f>IF(ISNA(VLOOKUP(A428,'[1]Craig Eval'!A:M,13,FALSE)),"",VLOOKUP(A428,'[1]Craig Eval'!A:M,13,FALSE))</f>
        <v/>
      </c>
      <c r="K428" s="17">
        <v>1</v>
      </c>
    </row>
    <row r="429" spans="1:11" ht="30" x14ac:dyDescent="0.25">
      <c r="A429" s="3" t="s">
        <v>877</v>
      </c>
      <c r="B429" s="4" t="s">
        <v>878</v>
      </c>
      <c r="C429" s="5">
        <v>1609</v>
      </c>
      <c r="D429" s="6" t="s">
        <v>31</v>
      </c>
      <c r="E429" s="6" t="s">
        <v>17</v>
      </c>
      <c r="F429" s="7">
        <v>29952</v>
      </c>
      <c r="G429" s="8">
        <f t="shared" si="6"/>
        <v>29952</v>
      </c>
      <c r="H429" s="6" t="s">
        <v>13</v>
      </c>
      <c r="I429" s="9">
        <f>IF(ISNA(VLOOKUP(A429,'[1]Craig Eval'!A:C,3,FALSE)),"",(VLOOKUP(A429,'[1]Craig Eval'!A:C,3,FALSE))*1000)</f>
        <v>137389.08814986201</v>
      </c>
      <c r="J429" s="10">
        <f>IF(ISNA(VLOOKUP(A429,'[1]Craig Eval'!A:M,13,FALSE)),"",VLOOKUP(A429,'[1]Craig Eval'!A:M,13,FALSE))</f>
        <v>353.66381376639703</v>
      </c>
      <c r="K429" s="17">
        <v>3</v>
      </c>
    </row>
    <row r="430" spans="1:11" ht="30" x14ac:dyDescent="0.25">
      <c r="A430" s="3" t="s">
        <v>879</v>
      </c>
      <c r="B430" s="4" t="s">
        <v>880</v>
      </c>
      <c r="C430" s="5">
        <v>41649</v>
      </c>
      <c r="D430" s="6" t="s">
        <v>28</v>
      </c>
      <c r="E430" s="6" t="s">
        <v>17</v>
      </c>
      <c r="F430" s="7">
        <v>38422</v>
      </c>
      <c r="G430" s="8">
        <f t="shared" si="6"/>
        <v>38422</v>
      </c>
      <c r="H430" s="6" t="s">
        <v>13</v>
      </c>
      <c r="I430" s="9">
        <f>IF(ISNA(VLOOKUP(A430,'[1]Craig Eval'!A:C,3,FALSE)),"",(VLOOKUP(A430,'[1]Craig Eval'!A:C,3,FALSE))*1000)</f>
        <v>3625.9457156210901</v>
      </c>
      <c r="J430" s="10">
        <f>IF(ISNA(VLOOKUP(A430,'[1]Craig Eval'!A:M,13,FALSE)),"",VLOOKUP(A430,'[1]Craig Eval'!A:M,13,FALSE))</f>
        <v>10.9306010991174</v>
      </c>
      <c r="K430" s="17">
        <v>1</v>
      </c>
    </row>
    <row r="431" spans="1:11" ht="30" x14ac:dyDescent="0.25">
      <c r="A431" s="3" t="s">
        <v>881</v>
      </c>
      <c r="B431" s="4" t="s">
        <v>882</v>
      </c>
      <c r="C431" s="5">
        <v>19204</v>
      </c>
      <c r="D431" s="6" t="s">
        <v>31</v>
      </c>
      <c r="E431" s="6" t="s">
        <v>17</v>
      </c>
      <c r="F431" s="7">
        <v>38509</v>
      </c>
      <c r="G431" s="8">
        <f t="shared" si="6"/>
        <v>38509</v>
      </c>
      <c r="H431" s="6" t="s">
        <v>13</v>
      </c>
      <c r="I431" s="9">
        <f>IF(ISNA(VLOOKUP(A431,'[1]Craig Eval'!A:C,3,FALSE)),"",(VLOOKUP(A431,'[1]Craig Eval'!A:C,3,FALSE))*1000)</f>
        <v>27026.720977246299</v>
      </c>
      <c r="J431" s="10">
        <f>IF(ISNA(VLOOKUP(A431,'[1]Craig Eval'!A:M,13,FALSE)),"",VLOOKUP(A431,'[1]Craig Eval'!A:M,13,FALSE))</f>
        <v>76.902894940374793</v>
      </c>
      <c r="K431" s="17">
        <v>1</v>
      </c>
    </row>
    <row r="432" spans="1:11" ht="30" x14ac:dyDescent="0.25">
      <c r="A432" s="3" t="s">
        <v>883</v>
      </c>
      <c r="B432" s="4" t="s">
        <v>884</v>
      </c>
      <c r="C432" s="14">
        <v>20171</v>
      </c>
      <c r="D432" s="6" t="s">
        <v>31</v>
      </c>
      <c r="E432" s="6" t="s">
        <v>17</v>
      </c>
      <c r="F432" s="7">
        <v>38568</v>
      </c>
      <c r="G432" s="8">
        <f t="shared" si="6"/>
        <v>38568</v>
      </c>
      <c r="H432" s="6" t="s">
        <v>13</v>
      </c>
      <c r="I432" s="9">
        <f>IF(ISNA(VLOOKUP(A432,'[1]Craig Eval'!A:C,3,FALSE)),"",(VLOOKUP(A432,'[1]Craig Eval'!A:C,3,FALSE))*1000)</f>
        <v>62336.878806067602</v>
      </c>
      <c r="J432" s="10">
        <f>IF(ISNA(VLOOKUP(A432,'[1]Craig Eval'!A:M,13,FALSE)),"",VLOOKUP(A432,'[1]Craig Eval'!A:M,13,FALSE))</f>
        <v>169.82636051714499</v>
      </c>
      <c r="K432" s="17">
        <v>2</v>
      </c>
    </row>
    <row r="433" spans="1:11" ht="30" x14ac:dyDescent="0.25">
      <c r="A433" s="3" t="s">
        <v>885</v>
      </c>
      <c r="B433" s="4" t="s">
        <v>886</v>
      </c>
      <c r="C433" s="5">
        <v>55185</v>
      </c>
      <c r="D433" s="6" t="s">
        <v>28</v>
      </c>
      <c r="E433" s="6" t="s">
        <v>17</v>
      </c>
      <c r="F433" s="7">
        <v>38917</v>
      </c>
      <c r="G433" s="8">
        <f t="shared" si="6"/>
        <v>38917</v>
      </c>
      <c r="H433" s="6" t="s">
        <v>13</v>
      </c>
      <c r="I433" s="9">
        <f>IF(ISNA(VLOOKUP(A433,'[1]Craig Eval'!A:C,3,FALSE)),"",(VLOOKUP(A433,'[1]Craig Eval'!A:C,3,FALSE))*1000)</f>
        <v>10278.561233757</v>
      </c>
      <c r="J433" s="10">
        <f>IF(ISNA(VLOOKUP(A433,'[1]Craig Eval'!A:M,13,FALSE)),"",VLOOKUP(A433,'[1]Craig Eval'!A:M,13,FALSE))</f>
        <v>30.2667170534862</v>
      </c>
      <c r="K433" s="17">
        <v>1</v>
      </c>
    </row>
    <row r="434" spans="1:11" ht="30" x14ac:dyDescent="0.25">
      <c r="A434" s="3" t="s">
        <v>887</v>
      </c>
      <c r="B434" s="4" t="s">
        <v>888</v>
      </c>
      <c r="C434" s="5">
        <v>1208</v>
      </c>
      <c r="D434" s="6" t="s">
        <v>31</v>
      </c>
      <c r="E434" s="6" t="s">
        <v>17</v>
      </c>
      <c r="F434" s="7">
        <v>24108</v>
      </c>
      <c r="G434" s="8">
        <f t="shared" si="6"/>
        <v>24108</v>
      </c>
      <c r="H434" s="6" t="s">
        <v>13</v>
      </c>
      <c r="I434" s="9">
        <f>IF(ISNA(VLOOKUP(A434,'[1]Craig Eval'!A:C,3,FALSE)),"",(VLOOKUP(A434,'[1]Craig Eval'!A:C,3,FALSE))*1000)</f>
        <v>9437.4183176122697</v>
      </c>
      <c r="J434" s="10">
        <f>IF(ISNA(VLOOKUP(A434,'[1]Craig Eval'!A:M,13,FALSE)),"",VLOOKUP(A434,'[1]Craig Eval'!A:M,13,FALSE))</f>
        <v>27.855907233720199</v>
      </c>
      <c r="K434" s="17">
        <v>1</v>
      </c>
    </row>
    <row r="435" spans="1:11" ht="30" x14ac:dyDescent="0.25">
      <c r="A435" s="3" t="s">
        <v>889</v>
      </c>
      <c r="B435" s="4" t="s">
        <v>890</v>
      </c>
      <c r="C435" s="14">
        <v>17289</v>
      </c>
      <c r="D435" s="6" t="s">
        <v>31</v>
      </c>
      <c r="E435" s="6" t="s">
        <v>17</v>
      </c>
      <c r="F435" s="7">
        <v>40542</v>
      </c>
      <c r="G435" s="8">
        <f t="shared" si="6"/>
        <v>40542</v>
      </c>
      <c r="H435" s="6" t="s">
        <v>13</v>
      </c>
      <c r="I435" s="9">
        <f>IF(ISNA(VLOOKUP(A435,'[1]Craig Eval'!A:C,3,FALSE)),"",(VLOOKUP(A435,'[1]Craig Eval'!A:C,3,FALSE))*1000)</f>
        <v>32124.7787872228</v>
      </c>
      <c r="J435" s="10">
        <f>IF(ISNA(VLOOKUP(A435,'[1]Craig Eval'!A:M,13,FALSE)),"",VLOOKUP(A435,'[1]Craig Eval'!A:M,13,FALSE))</f>
        <v>90.699237239008397</v>
      </c>
      <c r="K435" s="17">
        <v>1</v>
      </c>
    </row>
    <row r="436" spans="1:11" ht="30" x14ac:dyDescent="0.25">
      <c r="A436" s="3" t="s">
        <v>891</v>
      </c>
      <c r="B436" s="4" t="s">
        <v>892</v>
      </c>
      <c r="C436" s="5">
        <v>1034</v>
      </c>
      <c r="D436" s="6" t="s">
        <v>31</v>
      </c>
      <c r="E436" s="6" t="s">
        <v>17</v>
      </c>
      <c r="F436" s="7">
        <v>29221</v>
      </c>
      <c r="G436" s="8">
        <f t="shared" si="6"/>
        <v>29221</v>
      </c>
      <c r="H436" s="6" t="s">
        <v>13</v>
      </c>
      <c r="I436" s="9">
        <f>IF(ISNA(VLOOKUP(A436,'[1]Craig Eval'!A:C,3,FALSE)),"",(VLOOKUP(A436,'[1]Craig Eval'!A:C,3,FALSE))*1000)</f>
        <v>58243.289866031504</v>
      </c>
      <c r="J436" s="10">
        <f>IF(ISNA(VLOOKUP(A436,'[1]Craig Eval'!A:M,13,FALSE)),"",VLOOKUP(A436,'[1]Craig Eval'!A:M,13,FALSE))</f>
        <v>159.32845289494799</v>
      </c>
      <c r="K436" s="17">
        <v>2</v>
      </c>
    </row>
    <row r="437" spans="1:11" ht="30" x14ac:dyDescent="0.25">
      <c r="A437" s="18" t="s">
        <v>893</v>
      </c>
      <c r="B437" s="19" t="s">
        <v>894</v>
      </c>
      <c r="C437" s="20">
        <v>1540</v>
      </c>
      <c r="D437" s="21" t="s">
        <v>28</v>
      </c>
      <c r="E437" s="21" t="s">
        <v>17</v>
      </c>
      <c r="F437" s="22">
        <v>29952</v>
      </c>
      <c r="G437" s="23">
        <f t="shared" si="6"/>
        <v>29952</v>
      </c>
      <c r="H437" s="21" t="s">
        <v>13</v>
      </c>
      <c r="I437" s="9">
        <f>IF(ISNA(VLOOKUP(A437,'[1]Craig Eval'!A:C,3,FALSE)),"",(VLOOKUP(A437,'[1]Craig Eval'!A:C,3,FALSE))*1000)</f>
        <v>60070.8232851098</v>
      </c>
      <c r="J437" s="24">
        <f>IF(ISNA(VLOOKUP(A437,'[1]Craig Eval'!A:M,13,FALSE)),"",VLOOKUP(A437,'[1]Craig Eval'!A:M,13,FALSE))</f>
        <v>164.02272396796801</v>
      </c>
      <c r="K437" s="25">
        <v>2</v>
      </c>
    </row>
    <row r="438" spans="1:11" ht="30" x14ac:dyDescent="0.25">
      <c r="A438" s="3" t="s">
        <v>895</v>
      </c>
      <c r="B438" s="4" t="s">
        <v>896</v>
      </c>
      <c r="C438" s="5">
        <v>2029</v>
      </c>
      <c r="D438" s="6" t="s">
        <v>11</v>
      </c>
      <c r="E438" s="6" t="s">
        <v>17</v>
      </c>
      <c r="F438" s="7">
        <v>29221</v>
      </c>
      <c r="G438" s="8">
        <f t="shared" si="6"/>
        <v>29221</v>
      </c>
      <c r="H438" s="6" t="s">
        <v>13</v>
      </c>
      <c r="I438" s="9" t="str">
        <f>IF(ISNA(VLOOKUP(A438,'[1]Craig Eval'!A:C,3,FALSE)),"",(VLOOKUP(A438,'[1]Craig Eval'!A:C,3,FALSE))*1000)</f>
        <v/>
      </c>
      <c r="J438" s="10" t="str">
        <f>IF(ISNA(VLOOKUP(A438,'[1]Craig Eval'!A:M,13,FALSE)),"",VLOOKUP(A438,'[1]Craig Eval'!A:M,13,FALSE))</f>
        <v/>
      </c>
      <c r="K438" s="17">
        <v>2</v>
      </c>
    </row>
    <row r="439" spans="1:11" ht="30" x14ac:dyDescent="0.25">
      <c r="A439" s="3" t="s">
        <v>897</v>
      </c>
      <c r="B439" s="4" t="s">
        <v>898</v>
      </c>
      <c r="C439" s="5">
        <v>52273</v>
      </c>
      <c r="D439" s="6" t="s">
        <v>37</v>
      </c>
      <c r="E439" s="6" t="s">
        <v>38</v>
      </c>
      <c r="F439" s="7">
        <v>39090</v>
      </c>
      <c r="G439" s="8">
        <f t="shared" si="6"/>
        <v>39090</v>
      </c>
      <c r="H439" s="6" t="s">
        <v>39</v>
      </c>
      <c r="I439" s="9" t="str">
        <f>IF(ISNA(VLOOKUP(A439,'[1]Craig Eval'!A:C,3,FALSE)),"",(VLOOKUP(A439,'[1]Craig Eval'!A:C,3,FALSE))*1000)</f>
        <v/>
      </c>
      <c r="J439" s="10" t="str">
        <f>IF(ISNA(VLOOKUP(A439,'[1]Craig Eval'!A:M,13,FALSE)),"",VLOOKUP(A439,'[1]Craig Eval'!A:M,13,FALSE))</f>
        <v/>
      </c>
      <c r="K439" s="17">
        <v>1</v>
      </c>
    </row>
    <row r="440" spans="1:11" ht="30" x14ac:dyDescent="0.25">
      <c r="A440" s="3" t="s">
        <v>899</v>
      </c>
      <c r="B440" s="4" t="s">
        <v>900</v>
      </c>
      <c r="C440" s="14">
        <v>1516</v>
      </c>
      <c r="D440" s="6" t="s">
        <v>31</v>
      </c>
      <c r="E440" s="6" t="s">
        <v>17</v>
      </c>
      <c r="F440" s="7">
        <v>29952</v>
      </c>
      <c r="G440" s="8">
        <f t="shared" si="6"/>
        <v>29952</v>
      </c>
      <c r="H440" s="6" t="s">
        <v>13</v>
      </c>
      <c r="I440" s="9">
        <f>IF(ISNA(VLOOKUP(A440,'[1]Craig Eval'!A:C,3,FALSE)),"",(VLOOKUP(A440,'[1]Craig Eval'!A:C,3,FALSE))*1000)</f>
        <v>16768.626759611601</v>
      </c>
      <c r="J440" s="10">
        <f>IF(ISNA(VLOOKUP(A440,'[1]Craig Eval'!A:M,13,FALSE)),"",VLOOKUP(A440,'[1]Craig Eval'!A:M,13,FALSE))</f>
        <v>48.616984353912201</v>
      </c>
      <c r="K440" s="17">
        <v>1</v>
      </c>
    </row>
    <row r="441" spans="1:11" ht="30" x14ac:dyDescent="0.25">
      <c r="A441" s="3" t="s">
        <v>901</v>
      </c>
      <c r="B441" s="4" t="s">
        <v>902</v>
      </c>
      <c r="C441" s="14">
        <v>1984</v>
      </c>
      <c r="D441" s="6" t="s">
        <v>28</v>
      </c>
      <c r="E441" s="6" t="s">
        <v>17</v>
      </c>
      <c r="F441" s="7">
        <v>29587</v>
      </c>
      <c r="G441" s="8">
        <f t="shared" si="6"/>
        <v>29587</v>
      </c>
      <c r="H441" s="6" t="s">
        <v>13</v>
      </c>
      <c r="I441" s="9">
        <f>IF(ISNA(VLOOKUP(A441,'[1]Craig Eval'!A:C,3,FALSE)),"",(VLOOKUP(A441,'[1]Craig Eval'!A:C,3,FALSE))*1000)</f>
        <v>18594.8355916498</v>
      </c>
      <c r="J441" s="10">
        <f>IF(ISNA(VLOOKUP(A441,'[1]Craig Eval'!A:M,13,FALSE)),"",VLOOKUP(A441,'[1]Craig Eval'!A:M,13,FALSE))</f>
        <v>53.710701276105603</v>
      </c>
      <c r="K441" s="17">
        <v>1</v>
      </c>
    </row>
    <row r="442" spans="1:11" ht="30" x14ac:dyDescent="0.25">
      <c r="A442" s="3" t="s">
        <v>903</v>
      </c>
      <c r="B442" s="4" t="s">
        <v>904</v>
      </c>
      <c r="C442" s="5">
        <v>54549</v>
      </c>
      <c r="D442" s="6" t="s">
        <v>28</v>
      </c>
      <c r="E442" s="6" t="s">
        <v>17</v>
      </c>
      <c r="F442" s="7">
        <v>38353</v>
      </c>
      <c r="G442" s="8">
        <f t="shared" si="6"/>
        <v>38353</v>
      </c>
      <c r="H442" s="6" t="s">
        <v>13</v>
      </c>
      <c r="I442" s="9">
        <f>IF(ISNA(VLOOKUP(A442,'[1]Craig Eval'!A:C,3,FALSE)),"",(VLOOKUP(A442,'[1]Craig Eval'!A:C,3,FALSE))*1000)</f>
        <v>64423.688060106695</v>
      </c>
      <c r="J442" s="10">
        <f>IF(ISNA(VLOOKUP(A442,'[1]Craig Eval'!A:M,13,FALSE)),"",VLOOKUP(A442,'[1]Craig Eval'!A:M,13,FALSE))</f>
        <v>175.154637540507</v>
      </c>
      <c r="K442" s="17">
        <v>2</v>
      </c>
    </row>
    <row r="443" spans="1:11" ht="30" x14ac:dyDescent="0.25">
      <c r="A443" s="3" t="s">
        <v>905</v>
      </c>
      <c r="B443" s="4" t="s">
        <v>906</v>
      </c>
      <c r="C443" s="5">
        <v>1590</v>
      </c>
      <c r="D443" s="6" t="s">
        <v>28</v>
      </c>
      <c r="E443" s="6" t="s">
        <v>17</v>
      </c>
      <c r="F443" s="7">
        <v>37361</v>
      </c>
      <c r="G443" s="8">
        <f t="shared" si="6"/>
        <v>37361</v>
      </c>
      <c r="H443" s="6" t="s">
        <v>13</v>
      </c>
      <c r="I443" s="9">
        <f>IF(ISNA(VLOOKUP(A443,'[1]Craig Eval'!A:C,3,FALSE)),"",(VLOOKUP(A443,'[1]Craig Eval'!A:C,3,FALSE))*1000)</f>
        <v>4560.1794173717399</v>
      </c>
      <c r="J443" s="10">
        <f>IF(ISNA(VLOOKUP(A443,'[1]Craig Eval'!A:M,13,FALSE)),"",VLOOKUP(A443,'[1]Craig Eval'!A:M,13,FALSE))</f>
        <v>13.688826652473001</v>
      </c>
      <c r="K443" s="17">
        <v>1</v>
      </c>
    </row>
    <row r="444" spans="1:11" ht="30" x14ac:dyDescent="0.25">
      <c r="A444" s="3" t="s">
        <v>907</v>
      </c>
      <c r="B444" s="4" t="s">
        <v>908</v>
      </c>
      <c r="C444" s="14">
        <v>18893</v>
      </c>
      <c r="D444" s="6" t="s">
        <v>11</v>
      </c>
      <c r="E444" s="6" t="s">
        <v>17</v>
      </c>
      <c r="F444" s="7">
        <v>38422</v>
      </c>
      <c r="G444" s="8">
        <f t="shared" si="6"/>
        <v>38422</v>
      </c>
      <c r="H444" s="6" t="s">
        <v>13</v>
      </c>
      <c r="I444" s="9" t="str">
        <f>IF(ISNA(VLOOKUP(A444,'[1]Craig Eval'!A:C,3,FALSE)),"",(VLOOKUP(A444,'[1]Craig Eval'!A:C,3,FALSE))*1000)</f>
        <v/>
      </c>
      <c r="J444" s="10" t="str">
        <f>IF(ISNA(VLOOKUP(A444,'[1]Craig Eval'!A:M,13,FALSE)),"",VLOOKUP(A444,'[1]Craig Eval'!A:M,13,FALSE))</f>
        <v/>
      </c>
      <c r="K444" s="17">
        <v>2</v>
      </c>
    </row>
    <row r="445" spans="1:11" ht="30" x14ac:dyDescent="0.25">
      <c r="A445" s="3" t="s">
        <v>909</v>
      </c>
      <c r="B445" s="4" t="s">
        <v>910</v>
      </c>
      <c r="C445" s="5">
        <v>36129</v>
      </c>
      <c r="D445" s="6" t="s">
        <v>11</v>
      </c>
      <c r="E445" s="6" t="s">
        <v>12</v>
      </c>
      <c r="F445" s="7">
        <v>37097</v>
      </c>
      <c r="G445" s="8">
        <f t="shared" si="6"/>
        <v>37097</v>
      </c>
      <c r="H445" s="6" t="s">
        <v>39</v>
      </c>
      <c r="I445" s="9" t="str">
        <f>IF(ISNA(VLOOKUP(A445,'[1]Craig Eval'!A:C,3,FALSE)),"",(VLOOKUP(A445,'[1]Craig Eval'!A:C,3,FALSE))*1000)</f>
        <v/>
      </c>
      <c r="J445" s="10" t="str">
        <f>IF(ISNA(VLOOKUP(A445,'[1]Craig Eval'!A:M,13,FALSE)),"",VLOOKUP(A445,'[1]Craig Eval'!A:M,13,FALSE))</f>
        <v/>
      </c>
      <c r="K445" s="17">
        <v>2</v>
      </c>
    </row>
    <row r="446" spans="1:11" ht="30" x14ac:dyDescent="0.25">
      <c r="A446" s="3" t="s">
        <v>911</v>
      </c>
      <c r="B446" s="4" t="s">
        <v>912</v>
      </c>
      <c r="C446" s="5">
        <v>12488</v>
      </c>
      <c r="D446" s="6" t="s">
        <v>11</v>
      </c>
      <c r="E446" s="6" t="s">
        <v>17</v>
      </c>
      <c r="F446" s="7">
        <v>37819</v>
      </c>
      <c r="G446" s="8">
        <f t="shared" si="6"/>
        <v>37819</v>
      </c>
      <c r="H446" s="6" t="s">
        <v>13</v>
      </c>
      <c r="I446" s="9" t="str">
        <f>IF(ISNA(VLOOKUP(A446,'[1]Craig Eval'!A:C,3,FALSE)),"",(VLOOKUP(A446,'[1]Craig Eval'!A:C,3,FALSE))*1000)</f>
        <v/>
      </c>
      <c r="J446" s="10" t="str">
        <f>IF(ISNA(VLOOKUP(A446,'[1]Craig Eval'!A:M,13,FALSE)),"",VLOOKUP(A446,'[1]Craig Eval'!A:M,13,FALSE))</f>
        <v/>
      </c>
      <c r="K446" s="17">
        <v>1</v>
      </c>
    </row>
    <row r="447" spans="1:11" ht="30" x14ac:dyDescent="0.25">
      <c r="A447" s="3" t="s">
        <v>913</v>
      </c>
      <c r="B447" s="4" t="s">
        <v>914</v>
      </c>
      <c r="C447" s="5">
        <v>30536</v>
      </c>
      <c r="D447" s="6" t="s">
        <v>16</v>
      </c>
      <c r="E447" s="6" t="s">
        <v>17</v>
      </c>
      <c r="F447" s="7">
        <v>38540</v>
      </c>
      <c r="G447" s="8">
        <f t="shared" si="6"/>
        <v>38540</v>
      </c>
      <c r="H447" s="6" t="s">
        <v>13</v>
      </c>
      <c r="I447" s="9" t="str">
        <f>IF(ISNA(VLOOKUP(A447,'[1]Craig Eval'!A:C,3,FALSE)),"",(VLOOKUP(A447,'[1]Craig Eval'!A:C,3,FALSE))*1000)</f>
        <v/>
      </c>
      <c r="J447" s="10" t="str">
        <f>IF(ISNA(VLOOKUP(A447,'[1]Craig Eval'!A:M,13,FALSE)),"",VLOOKUP(A447,'[1]Craig Eval'!A:M,13,FALSE))</f>
        <v/>
      </c>
      <c r="K447" s="17">
        <v>1</v>
      </c>
    </row>
    <row r="448" spans="1:11" ht="30" x14ac:dyDescent="0.25">
      <c r="A448" s="3" t="s">
        <v>915</v>
      </c>
      <c r="B448" s="4" t="s">
        <v>916</v>
      </c>
      <c r="C448" s="5">
        <v>1324</v>
      </c>
      <c r="D448" s="6" t="s">
        <v>16</v>
      </c>
      <c r="E448" s="6" t="s">
        <v>17</v>
      </c>
      <c r="F448" s="7">
        <v>25569</v>
      </c>
      <c r="G448" s="8">
        <f t="shared" si="6"/>
        <v>25569</v>
      </c>
      <c r="H448" s="6" t="s">
        <v>13</v>
      </c>
      <c r="I448" s="9" t="str">
        <f>IF(ISNA(VLOOKUP(A448,'[1]Craig Eval'!A:C,3,FALSE)),"",(VLOOKUP(A448,'[1]Craig Eval'!A:C,3,FALSE))*1000)</f>
        <v/>
      </c>
      <c r="J448" s="10" t="str">
        <f>IF(ISNA(VLOOKUP(A448,'[1]Craig Eval'!A:M,13,FALSE)),"",VLOOKUP(A448,'[1]Craig Eval'!A:M,13,FALSE))</f>
        <v/>
      </c>
      <c r="K448" s="17">
        <v>1</v>
      </c>
    </row>
    <row r="449" spans="1:11" ht="30" x14ac:dyDescent="0.25">
      <c r="A449" s="3" t="s">
        <v>917</v>
      </c>
      <c r="B449" s="4" t="s">
        <v>918</v>
      </c>
      <c r="C449" s="5">
        <v>1444</v>
      </c>
      <c r="D449" s="6" t="s">
        <v>16</v>
      </c>
      <c r="E449" s="6" t="s">
        <v>17</v>
      </c>
      <c r="F449" s="7">
        <v>32874</v>
      </c>
      <c r="G449" s="8">
        <f t="shared" si="6"/>
        <v>32874</v>
      </c>
      <c r="H449" s="6" t="s">
        <v>13</v>
      </c>
      <c r="I449" s="9" t="str">
        <f>IF(ISNA(VLOOKUP(A449,'[1]Craig Eval'!A:C,3,FALSE)),"",(VLOOKUP(A449,'[1]Craig Eval'!A:C,3,FALSE))*1000)</f>
        <v/>
      </c>
      <c r="J449" s="10" t="str">
        <f>IF(ISNA(VLOOKUP(A449,'[1]Craig Eval'!A:M,13,FALSE)),"",VLOOKUP(A449,'[1]Craig Eval'!A:M,13,FALSE))</f>
        <v/>
      </c>
      <c r="K449" s="17">
        <v>1</v>
      </c>
    </row>
    <row r="450" spans="1:11" ht="30" x14ac:dyDescent="0.25">
      <c r="A450" s="3" t="s">
        <v>919</v>
      </c>
      <c r="B450" s="4" t="s">
        <v>920</v>
      </c>
      <c r="C450" s="5">
        <v>30535</v>
      </c>
      <c r="D450" s="6" t="s">
        <v>16</v>
      </c>
      <c r="E450" s="6" t="s">
        <v>17</v>
      </c>
      <c r="F450" s="7">
        <v>39534</v>
      </c>
      <c r="G450" s="8">
        <f t="shared" ref="G450:G513" si="7">F450</f>
        <v>39534</v>
      </c>
      <c r="H450" s="6" t="s">
        <v>13</v>
      </c>
      <c r="I450" s="9" t="str">
        <f>IF(ISNA(VLOOKUP(A450,'[1]Craig Eval'!A:C,3,FALSE)),"",(VLOOKUP(A450,'[1]Craig Eval'!A:C,3,FALSE))*1000)</f>
        <v/>
      </c>
      <c r="J450" s="10" t="str">
        <f>IF(ISNA(VLOOKUP(A450,'[1]Craig Eval'!A:M,13,FALSE)),"",VLOOKUP(A450,'[1]Craig Eval'!A:M,13,FALSE))</f>
        <v/>
      </c>
      <c r="K450" s="17">
        <v>1</v>
      </c>
    </row>
    <row r="451" spans="1:11" ht="30" x14ac:dyDescent="0.25">
      <c r="A451" s="3" t="s">
        <v>921</v>
      </c>
      <c r="B451" s="4" t="s">
        <v>922</v>
      </c>
      <c r="C451" s="14">
        <v>1857</v>
      </c>
      <c r="D451" s="6" t="s">
        <v>16</v>
      </c>
      <c r="E451" s="6" t="s">
        <v>17</v>
      </c>
      <c r="F451" s="7">
        <v>32874</v>
      </c>
      <c r="G451" s="8">
        <f t="shared" si="7"/>
        <v>32874</v>
      </c>
      <c r="H451" s="6" t="s">
        <v>13</v>
      </c>
      <c r="I451" s="9" t="str">
        <f>IF(ISNA(VLOOKUP(A451,'[1]Craig Eval'!A:C,3,FALSE)),"",(VLOOKUP(A451,'[1]Craig Eval'!A:C,3,FALSE))*1000)</f>
        <v/>
      </c>
      <c r="J451" s="10" t="str">
        <f>IF(ISNA(VLOOKUP(A451,'[1]Craig Eval'!A:M,13,FALSE)),"",VLOOKUP(A451,'[1]Craig Eval'!A:M,13,FALSE))</f>
        <v/>
      </c>
      <c r="K451" s="17">
        <v>1</v>
      </c>
    </row>
    <row r="452" spans="1:11" ht="30" x14ac:dyDescent="0.25">
      <c r="A452" s="42" t="s">
        <v>923</v>
      </c>
      <c r="B452" s="43" t="s">
        <v>924</v>
      </c>
      <c r="C452" s="5">
        <v>1108</v>
      </c>
      <c r="D452" s="44" t="s">
        <v>28</v>
      </c>
      <c r="E452" s="44" t="s">
        <v>17</v>
      </c>
      <c r="F452" s="45">
        <v>38026</v>
      </c>
      <c r="G452" s="30">
        <f t="shared" si="7"/>
        <v>38026</v>
      </c>
      <c r="H452" s="44" t="s">
        <v>13</v>
      </c>
      <c r="I452" s="31">
        <f>IF(ISNA(VLOOKUP(A452,'[1]Craig Eval'!A:C,3,FALSE)),"",(VLOOKUP(A452,'[1]Craig Eval'!A:C,3,FALSE))*1000)</f>
        <v>24460.553421725399</v>
      </c>
      <c r="J452" s="32">
        <f>IF(ISNA(VLOOKUP(A452,'[1]Craig Eval'!A:M,13,FALSE)),"",VLOOKUP(A452,'[1]Craig Eval'!A:M,13,FALSE))</f>
        <v>69.897143716038002</v>
      </c>
      <c r="K452" s="33">
        <v>2</v>
      </c>
    </row>
    <row r="453" spans="1:11" ht="30" x14ac:dyDescent="0.25">
      <c r="A453" s="3" t="s">
        <v>925</v>
      </c>
      <c r="B453" s="4" t="s">
        <v>926</v>
      </c>
      <c r="C453" s="5">
        <v>15362</v>
      </c>
      <c r="D453" s="6" t="s">
        <v>28</v>
      </c>
      <c r="E453" s="6" t="s">
        <v>17</v>
      </c>
      <c r="F453" s="7">
        <v>32325</v>
      </c>
      <c r="G453" s="8">
        <f t="shared" si="7"/>
        <v>32325</v>
      </c>
      <c r="H453" s="6" t="s">
        <v>13</v>
      </c>
      <c r="I453" s="9">
        <f>IF(ISNA(VLOOKUP(A453,'[1]Craig Eval'!A:C,3,FALSE)),"",(VLOOKUP(A453,'[1]Craig Eval'!A:C,3,FALSE))*1000)</f>
        <v>43268.291194343707</v>
      </c>
      <c r="J453" s="10">
        <f>IF(ISNA(VLOOKUP(A453,'[1]Craig Eval'!A:M,13,FALSE)),"",VLOOKUP(A453,'[1]Craig Eval'!A:M,13,FALSE))</f>
        <v>120.361558348466</v>
      </c>
      <c r="K453" s="17">
        <v>2</v>
      </c>
    </row>
    <row r="454" spans="1:11" ht="30" x14ac:dyDescent="0.25">
      <c r="A454" s="26" t="s">
        <v>927</v>
      </c>
      <c r="B454" s="27" t="s">
        <v>928</v>
      </c>
      <c r="C454" s="34">
        <v>28209</v>
      </c>
      <c r="D454" s="28" t="s">
        <v>28</v>
      </c>
      <c r="E454" s="28" t="s">
        <v>17</v>
      </c>
      <c r="F454" s="29">
        <v>26573</v>
      </c>
      <c r="G454" s="30">
        <f t="shared" si="7"/>
        <v>26573</v>
      </c>
      <c r="H454" s="28" t="s">
        <v>13</v>
      </c>
      <c r="I454" s="31">
        <f>IF(ISNA(VLOOKUP(A454,'[1]Craig Eval'!A:C,3,FALSE)),"",(VLOOKUP(A454,'[1]Craig Eval'!A:C,3,FALSE))*1000)</f>
        <v>29887.537445561498</v>
      </c>
      <c r="J454" s="32">
        <f>IF(ISNA(VLOOKUP(A454,'[1]Craig Eval'!A:M,13,FALSE)),"",VLOOKUP(A454,'[1]Craig Eval'!A:M,13,FALSE))</f>
        <v>84.663916041074799</v>
      </c>
      <c r="K454" s="33">
        <v>1</v>
      </c>
    </row>
    <row r="455" spans="1:11" ht="30" x14ac:dyDescent="0.25">
      <c r="A455" s="3" t="s">
        <v>929</v>
      </c>
      <c r="B455" s="4" t="s">
        <v>930</v>
      </c>
      <c r="C455" s="5">
        <v>54550</v>
      </c>
      <c r="D455" s="6" t="s">
        <v>31</v>
      </c>
      <c r="E455" s="6" t="s">
        <v>17</v>
      </c>
      <c r="F455" s="7">
        <v>33067</v>
      </c>
      <c r="G455" s="8">
        <f t="shared" si="7"/>
        <v>33067</v>
      </c>
      <c r="H455" s="6" t="s">
        <v>13</v>
      </c>
      <c r="I455" s="9">
        <f>IF(ISNA(VLOOKUP(A455,'[1]Craig Eval'!A:C,3,FALSE)),"",(VLOOKUP(A455,'[1]Craig Eval'!A:C,3,FALSE))*1000)</f>
        <v>564.49802349665697</v>
      </c>
      <c r="J455" s="10">
        <f>IF(ISNA(VLOOKUP(A455,'[1]Craig Eval'!A:M,13,FALSE)),"",VLOOKUP(A455,'[1]Craig Eval'!A:M,13,FALSE))</f>
        <v>1.7387600006317501</v>
      </c>
      <c r="K455" s="17">
        <v>2</v>
      </c>
    </row>
    <row r="456" spans="1:11" ht="30" x14ac:dyDescent="0.25">
      <c r="A456" s="3" t="s">
        <v>931</v>
      </c>
      <c r="B456" s="4" t="s">
        <v>932</v>
      </c>
      <c r="C456" s="5">
        <v>1347</v>
      </c>
      <c r="D456" s="6" t="s">
        <v>31</v>
      </c>
      <c r="E456" s="6" t="s">
        <v>17</v>
      </c>
      <c r="F456" s="7">
        <v>27227</v>
      </c>
      <c r="G456" s="8">
        <f t="shared" si="7"/>
        <v>27227</v>
      </c>
      <c r="H456" s="6" t="s">
        <v>13</v>
      </c>
      <c r="I456" s="9">
        <f>IF(ISNA(VLOOKUP(A456,'[1]Craig Eval'!A:C,3,FALSE)),"",(VLOOKUP(A456,'[1]Craig Eval'!A:C,3,FALSE))*1000)</f>
        <v>582167.16593731695</v>
      </c>
      <c r="J456" s="10">
        <f>IF(ISNA(VLOOKUP(A456,'[1]Craig Eval'!A:M,13,FALSE)),"",VLOOKUP(A456,'[1]Craig Eval'!A:M,13,FALSE))</f>
        <v>1286.8841378570301</v>
      </c>
      <c r="K456" s="17">
        <v>3</v>
      </c>
    </row>
    <row r="457" spans="1:11" ht="30" x14ac:dyDescent="0.25">
      <c r="A457" s="3" t="s">
        <v>933</v>
      </c>
      <c r="B457" s="4" t="s">
        <v>934</v>
      </c>
      <c r="C457" s="5">
        <v>9601</v>
      </c>
      <c r="D457" s="6" t="s">
        <v>28</v>
      </c>
      <c r="E457" s="6" t="s">
        <v>17</v>
      </c>
      <c r="F457" s="7">
        <v>37635</v>
      </c>
      <c r="G457" s="8">
        <f t="shared" si="7"/>
        <v>37635</v>
      </c>
      <c r="H457" s="6" t="s">
        <v>13</v>
      </c>
      <c r="I457" s="9">
        <f>IF(ISNA(VLOOKUP(A457,'[1]Craig Eval'!A:C,3,FALSE)),"",(VLOOKUP(A457,'[1]Craig Eval'!A:C,3,FALSE))*1000)</f>
        <v>53471.355197829704</v>
      </c>
      <c r="J457" s="10">
        <f>IF(ISNA(VLOOKUP(A457,'[1]Craig Eval'!A:M,13,FALSE)),"",VLOOKUP(A457,'[1]Craig Eval'!A:M,13,FALSE))</f>
        <v>147.011115461261</v>
      </c>
      <c r="K457" s="17">
        <v>2</v>
      </c>
    </row>
    <row r="458" spans="1:11" ht="30" x14ac:dyDescent="0.25">
      <c r="A458" s="3" t="s">
        <v>935</v>
      </c>
      <c r="B458" s="4" t="s">
        <v>936</v>
      </c>
      <c r="C458" s="5">
        <v>1436</v>
      </c>
      <c r="D458" s="6" t="s">
        <v>16</v>
      </c>
      <c r="E458" s="6" t="s">
        <v>17</v>
      </c>
      <c r="F458" s="7">
        <v>29221</v>
      </c>
      <c r="G458" s="8">
        <f t="shared" si="7"/>
        <v>29221</v>
      </c>
      <c r="H458" s="6" t="s">
        <v>13</v>
      </c>
      <c r="I458" s="9" t="str">
        <f>IF(ISNA(VLOOKUP(A458,'[1]Craig Eval'!A:C,3,FALSE)),"",(VLOOKUP(A458,'[1]Craig Eval'!A:C,3,FALSE))*1000)</f>
        <v/>
      </c>
      <c r="J458" s="10" t="str">
        <f>IF(ISNA(VLOOKUP(A458,'[1]Craig Eval'!A:M,13,FALSE)),"",VLOOKUP(A458,'[1]Craig Eval'!A:M,13,FALSE))</f>
        <v/>
      </c>
      <c r="K458" s="17">
        <v>1</v>
      </c>
    </row>
    <row r="459" spans="1:11" ht="30" x14ac:dyDescent="0.25">
      <c r="A459" s="3" t="s">
        <v>937</v>
      </c>
      <c r="B459" s="4" t="s">
        <v>938</v>
      </c>
      <c r="C459" s="5">
        <v>1848</v>
      </c>
      <c r="D459" s="6" t="s">
        <v>16</v>
      </c>
      <c r="E459" s="6" t="s">
        <v>17</v>
      </c>
      <c r="F459" s="7">
        <v>31048</v>
      </c>
      <c r="G459" s="8">
        <f t="shared" si="7"/>
        <v>31048</v>
      </c>
      <c r="H459" s="6" t="s">
        <v>13</v>
      </c>
      <c r="I459" s="9" t="str">
        <f>IF(ISNA(VLOOKUP(A459,'[1]Craig Eval'!A:C,3,FALSE)),"",(VLOOKUP(A459,'[1]Craig Eval'!A:C,3,FALSE))*1000)</f>
        <v/>
      </c>
      <c r="J459" s="10" t="str">
        <f>IF(ISNA(VLOOKUP(A459,'[1]Craig Eval'!A:M,13,FALSE)),"",VLOOKUP(A459,'[1]Craig Eval'!A:M,13,FALSE))</f>
        <v/>
      </c>
      <c r="K459" s="17">
        <v>2</v>
      </c>
    </row>
    <row r="460" spans="1:11" ht="30" x14ac:dyDescent="0.25">
      <c r="A460" s="3" t="s">
        <v>939</v>
      </c>
      <c r="B460" s="4" t="s">
        <v>940</v>
      </c>
      <c r="C460" s="5">
        <v>21448</v>
      </c>
      <c r="D460" s="6" t="s">
        <v>28</v>
      </c>
      <c r="E460" s="6" t="s">
        <v>17</v>
      </c>
      <c r="F460" s="7">
        <v>38415</v>
      </c>
      <c r="G460" s="8">
        <f t="shared" si="7"/>
        <v>38415</v>
      </c>
      <c r="H460" s="6" t="s">
        <v>13</v>
      </c>
      <c r="I460" s="9">
        <f>IF(ISNA(VLOOKUP(A460,'[1]Craig Eval'!A:C,3,FALSE)),"",(VLOOKUP(A460,'[1]Craig Eval'!A:C,3,FALSE))*1000)</f>
        <v>5444.3154526161597</v>
      </c>
      <c r="J460" s="10">
        <f>IF(ISNA(VLOOKUP(A460,'[1]Craig Eval'!A:M,13,FALSE)),"",VLOOKUP(A460,'[1]Craig Eval'!A:M,13,FALSE))</f>
        <v>16.284131920442402</v>
      </c>
      <c r="K460" s="17">
        <v>1</v>
      </c>
    </row>
    <row r="461" spans="1:11" ht="30" x14ac:dyDescent="0.25">
      <c r="A461" s="3" t="s">
        <v>941</v>
      </c>
      <c r="B461" s="4" t="s">
        <v>942</v>
      </c>
      <c r="C461" s="5">
        <v>1647</v>
      </c>
      <c r="D461" s="6" t="s">
        <v>28</v>
      </c>
      <c r="E461" s="6" t="s">
        <v>17</v>
      </c>
      <c r="F461" s="7">
        <v>35065</v>
      </c>
      <c r="G461" s="8">
        <f t="shared" si="7"/>
        <v>35065</v>
      </c>
      <c r="H461" s="6" t="s">
        <v>13</v>
      </c>
      <c r="I461" s="9">
        <f>IF(ISNA(VLOOKUP(A461,'[1]Craig Eval'!A:C,3,FALSE)),"",(VLOOKUP(A461,'[1]Craig Eval'!A:C,3,FALSE))*1000)</f>
        <v>10016.0803293882</v>
      </c>
      <c r="J461" s="10">
        <f>IF(ISNA(VLOOKUP(A461,'[1]Craig Eval'!A:M,13,FALSE)),"",VLOOKUP(A461,'[1]Craig Eval'!A:M,13,FALSE))</f>
        <v>29.515316360749001</v>
      </c>
      <c r="K461" s="17">
        <v>1</v>
      </c>
    </row>
    <row r="462" spans="1:11" ht="30" x14ac:dyDescent="0.25">
      <c r="A462" s="3" t="s">
        <v>943</v>
      </c>
      <c r="B462" s="4" t="s">
        <v>944</v>
      </c>
      <c r="C462" s="5">
        <v>1367</v>
      </c>
      <c r="D462" s="6" t="s">
        <v>28</v>
      </c>
      <c r="E462" s="6" t="s">
        <v>17</v>
      </c>
      <c r="F462" s="7">
        <v>31413</v>
      </c>
      <c r="G462" s="8">
        <f t="shared" si="7"/>
        <v>31413</v>
      </c>
      <c r="H462" s="6" t="s">
        <v>13</v>
      </c>
      <c r="I462" s="9">
        <f>IF(ISNA(VLOOKUP(A462,'[1]Craig Eval'!A:C,3,FALSE)),"",(VLOOKUP(A462,'[1]Craig Eval'!A:C,3,FALSE))*1000)</f>
        <v>69305.574757294293</v>
      </c>
      <c r="J462" s="10">
        <f>IF(ISNA(VLOOKUP(A462,'[1]Craig Eval'!A:M,13,FALSE)),"",VLOOKUP(A462,'[1]Craig Eval'!A:M,13,FALSE))</f>
        <v>187.56068534866299</v>
      </c>
      <c r="K462" s="17">
        <v>1</v>
      </c>
    </row>
    <row r="463" spans="1:11" ht="30" x14ac:dyDescent="0.25">
      <c r="A463" s="3" t="s">
        <v>945</v>
      </c>
      <c r="B463" s="4" t="s">
        <v>946</v>
      </c>
      <c r="C463" s="5">
        <v>2025</v>
      </c>
      <c r="D463" s="6" t="s">
        <v>16</v>
      </c>
      <c r="E463" s="6" t="s">
        <v>17</v>
      </c>
      <c r="F463" s="7">
        <v>29221</v>
      </c>
      <c r="G463" s="8">
        <f t="shared" si="7"/>
        <v>29221</v>
      </c>
      <c r="H463" s="6" t="s">
        <v>13</v>
      </c>
      <c r="I463" s="9">
        <f>IF(ISNA(VLOOKUP(A463,'[1]Craig Eval'!A:C,3,FALSE)),"",(VLOOKUP(A463,'[1]Craig Eval'!A:C,3,FALSE))*1000)</f>
        <v>59912.408215927499</v>
      </c>
      <c r="J463" s="10">
        <f>IF(ISNA(VLOOKUP(A463,'[1]Craig Eval'!A:M,13,FALSE)),"",VLOOKUP(A463,'[1]Craig Eval'!A:M,13,FALSE))</f>
        <v>163.616303402878</v>
      </c>
      <c r="K463" s="17">
        <v>1</v>
      </c>
    </row>
    <row r="464" spans="1:11" ht="30" x14ac:dyDescent="0.25">
      <c r="A464" s="3" t="s">
        <v>947</v>
      </c>
      <c r="B464" s="4" t="s">
        <v>948</v>
      </c>
      <c r="C464" s="5">
        <v>52276</v>
      </c>
      <c r="D464" s="6" t="s">
        <v>37</v>
      </c>
      <c r="E464" s="6" t="s">
        <v>38</v>
      </c>
      <c r="F464" s="7">
        <v>37467</v>
      </c>
      <c r="G464" s="8">
        <f t="shared" si="7"/>
        <v>37467</v>
      </c>
      <c r="H464" s="6" t="s">
        <v>39</v>
      </c>
      <c r="I464" s="9" t="str">
        <f>IF(ISNA(VLOOKUP(A464,'[1]Craig Eval'!A:C,3,FALSE)),"",(VLOOKUP(A464,'[1]Craig Eval'!A:C,3,FALSE))*1000)</f>
        <v/>
      </c>
      <c r="J464" s="10" t="str">
        <f>IF(ISNA(VLOOKUP(A464,'[1]Craig Eval'!A:M,13,FALSE)),"",VLOOKUP(A464,'[1]Craig Eval'!A:M,13,FALSE))</f>
        <v/>
      </c>
      <c r="K464" s="17">
        <v>1</v>
      </c>
    </row>
    <row r="465" spans="1:11" ht="30" x14ac:dyDescent="0.25">
      <c r="A465" s="26" t="s">
        <v>949</v>
      </c>
      <c r="B465" s="27" t="s">
        <v>950</v>
      </c>
      <c r="C465" s="34">
        <v>14087</v>
      </c>
      <c r="D465" s="28" t="s">
        <v>37</v>
      </c>
      <c r="E465" s="28" t="s">
        <v>38</v>
      </c>
      <c r="F465" s="29">
        <v>37125</v>
      </c>
      <c r="G465" s="30">
        <f t="shared" si="7"/>
        <v>37125</v>
      </c>
      <c r="H465" s="28" t="s">
        <v>39</v>
      </c>
      <c r="I465" s="31" t="str">
        <f>IF(ISNA(VLOOKUP(A465,'[1]Craig Eval'!A:C,3,FALSE)),"",(VLOOKUP(A465,'[1]Craig Eval'!A:C,3,FALSE))*1000)</f>
        <v/>
      </c>
      <c r="J465" s="32" t="str">
        <f>IF(ISNA(VLOOKUP(A465,'[1]Craig Eval'!A:M,13,FALSE)),"",VLOOKUP(A465,'[1]Craig Eval'!A:M,13,FALSE))</f>
        <v/>
      </c>
      <c r="K465" s="33">
        <v>2</v>
      </c>
    </row>
    <row r="466" spans="1:11" ht="30" x14ac:dyDescent="0.25">
      <c r="A466" s="3" t="s">
        <v>951</v>
      </c>
      <c r="B466" s="4" t="s">
        <v>952</v>
      </c>
      <c r="C466" s="5">
        <v>24961</v>
      </c>
      <c r="D466" s="6" t="s">
        <v>37</v>
      </c>
      <c r="E466" s="6" t="s">
        <v>38</v>
      </c>
      <c r="F466" s="7">
        <v>38384</v>
      </c>
      <c r="G466" s="8">
        <f t="shared" si="7"/>
        <v>38384</v>
      </c>
      <c r="H466" s="6" t="s">
        <v>39</v>
      </c>
      <c r="I466" s="9" t="str">
        <f>IF(ISNA(VLOOKUP(A466,'[1]Craig Eval'!A:C,3,FALSE)),"",(VLOOKUP(A466,'[1]Craig Eval'!A:C,3,FALSE))*1000)</f>
        <v/>
      </c>
      <c r="J466" s="10" t="str">
        <f>IF(ISNA(VLOOKUP(A466,'[1]Craig Eval'!A:M,13,FALSE)),"",VLOOKUP(A466,'[1]Craig Eval'!A:M,13,FALSE))</f>
        <v/>
      </c>
      <c r="K466" s="17">
        <v>1</v>
      </c>
    </row>
    <row r="467" spans="1:11" ht="30" x14ac:dyDescent="0.25">
      <c r="A467" s="3" t="s">
        <v>953</v>
      </c>
      <c r="B467" s="4" t="s">
        <v>954</v>
      </c>
      <c r="C467" s="5">
        <v>2027</v>
      </c>
      <c r="D467" s="6" t="s">
        <v>16</v>
      </c>
      <c r="E467" s="6" t="s">
        <v>17</v>
      </c>
      <c r="F467" s="7">
        <v>37019</v>
      </c>
      <c r="G467" s="8">
        <f t="shared" si="7"/>
        <v>37019</v>
      </c>
      <c r="H467" s="6" t="s">
        <v>13</v>
      </c>
      <c r="I467" s="9">
        <f>IF(ISNA(VLOOKUP(A467,'[1]Craig Eval'!A:C,3,FALSE)),"",(VLOOKUP(A467,'[1]Craig Eval'!A:C,3,FALSE))*1000)</f>
        <v>44019.752624005101</v>
      </c>
      <c r="J467" s="10">
        <f>IF(ISNA(VLOOKUP(A467,'[1]Craig Eval'!A:M,13,FALSE)),"",VLOOKUP(A467,'[1]Craig Eval'!A:M,13,FALSE))</f>
        <v>122.33987812292401</v>
      </c>
      <c r="K467" s="17">
        <v>1</v>
      </c>
    </row>
    <row r="468" spans="1:11" ht="30" x14ac:dyDescent="0.25">
      <c r="A468" s="3" t="s">
        <v>955</v>
      </c>
      <c r="B468" s="4" t="s">
        <v>956</v>
      </c>
      <c r="C468" s="5">
        <v>1627</v>
      </c>
      <c r="D468" s="6" t="s">
        <v>16</v>
      </c>
      <c r="E468" s="6" t="s">
        <v>17</v>
      </c>
      <c r="F468" s="7">
        <v>35608</v>
      </c>
      <c r="G468" s="8">
        <f t="shared" si="7"/>
        <v>35608</v>
      </c>
      <c r="H468" s="6" t="s">
        <v>13</v>
      </c>
      <c r="I468" s="9">
        <f>IF(ISNA(VLOOKUP(A468,'[1]Craig Eval'!A:C,3,FALSE)),"",(VLOOKUP(A468,'[1]Craig Eval'!A:C,3,FALSE))*1000)</f>
        <v>72593.356313498705</v>
      </c>
      <c r="J468" s="10">
        <f>IF(ISNA(VLOOKUP(A468,'[1]Craig Eval'!A:M,13,FALSE)),"",VLOOKUP(A468,'[1]Craig Eval'!A:M,13,FALSE))</f>
        <v>195.87087788416201</v>
      </c>
      <c r="K468" s="17">
        <v>2</v>
      </c>
    </row>
    <row r="469" spans="1:11" ht="30" x14ac:dyDescent="0.25">
      <c r="A469" s="26" t="s">
        <v>957</v>
      </c>
      <c r="B469" s="27" t="s">
        <v>958</v>
      </c>
      <c r="C469" s="34">
        <v>27860</v>
      </c>
      <c r="D469" s="28" t="s">
        <v>28</v>
      </c>
      <c r="E469" s="28" t="s">
        <v>17</v>
      </c>
      <c r="F469" s="29">
        <v>32534</v>
      </c>
      <c r="G469" s="30">
        <f t="shared" si="7"/>
        <v>32534</v>
      </c>
      <c r="H469" s="28" t="s">
        <v>13</v>
      </c>
      <c r="I469" s="31">
        <f>IF(ISNA(VLOOKUP(A469,'[1]Craig Eval'!A:C,3,FALSE)),"",(VLOOKUP(A469,'[1]Craig Eval'!A:C,3,FALSE))*1000)</f>
        <v>59457.844672634499</v>
      </c>
      <c r="J469" s="32">
        <f>IF(ISNA(VLOOKUP(A469,'[1]Craig Eval'!A:M,13,FALSE)),"",VLOOKUP(A469,'[1]Craig Eval'!A:M,13,FALSE))</f>
        <v>162.449587182051</v>
      </c>
      <c r="K469" s="33">
        <v>2</v>
      </c>
    </row>
    <row r="470" spans="1:11" ht="30" x14ac:dyDescent="0.25">
      <c r="A470" s="3" t="s">
        <v>959</v>
      </c>
      <c r="B470" s="4" t="s">
        <v>960</v>
      </c>
      <c r="C470" s="5">
        <v>16005</v>
      </c>
      <c r="D470" s="6" t="s">
        <v>31</v>
      </c>
      <c r="E470" s="6" t="s">
        <v>17</v>
      </c>
      <c r="F470" s="7">
        <v>33394</v>
      </c>
      <c r="G470" s="8">
        <f t="shared" si="7"/>
        <v>33394</v>
      </c>
      <c r="H470" s="6" t="s">
        <v>13</v>
      </c>
      <c r="I470" s="9">
        <f>IF(ISNA(VLOOKUP(A470,'[1]Craig Eval'!A:C,3,FALSE)),"",(VLOOKUP(A470,'[1]Craig Eval'!A:C,3,FALSE))*1000)</f>
        <v>1804.78965398014</v>
      </c>
      <c r="J470" s="10">
        <f>IF(ISNA(VLOOKUP(A470,'[1]Craig Eval'!A:M,13,FALSE)),"",VLOOKUP(A470,'[1]Craig Eval'!A:M,13,FALSE))</f>
        <v>5.4974269337711297</v>
      </c>
      <c r="K470" s="17">
        <v>1</v>
      </c>
    </row>
    <row r="471" spans="1:11" ht="30" x14ac:dyDescent="0.25">
      <c r="A471" s="18" t="s">
        <v>961</v>
      </c>
      <c r="B471" s="19" t="s">
        <v>962</v>
      </c>
      <c r="C471" s="20">
        <v>1544</v>
      </c>
      <c r="D471" s="21" t="s">
        <v>34</v>
      </c>
      <c r="E471" s="21" t="s">
        <v>17</v>
      </c>
      <c r="F471" s="22">
        <v>20992</v>
      </c>
      <c r="G471" s="23">
        <f t="shared" si="7"/>
        <v>20992</v>
      </c>
      <c r="H471" s="21" t="s">
        <v>13</v>
      </c>
      <c r="I471" s="9">
        <f>IF(ISNA(VLOOKUP(A471,'[1]Craig Eval'!A:C,3,FALSE)),"",(VLOOKUP(A471,'[1]Craig Eval'!A:C,3,FALSE))*1000)</f>
        <v>23924.430821935497</v>
      </c>
      <c r="J471" s="24">
        <f>IF(ISNA(VLOOKUP(A471,'[1]Craig Eval'!A:M,13,FALSE)),"",VLOOKUP(A471,'[1]Craig Eval'!A:M,13,FALSE))</f>
        <v>68.427977566349497</v>
      </c>
      <c r="K471" s="25">
        <v>1</v>
      </c>
    </row>
    <row r="472" spans="1:11" ht="30" x14ac:dyDescent="0.25">
      <c r="A472" s="3" t="s">
        <v>963</v>
      </c>
      <c r="B472" s="4" t="s">
        <v>964</v>
      </c>
      <c r="C472" s="5">
        <v>15682</v>
      </c>
      <c r="D472" s="6" t="s">
        <v>31</v>
      </c>
      <c r="E472" s="6" t="s">
        <v>17</v>
      </c>
      <c r="F472" s="7">
        <v>31155</v>
      </c>
      <c r="G472" s="8">
        <f t="shared" si="7"/>
        <v>31155</v>
      </c>
      <c r="H472" s="6" t="s">
        <v>13</v>
      </c>
      <c r="I472" s="9">
        <f>IF(ISNA(VLOOKUP(A472,'[1]Craig Eval'!A:C,3,FALSE)),"",(VLOOKUP(A472,'[1]Craig Eval'!A:C,3,FALSE))*1000)</f>
        <v>6584.2390793759205</v>
      </c>
      <c r="J472" s="10">
        <f>IF(ISNA(VLOOKUP(A472,'[1]Craig Eval'!A:M,13,FALSE)),"",VLOOKUP(A472,'[1]Craig Eval'!A:M,13,FALSE))</f>
        <v>19.6110270119845</v>
      </c>
      <c r="K472" s="17">
        <v>1</v>
      </c>
    </row>
    <row r="473" spans="1:11" ht="30" x14ac:dyDescent="0.25">
      <c r="A473" s="3" t="s">
        <v>965</v>
      </c>
      <c r="B473" s="4" t="s">
        <v>966</v>
      </c>
      <c r="C473" s="5">
        <v>1411</v>
      </c>
      <c r="D473" s="6" t="s">
        <v>28</v>
      </c>
      <c r="E473" s="6" t="s">
        <v>17</v>
      </c>
      <c r="F473" s="7">
        <v>19725</v>
      </c>
      <c r="G473" s="8">
        <f t="shared" si="7"/>
        <v>19725</v>
      </c>
      <c r="H473" s="6" t="s">
        <v>13</v>
      </c>
      <c r="I473" s="9">
        <f>IF(ISNA(VLOOKUP(A473,'[1]Craig Eval'!A:C,3,FALSE)),"",(VLOOKUP(A473,'[1]Craig Eval'!A:C,3,FALSE))*1000)</f>
        <v>467955.73204547702</v>
      </c>
      <c r="J473" s="10">
        <f>IF(ISNA(VLOOKUP(A473,'[1]Craig Eval'!A:M,13,FALSE)),"",VLOOKUP(A473,'[1]Craig Eval'!A:M,13,FALSE))</f>
        <v>1063.1488756086501</v>
      </c>
      <c r="K473" s="17">
        <v>2</v>
      </c>
    </row>
    <row r="474" spans="1:11" ht="30" x14ac:dyDescent="0.25">
      <c r="A474" s="3" t="s">
        <v>967</v>
      </c>
      <c r="B474" s="4" t="s">
        <v>968</v>
      </c>
      <c r="C474" s="5">
        <v>41665</v>
      </c>
      <c r="D474" s="6" t="s">
        <v>31</v>
      </c>
      <c r="E474" s="6" t="s">
        <v>17</v>
      </c>
      <c r="F474" s="7">
        <v>34225</v>
      </c>
      <c r="G474" s="8">
        <f t="shared" si="7"/>
        <v>34225</v>
      </c>
      <c r="H474" s="6" t="s">
        <v>13</v>
      </c>
      <c r="I474" s="9">
        <f>IF(ISNA(VLOOKUP(A474,'[1]Craig Eval'!A:C,3,FALSE)),"",(VLOOKUP(A474,'[1]Craig Eval'!A:C,3,FALSE))*1000)</f>
        <v>70837.550471068593</v>
      </c>
      <c r="J474" s="10">
        <f>IF(ISNA(VLOOKUP(A474,'[1]Craig Eval'!A:M,13,FALSE)),"",VLOOKUP(A474,'[1]Craig Eval'!A:M,13,FALSE))</f>
        <v>191.43729663584901</v>
      </c>
      <c r="K474" s="17">
        <v>2</v>
      </c>
    </row>
    <row r="475" spans="1:11" ht="30" x14ac:dyDescent="0.25">
      <c r="A475" s="3" t="s">
        <v>969</v>
      </c>
      <c r="B475" s="4" t="s">
        <v>970</v>
      </c>
      <c r="C475" s="5">
        <v>1437</v>
      </c>
      <c r="D475" s="6" t="s">
        <v>16</v>
      </c>
      <c r="E475" s="6" t="s">
        <v>17</v>
      </c>
      <c r="F475" s="7">
        <v>31048</v>
      </c>
      <c r="G475" s="8">
        <f t="shared" si="7"/>
        <v>31048</v>
      </c>
      <c r="H475" s="6" t="s">
        <v>13</v>
      </c>
      <c r="I475" s="9" t="str">
        <f>IF(ISNA(VLOOKUP(A475,'[1]Craig Eval'!A:C,3,FALSE)),"",(VLOOKUP(A475,'[1]Craig Eval'!A:C,3,FALSE))*1000)</f>
        <v/>
      </c>
      <c r="J475" s="10" t="str">
        <f>IF(ISNA(VLOOKUP(A475,'[1]Craig Eval'!A:M,13,FALSE)),"",VLOOKUP(A475,'[1]Craig Eval'!A:M,13,FALSE))</f>
        <v/>
      </c>
      <c r="K475" s="17">
        <v>1</v>
      </c>
    </row>
    <row r="476" spans="1:11" ht="30" x14ac:dyDescent="0.25">
      <c r="A476" s="3" t="s">
        <v>971</v>
      </c>
      <c r="B476" s="4" t="s">
        <v>972</v>
      </c>
      <c r="C476" s="14">
        <v>1435</v>
      </c>
      <c r="D476" s="6" t="s">
        <v>16</v>
      </c>
      <c r="E476" s="6" t="s">
        <v>17</v>
      </c>
      <c r="F476" s="7">
        <v>27282</v>
      </c>
      <c r="G476" s="8">
        <f t="shared" si="7"/>
        <v>27282</v>
      </c>
      <c r="H476" s="6" t="s">
        <v>13</v>
      </c>
      <c r="I476" s="9" t="str">
        <f>IF(ISNA(VLOOKUP(A476,'[1]Craig Eval'!A:C,3,FALSE)),"",(VLOOKUP(A476,'[1]Craig Eval'!A:C,3,FALSE))*1000)</f>
        <v/>
      </c>
      <c r="J476" s="10" t="str">
        <f>IF(ISNA(VLOOKUP(A476,'[1]Craig Eval'!A:M,13,FALSE)),"",VLOOKUP(A476,'[1]Craig Eval'!A:M,13,FALSE))</f>
        <v/>
      </c>
      <c r="K476" s="17">
        <v>2</v>
      </c>
    </row>
    <row r="477" spans="1:11" ht="30" x14ac:dyDescent="0.25">
      <c r="A477" s="3" t="s">
        <v>973</v>
      </c>
      <c r="B477" s="4" t="s">
        <v>974</v>
      </c>
      <c r="C477" s="14">
        <v>1077</v>
      </c>
      <c r="D477" s="6" t="s">
        <v>34</v>
      </c>
      <c r="E477" s="6" t="s">
        <v>17</v>
      </c>
      <c r="F477" s="7">
        <v>29952</v>
      </c>
      <c r="G477" s="8">
        <f t="shared" si="7"/>
        <v>29952</v>
      </c>
      <c r="H477" s="6" t="s">
        <v>13</v>
      </c>
      <c r="I477" s="9" t="str">
        <f>IF(ISNA(VLOOKUP(A477,'[1]Craig Eval'!A:C,3,FALSE)),"",(VLOOKUP(A477,'[1]Craig Eval'!A:C,3,FALSE))*1000)</f>
        <v/>
      </c>
      <c r="J477" s="10" t="str">
        <f>IF(ISNA(VLOOKUP(A477,'[1]Craig Eval'!A:M,13,FALSE)),"",VLOOKUP(A477,'[1]Craig Eval'!A:M,13,FALSE))</f>
        <v/>
      </c>
      <c r="K477" s="17">
        <v>1</v>
      </c>
    </row>
    <row r="478" spans="1:11" ht="30" x14ac:dyDescent="0.25">
      <c r="A478" s="12" t="s">
        <v>975</v>
      </c>
      <c r="B478" s="4" t="s">
        <v>976</v>
      </c>
      <c r="C478" s="5">
        <v>1881</v>
      </c>
      <c r="D478" s="6" t="s">
        <v>34</v>
      </c>
      <c r="E478" s="6" t="s">
        <v>17</v>
      </c>
      <c r="F478" s="7">
        <v>29221</v>
      </c>
      <c r="G478" s="8">
        <f t="shared" si="7"/>
        <v>29221</v>
      </c>
      <c r="H478" s="6" t="s">
        <v>13</v>
      </c>
      <c r="I478" s="9" t="str">
        <f>IF(ISNA(VLOOKUP(A478,'[1]Craig Eval'!A:C,3,FALSE)),"",(VLOOKUP(A478,'[1]Craig Eval'!A:C,3,FALSE))*1000)</f>
        <v/>
      </c>
      <c r="J478" s="10" t="str">
        <f>IF(ISNA(VLOOKUP(A478,'[1]Craig Eval'!A:M,13,FALSE)),"",VLOOKUP(A478,'[1]Craig Eval'!A:M,13,FALSE))</f>
        <v/>
      </c>
      <c r="K478" s="17">
        <v>4</v>
      </c>
    </row>
    <row r="479" spans="1:11" ht="30" x14ac:dyDescent="0.25">
      <c r="A479" s="3" t="s">
        <v>977</v>
      </c>
      <c r="B479" s="4" t="s">
        <v>978</v>
      </c>
      <c r="C479" s="5">
        <v>1343</v>
      </c>
      <c r="D479" s="6" t="s">
        <v>34</v>
      </c>
      <c r="E479" s="6" t="s">
        <v>17</v>
      </c>
      <c r="F479" s="7">
        <v>37012</v>
      </c>
      <c r="G479" s="8">
        <f t="shared" si="7"/>
        <v>37012</v>
      </c>
      <c r="H479" s="6" t="s">
        <v>13</v>
      </c>
      <c r="I479" s="9" t="str">
        <f>IF(ISNA(VLOOKUP(A479,'[1]Craig Eval'!A:C,3,FALSE)),"",(VLOOKUP(A479,'[1]Craig Eval'!A:C,3,FALSE))*1000)</f>
        <v/>
      </c>
      <c r="J479" s="10" t="str">
        <f>IF(ISNA(VLOOKUP(A479,'[1]Craig Eval'!A:M,13,FALSE)),"",VLOOKUP(A479,'[1]Craig Eval'!A:M,13,FALSE))</f>
        <v/>
      </c>
      <c r="K479" s="17">
        <v>1</v>
      </c>
    </row>
    <row r="480" spans="1:11" ht="30" x14ac:dyDescent="0.25">
      <c r="A480" s="3" t="s">
        <v>979</v>
      </c>
      <c r="B480" s="12" t="s">
        <v>980</v>
      </c>
      <c r="C480" s="14">
        <v>1578</v>
      </c>
      <c r="D480" s="6" t="s">
        <v>16</v>
      </c>
      <c r="E480" s="6" t="s">
        <v>17</v>
      </c>
      <c r="F480" s="7">
        <v>29221</v>
      </c>
      <c r="G480" s="8">
        <f t="shared" si="7"/>
        <v>29221</v>
      </c>
      <c r="H480" s="6" t="s">
        <v>13</v>
      </c>
      <c r="I480" s="9">
        <f>IF(ISNA(VLOOKUP(A480,'[1]Craig Eval'!A:C,3,FALSE)),"",(VLOOKUP(A480,'[1]Craig Eval'!A:C,3,FALSE))*1000)</f>
        <v>175634.54061237301</v>
      </c>
      <c r="J480" s="10">
        <f>IF(ISNA(VLOOKUP(A480,'[1]Craig Eval'!A:M,13,FALSE)),"",VLOOKUP(A480,'[1]Craig Eval'!A:M,13,FALSE))</f>
        <v>442.62023812441203</v>
      </c>
      <c r="K480" s="17">
        <v>2</v>
      </c>
    </row>
    <row r="481" spans="1:11" ht="30" x14ac:dyDescent="0.25">
      <c r="A481" s="3" t="s">
        <v>981</v>
      </c>
      <c r="B481" s="4" t="s">
        <v>982</v>
      </c>
      <c r="C481" s="5">
        <v>1733</v>
      </c>
      <c r="D481" s="6" t="s">
        <v>16</v>
      </c>
      <c r="E481" s="6" t="s">
        <v>17</v>
      </c>
      <c r="F481" s="7">
        <v>29221</v>
      </c>
      <c r="G481" s="8">
        <f t="shared" si="7"/>
        <v>29221</v>
      </c>
      <c r="H481" s="6" t="s">
        <v>13</v>
      </c>
      <c r="I481" s="9" t="str">
        <f>IF(ISNA(VLOOKUP(A481,'[1]Craig Eval'!A:C,3,FALSE)),"",(VLOOKUP(A481,'[1]Craig Eval'!A:C,3,FALSE))*1000)</f>
        <v/>
      </c>
      <c r="J481" s="10" t="str">
        <f>IF(ISNA(VLOOKUP(A481,'[1]Craig Eval'!A:M,13,FALSE)),"",VLOOKUP(A481,'[1]Craig Eval'!A:M,13,FALSE))</f>
        <v/>
      </c>
      <c r="K481" s="17">
        <v>2</v>
      </c>
    </row>
    <row r="482" spans="1:11" ht="30" x14ac:dyDescent="0.25">
      <c r="A482" s="3" t="s">
        <v>983</v>
      </c>
      <c r="B482" s="4" t="s">
        <v>984</v>
      </c>
      <c r="C482" s="5">
        <v>54552</v>
      </c>
      <c r="D482" s="6" t="s">
        <v>28</v>
      </c>
      <c r="E482" s="6" t="s">
        <v>17</v>
      </c>
      <c r="F482" s="7">
        <v>38758</v>
      </c>
      <c r="G482" s="8">
        <f t="shared" si="7"/>
        <v>38758</v>
      </c>
      <c r="H482" s="6" t="s">
        <v>13</v>
      </c>
      <c r="I482" s="9">
        <f>IF(ISNA(VLOOKUP(A482,'[1]Craig Eval'!A:C,3,FALSE)),"",(VLOOKUP(A482,'[1]Craig Eval'!A:C,3,FALSE))*1000)</f>
        <v>16881.634282157902</v>
      </c>
      <c r="J482" s="10">
        <f>IF(ISNA(VLOOKUP(A482,'[1]Craig Eval'!A:M,13,FALSE)),"",VLOOKUP(A482,'[1]Craig Eval'!A:M,13,FALSE))</f>
        <v>48.933000812468698</v>
      </c>
      <c r="K482" s="17">
        <v>1</v>
      </c>
    </row>
    <row r="483" spans="1:11" ht="30" x14ac:dyDescent="0.25">
      <c r="A483" s="3" t="s">
        <v>985</v>
      </c>
      <c r="B483" s="4" t="s">
        <v>986</v>
      </c>
      <c r="C483" s="14">
        <v>1891</v>
      </c>
      <c r="D483" s="6" t="s">
        <v>31</v>
      </c>
      <c r="E483" s="6" t="s">
        <v>17</v>
      </c>
      <c r="F483" s="7">
        <v>36019</v>
      </c>
      <c r="G483" s="8">
        <f t="shared" si="7"/>
        <v>36019</v>
      </c>
      <c r="H483" s="6" t="s">
        <v>13</v>
      </c>
      <c r="I483" s="9">
        <f>IF(ISNA(VLOOKUP(A483,'[1]Craig Eval'!A:C,3,FALSE)),"",(VLOOKUP(A483,'[1]Craig Eval'!A:C,3,FALSE))*1000)</f>
        <v>61143.858400696205</v>
      </c>
      <c r="J483" s="10">
        <f>IF(ISNA(VLOOKUP(A483,'[1]Craig Eval'!A:M,13,FALSE)),"",VLOOKUP(A483,'[1]Craig Eval'!A:M,13,FALSE))</f>
        <v>166.77321861169401</v>
      </c>
      <c r="K483" s="17">
        <v>2</v>
      </c>
    </row>
    <row r="484" spans="1:11" ht="30" x14ac:dyDescent="0.25">
      <c r="A484" s="3" t="s">
        <v>987</v>
      </c>
      <c r="B484" s="4" t="s">
        <v>988</v>
      </c>
      <c r="C484" s="5">
        <v>11521</v>
      </c>
      <c r="D484" s="6" t="s">
        <v>28</v>
      </c>
      <c r="E484" s="6" t="s">
        <v>17</v>
      </c>
      <c r="F484" s="7">
        <v>37859</v>
      </c>
      <c r="G484" s="8">
        <f t="shared" si="7"/>
        <v>37859</v>
      </c>
      <c r="H484" s="6" t="s">
        <v>13</v>
      </c>
      <c r="I484" s="9">
        <f>IF(ISNA(VLOOKUP(A484,'[1]Craig Eval'!A:C,3,FALSE)),"",(VLOOKUP(A484,'[1]Craig Eval'!A:C,3,FALSE))*1000)</f>
        <v>29226.5070977379</v>
      </c>
      <c r="J484" s="10">
        <f>IF(ISNA(VLOOKUP(A484,'[1]Craig Eval'!A:M,13,FALSE)),"",VLOOKUP(A484,'[1]Craig Eval'!A:M,13,FALSE))</f>
        <v>82.875058228498204</v>
      </c>
      <c r="K484" s="17">
        <v>1</v>
      </c>
    </row>
    <row r="485" spans="1:11" ht="30" x14ac:dyDescent="0.25">
      <c r="A485" s="3" t="s">
        <v>989</v>
      </c>
      <c r="B485" s="4" t="s">
        <v>990</v>
      </c>
      <c r="C485" s="5">
        <v>72157</v>
      </c>
      <c r="D485" s="6" t="s">
        <v>28</v>
      </c>
      <c r="E485" s="6" t="s">
        <v>508</v>
      </c>
      <c r="F485" s="7">
        <v>38398</v>
      </c>
      <c r="G485" s="8">
        <f t="shared" si="7"/>
        <v>38398</v>
      </c>
      <c r="H485" s="6" t="s">
        <v>509</v>
      </c>
      <c r="I485" s="9">
        <f>IF(ISNA(VLOOKUP(A485,'[1]Craig Eval'!A:C,3,FALSE)),"",(VLOOKUP(A485,'[1]Craig Eval'!A:C,3,FALSE))*1000)</f>
        <v>98115.597704475498</v>
      </c>
      <c r="J485" s="10">
        <f>IF(ISNA(VLOOKUP(A485,'[1]Craig Eval'!A:M,13,FALSE)),"",VLOOKUP(A485,'[1]Craig Eval'!A:M,13,FALSE))</f>
        <v>259.27806249779701</v>
      </c>
      <c r="K485" s="17">
        <v>1</v>
      </c>
    </row>
    <row r="486" spans="1:11" ht="30" x14ac:dyDescent="0.25">
      <c r="A486" s="3" t="s">
        <v>991</v>
      </c>
      <c r="B486" s="4" t="s">
        <v>992</v>
      </c>
      <c r="C486" s="5">
        <v>1950</v>
      </c>
      <c r="D486" s="6" t="s">
        <v>28</v>
      </c>
      <c r="E486" s="6" t="s">
        <v>17</v>
      </c>
      <c r="F486" s="7">
        <v>32509</v>
      </c>
      <c r="G486" s="8">
        <f t="shared" si="7"/>
        <v>32509</v>
      </c>
      <c r="H486" s="6" t="s">
        <v>13</v>
      </c>
      <c r="I486" s="9">
        <f>IF(ISNA(VLOOKUP(A486,'[1]Craig Eval'!A:C,3,FALSE)),"",(VLOOKUP(A486,'[1]Craig Eval'!A:C,3,FALSE))*1000)</f>
        <v>10945.9292634986</v>
      </c>
      <c r="J486" s="10">
        <f>IF(ISNA(VLOOKUP(A486,'[1]Craig Eval'!A:M,13,FALSE)),"",VLOOKUP(A486,'[1]Craig Eval'!A:M,13,FALSE))</f>
        <v>32.1736170241712</v>
      </c>
      <c r="K486" s="17">
        <v>2</v>
      </c>
    </row>
    <row r="487" spans="1:11" ht="30" x14ac:dyDescent="0.25">
      <c r="A487" s="3" t="s">
        <v>993</v>
      </c>
      <c r="B487" s="4" t="s">
        <v>994</v>
      </c>
      <c r="C487" s="5">
        <v>1125</v>
      </c>
      <c r="D487" s="6" t="s">
        <v>16</v>
      </c>
      <c r="E487" s="6" t="s">
        <v>17</v>
      </c>
      <c r="F487" s="7">
        <v>25569</v>
      </c>
      <c r="G487" s="8">
        <f t="shared" si="7"/>
        <v>25569</v>
      </c>
      <c r="H487" s="6" t="s">
        <v>13</v>
      </c>
      <c r="I487" s="9" t="str">
        <f>IF(ISNA(VLOOKUP(A487,'[1]Craig Eval'!A:C,3,FALSE)),"",(VLOOKUP(A487,'[1]Craig Eval'!A:C,3,FALSE))*1000)</f>
        <v/>
      </c>
      <c r="J487" s="10" t="str">
        <f>IF(ISNA(VLOOKUP(A487,'[1]Craig Eval'!A:M,13,FALSE)),"",VLOOKUP(A487,'[1]Craig Eval'!A:M,13,FALSE))</f>
        <v/>
      </c>
      <c r="K487" s="17">
        <v>1</v>
      </c>
    </row>
    <row r="488" spans="1:11" ht="30" x14ac:dyDescent="0.25">
      <c r="A488" s="3" t="s">
        <v>995</v>
      </c>
      <c r="B488" s="4" t="s">
        <v>996</v>
      </c>
      <c r="C488" s="5">
        <v>1794</v>
      </c>
      <c r="D488" s="6" t="s">
        <v>31</v>
      </c>
      <c r="E488" s="6" t="s">
        <v>17</v>
      </c>
      <c r="F488" s="7">
        <v>29221</v>
      </c>
      <c r="G488" s="8">
        <f t="shared" si="7"/>
        <v>29221</v>
      </c>
      <c r="H488" s="6" t="s">
        <v>13</v>
      </c>
      <c r="I488" s="9">
        <f>IF(ISNA(VLOOKUP(A488,'[1]Craig Eval'!A:C,3,FALSE)),"",(VLOOKUP(A488,'[1]Craig Eval'!A:C,3,FALSE))*1000)</f>
        <v>2345.9521801431902</v>
      </c>
      <c r="J488" s="10">
        <f>IF(ISNA(VLOOKUP(A488,'[1]Craig Eval'!A:M,13,FALSE)),"",VLOOKUP(A488,'[1]Craig Eval'!A:M,13,FALSE))</f>
        <v>7.1208171107835803</v>
      </c>
      <c r="K488" s="17">
        <v>1</v>
      </c>
    </row>
    <row r="489" spans="1:11" ht="30" x14ac:dyDescent="0.25">
      <c r="A489" s="3" t="s">
        <v>997</v>
      </c>
      <c r="B489" s="4" t="s">
        <v>998</v>
      </c>
      <c r="C489" s="5">
        <v>1531</v>
      </c>
      <c r="D489" s="6" t="s">
        <v>31</v>
      </c>
      <c r="E489" s="6" t="s">
        <v>17</v>
      </c>
      <c r="F489" s="7">
        <v>27395</v>
      </c>
      <c r="G489" s="8">
        <f t="shared" si="7"/>
        <v>27395</v>
      </c>
      <c r="H489" s="6" t="s">
        <v>13</v>
      </c>
      <c r="I489" s="9">
        <f>IF(ISNA(VLOOKUP(A489,'[1]Craig Eval'!A:C,3,FALSE)),"",(VLOOKUP(A489,'[1]Craig Eval'!A:C,3,FALSE))*1000)</f>
        <v>2686.0399997916697</v>
      </c>
      <c r="J489" s="10">
        <f>IF(ISNA(VLOOKUP(A489,'[1]Craig Eval'!A:M,13,FALSE)),"",VLOOKUP(A489,'[1]Craig Eval'!A:M,13,FALSE))</f>
        <v>8.1369094698347695</v>
      </c>
      <c r="K489" s="17">
        <v>2</v>
      </c>
    </row>
    <row r="490" spans="1:11" ht="30" x14ac:dyDescent="0.25">
      <c r="A490" s="3" t="s">
        <v>999</v>
      </c>
      <c r="B490" s="4" t="s">
        <v>1000</v>
      </c>
      <c r="C490" s="5">
        <v>1977</v>
      </c>
      <c r="D490" s="6" t="s">
        <v>31</v>
      </c>
      <c r="E490" s="6" t="s">
        <v>17</v>
      </c>
      <c r="F490" s="7">
        <v>18264</v>
      </c>
      <c r="G490" s="8">
        <f t="shared" si="7"/>
        <v>18264</v>
      </c>
      <c r="H490" s="6" t="s">
        <v>13</v>
      </c>
      <c r="I490" s="9">
        <f>IF(ISNA(VLOOKUP(A490,'[1]Craig Eval'!A:C,3,FALSE)),"",(VLOOKUP(A490,'[1]Craig Eval'!A:C,3,FALSE))*1000)</f>
        <v>3715.5990368396001</v>
      </c>
      <c r="J490" s="10">
        <f>IF(ISNA(VLOOKUP(A490,'[1]Craig Eval'!A:M,13,FALSE)),"",VLOOKUP(A490,'[1]Craig Eval'!A:M,13,FALSE))</f>
        <v>11.196055038687</v>
      </c>
      <c r="K490" s="17">
        <v>1</v>
      </c>
    </row>
    <row r="491" spans="1:11" ht="30" x14ac:dyDescent="0.25">
      <c r="A491" s="3" t="s">
        <v>1001</v>
      </c>
      <c r="B491" s="4" t="s">
        <v>1002</v>
      </c>
      <c r="C491" s="14">
        <v>17616</v>
      </c>
      <c r="D491" s="6" t="s">
        <v>16</v>
      </c>
      <c r="E491" s="6" t="s">
        <v>17</v>
      </c>
      <c r="F491" s="7">
        <v>29132</v>
      </c>
      <c r="G491" s="8">
        <f t="shared" si="7"/>
        <v>29132</v>
      </c>
      <c r="H491" s="6" t="s">
        <v>13</v>
      </c>
      <c r="I491" s="9">
        <f>IF(ISNA(VLOOKUP(A491,'[1]Craig Eval'!A:C,3,FALSE)),"",(VLOOKUP(A491,'[1]Craig Eval'!A:C,3,FALSE))*1000)</f>
        <v>177801.16122084102</v>
      </c>
      <c r="J491" s="10">
        <f>IF(ISNA(VLOOKUP(A491,'[1]Craig Eval'!A:M,13,FALSE)),"",VLOOKUP(A491,'[1]Craig Eval'!A:M,13,FALSE))</f>
        <v>447.58440007122499</v>
      </c>
      <c r="K491" s="17">
        <v>2</v>
      </c>
    </row>
    <row r="492" spans="1:11" ht="30" x14ac:dyDescent="0.25">
      <c r="A492" s="3" t="s">
        <v>1003</v>
      </c>
      <c r="B492" s="4" t="s">
        <v>1004</v>
      </c>
      <c r="C492" s="5">
        <v>28929</v>
      </c>
      <c r="D492" s="6" t="s">
        <v>37</v>
      </c>
      <c r="E492" s="6" t="s">
        <v>38</v>
      </c>
      <c r="F492" s="7">
        <v>38489</v>
      </c>
      <c r="G492" s="8">
        <f t="shared" si="7"/>
        <v>38489</v>
      </c>
      <c r="H492" s="6" t="s">
        <v>39</v>
      </c>
      <c r="I492" s="9" t="str">
        <f>IF(ISNA(VLOOKUP(A492,'[1]Craig Eval'!A:C,3,FALSE)),"",(VLOOKUP(A492,'[1]Craig Eval'!A:C,3,FALSE))*1000)</f>
        <v/>
      </c>
      <c r="J492" s="10" t="str">
        <f>IF(ISNA(VLOOKUP(A492,'[1]Craig Eval'!A:M,13,FALSE)),"",VLOOKUP(A492,'[1]Craig Eval'!A:M,13,FALSE))</f>
        <v/>
      </c>
      <c r="K492" s="17">
        <v>2</v>
      </c>
    </row>
    <row r="493" spans="1:11" ht="30" x14ac:dyDescent="0.25">
      <c r="A493" s="3" t="s">
        <v>1005</v>
      </c>
      <c r="B493" s="4" t="s">
        <v>1006</v>
      </c>
      <c r="C493" s="14">
        <v>1953</v>
      </c>
      <c r="D493" s="6" t="s">
        <v>28</v>
      </c>
      <c r="E493" s="6" t="s">
        <v>17</v>
      </c>
      <c r="F493" s="7">
        <v>38653</v>
      </c>
      <c r="G493" s="8">
        <f t="shared" si="7"/>
        <v>38653</v>
      </c>
      <c r="H493" s="6" t="s">
        <v>13</v>
      </c>
      <c r="I493" s="9" t="str">
        <f>IF(ISNA(VLOOKUP(A493,'[1]Craig Eval'!A:C,3,FALSE)),"",(VLOOKUP(A493,'[1]Craig Eval'!A:C,3,FALSE))*1000)</f>
        <v/>
      </c>
      <c r="J493" s="10" t="str">
        <f>IF(ISNA(VLOOKUP(A493,'[1]Craig Eval'!A:M,13,FALSE)),"",VLOOKUP(A493,'[1]Craig Eval'!A:M,13,FALSE))</f>
        <v/>
      </c>
      <c r="K493" s="17">
        <v>4</v>
      </c>
    </row>
    <row r="494" spans="1:11" ht="30" x14ac:dyDescent="0.25">
      <c r="A494" s="26" t="s">
        <v>1007</v>
      </c>
      <c r="B494" s="27" t="s">
        <v>1008</v>
      </c>
      <c r="C494" s="34">
        <v>1598</v>
      </c>
      <c r="D494" s="28" t="s">
        <v>31</v>
      </c>
      <c r="E494" s="28" t="s">
        <v>17</v>
      </c>
      <c r="F494" s="29">
        <v>25569</v>
      </c>
      <c r="G494" s="30">
        <f t="shared" si="7"/>
        <v>25569</v>
      </c>
      <c r="H494" s="28" t="s">
        <v>13</v>
      </c>
      <c r="I494" s="31">
        <f>IF(ISNA(VLOOKUP(A494,'[1]Craig Eval'!A:C,3,FALSE)),"",(VLOOKUP(A494,'[1]Craig Eval'!A:C,3,FALSE))*1000)</f>
        <v>36410.4642030877</v>
      </c>
      <c r="J494" s="32">
        <f>IF(ISNA(VLOOKUP(A494,'[1]Craig Eval'!A:M,13,FALSE)),"",VLOOKUP(A494,'[1]Craig Eval'!A:M,13,FALSE))</f>
        <v>102.18250963638199</v>
      </c>
      <c r="K494" s="33">
        <v>1</v>
      </c>
    </row>
    <row r="495" spans="1:11" ht="30" x14ac:dyDescent="0.25">
      <c r="A495" s="26" t="s">
        <v>1009</v>
      </c>
      <c r="B495" s="27" t="s">
        <v>1010</v>
      </c>
      <c r="C495" s="5">
        <v>1296</v>
      </c>
      <c r="D495" s="28" t="s">
        <v>31</v>
      </c>
      <c r="E495" s="28" t="s">
        <v>17</v>
      </c>
      <c r="F495" s="29">
        <v>29952</v>
      </c>
      <c r="G495" s="30">
        <f t="shared" si="7"/>
        <v>29952</v>
      </c>
      <c r="H495" s="28" t="s">
        <v>13</v>
      </c>
      <c r="I495" s="31">
        <f>IF(ISNA(VLOOKUP(A495,'[1]Craig Eval'!A:C,3,FALSE)),"",(VLOOKUP(A495,'[1]Craig Eval'!A:C,3,FALSE))*1000)</f>
        <v>72787.330639619599</v>
      </c>
      <c r="J495" s="32">
        <f>IF(ISNA(VLOOKUP(A495,'[1]Craig Eval'!A:M,13,FALSE)),"",VLOOKUP(A495,'[1]Craig Eval'!A:M,13,FALSE))</f>
        <v>196.36007183179001</v>
      </c>
      <c r="K495" s="33">
        <v>2</v>
      </c>
    </row>
    <row r="496" spans="1:11" ht="30" x14ac:dyDescent="0.25">
      <c r="A496" s="26" t="s">
        <v>1011</v>
      </c>
      <c r="B496" s="27" t="s">
        <v>1012</v>
      </c>
      <c r="C496" s="34">
        <v>1501</v>
      </c>
      <c r="D496" s="28" t="s">
        <v>28</v>
      </c>
      <c r="E496" s="28" t="s">
        <v>17</v>
      </c>
      <c r="F496" s="29">
        <v>28491</v>
      </c>
      <c r="G496" s="30">
        <f t="shared" si="7"/>
        <v>28491</v>
      </c>
      <c r="H496" s="28" t="s">
        <v>13</v>
      </c>
      <c r="I496" s="31">
        <f>IF(ISNA(VLOOKUP(A496,'[1]Craig Eval'!A:C,3,FALSE)),"",(VLOOKUP(A496,'[1]Craig Eval'!A:C,3,FALSE))*1000)</f>
        <v>203929.880147566</v>
      </c>
      <c r="J496" s="32">
        <f>IF(ISNA(VLOOKUP(A496,'[1]Craig Eval'!A:M,13,FALSE)),"",VLOOKUP(A496,'[1]Craig Eval'!A:M,13,FALSE))</f>
        <v>506.87901331627</v>
      </c>
      <c r="K496" s="33">
        <v>2</v>
      </c>
    </row>
    <row r="497" spans="1:11" ht="30" x14ac:dyDescent="0.25">
      <c r="A497" s="3" t="s">
        <v>1013</v>
      </c>
      <c r="B497" s="4" t="s">
        <v>1014</v>
      </c>
      <c r="C497" s="5">
        <v>12496</v>
      </c>
      <c r="D497" s="6" t="s">
        <v>37</v>
      </c>
      <c r="E497" s="6" t="s">
        <v>38</v>
      </c>
      <c r="F497" s="7">
        <v>34463</v>
      </c>
      <c r="G497" s="8">
        <f t="shared" si="7"/>
        <v>34463</v>
      </c>
      <c r="H497" s="6" t="s">
        <v>39</v>
      </c>
      <c r="I497" s="9" t="str">
        <f>IF(ISNA(VLOOKUP(A497,'[1]Craig Eval'!A:C,3,FALSE)),"",(VLOOKUP(A497,'[1]Craig Eval'!A:C,3,FALSE))*1000)</f>
        <v/>
      </c>
      <c r="J497" s="10" t="str">
        <f>IF(ISNA(VLOOKUP(A497,'[1]Craig Eval'!A:M,13,FALSE)),"",VLOOKUP(A497,'[1]Craig Eval'!A:M,13,FALSE))</f>
        <v/>
      </c>
      <c r="K497" s="17">
        <v>2</v>
      </c>
    </row>
    <row r="498" spans="1:11" ht="30" x14ac:dyDescent="0.25">
      <c r="A498" s="3" t="s">
        <v>1015</v>
      </c>
      <c r="B498" s="4" t="s">
        <v>1016</v>
      </c>
      <c r="C498" s="5">
        <v>1800</v>
      </c>
      <c r="D498" s="6" t="s">
        <v>31</v>
      </c>
      <c r="E498" s="6" t="s">
        <v>17</v>
      </c>
      <c r="F498" s="7">
        <v>34759</v>
      </c>
      <c r="G498" s="8">
        <f t="shared" si="7"/>
        <v>34759</v>
      </c>
      <c r="H498" s="6" t="s">
        <v>13</v>
      </c>
      <c r="I498" s="9">
        <f>IF(ISNA(VLOOKUP(A498,'[1]Craig Eval'!A:C,3,FALSE)),"",(VLOOKUP(A498,'[1]Craig Eval'!A:C,3,FALSE))*1000)</f>
        <v>52536.9791510859</v>
      </c>
      <c r="J498" s="10">
        <f>IF(ISNA(VLOOKUP(A498,'[1]Craig Eval'!A:M,13,FALSE)),"",VLOOKUP(A498,'[1]Craig Eval'!A:M,13,FALSE))</f>
        <v>144.588820829583</v>
      </c>
      <c r="K498" s="17">
        <v>1</v>
      </c>
    </row>
    <row r="499" spans="1:11" ht="30" x14ac:dyDescent="0.25">
      <c r="A499" s="3" t="s">
        <v>1017</v>
      </c>
      <c r="B499" s="4" t="s">
        <v>1018</v>
      </c>
      <c r="C499" s="5">
        <v>15685</v>
      </c>
      <c r="D499" s="6" t="s">
        <v>31</v>
      </c>
      <c r="E499" s="6" t="s">
        <v>17</v>
      </c>
      <c r="F499" s="7">
        <v>30235</v>
      </c>
      <c r="G499" s="8">
        <f t="shared" si="7"/>
        <v>30235</v>
      </c>
      <c r="H499" s="6" t="s">
        <v>13</v>
      </c>
      <c r="I499" s="9">
        <f>IF(ISNA(VLOOKUP(A499,'[1]Craig Eval'!A:C,3,FALSE)),"",(VLOOKUP(A499,'[1]Craig Eval'!A:C,3,FALSE))*1000)</f>
        <v>41971.346544731605</v>
      </c>
      <c r="J499" s="10">
        <f>IF(ISNA(VLOOKUP(A499,'[1]Craig Eval'!A:M,13,FALSE)),"",VLOOKUP(A499,'[1]Craig Eval'!A:M,13,FALSE))</f>
        <v>116.941016889221</v>
      </c>
      <c r="K499" s="11">
        <v>1</v>
      </c>
    </row>
    <row r="500" spans="1:11" ht="30" x14ac:dyDescent="0.25">
      <c r="A500" s="3" t="s">
        <v>1019</v>
      </c>
      <c r="B500" s="4" t="s">
        <v>1020</v>
      </c>
      <c r="C500" s="5">
        <v>54553</v>
      </c>
      <c r="D500" s="6" t="s">
        <v>16</v>
      </c>
      <c r="E500" s="6" t="s">
        <v>17</v>
      </c>
      <c r="F500" s="7">
        <v>38504</v>
      </c>
      <c r="G500" s="8">
        <f t="shared" si="7"/>
        <v>38504</v>
      </c>
      <c r="H500" s="6" t="s">
        <v>13</v>
      </c>
      <c r="I500" s="9">
        <f>IF(ISNA(VLOOKUP(A500,'[1]Craig Eval'!A:C,3,FALSE)),"",(VLOOKUP(A500,'[1]Craig Eval'!A:C,3,FALSE))*1000)</f>
        <v>40107.171104757595</v>
      </c>
      <c r="J500" s="10">
        <f>IF(ISNA(VLOOKUP(A500,'[1]Craig Eval'!A:M,13,FALSE)),"",VLOOKUP(A500,'[1]Craig Eval'!A:M,13,FALSE))</f>
        <v>112.01050028982201</v>
      </c>
      <c r="K500" s="17">
        <v>1</v>
      </c>
    </row>
    <row r="501" spans="1:11" ht="30" x14ac:dyDescent="0.25">
      <c r="A501" s="3" t="s">
        <v>1021</v>
      </c>
      <c r="B501" s="4" t="s">
        <v>1022</v>
      </c>
      <c r="C501" s="5">
        <v>1048</v>
      </c>
      <c r="D501" s="6" t="s">
        <v>16</v>
      </c>
      <c r="E501" s="6" t="s">
        <v>17</v>
      </c>
      <c r="F501" s="7">
        <v>25569</v>
      </c>
      <c r="G501" s="8">
        <f t="shared" si="7"/>
        <v>25569</v>
      </c>
      <c r="H501" s="6" t="s">
        <v>13</v>
      </c>
      <c r="I501" s="9">
        <f>IF(ISNA(VLOOKUP(A501,'[1]Craig Eval'!A:C,3,FALSE)),"",(VLOOKUP(A501,'[1]Craig Eval'!A:C,3,FALSE))*1000)</f>
        <v>8700.561732108079</v>
      </c>
      <c r="J501" s="10">
        <f>IF(ISNA(VLOOKUP(A501,'[1]Craig Eval'!A:M,13,FALSE)),"",VLOOKUP(A501,'[1]Craig Eval'!A:M,13,FALSE))</f>
        <v>25.736920942201198</v>
      </c>
      <c r="K501" s="17">
        <v>1</v>
      </c>
    </row>
    <row r="502" spans="1:11" ht="30" x14ac:dyDescent="0.25">
      <c r="A502" s="3" t="s">
        <v>1023</v>
      </c>
      <c r="B502" s="4" t="s">
        <v>1024</v>
      </c>
      <c r="C502" s="5">
        <v>1293</v>
      </c>
      <c r="D502" s="6" t="s">
        <v>31</v>
      </c>
      <c r="E502" s="6" t="s">
        <v>17</v>
      </c>
      <c r="F502" s="7">
        <v>29221</v>
      </c>
      <c r="G502" s="8">
        <f t="shared" si="7"/>
        <v>29221</v>
      </c>
      <c r="H502" s="6" t="s">
        <v>13</v>
      </c>
      <c r="I502" s="9">
        <f>IF(ISNA(VLOOKUP(A502,'[1]Craig Eval'!A:C,3,FALSE)),"",(VLOOKUP(A502,'[1]Craig Eval'!A:C,3,FALSE))*1000)</f>
        <v>232513.10470902998</v>
      </c>
      <c r="J502" s="10">
        <f>IF(ISNA(VLOOKUP(A502,'[1]Craig Eval'!A:M,13,FALSE)),"",VLOOKUP(A502,'[1]Craig Eval'!A:M,13,FALSE))</f>
        <v>570.62767659602798</v>
      </c>
      <c r="K502" s="17">
        <v>4</v>
      </c>
    </row>
    <row r="503" spans="1:11" ht="30" x14ac:dyDescent="0.25">
      <c r="A503" s="3" t="s">
        <v>1025</v>
      </c>
      <c r="B503" s="4" t="s">
        <v>1026</v>
      </c>
      <c r="C503" s="5">
        <v>1700</v>
      </c>
      <c r="D503" s="6" t="s">
        <v>31</v>
      </c>
      <c r="E503" s="6" t="s">
        <v>17</v>
      </c>
      <c r="F503" s="7">
        <v>29221</v>
      </c>
      <c r="G503" s="8">
        <f t="shared" si="7"/>
        <v>29221</v>
      </c>
      <c r="H503" s="6" t="s">
        <v>13</v>
      </c>
      <c r="I503" s="9">
        <f>IF(ISNA(VLOOKUP(A503,'[1]Craig Eval'!A:C,3,FALSE)),"",(VLOOKUP(A503,'[1]Craig Eval'!A:C,3,FALSE))*1000)</f>
        <v>9819.6997737192087</v>
      </c>
      <c r="J503" s="10">
        <f>IF(ISNA(VLOOKUP(A503,'[1]Craig Eval'!A:M,13,FALSE)),"",VLOOKUP(A503,'[1]Craig Eval'!A:M,13,FALSE))</f>
        <v>28.952611043987201</v>
      </c>
      <c r="K503" s="17">
        <v>1</v>
      </c>
    </row>
    <row r="504" spans="1:11" ht="30" x14ac:dyDescent="0.25">
      <c r="A504" s="3" t="s">
        <v>1027</v>
      </c>
      <c r="B504" s="4" t="s">
        <v>1028</v>
      </c>
      <c r="C504" s="5">
        <v>1270</v>
      </c>
      <c r="D504" s="6" t="s">
        <v>16</v>
      </c>
      <c r="E504" s="6" t="s">
        <v>17</v>
      </c>
      <c r="F504" s="7">
        <v>25569</v>
      </c>
      <c r="G504" s="8">
        <f t="shared" si="7"/>
        <v>25569</v>
      </c>
      <c r="H504" s="6" t="s">
        <v>13</v>
      </c>
      <c r="I504" s="9">
        <f>IF(ISNA(VLOOKUP(A504,'[1]Craig Eval'!A:C,3,FALSE)),"",(VLOOKUP(A504,'[1]Craig Eval'!A:C,3,FALSE))*1000)</f>
        <v>34765.552787004504</v>
      </c>
      <c r="J504" s="10">
        <f>IF(ISNA(VLOOKUP(A504,'[1]Craig Eval'!A:M,13,FALSE)),"",VLOOKUP(A504,'[1]Craig Eval'!A:M,13,FALSE))</f>
        <v>97.786792558085295</v>
      </c>
      <c r="K504" s="17">
        <v>1</v>
      </c>
    </row>
    <row r="505" spans="1:11" ht="30" x14ac:dyDescent="0.25">
      <c r="A505" s="18" t="s">
        <v>1029</v>
      </c>
      <c r="B505" s="19" t="s">
        <v>1030</v>
      </c>
      <c r="C505" s="5">
        <v>1395</v>
      </c>
      <c r="D505" s="21" t="s">
        <v>31</v>
      </c>
      <c r="E505" s="21" t="s">
        <v>17</v>
      </c>
      <c r="F505" s="22">
        <v>29830</v>
      </c>
      <c r="G505" s="23">
        <f t="shared" si="7"/>
        <v>29830</v>
      </c>
      <c r="H505" s="21" t="s">
        <v>13</v>
      </c>
      <c r="I505" s="9">
        <v>1183000</v>
      </c>
      <c r="J505" s="24">
        <v>2400</v>
      </c>
      <c r="K505" s="25">
        <v>4</v>
      </c>
    </row>
    <row r="506" spans="1:11" ht="30" x14ac:dyDescent="0.25">
      <c r="A506" s="3" t="s">
        <v>1031</v>
      </c>
      <c r="B506" s="4" t="s">
        <v>1032</v>
      </c>
      <c r="C506" s="5">
        <v>17291</v>
      </c>
      <c r="D506" s="6" t="s">
        <v>16</v>
      </c>
      <c r="E506" s="6" t="s">
        <v>17</v>
      </c>
      <c r="F506" s="7">
        <v>33161</v>
      </c>
      <c r="G506" s="8">
        <f t="shared" si="7"/>
        <v>33161</v>
      </c>
      <c r="H506" s="6" t="s">
        <v>13</v>
      </c>
      <c r="I506" s="9">
        <f>IF(ISNA(VLOOKUP(A506,'[1]Craig Eval'!A:C,3,FALSE)),"",(VLOOKUP(A506,'[1]Craig Eval'!A:C,3,FALSE))*1000)</f>
        <v>6783.1955442503004</v>
      </c>
      <c r="J506" s="10">
        <f>IF(ISNA(VLOOKUP(A506,'[1]Craig Eval'!A:M,13,FALSE)),"",VLOOKUP(A506,'[1]Craig Eval'!A:M,13,FALSE))</f>
        <v>20.189621862903099</v>
      </c>
      <c r="K506" s="17">
        <v>1</v>
      </c>
    </row>
    <row r="507" spans="1:11" ht="30" x14ac:dyDescent="0.25">
      <c r="A507" s="3" t="s">
        <v>1033</v>
      </c>
      <c r="B507" s="4" t="s">
        <v>1034</v>
      </c>
      <c r="C507" s="5">
        <v>21121</v>
      </c>
      <c r="D507" s="6" t="s">
        <v>31</v>
      </c>
      <c r="E507" s="6" t="s">
        <v>17</v>
      </c>
      <c r="F507" s="7">
        <v>35142</v>
      </c>
      <c r="G507" s="8">
        <f t="shared" si="7"/>
        <v>35142</v>
      </c>
      <c r="H507" s="6" t="s">
        <v>13</v>
      </c>
      <c r="I507" s="9">
        <f>IF(ISNA(VLOOKUP(A507,'[1]Craig Eval'!A:C,3,FALSE)),"",(VLOOKUP(A507,'[1]Craig Eval'!A:C,3,FALSE))*1000)</f>
        <v>186300.278817774</v>
      </c>
      <c r="J507" s="10">
        <f>IF(ISNA(VLOOKUP(A507,'[1]Craig Eval'!A:M,13,FALSE)),"",VLOOKUP(A507,'[1]Craig Eval'!A:M,13,FALSE))</f>
        <v>466.98566739450001</v>
      </c>
      <c r="K507" s="17">
        <v>1</v>
      </c>
    </row>
    <row r="508" spans="1:11" ht="30" x14ac:dyDescent="0.25">
      <c r="A508" s="3" t="s">
        <v>1035</v>
      </c>
      <c r="B508" s="4" t="s">
        <v>1036</v>
      </c>
      <c r="C508" s="5">
        <v>18244</v>
      </c>
      <c r="D508" s="6" t="s">
        <v>31</v>
      </c>
      <c r="E508" s="6" t="s">
        <v>17</v>
      </c>
      <c r="F508" s="7">
        <v>24400</v>
      </c>
      <c r="G508" s="8">
        <f t="shared" si="7"/>
        <v>24400</v>
      </c>
      <c r="H508" s="6" t="s">
        <v>13</v>
      </c>
      <c r="I508" s="9">
        <f>IF(ISNA(VLOOKUP(A508,'[1]Craig Eval'!A:C,3,FALSE)),"",(VLOOKUP(A508,'[1]Craig Eval'!A:C,3,FALSE))*1000)</f>
        <v>26914.427824103099</v>
      </c>
      <c r="J508" s="10">
        <f>IF(ISNA(VLOOKUP(A508,'[1]Craig Eval'!A:M,13,FALSE)),"",VLOOKUP(A508,'[1]Craig Eval'!A:M,13,FALSE))</f>
        <v>76.597222571051901</v>
      </c>
      <c r="K508" s="17">
        <v>1</v>
      </c>
    </row>
    <row r="509" spans="1:11" ht="30" x14ac:dyDescent="0.25">
      <c r="A509" s="3" t="s">
        <v>1037</v>
      </c>
      <c r="B509" s="4" t="s">
        <v>1038</v>
      </c>
      <c r="C509" s="5">
        <v>77554</v>
      </c>
      <c r="D509" s="6" t="s">
        <v>11</v>
      </c>
      <c r="E509" s="6" t="s">
        <v>12</v>
      </c>
      <c r="F509" s="7">
        <v>38378</v>
      </c>
      <c r="G509" s="8">
        <f t="shared" si="7"/>
        <v>38378</v>
      </c>
      <c r="H509" s="6" t="s">
        <v>39</v>
      </c>
      <c r="I509" s="9" t="str">
        <f>IF(ISNA(VLOOKUP(A509,'[1]Craig Eval'!A:C,3,FALSE)),"",(VLOOKUP(A509,'[1]Craig Eval'!A:C,3,FALSE))*1000)</f>
        <v/>
      </c>
      <c r="J509" s="10" t="str">
        <f>IF(ISNA(VLOOKUP(A509,'[1]Craig Eval'!A:M,13,FALSE)),"",VLOOKUP(A509,'[1]Craig Eval'!A:M,13,FALSE))</f>
        <v/>
      </c>
      <c r="K509" s="17">
        <v>1</v>
      </c>
    </row>
    <row r="510" spans="1:11" ht="30" x14ac:dyDescent="0.25">
      <c r="A510" s="12" t="s">
        <v>1039</v>
      </c>
      <c r="B510" s="4" t="s">
        <v>1040</v>
      </c>
      <c r="C510" s="14">
        <v>1684</v>
      </c>
      <c r="D510" s="6" t="s">
        <v>34</v>
      </c>
      <c r="E510" s="6" t="s">
        <v>17</v>
      </c>
      <c r="F510" s="7">
        <v>24108</v>
      </c>
      <c r="G510" s="8">
        <f t="shared" si="7"/>
        <v>24108</v>
      </c>
      <c r="H510" s="6" t="s">
        <v>13</v>
      </c>
      <c r="I510" s="9" t="str">
        <f>IF(ISNA(VLOOKUP(A510,'[1]Craig Eval'!A:C,3,FALSE)),"",(VLOOKUP(A510,'[1]Craig Eval'!A:C,3,FALSE))*1000)</f>
        <v/>
      </c>
      <c r="J510" s="10" t="str">
        <f>IF(ISNA(VLOOKUP(A510,'[1]Craig Eval'!A:M,13,FALSE)),"",VLOOKUP(A510,'[1]Craig Eval'!A:M,13,FALSE))</f>
        <v/>
      </c>
      <c r="K510" s="17">
        <v>4</v>
      </c>
    </row>
    <row r="511" spans="1:11" ht="30" x14ac:dyDescent="0.25">
      <c r="A511" s="3" t="s">
        <v>1041</v>
      </c>
      <c r="B511" s="4" t="s">
        <v>1042</v>
      </c>
      <c r="C511" s="5">
        <v>1178</v>
      </c>
      <c r="D511" s="6" t="s">
        <v>16</v>
      </c>
      <c r="E511" s="6" t="s">
        <v>17</v>
      </c>
      <c r="F511" s="7">
        <v>42005</v>
      </c>
      <c r="G511" s="8">
        <f t="shared" si="7"/>
        <v>42005</v>
      </c>
      <c r="H511" s="6" t="s">
        <v>13</v>
      </c>
      <c r="I511" s="9">
        <f>IF(ISNA(VLOOKUP(A511,'[1]Craig Eval'!A:C,3,FALSE)),"",(VLOOKUP(A511,'[1]Craig Eval'!A:C,3,FALSE))*1000)</f>
        <v>26930.703975314402</v>
      </c>
      <c r="J511" s="10">
        <f>IF(ISNA(VLOOKUP(A511,'[1]Craig Eval'!A:M,13,FALSE)),"",VLOOKUP(A511,'[1]Craig Eval'!A:M,13,FALSE))</f>
        <v>76.641532724673795</v>
      </c>
      <c r="K511" s="17">
        <v>1</v>
      </c>
    </row>
    <row r="512" spans="1:11" ht="30" x14ac:dyDescent="0.25">
      <c r="A512" s="3" t="s">
        <v>1043</v>
      </c>
      <c r="B512" s="4" t="s">
        <v>1044</v>
      </c>
      <c r="C512" s="5">
        <v>27553</v>
      </c>
      <c r="D512" s="6" t="s">
        <v>31</v>
      </c>
      <c r="E512" s="6" t="s">
        <v>17</v>
      </c>
      <c r="F512" s="7">
        <v>33023</v>
      </c>
      <c r="G512" s="8">
        <f t="shared" si="7"/>
        <v>33023</v>
      </c>
      <c r="H512" s="6" t="s">
        <v>13</v>
      </c>
      <c r="I512" s="9">
        <f>IF(ISNA(VLOOKUP(A512,'[1]Craig Eval'!A:C,3,FALSE)),"",(VLOOKUP(A512,'[1]Craig Eval'!A:C,3,FALSE))*1000)</f>
        <v>7163.6271897648694</v>
      </c>
      <c r="J512" s="10">
        <f>IF(ISNA(VLOOKUP(A512,'[1]Craig Eval'!A:M,13,FALSE)),"",VLOOKUP(A512,'[1]Craig Eval'!A:M,13,FALSE))</f>
        <v>21.294350982069801</v>
      </c>
      <c r="K512" s="17">
        <v>1</v>
      </c>
    </row>
    <row r="513" spans="1:11" ht="30" x14ac:dyDescent="0.25">
      <c r="A513" s="3" t="s">
        <v>1045</v>
      </c>
      <c r="B513" s="4" t="s">
        <v>1046</v>
      </c>
      <c r="C513" s="5">
        <v>159476</v>
      </c>
      <c r="D513" s="6" t="s">
        <v>31</v>
      </c>
      <c r="E513" s="6" t="s">
        <v>17</v>
      </c>
      <c r="F513" s="7">
        <v>41134</v>
      </c>
      <c r="G513" s="8">
        <f t="shared" si="7"/>
        <v>41134</v>
      </c>
      <c r="H513" s="6" t="s">
        <v>13</v>
      </c>
      <c r="I513" s="9">
        <f>IF(ISNA(VLOOKUP(A513,'[1]Craig Eval'!A:C,3,FALSE)),"",(VLOOKUP(A513,'[1]Craig Eval'!A:C,3,FALSE))*1000)</f>
        <v>1828.9983079267899</v>
      </c>
      <c r="J513" s="10">
        <f>IF(ISNA(VLOOKUP(A513,'[1]Craig Eval'!A:M,13,FALSE)),"",VLOOKUP(A513,'[1]Craig Eval'!A:M,13,FALSE))</f>
        <v>5.5702329921930502</v>
      </c>
      <c r="K513" s="17">
        <v>1</v>
      </c>
    </row>
    <row r="514" spans="1:11" ht="30" x14ac:dyDescent="0.25">
      <c r="A514" s="3" t="s">
        <v>1047</v>
      </c>
      <c r="B514" s="4" t="s">
        <v>1048</v>
      </c>
      <c r="C514" s="5">
        <v>199844</v>
      </c>
      <c r="D514" s="6" t="s">
        <v>16</v>
      </c>
      <c r="E514" s="6" t="s">
        <v>17</v>
      </c>
      <c r="F514" s="7">
        <v>32874</v>
      </c>
      <c r="G514" s="8">
        <f t="shared" ref="G514:G577" si="8">F514</f>
        <v>32874</v>
      </c>
      <c r="H514" s="6" t="s">
        <v>13</v>
      </c>
      <c r="I514" s="9" t="str">
        <f>IF(ISNA(VLOOKUP(A514,'[1]Craig Eval'!A:C,3,FALSE)),"",(VLOOKUP(A514,'[1]Craig Eval'!A:C,3,FALSE))*1000)</f>
        <v/>
      </c>
      <c r="J514" s="10" t="str">
        <f>IF(ISNA(VLOOKUP(A514,'[1]Craig Eval'!A:M,13,FALSE)),"",VLOOKUP(A514,'[1]Craig Eval'!A:M,13,FALSE))</f>
        <v/>
      </c>
      <c r="K514" s="17">
        <v>2</v>
      </c>
    </row>
    <row r="515" spans="1:11" ht="30" x14ac:dyDescent="0.25">
      <c r="A515" s="3" t="s">
        <v>1049</v>
      </c>
      <c r="B515" s="4" t="s">
        <v>1050</v>
      </c>
      <c r="C515" s="5">
        <v>1200</v>
      </c>
      <c r="D515" s="6" t="s">
        <v>16</v>
      </c>
      <c r="E515" s="6" t="s">
        <v>17</v>
      </c>
      <c r="F515" s="7">
        <v>29221</v>
      </c>
      <c r="G515" s="8">
        <f t="shared" si="8"/>
        <v>29221</v>
      </c>
      <c r="H515" s="6" t="s">
        <v>13</v>
      </c>
      <c r="I515" s="9" t="str">
        <f>IF(ISNA(VLOOKUP(A515,'[1]Craig Eval'!A:C,3,FALSE)),"",(VLOOKUP(A515,'[1]Craig Eval'!A:C,3,FALSE))*1000)</f>
        <v/>
      </c>
      <c r="J515" s="10" t="str">
        <f>IF(ISNA(VLOOKUP(A515,'[1]Craig Eval'!A:M,13,FALSE)),"",VLOOKUP(A515,'[1]Craig Eval'!A:M,13,FALSE))</f>
        <v/>
      </c>
      <c r="K515" s="17">
        <v>1</v>
      </c>
    </row>
    <row r="516" spans="1:11" ht="30" x14ac:dyDescent="0.25">
      <c r="A516" s="3" t="s">
        <v>1051</v>
      </c>
      <c r="B516" s="4" t="s">
        <v>1052</v>
      </c>
      <c r="C516" s="5">
        <v>1064</v>
      </c>
      <c r="D516" s="6" t="s">
        <v>16</v>
      </c>
      <c r="E516" s="6" t="s">
        <v>17</v>
      </c>
      <c r="F516" s="7">
        <v>31048</v>
      </c>
      <c r="G516" s="8">
        <f t="shared" si="8"/>
        <v>31048</v>
      </c>
      <c r="H516" s="6" t="s">
        <v>13</v>
      </c>
      <c r="I516" s="9" t="str">
        <f>IF(ISNA(VLOOKUP(A516,'[1]Craig Eval'!A:C,3,FALSE)),"",(VLOOKUP(A516,'[1]Craig Eval'!A:C,3,FALSE))*1000)</f>
        <v/>
      </c>
      <c r="J516" s="10" t="str">
        <f>IF(ISNA(VLOOKUP(A516,'[1]Craig Eval'!A:M,13,FALSE)),"",VLOOKUP(A516,'[1]Craig Eval'!A:M,13,FALSE))</f>
        <v/>
      </c>
      <c r="K516" s="17">
        <v>2</v>
      </c>
    </row>
    <row r="517" spans="1:11" ht="30" x14ac:dyDescent="0.25">
      <c r="A517" s="3" t="s">
        <v>1053</v>
      </c>
      <c r="B517" s="4" t="s">
        <v>1054</v>
      </c>
      <c r="C517" s="14">
        <v>1999</v>
      </c>
      <c r="D517" s="6" t="s">
        <v>31</v>
      </c>
      <c r="E517" s="6" t="s">
        <v>17</v>
      </c>
      <c r="F517" s="7">
        <v>29952</v>
      </c>
      <c r="G517" s="8">
        <f t="shared" si="8"/>
        <v>29952</v>
      </c>
      <c r="H517" s="6" t="s">
        <v>13</v>
      </c>
      <c r="I517" s="9">
        <f>IF(ISNA(VLOOKUP(A517,'[1]Craig Eval'!A:C,3,FALSE)),"",(VLOOKUP(A517,'[1]Craig Eval'!A:C,3,FALSE))*1000)</f>
        <v>49834.591643349595</v>
      </c>
      <c r="J517" s="10">
        <f>IF(ISNA(VLOOKUP(A517,'[1]Craig Eval'!A:M,13,FALSE)),"",VLOOKUP(A517,'[1]Craig Eval'!A:M,13,FALSE))</f>
        <v>137.563059309751</v>
      </c>
      <c r="K517" s="17">
        <v>1</v>
      </c>
    </row>
    <row r="518" spans="1:11" ht="30" x14ac:dyDescent="0.25">
      <c r="A518" s="3" t="s">
        <v>1055</v>
      </c>
      <c r="B518" s="4" t="s">
        <v>1056</v>
      </c>
      <c r="C518" s="5">
        <v>52369</v>
      </c>
      <c r="D518" s="6" t="s">
        <v>34</v>
      </c>
      <c r="E518" s="6" t="s">
        <v>17</v>
      </c>
      <c r="F518" s="7">
        <v>38814</v>
      </c>
      <c r="G518" s="8">
        <f t="shared" si="8"/>
        <v>38814</v>
      </c>
      <c r="H518" s="6" t="s">
        <v>13</v>
      </c>
      <c r="I518" s="9" t="str">
        <f>IF(ISNA(VLOOKUP(A518,'[1]Craig Eval'!A:C,3,FALSE)),"",(VLOOKUP(A518,'[1]Craig Eval'!A:C,3,FALSE))*1000)</f>
        <v/>
      </c>
      <c r="J518" s="10" t="str">
        <f>IF(ISNA(VLOOKUP(A518,'[1]Craig Eval'!A:M,13,FALSE)),"",VLOOKUP(A518,'[1]Craig Eval'!A:M,13,FALSE))</f>
        <v/>
      </c>
      <c r="K518" s="17">
        <v>1</v>
      </c>
    </row>
    <row r="519" spans="1:11" ht="30" x14ac:dyDescent="0.25">
      <c r="A519" s="3" t="s">
        <v>1057</v>
      </c>
      <c r="B519" s="4" t="s">
        <v>1058</v>
      </c>
      <c r="C519" s="5">
        <v>54554</v>
      </c>
      <c r="D519" s="6" t="s">
        <v>31</v>
      </c>
      <c r="E519" s="6" t="s">
        <v>17</v>
      </c>
      <c r="F519" s="7">
        <v>37082</v>
      </c>
      <c r="G519" s="8">
        <f t="shared" si="8"/>
        <v>37082</v>
      </c>
      <c r="H519" s="6" t="s">
        <v>13</v>
      </c>
      <c r="I519" s="9" t="str">
        <f>IF(ISNA(VLOOKUP(A519,'[1]Craig Eval'!A:C,3,FALSE)),"",(VLOOKUP(A519,'[1]Craig Eval'!A:C,3,FALSE))*1000)</f>
        <v/>
      </c>
      <c r="J519" s="10" t="str">
        <f>IF(ISNA(VLOOKUP(A519,'[1]Craig Eval'!A:M,13,FALSE)),"",VLOOKUP(A519,'[1]Craig Eval'!A:M,13,FALSE))</f>
        <v/>
      </c>
      <c r="K519" s="17">
        <v>1</v>
      </c>
    </row>
    <row r="520" spans="1:11" x14ac:dyDescent="0.25">
      <c r="A520" s="12" t="s">
        <v>1059</v>
      </c>
      <c r="B520" s="4" t="s">
        <v>1060</v>
      </c>
      <c r="C520" s="5">
        <v>1457</v>
      </c>
      <c r="D520" s="6" t="s">
        <v>31</v>
      </c>
      <c r="E520" s="6" t="s">
        <v>17</v>
      </c>
      <c r="F520" s="7">
        <v>29952</v>
      </c>
      <c r="G520" s="8">
        <f t="shared" si="8"/>
        <v>29952</v>
      </c>
      <c r="H520" s="6" t="s">
        <v>13</v>
      </c>
      <c r="I520" s="9" t="str">
        <f>IF(ISNA(VLOOKUP(A520,'[1]Craig Eval'!A:C,3,FALSE)),"",(VLOOKUP(A520,'[1]Craig Eval'!A:C,3,FALSE))*1000)</f>
        <v/>
      </c>
      <c r="J520" s="10" t="str">
        <f>IF(ISNA(VLOOKUP(A520,'[1]Craig Eval'!A:M,13,FALSE)),"",VLOOKUP(A520,'[1]Craig Eval'!A:M,13,FALSE))</f>
        <v/>
      </c>
      <c r="K520" s="17">
        <v>4</v>
      </c>
    </row>
    <row r="521" spans="1:11" ht="30" x14ac:dyDescent="0.25">
      <c r="A521" s="18" t="s">
        <v>1061</v>
      </c>
      <c r="B521" s="19" t="s">
        <v>1062</v>
      </c>
      <c r="C521" s="5">
        <v>1874</v>
      </c>
      <c r="D521" s="21" t="s">
        <v>31</v>
      </c>
      <c r="E521" s="21" t="s">
        <v>17</v>
      </c>
      <c r="F521" s="22">
        <v>29221</v>
      </c>
      <c r="G521" s="23">
        <f t="shared" si="8"/>
        <v>29221</v>
      </c>
      <c r="H521" s="21" t="s">
        <v>13</v>
      </c>
      <c r="I521" s="9">
        <f>IF(ISNA(VLOOKUP(A521,'[1]Craig Eval'!A:C,3,FALSE)),"",(VLOOKUP(A521,'[1]Craig Eval'!A:C,3,FALSE))*1000)</f>
        <v>1817.3502986194601</v>
      </c>
      <c r="J521" s="24">
        <f>IF(ISNA(VLOOKUP(A521,'[1]Craig Eval'!A:M,13,FALSE)),"",VLOOKUP(A521,'[1]Craig Eval'!A:M,13,FALSE))</f>
        <v>5.5352045749505496</v>
      </c>
      <c r="K521" s="25">
        <v>1</v>
      </c>
    </row>
    <row r="522" spans="1:11" ht="30" x14ac:dyDescent="0.25">
      <c r="A522" s="3" t="s">
        <v>1063</v>
      </c>
      <c r="B522" s="4" t="s">
        <v>1064</v>
      </c>
      <c r="C522" s="14">
        <v>1539</v>
      </c>
      <c r="D522" s="6" t="s">
        <v>28</v>
      </c>
      <c r="E522" s="6" t="s">
        <v>17</v>
      </c>
      <c r="F522" s="7">
        <v>37928</v>
      </c>
      <c r="G522" s="8">
        <f t="shared" si="8"/>
        <v>37928</v>
      </c>
      <c r="H522" s="6" t="s">
        <v>13</v>
      </c>
      <c r="I522" s="9">
        <f>IF(ISNA(VLOOKUP(A522,'[1]Craig Eval'!A:C,3,FALSE)),"",(VLOOKUP(A522,'[1]Craig Eval'!A:C,3,FALSE))*1000)</f>
        <v>235075.72782733999</v>
      </c>
      <c r="J522" s="10">
        <f>IF(ISNA(VLOOKUP(A522,'[1]Craig Eval'!A:M,13,FALSE)),"",VLOOKUP(A522,'[1]Craig Eval'!A:M,13,FALSE))</f>
        <v>576.29030860388104</v>
      </c>
      <c r="K522" s="17">
        <v>2</v>
      </c>
    </row>
    <row r="523" spans="1:11" ht="30" x14ac:dyDescent="0.25">
      <c r="A523" s="3" t="s">
        <v>1065</v>
      </c>
      <c r="B523" s="4" t="s">
        <v>1066</v>
      </c>
      <c r="C523" s="5">
        <v>1849</v>
      </c>
      <c r="D523" s="6" t="s">
        <v>16</v>
      </c>
      <c r="E523" s="6" t="s">
        <v>17</v>
      </c>
      <c r="F523" s="7">
        <v>36354</v>
      </c>
      <c r="G523" s="8">
        <f t="shared" si="8"/>
        <v>36354</v>
      </c>
      <c r="H523" s="6" t="s">
        <v>13</v>
      </c>
      <c r="I523" s="9" t="str">
        <f>IF(ISNA(VLOOKUP(A523,'[1]Craig Eval'!A:C,3,FALSE)),"",(VLOOKUP(A523,'[1]Craig Eval'!A:C,3,FALSE))*1000)</f>
        <v/>
      </c>
      <c r="J523" s="10" t="str">
        <f>IF(ISNA(VLOOKUP(A523,'[1]Craig Eval'!A:M,13,FALSE)),"",VLOOKUP(A523,'[1]Craig Eval'!A:M,13,FALSE))</f>
        <v/>
      </c>
      <c r="K523" s="17">
        <v>2</v>
      </c>
    </row>
    <row r="524" spans="1:11" ht="30" x14ac:dyDescent="0.25">
      <c r="A524" s="3" t="s">
        <v>1067</v>
      </c>
      <c r="B524" s="4" t="s">
        <v>1068</v>
      </c>
      <c r="C524" s="14">
        <v>185412</v>
      </c>
      <c r="D524" s="6" t="s">
        <v>11</v>
      </c>
      <c r="E524" s="6" t="s">
        <v>17</v>
      </c>
      <c r="F524" s="7">
        <v>36982</v>
      </c>
      <c r="G524" s="8">
        <f t="shared" si="8"/>
        <v>36982</v>
      </c>
      <c r="H524" s="6" t="s">
        <v>13</v>
      </c>
      <c r="I524" s="9" t="str">
        <f>IF(ISNA(VLOOKUP(A524,'[1]Craig Eval'!A:C,3,FALSE)),"",(VLOOKUP(A524,'[1]Craig Eval'!A:C,3,FALSE))*1000)</f>
        <v/>
      </c>
      <c r="J524" s="10" t="str">
        <f>IF(ISNA(VLOOKUP(A524,'[1]Craig Eval'!A:M,13,FALSE)),"",VLOOKUP(A524,'[1]Craig Eval'!A:M,13,FALSE))</f>
        <v/>
      </c>
      <c r="K524" s="17">
        <v>2</v>
      </c>
    </row>
    <row r="525" spans="1:11" ht="30" x14ac:dyDescent="0.25">
      <c r="A525" s="3" t="s">
        <v>1069</v>
      </c>
      <c r="B525" s="4" t="s">
        <v>1070</v>
      </c>
      <c r="C525" s="5">
        <v>54556</v>
      </c>
      <c r="D525" s="6" t="s">
        <v>11</v>
      </c>
      <c r="E525" s="6" t="s">
        <v>12</v>
      </c>
      <c r="F525" s="7">
        <v>39518</v>
      </c>
      <c r="G525" s="8">
        <f t="shared" si="8"/>
        <v>39518</v>
      </c>
      <c r="H525" s="6" t="s">
        <v>13</v>
      </c>
      <c r="I525" s="9" t="str">
        <f>IF(ISNA(VLOOKUP(A525,'[1]Craig Eval'!A:C,3,FALSE)),"",(VLOOKUP(A525,'[1]Craig Eval'!A:C,3,FALSE))*1000)</f>
        <v/>
      </c>
      <c r="J525" s="10" t="str">
        <f>IF(ISNA(VLOOKUP(A525,'[1]Craig Eval'!A:M,13,FALSE)),"",VLOOKUP(A525,'[1]Craig Eval'!A:M,13,FALSE))</f>
        <v/>
      </c>
      <c r="K525" s="17">
        <v>1</v>
      </c>
    </row>
    <row r="526" spans="1:11" ht="30" x14ac:dyDescent="0.25">
      <c r="A526" s="3" t="s">
        <v>1071</v>
      </c>
      <c r="B526" s="4" t="s">
        <v>1072</v>
      </c>
      <c r="C526" s="5">
        <v>1354</v>
      </c>
      <c r="D526" s="6" t="s">
        <v>31</v>
      </c>
      <c r="E526" s="6" t="s">
        <v>17</v>
      </c>
      <c r="F526" s="7">
        <v>29221</v>
      </c>
      <c r="G526" s="8">
        <f t="shared" si="8"/>
        <v>29221</v>
      </c>
      <c r="H526" s="6" t="s">
        <v>13</v>
      </c>
      <c r="I526" s="9">
        <f>IF(ISNA(VLOOKUP(A526,'[1]Craig Eval'!A:C,3,FALSE)),"",(VLOOKUP(A526,'[1]Craig Eval'!A:C,3,FALSE))*1000)</f>
        <v>12917.560241303199</v>
      </c>
      <c r="J526" s="10">
        <f>IF(ISNA(VLOOKUP(A526,'[1]Craig Eval'!A:M,13,FALSE)),"",VLOOKUP(A526,'[1]Craig Eval'!A:M,13,FALSE))</f>
        <v>37.778873354057197</v>
      </c>
      <c r="K526" s="17">
        <v>1</v>
      </c>
    </row>
    <row r="527" spans="1:11" ht="30" x14ac:dyDescent="0.25">
      <c r="A527" s="3" t="s">
        <v>1073</v>
      </c>
      <c r="B527" s="4" t="s">
        <v>1074</v>
      </c>
      <c r="C527" s="14">
        <v>1244</v>
      </c>
      <c r="D527" s="6" t="s">
        <v>28</v>
      </c>
      <c r="E527" s="6" t="s">
        <v>17</v>
      </c>
      <c r="F527" s="7">
        <v>33604</v>
      </c>
      <c r="G527" s="8">
        <f t="shared" si="8"/>
        <v>33604</v>
      </c>
      <c r="H527" s="6" t="s">
        <v>13</v>
      </c>
      <c r="I527" s="9">
        <f>IF(ISNA(VLOOKUP(A527,'[1]Craig Eval'!A:C,3,FALSE)),"",(VLOOKUP(A527,'[1]Craig Eval'!A:C,3,FALSE))*1000)</f>
        <v>21392.085201018202</v>
      </c>
      <c r="J527" s="10">
        <f>IF(ISNA(VLOOKUP(A527,'[1]Craig Eval'!A:M,13,FALSE)),"",VLOOKUP(A527,'[1]Craig Eval'!A:M,13,FALSE))</f>
        <v>61.461299970710698</v>
      </c>
      <c r="K527" s="17">
        <v>2</v>
      </c>
    </row>
    <row r="528" spans="1:11" ht="30" x14ac:dyDescent="0.25">
      <c r="A528" s="26" t="s">
        <v>1075</v>
      </c>
      <c r="B528" s="27" t="s">
        <v>1076</v>
      </c>
      <c r="C528" s="34">
        <v>9602</v>
      </c>
      <c r="D528" s="28" t="s">
        <v>11</v>
      </c>
      <c r="E528" s="28" t="s">
        <v>17</v>
      </c>
      <c r="F528" s="29">
        <v>35642</v>
      </c>
      <c r="G528" s="30">
        <f t="shared" si="8"/>
        <v>35642</v>
      </c>
      <c r="H528" s="28" t="s">
        <v>13</v>
      </c>
      <c r="I528" s="31" t="str">
        <f>IF(ISNA(VLOOKUP(A528,'[1]Craig Eval'!A:C,3,FALSE)),"",(VLOOKUP(A528,'[1]Craig Eval'!A:C,3,FALSE))*1000)</f>
        <v/>
      </c>
      <c r="J528" s="32" t="str">
        <f>IF(ISNA(VLOOKUP(A528,'[1]Craig Eval'!A:M,13,FALSE)),"",VLOOKUP(A528,'[1]Craig Eval'!A:M,13,FALSE))</f>
        <v/>
      </c>
      <c r="K528" s="33">
        <v>1</v>
      </c>
    </row>
    <row r="529" spans="1:11" ht="30" x14ac:dyDescent="0.25">
      <c r="A529" s="3" t="s">
        <v>1077</v>
      </c>
      <c r="B529" s="4" t="s">
        <v>1078</v>
      </c>
      <c r="C529" s="5">
        <v>1699</v>
      </c>
      <c r="D529" s="6" t="s">
        <v>31</v>
      </c>
      <c r="E529" s="6" t="s">
        <v>17</v>
      </c>
      <c r="F529" s="7">
        <v>29221</v>
      </c>
      <c r="G529" s="8">
        <f t="shared" si="8"/>
        <v>29221</v>
      </c>
      <c r="H529" s="6" t="s">
        <v>13</v>
      </c>
      <c r="I529" s="9">
        <f>IF(ISNA(VLOOKUP(A529,'[1]Craig Eval'!A:C,3,FALSE)),"",(VLOOKUP(A529,'[1]Craig Eval'!A:C,3,FALSE))*1000)</f>
        <v>179287.60662021401</v>
      </c>
      <c r="J529" s="10">
        <f>IF(ISNA(VLOOKUP(A529,'[1]Craig Eval'!A:M,13,FALSE)),"",VLOOKUP(A529,'[1]Craig Eval'!A:M,13,FALSE))</f>
        <v>450.98579019654699</v>
      </c>
      <c r="K529" s="17">
        <v>1</v>
      </c>
    </row>
    <row r="530" spans="1:11" ht="30" x14ac:dyDescent="0.25">
      <c r="A530" s="3" t="s">
        <v>1079</v>
      </c>
      <c r="B530" s="4" t="s">
        <v>1080</v>
      </c>
      <c r="C530" s="14">
        <v>2018</v>
      </c>
      <c r="D530" s="6" t="s">
        <v>16</v>
      </c>
      <c r="E530" s="6" t="s">
        <v>17</v>
      </c>
      <c r="F530" s="7">
        <v>29221</v>
      </c>
      <c r="G530" s="8">
        <f t="shared" si="8"/>
        <v>29221</v>
      </c>
      <c r="H530" s="6" t="s">
        <v>13</v>
      </c>
      <c r="I530" s="9" t="str">
        <f>IF(ISNA(VLOOKUP(A530,'[1]Craig Eval'!A:C,3,FALSE)),"",(VLOOKUP(A530,'[1]Craig Eval'!A:C,3,FALSE))*1000)</f>
        <v/>
      </c>
      <c r="J530" s="10" t="str">
        <f>IF(ISNA(VLOOKUP(A530,'[1]Craig Eval'!A:M,13,FALSE)),"",VLOOKUP(A530,'[1]Craig Eval'!A:M,13,FALSE))</f>
        <v/>
      </c>
      <c r="K530" s="17">
        <v>2</v>
      </c>
    </row>
    <row r="531" spans="1:11" ht="30" x14ac:dyDescent="0.25">
      <c r="A531" s="26" t="s">
        <v>1081</v>
      </c>
      <c r="B531" s="27" t="s">
        <v>1082</v>
      </c>
      <c r="C531" s="34">
        <v>12801</v>
      </c>
      <c r="D531" s="28" t="s">
        <v>31</v>
      </c>
      <c r="E531" s="28" t="s">
        <v>17</v>
      </c>
      <c r="F531" s="29">
        <v>36614</v>
      </c>
      <c r="G531" s="30">
        <f t="shared" si="8"/>
        <v>36614</v>
      </c>
      <c r="H531" s="28" t="s">
        <v>13</v>
      </c>
      <c r="I531" s="31" t="str">
        <f>IF(ISNA(VLOOKUP(A531,'[1]Craig Eval'!A:C,3,FALSE)),"",(VLOOKUP(A531,'[1]Craig Eval'!A:C,3,FALSE))*1000)</f>
        <v/>
      </c>
      <c r="J531" s="32" t="str">
        <f>IF(ISNA(VLOOKUP(A531,'[1]Craig Eval'!A:M,13,FALSE)),"",VLOOKUP(A531,'[1]Craig Eval'!A:M,13,FALSE))</f>
        <v/>
      </c>
      <c r="K531" s="33">
        <v>1</v>
      </c>
    </row>
    <row r="532" spans="1:11" ht="30" x14ac:dyDescent="0.25">
      <c r="A532" s="3" t="s">
        <v>1083</v>
      </c>
      <c r="B532" s="4" t="s">
        <v>1084</v>
      </c>
      <c r="C532" s="5">
        <v>23043</v>
      </c>
      <c r="D532" s="6" t="s">
        <v>31</v>
      </c>
      <c r="E532" s="6" t="s">
        <v>17</v>
      </c>
      <c r="F532" s="7">
        <v>32357</v>
      </c>
      <c r="G532" s="8">
        <f t="shared" si="8"/>
        <v>32357</v>
      </c>
      <c r="H532" s="6" t="s">
        <v>13</v>
      </c>
      <c r="I532" s="9" t="str">
        <f>IF(ISNA(VLOOKUP(A532,'[1]Craig Eval'!A:C,3,FALSE)),"",(VLOOKUP(A532,'[1]Craig Eval'!A:C,3,FALSE))*1000)</f>
        <v/>
      </c>
      <c r="J532" s="10" t="str">
        <f>IF(ISNA(VLOOKUP(A532,'[1]Craig Eval'!A:M,13,FALSE)),"",VLOOKUP(A532,'[1]Craig Eval'!A:M,13,FALSE))</f>
        <v/>
      </c>
      <c r="K532" s="17">
        <v>1</v>
      </c>
    </row>
    <row r="533" spans="1:11" ht="30" x14ac:dyDescent="0.25">
      <c r="A533" s="3" t="s">
        <v>1085</v>
      </c>
      <c r="B533" s="4" t="s">
        <v>1086</v>
      </c>
      <c r="C533" s="5">
        <v>1116</v>
      </c>
      <c r="D533" s="6" t="s">
        <v>28</v>
      </c>
      <c r="E533" s="6" t="s">
        <v>17</v>
      </c>
      <c r="F533" s="7">
        <v>34335</v>
      </c>
      <c r="G533" s="8">
        <f t="shared" si="8"/>
        <v>34335</v>
      </c>
      <c r="H533" s="6" t="s">
        <v>13</v>
      </c>
      <c r="I533" s="9">
        <f>IF(ISNA(VLOOKUP(A533,'[1]Craig Eval'!A:C,3,FALSE)),"",(VLOOKUP(A533,'[1]Craig Eval'!A:C,3,FALSE))*1000)</f>
        <v>20452.016234930197</v>
      </c>
      <c r="J533" s="10">
        <f>IF(ISNA(VLOOKUP(A533,'[1]Craig Eval'!A:M,13,FALSE)),"",VLOOKUP(A533,'[1]Craig Eval'!A:M,13,FALSE))</f>
        <v>58.863249619793997</v>
      </c>
      <c r="K533" s="17">
        <v>1</v>
      </c>
    </row>
    <row r="534" spans="1:11" ht="30" x14ac:dyDescent="0.25">
      <c r="A534" s="3" t="s">
        <v>1087</v>
      </c>
      <c r="B534" s="4" t="s">
        <v>1088</v>
      </c>
      <c r="C534" s="5">
        <v>2062</v>
      </c>
      <c r="D534" s="6" t="s">
        <v>34</v>
      </c>
      <c r="E534" s="6" t="s">
        <v>17</v>
      </c>
      <c r="F534" s="7">
        <v>29221</v>
      </c>
      <c r="G534" s="8">
        <f t="shared" si="8"/>
        <v>29221</v>
      </c>
      <c r="H534" s="6" t="s">
        <v>13</v>
      </c>
      <c r="I534" s="9">
        <f>IF(ISNA(VLOOKUP(A534,'[1]Craig Eval'!A:C,3,FALSE)),"",(VLOOKUP(A534,'[1]Craig Eval'!A:C,3,FALSE))*1000)</f>
        <v>21340.737199454503</v>
      </c>
      <c r="J534" s="10">
        <f>IF(ISNA(VLOOKUP(A534,'[1]Craig Eval'!A:M,13,FALSE)),"",VLOOKUP(A534,'[1]Craig Eval'!A:M,13,FALSE))</f>
        <v>61.319560331810898</v>
      </c>
      <c r="K534" s="17">
        <v>2</v>
      </c>
    </row>
    <row r="535" spans="1:11" ht="30" x14ac:dyDescent="0.25">
      <c r="A535" s="3" t="s">
        <v>1089</v>
      </c>
      <c r="B535" s="4" t="s">
        <v>1090</v>
      </c>
      <c r="C535" s="5">
        <v>52937</v>
      </c>
      <c r="D535" s="6" t="s">
        <v>34</v>
      </c>
      <c r="E535" s="6" t="s">
        <v>17</v>
      </c>
      <c r="F535" s="7">
        <v>38950</v>
      </c>
      <c r="G535" s="8">
        <f t="shared" si="8"/>
        <v>38950</v>
      </c>
      <c r="H535" s="6" t="s">
        <v>13</v>
      </c>
      <c r="I535" s="9" t="str">
        <f>IF(ISNA(VLOOKUP(A535,'[1]Craig Eval'!A:C,3,FALSE)),"",(VLOOKUP(A535,'[1]Craig Eval'!A:C,3,FALSE))*1000)</f>
        <v/>
      </c>
      <c r="J535" s="10" t="str">
        <f>IF(ISNA(VLOOKUP(A535,'[1]Craig Eval'!A:M,13,FALSE)),"",VLOOKUP(A535,'[1]Craig Eval'!A:M,13,FALSE))</f>
        <v/>
      </c>
      <c r="K535" s="17">
        <v>1</v>
      </c>
    </row>
    <row r="536" spans="1:11" ht="30" x14ac:dyDescent="0.25">
      <c r="A536" s="3" t="s">
        <v>1091</v>
      </c>
      <c r="B536" s="4" t="s">
        <v>1092</v>
      </c>
      <c r="C536" s="14">
        <v>72175</v>
      </c>
      <c r="D536" s="6" t="s">
        <v>11</v>
      </c>
      <c r="E536" s="6" t="s">
        <v>17</v>
      </c>
      <c r="F536" s="7">
        <v>39133</v>
      </c>
      <c r="G536" s="8">
        <f t="shared" si="8"/>
        <v>39133</v>
      </c>
      <c r="H536" s="6" t="s">
        <v>13</v>
      </c>
      <c r="I536" s="9" t="str">
        <f>IF(ISNA(VLOOKUP(A536,'[1]Craig Eval'!A:C,3,FALSE)),"",(VLOOKUP(A536,'[1]Craig Eval'!A:C,3,FALSE))*1000)</f>
        <v/>
      </c>
      <c r="J536" s="10" t="str">
        <f>IF(ISNA(VLOOKUP(A536,'[1]Craig Eval'!A:M,13,FALSE)),"",VLOOKUP(A536,'[1]Craig Eval'!A:M,13,FALSE))</f>
        <v/>
      </c>
      <c r="K536" s="17">
        <v>3</v>
      </c>
    </row>
    <row r="537" spans="1:11" ht="30" x14ac:dyDescent="0.25">
      <c r="A537" s="3" t="s">
        <v>1093</v>
      </c>
      <c r="B537" s="4" t="s">
        <v>1094</v>
      </c>
      <c r="C537" s="5">
        <v>72174</v>
      </c>
      <c r="D537" s="6" t="s">
        <v>11</v>
      </c>
      <c r="E537" s="6" t="s">
        <v>12</v>
      </c>
      <c r="F537" s="7">
        <v>37915</v>
      </c>
      <c r="G537" s="8">
        <f t="shared" si="8"/>
        <v>37915</v>
      </c>
      <c r="H537" s="6" t="s">
        <v>39</v>
      </c>
      <c r="I537" s="9" t="str">
        <f>IF(ISNA(VLOOKUP(A537,'[1]Craig Eval'!A:C,3,FALSE)),"",(VLOOKUP(A537,'[1]Craig Eval'!A:C,3,FALSE))*1000)</f>
        <v/>
      </c>
      <c r="J537" s="10" t="str">
        <f>IF(ISNA(VLOOKUP(A537,'[1]Craig Eval'!A:M,13,FALSE)),"",VLOOKUP(A537,'[1]Craig Eval'!A:M,13,FALSE))</f>
        <v/>
      </c>
      <c r="K537" s="17">
        <v>2</v>
      </c>
    </row>
    <row r="538" spans="1:11" ht="30" x14ac:dyDescent="0.25">
      <c r="A538" s="3" t="s">
        <v>1095</v>
      </c>
      <c r="B538" s="4" t="s">
        <v>1096</v>
      </c>
      <c r="C538" s="14">
        <v>1301</v>
      </c>
      <c r="D538" s="6" t="s">
        <v>16</v>
      </c>
      <c r="E538" s="6" t="s">
        <v>17</v>
      </c>
      <c r="F538" s="7">
        <v>19725</v>
      </c>
      <c r="G538" s="8">
        <f t="shared" si="8"/>
        <v>19725</v>
      </c>
      <c r="H538" s="6" t="s">
        <v>13</v>
      </c>
      <c r="I538" s="9">
        <f>IF(ISNA(VLOOKUP(A538,'[1]Craig Eval'!A:C,3,FALSE)),"",(VLOOKUP(A538,'[1]Craig Eval'!A:C,3,FALSE))*1000)</f>
        <v>452573.02317189402</v>
      </c>
      <c r="J538" s="10">
        <f>IF(ISNA(VLOOKUP(A538,'[1]Craig Eval'!A:M,13,FALSE)),"",VLOOKUP(A538,'[1]Craig Eval'!A:M,13,FALSE))</f>
        <v>1032.3780951917699</v>
      </c>
      <c r="K538" s="17">
        <v>4</v>
      </c>
    </row>
    <row r="539" spans="1:11" ht="30" x14ac:dyDescent="0.25">
      <c r="A539" s="3" t="s">
        <v>1097</v>
      </c>
      <c r="B539" s="4" t="s">
        <v>1098</v>
      </c>
      <c r="C539" s="5">
        <v>54557</v>
      </c>
      <c r="D539" s="6" t="s">
        <v>28</v>
      </c>
      <c r="E539" s="6" t="s">
        <v>17</v>
      </c>
      <c r="F539" s="7">
        <v>39518</v>
      </c>
      <c r="G539" s="8">
        <f t="shared" si="8"/>
        <v>39518</v>
      </c>
      <c r="H539" s="6" t="s">
        <v>13</v>
      </c>
      <c r="I539" s="9">
        <f>IF(ISNA(VLOOKUP(A539,'[1]Craig Eval'!A:C,3,FALSE)),"",(VLOOKUP(A539,'[1]Craig Eval'!A:C,3,FALSE))*1000)</f>
        <v>17063.598242047199</v>
      </c>
      <c r="J539" s="10">
        <f>IF(ISNA(VLOOKUP(A539,'[1]Craig Eval'!A:M,13,FALSE)),"",VLOOKUP(A539,'[1]Craig Eval'!A:M,13,FALSE))</f>
        <v>49.441619006730903</v>
      </c>
      <c r="K539" s="11">
        <v>1</v>
      </c>
    </row>
    <row r="540" spans="1:11" ht="30" x14ac:dyDescent="0.25">
      <c r="A540" s="3" t="s">
        <v>1099</v>
      </c>
      <c r="B540" s="4" t="s">
        <v>1100</v>
      </c>
      <c r="C540" s="14">
        <v>1652</v>
      </c>
      <c r="D540" s="6" t="s">
        <v>28</v>
      </c>
      <c r="E540" s="6" t="s">
        <v>17</v>
      </c>
      <c r="F540" s="7">
        <v>36446</v>
      </c>
      <c r="G540" s="8">
        <f t="shared" si="8"/>
        <v>36446</v>
      </c>
      <c r="H540" s="6" t="s">
        <v>13</v>
      </c>
      <c r="I540" s="9">
        <f>IF(ISNA(VLOOKUP(A540,'[1]Craig Eval'!A:C,3,FALSE)),"",(VLOOKUP(A540,'[1]Craig Eval'!A:C,3,FALSE))*1000)</f>
        <v>39250.8127019842</v>
      </c>
      <c r="J540" s="10">
        <f>IF(ISNA(VLOOKUP(A540,'[1]Craig Eval'!A:M,13,FALSE)),"",VLOOKUP(A540,'[1]Craig Eval'!A:M,13,FALSE))</f>
        <v>109.73989002064501</v>
      </c>
      <c r="K540" s="17">
        <v>1</v>
      </c>
    </row>
    <row r="541" spans="1:11" ht="30" x14ac:dyDescent="0.25">
      <c r="A541" s="3" t="s">
        <v>1101</v>
      </c>
      <c r="B541" s="4" t="s">
        <v>1102</v>
      </c>
      <c r="C541" s="5">
        <v>1374</v>
      </c>
      <c r="D541" s="6" t="s">
        <v>28</v>
      </c>
      <c r="E541" s="6" t="s">
        <v>17</v>
      </c>
      <c r="F541" s="7">
        <v>32509</v>
      </c>
      <c r="G541" s="8">
        <f t="shared" si="8"/>
        <v>32509</v>
      </c>
      <c r="H541" s="6" t="s">
        <v>13</v>
      </c>
      <c r="I541" s="9">
        <f>IF(ISNA(VLOOKUP(A541,'[1]Craig Eval'!A:C,3,FALSE)),"",(VLOOKUP(A541,'[1]Craig Eval'!A:C,3,FALSE))*1000)</f>
        <v>62795.299294773104</v>
      </c>
      <c r="J541" s="10">
        <f>IF(ISNA(VLOOKUP(A541,'[1]Craig Eval'!A:M,13,FALSE)),"",VLOOKUP(A541,'[1]Craig Eval'!A:M,13,FALSE))</f>
        <v>170.998176125886</v>
      </c>
      <c r="K541" s="17">
        <v>1</v>
      </c>
    </row>
    <row r="542" spans="1:11" ht="30" x14ac:dyDescent="0.25">
      <c r="A542" s="3" t="s">
        <v>1103</v>
      </c>
      <c r="B542" s="4" t="s">
        <v>1104</v>
      </c>
      <c r="C542" s="5">
        <v>10891</v>
      </c>
      <c r="D542" s="6" t="s">
        <v>28</v>
      </c>
      <c r="E542" s="6" t="s">
        <v>17</v>
      </c>
      <c r="F542" s="7">
        <v>37804</v>
      </c>
      <c r="G542" s="8">
        <f t="shared" si="8"/>
        <v>37804</v>
      </c>
      <c r="H542" s="6" t="s">
        <v>13</v>
      </c>
      <c r="I542" s="9">
        <f>IF(ISNA(VLOOKUP(A542,'[1]Craig Eval'!A:C,3,FALSE)),"",(VLOOKUP(A542,'[1]Craig Eval'!A:C,3,FALSE))*1000)</f>
        <v>13237.7509350369</v>
      </c>
      <c r="J542" s="10">
        <f>IF(ISNA(VLOOKUP(A542,'[1]Craig Eval'!A:M,13,FALSE)),"",VLOOKUP(A542,'[1]Craig Eval'!A:M,13,FALSE))</f>
        <v>38.685356846100298</v>
      </c>
      <c r="K542" s="17">
        <v>1</v>
      </c>
    </row>
    <row r="543" spans="1:11" ht="30" x14ac:dyDescent="0.25">
      <c r="A543" s="3" t="s">
        <v>1105</v>
      </c>
      <c r="B543" s="4" t="s">
        <v>1106</v>
      </c>
      <c r="C543" s="5">
        <v>12811</v>
      </c>
      <c r="D543" s="6" t="s">
        <v>34</v>
      </c>
      <c r="E543" s="6" t="s">
        <v>17</v>
      </c>
      <c r="F543" s="7">
        <v>38153</v>
      </c>
      <c r="G543" s="8">
        <f t="shared" si="8"/>
        <v>38153</v>
      </c>
      <c r="H543" s="6" t="s">
        <v>13</v>
      </c>
      <c r="I543" s="9" t="str">
        <f>IF(ISNA(VLOOKUP(A543,'[1]Craig Eval'!A:C,3,FALSE)),"",(VLOOKUP(A543,'[1]Craig Eval'!A:C,3,FALSE))*1000)</f>
        <v/>
      </c>
      <c r="J543" s="10" t="str">
        <f>IF(ISNA(VLOOKUP(A543,'[1]Craig Eval'!A:M,13,FALSE)),"",VLOOKUP(A543,'[1]Craig Eval'!A:M,13,FALSE))</f>
        <v/>
      </c>
      <c r="K543" s="17">
        <v>1</v>
      </c>
    </row>
    <row r="544" spans="1:11" ht="30" x14ac:dyDescent="0.25">
      <c r="A544" s="3" t="s">
        <v>1107</v>
      </c>
      <c r="B544" s="4" t="s">
        <v>1108</v>
      </c>
      <c r="C544" s="5">
        <v>1779</v>
      </c>
      <c r="D544" s="6" t="s">
        <v>28</v>
      </c>
      <c r="E544" s="6" t="s">
        <v>17</v>
      </c>
      <c r="F544" s="7">
        <v>35796</v>
      </c>
      <c r="G544" s="8">
        <f t="shared" si="8"/>
        <v>35796</v>
      </c>
      <c r="H544" s="6" t="s">
        <v>13</v>
      </c>
      <c r="I544" s="9">
        <f>IF(ISNA(VLOOKUP(A544,'[1]Craig Eval'!A:C,3,FALSE)),"",(VLOOKUP(A544,'[1]Craig Eval'!A:C,3,FALSE))*1000)</f>
        <v>5681.5572482971302</v>
      </c>
      <c r="J544" s="10">
        <f>IF(ISNA(VLOOKUP(A544,'[1]Craig Eval'!A:M,13,FALSE)),"",VLOOKUP(A544,'[1]Craig Eval'!A:M,13,FALSE))</f>
        <v>16.978246039378998</v>
      </c>
      <c r="K544" s="17">
        <v>1</v>
      </c>
    </row>
    <row r="545" spans="1:11" ht="30" x14ac:dyDescent="0.25">
      <c r="A545" s="3" t="s">
        <v>1109</v>
      </c>
      <c r="B545" s="4" t="s">
        <v>1110</v>
      </c>
      <c r="C545" s="5">
        <v>1998</v>
      </c>
      <c r="D545" s="6" t="s">
        <v>31</v>
      </c>
      <c r="E545" s="6" t="s">
        <v>17</v>
      </c>
      <c r="F545" s="7">
        <v>29221</v>
      </c>
      <c r="G545" s="8">
        <f t="shared" si="8"/>
        <v>29221</v>
      </c>
      <c r="H545" s="6" t="s">
        <v>13</v>
      </c>
      <c r="I545" s="9">
        <f>IF(ISNA(VLOOKUP(A545,'[1]Craig Eval'!A:C,3,FALSE)),"",(VLOOKUP(A545,'[1]Craig Eval'!A:C,3,FALSE))*1000)</f>
        <v>75870.917260051792</v>
      </c>
      <c r="J545" s="10">
        <f>IF(ISNA(VLOOKUP(A545,'[1]Craig Eval'!A:M,13,FALSE)),"",VLOOKUP(A545,'[1]Craig Eval'!A:M,13,FALSE))</f>
        <v>204.12069532643099</v>
      </c>
      <c r="K545" s="17">
        <v>2</v>
      </c>
    </row>
    <row r="546" spans="1:11" ht="30" x14ac:dyDescent="0.25">
      <c r="A546" s="3" t="s">
        <v>1111</v>
      </c>
      <c r="B546" s="4" t="s">
        <v>1112</v>
      </c>
      <c r="C546" s="5">
        <v>1070</v>
      </c>
      <c r="D546" s="6" t="s">
        <v>31</v>
      </c>
      <c r="E546" s="6" t="s">
        <v>17</v>
      </c>
      <c r="F546" s="7">
        <v>29221</v>
      </c>
      <c r="G546" s="8">
        <f t="shared" si="8"/>
        <v>29221</v>
      </c>
      <c r="H546" s="6" t="s">
        <v>13</v>
      </c>
      <c r="I546" s="9">
        <f>IF(ISNA(VLOOKUP(A546,'[1]Craig Eval'!A:C,3,FALSE)),"",(VLOOKUP(A546,'[1]Craig Eval'!A:C,3,FALSE))*1000)</f>
        <v>31096.502797137797</v>
      </c>
      <c r="J546" s="10">
        <f>IF(ISNA(VLOOKUP(A546,'[1]Craig Eval'!A:M,13,FALSE)),"",VLOOKUP(A546,'[1]Craig Eval'!A:M,13,FALSE))</f>
        <v>87.928894682200706</v>
      </c>
      <c r="K546" s="17">
        <v>1</v>
      </c>
    </row>
    <row r="547" spans="1:11" ht="30" x14ac:dyDescent="0.25">
      <c r="A547" s="3" t="s">
        <v>1113</v>
      </c>
      <c r="B547" s="4" t="s">
        <v>1114</v>
      </c>
      <c r="C547" s="14">
        <v>54559</v>
      </c>
      <c r="D547" s="6" t="s">
        <v>11</v>
      </c>
      <c r="E547" s="6" t="s">
        <v>12</v>
      </c>
      <c r="F547" s="7">
        <v>38022</v>
      </c>
      <c r="G547" s="8">
        <f t="shared" si="8"/>
        <v>38022</v>
      </c>
      <c r="H547" s="6" t="s">
        <v>39</v>
      </c>
      <c r="I547" s="9" t="str">
        <f>IF(ISNA(VLOOKUP(A547,'[1]Craig Eval'!A:C,3,FALSE)),"",(VLOOKUP(A547,'[1]Craig Eval'!A:C,3,FALSE))*1000)</f>
        <v/>
      </c>
      <c r="J547" s="10" t="str">
        <f>IF(ISNA(VLOOKUP(A547,'[1]Craig Eval'!A:M,13,FALSE)),"",VLOOKUP(A547,'[1]Craig Eval'!A:M,13,FALSE))</f>
        <v/>
      </c>
      <c r="K547" s="17">
        <v>1</v>
      </c>
    </row>
    <row r="548" spans="1:11" ht="30" x14ac:dyDescent="0.25">
      <c r="A548" s="3" t="s">
        <v>1115</v>
      </c>
      <c r="B548" s="4" t="s">
        <v>1116</v>
      </c>
      <c r="C548" s="5">
        <v>54558</v>
      </c>
      <c r="D548" s="6" t="s">
        <v>11</v>
      </c>
      <c r="E548" s="6" t="s">
        <v>12</v>
      </c>
      <c r="F548" s="7">
        <v>38022</v>
      </c>
      <c r="G548" s="8">
        <f t="shared" si="8"/>
        <v>38022</v>
      </c>
      <c r="H548" s="6" t="s">
        <v>39</v>
      </c>
      <c r="I548" s="9" t="str">
        <f>IF(ISNA(VLOOKUP(A548,'[1]Craig Eval'!A:C,3,FALSE)),"",(VLOOKUP(A548,'[1]Craig Eval'!A:C,3,FALSE))*1000)</f>
        <v/>
      </c>
      <c r="J548" s="10" t="str">
        <f>IF(ISNA(VLOOKUP(A548,'[1]Craig Eval'!A:M,13,FALSE)),"",VLOOKUP(A548,'[1]Craig Eval'!A:M,13,FALSE))</f>
        <v/>
      </c>
      <c r="K548" s="17">
        <v>1</v>
      </c>
    </row>
    <row r="549" spans="1:11" ht="30" x14ac:dyDescent="0.25">
      <c r="A549" s="3" t="s">
        <v>1117</v>
      </c>
      <c r="B549" s="4" t="s">
        <v>1118</v>
      </c>
      <c r="C549" s="5">
        <v>1782</v>
      </c>
      <c r="D549" s="6" t="s">
        <v>28</v>
      </c>
      <c r="E549" s="6" t="s">
        <v>17</v>
      </c>
      <c r="F549" s="7">
        <v>32143</v>
      </c>
      <c r="G549" s="8">
        <f t="shared" si="8"/>
        <v>32143</v>
      </c>
      <c r="H549" s="6" t="s">
        <v>13</v>
      </c>
      <c r="I549" s="9">
        <f>IF(ISNA(VLOOKUP(A549,'[1]Craig Eval'!A:C,3,FALSE)),"",(VLOOKUP(A549,'[1]Craig Eval'!A:C,3,FALSE))*1000)</f>
        <v>54467.322510376696</v>
      </c>
      <c r="J549" s="10">
        <f>IF(ISNA(VLOOKUP(A549,'[1]Craig Eval'!A:M,13,FALSE)),"",VLOOKUP(A549,'[1]Craig Eval'!A:M,13,FALSE))</f>
        <v>149.58924044569099</v>
      </c>
      <c r="K549" s="17">
        <v>1</v>
      </c>
    </row>
    <row r="550" spans="1:11" ht="30" x14ac:dyDescent="0.25">
      <c r="A550" s="3" t="s">
        <v>1119</v>
      </c>
      <c r="B550" s="4" t="s">
        <v>1120</v>
      </c>
      <c r="C550" s="5">
        <v>24017</v>
      </c>
      <c r="D550" s="6" t="s">
        <v>31</v>
      </c>
      <c r="E550" s="6" t="s">
        <v>17</v>
      </c>
      <c r="F550" s="7">
        <v>36369</v>
      </c>
      <c r="G550" s="8">
        <f t="shared" si="8"/>
        <v>36369</v>
      </c>
      <c r="H550" s="6" t="s">
        <v>13</v>
      </c>
      <c r="I550" s="9">
        <f>IF(ISNA(VLOOKUP(A550,'[1]Craig Eval'!A:C,3,FALSE)),"",(VLOOKUP(A550,'[1]Craig Eval'!A:C,3,FALSE))*1000)</f>
        <v>6075.3723635119104</v>
      </c>
      <c r="J550" s="10">
        <f>IF(ISNA(VLOOKUP(A550,'[1]Craig Eval'!A:M,13,FALSE)),"",VLOOKUP(A550,'[1]Craig Eval'!A:M,13,FALSE))</f>
        <v>18.1284306441087</v>
      </c>
      <c r="K550" s="17">
        <v>2</v>
      </c>
    </row>
    <row r="551" spans="1:11" ht="30" x14ac:dyDescent="0.25">
      <c r="A551" s="3" t="s">
        <v>1121</v>
      </c>
      <c r="B551" s="4" t="s">
        <v>1122</v>
      </c>
      <c r="C551" s="14">
        <v>1606</v>
      </c>
      <c r="D551" s="6" t="s">
        <v>16</v>
      </c>
      <c r="E551" s="6" t="s">
        <v>17</v>
      </c>
      <c r="F551" s="7">
        <v>32813</v>
      </c>
      <c r="G551" s="8">
        <f t="shared" si="8"/>
        <v>32813</v>
      </c>
      <c r="H551" s="6" t="s">
        <v>13</v>
      </c>
      <c r="I551" s="9">
        <f>IF(ISNA(VLOOKUP(A551,'[1]Craig Eval'!A:C,3,FALSE)),"",(VLOOKUP(A551,'[1]Craig Eval'!A:C,3,FALSE))*1000)</f>
        <v>17589.106418135401</v>
      </c>
      <c r="J551" s="10">
        <f>IF(ISNA(VLOOKUP(A551,'[1]Craig Eval'!A:M,13,FALSE)),"",VLOOKUP(A551,'[1]Craig Eval'!A:M,13,FALSE))</f>
        <v>50.908924689234198</v>
      </c>
      <c r="K551" s="17">
        <v>1</v>
      </c>
    </row>
    <row r="552" spans="1:11" ht="30" x14ac:dyDescent="0.25">
      <c r="A552" s="3" t="s">
        <v>1123</v>
      </c>
      <c r="B552" s="4" t="s">
        <v>1124</v>
      </c>
      <c r="C552" s="14">
        <v>21765</v>
      </c>
      <c r="D552" s="6" t="s">
        <v>31</v>
      </c>
      <c r="E552" s="6" t="s">
        <v>17</v>
      </c>
      <c r="F552" s="7">
        <v>31748</v>
      </c>
      <c r="G552" s="8">
        <f t="shared" si="8"/>
        <v>31748</v>
      </c>
      <c r="H552" s="6" t="s">
        <v>13</v>
      </c>
      <c r="I552" s="9">
        <f>IF(ISNA(VLOOKUP(A552,'[1]Craig Eval'!A:C,3,FALSE)),"",(VLOOKUP(A552,'[1]Craig Eval'!A:C,3,FALSE))*1000)</f>
        <v>59013.017623862601</v>
      </c>
      <c r="J552" s="10">
        <f>IF(ISNA(VLOOKUP(A552,'[1]Craig Eval'!A:M,13,FALSE)),"",VLOOKUP(A552,'[1]Craig Eval'!A:M,13,FALSE))</f>
        <v>161.307119932154</v>
      </c>
      <c r="K552" s="17">
        <v>1</v>
      </c>
    </row>
    <row r="553" spans="1:11" ht="30" x14ac:dyDescent="0.25">
      <c r="A553" s="3" t="s">
        <v>1125</v>
      </c>
      <c r="B553" s="4" t="s">
        <v>1126</v>
      </c>
      <c r="C553" s="5">
        <v>12809</v>
      </c>
      <c r="D553" s="6" t="s">
        <v>28</v>
      </c>
      <c r="E553" s="6" t="s">
        <v>17</v>
      </c>
      <c r="F553" s="7">
        <v>37761</v>
      </c>
      <c r="G553" s="8">
        <f t="shared" si="8"/>
        <v>37761</v>
      </c>
      <c r="H553" s="6" t="s">
        <v>13</v>
      </c>
      <c r="I553" s="9">
        <f>IF(ISNA(VLOOKUP(A553,'[1]Craig Eval'!A:C,3,FALSE)),"",(VLOOKUP(A553,'[1]Craig Eval'!A:C,3,FALSE))*1000)</f>
        <v>23313.784763662301</v>
      </c>
      <c r="J553" s="10">
        <f>IF(ISNA(VLOOKUP(A553,'[1]Craig Eval'!A:M,13,FALSE)),"",VLOOKUP(A553,'[1]Craig Eval'!A:M,13,FALSE))</f>
        <v>66.752187010595804</v>
      </c>
      <c r="K553" s="17">
        <v>1</v>
      </c>
    </row>
    <row r="554" spans="1:11" ht="30" x14ac:dyDescent="0.25">
      <c r="A554" s="3" t="s">
        <v>1127</v>
      </c>
      <c r="B554" s="4" t="s">
        <v>1128</v>
      </c>
      <c r="C554" s="5">
        <v>2036</v>
      </c>
      <c r="D554" s="6" t="s">
        <v>31</v>
      </c>
      <c r="E554" s="6" t="s">
        <v>17</v>
      </c>
      <c r="F554" s="7">
        <v>25569</v>
      </c>
      <c r="G554" s="8">
        <f t="shared" si="8"/>
        <v>25569</v>
      </c>
      <c r="H554" s="6" t="s">
        <v>13</v>
      </c>
      <c r="I554" s="9" t="str">
        <f>IF(ISNA(VLOOKUP(A554,'[1]Craig Eval'!A:C,3,FALSE)),"",(VLOOKUP(A554,'[1]Craig Eval'!A:C,3,FALSE))*1000)</f>
        <v/>
      </c>
      <c r="J554" s="10" t="str">
        <f>IF(ISNA(VLOOKUP(A554,'[1]Craig Eval'!A:M,13,FALSE)),"",VLOOKUP(A554,'[1]Craig Eval'!A:M,13,FALSE))</f>
        <v/>
      </c>
      <c r="K554" s="17">
        <v>1</v>
      </c>
    </row>
    <row r="555" spans="1:11" ht="30" x14ac:dyDescent="0.25">
      <c r="A555" s="3" t="s">
        <v>1129</v>
      </c>
      <c r="B555" s="4" t="s">
        <v>1130</v>
      </c>
      <c r="C555" s="5">
        <v>2028</v>
      </c>
      <c r="D555" s="6" t="s">
        <v>16</v>
      </c>
      <c r="E555" s="6" t="s">
        <v>17</v>
      </c>
      <c r="F555" s="7">
        <v>29221</v>
      </c>
      <c r="G555" s="8">
        <f t="shared" si="8"/>
        <v>29221</v>
      </c>
      <c r="H555" s="6" t="s">
        <v>13</v>
      </c>
      <c r="I555" s="9" t="str">
        <f>IF(ISNA(VLOOKUP(A555,'[1]Craig Eval'!A:C,3,FALSE)),"",(VLOOKUP(A555,'[1]Craig Eval'!A:C,3,FALSE))*1000)</f>
        <v/>
      </c>
      <c r="J555" s="10" t="str">
        <f>IF(ISNA(VLOOKUP(A555,'[1]Craig Eval'!A:M,13,FALSE)),"",VLOOKUP(A555,'[1]Craig Eval'!A:M,13,FALSE))</f>
        <v/>
      </c>
      <c r="K555" s="17">
        <v>1</v>
      </c>
    </row>
    <row r="556" spans="1:11" ht="30" x14ac:dyDescent="0.25">
      <c r="A556" s="3" t="s">
        <v>1131</v>
      </c>
      <c r="B556" s="4" t="s">
        <v>1132</v>
      </c>
      <c r="C556" s="14">
        <v>1487</v>
      </c>
      <c r="D556" s="6" t="s">
        <v>34</v>
      </c>
      <c r="E556" s="6" t="s">
        <v>17</v>
      </c>
      <c r="F556" s="7">
        <v>29221</v>
      </c>
      <c r="G556" s="8">
        <f t="shared" si="8"/>
        <v>29221</v>
      </c>
      <c r="H556" s="6" t="s">
        <v>13</v>
      </c>
      <c r="I556" s="9">
        <f>IF(ISNA(VLOOKUP(A556,'[1]Craig Eval'!A:C,3,FALSE)),"",(VLOOKUP(A556,'[1]Craig Eval'!A:C,3,FALSE))*1000)</f>
        <v>97196.746366930704</v>
      </c>
      <c r="J556" s="10">
        <f>IF(ISNA(VLOOKUP(A556,'[1]Craig Eval'!A:M,13,FALSE)),"",VLOOKUP(A556,'[1]Craig Eval'!A:M,13,FALSE))</f>
        <v>257.02648769543703</v>
      </c>
      <c r="K556" s="17">
        <v>2</v>
      </c>
    </row>
    <row r="557" spans="1:11" ht="30" x14ac:dyDescent="0.25">
      <c r="A557" s="3" t="s">
        <v>1133</v>
      </c>
      <c r="B557" s="4" t="s">
        <v>1134</v>
      </c>
      <c r="C557" s="5">
        <v>20801</v>
      </c>
      <c r="D557" s="6" t="s">
        <v>31</v>
      </c>
      <c r="E557" s="6" t="s">
        <v>17</v>
      </c>
      <c r="F557" s="7">
        <v>38504</v>
      </c>
      <c r="G557" s="8">
        <f t="shared" si="8"/>
        <v>38504</v>
      </c>
      <c r="H557" s="6" t="s">
        <v>13</v>
      </c>
      <c r="I557" s="9">
        <f>IF(ISNA(VLOOKUP(A557,'[1]Craig Eval'!A:C,3,FALSE)),"",(VLOOKUP(A557,'[1]Craig Eval'!A:C,3,FALSE))*1000)</f>
        <v>21731.6807053962</v>
      </c>
      <c r="J557" s="10">
        <f>IF(ISNA(VLOOKUP(A557,'[1]Craig Eval'!A:M,13,FALSE)),"",VLOOKUP(A557,'[1]Craig Eval'!A:M,13,FALSE))</f>
        <v>62.398222428893199</v>
      </c>
      <c r="K557" s="17">
        <v>1</v>
      </c>
    </row>
    <row r="558" spans="1:11" ht="30" x14ac:dyDescent="0.25">
      <c r="A558" s="3" t="s">
        <v>1135</v>
      </c>
      <c r="B558" s="4" t="s">
        <v>1136</v>
      </c>
      <c r="C558" s="5">
        <v>16963</v>
      </c>
      <c r="D558" s="6" t="s">
        <v>31</v>
      </c>
      <c r="E558" s="6" t="s">
        <v>17</v>
      </c>
      <c r="F558" s="7">
        <v>21100</v>
      </c>
      <c r="G558" s="8">
        <f t="shared" si="8"/>
        <v>21100</v>
      </c>
      <c r="H558" s="6" t="s">
        <v>13</v>
      </c>
      <c r="I558" s="9" t="str">
        <f>IF(ISNA(VLOOKUP(A558,'[1]Craig Eval'!A:C,3,FALSE)),"",(VLOOKUP(A558,'[1]Craig Eval'!A:C,3,FALSE))*1000)</f>
        <v/>
      </c>
      <c r="J558" s="10" t="str">
        <f>IF(ISNA(VLOOKUP(A558,'[1]Craig Eval'!A:M,13,FALSE)),"",VLOOKUP(A558,'[1]Craig Eval'!A:M,13,FALSE))</f>
        <v/>
      </c>
      <c r="K558" s="17">
        <v>1</v>
      </c>
    </row>
    <row r="559" spans="1:11" ht="30" x14ac:dyDescent="0.25">
      <c r="A559" s="3" t="s">
        <v>1137</v>
      </c>
      <c r="B559" s="4" t="s">
        <v>1138</v>
      </c>
      <c r="C559" s="14">
        <v>1573</v>
      </c>
      <c r="D559" s="6" t="s">
        <v>16</v>
      </c>
      <c r="E559" s="6" t="s">
        <v>17</v>
      </c>
      <c r="F559" s="7">
        <v>33521</v>
      </c>
      <c r="G559" s="8">
        <f t="shared" si="8"/>
        <v>33521</v>
      </c>
      <c r="H559" s="6" t="s">
        <v>13</v>
      </c>
      <c r="I559" s="9" t="str">
        <f>IF(ISNA(VLOOKUP(A559,'[1]Craig Eval'!A:C,3,FALSE)),"",(VLOOKUP(A559,'[1]Craig Eval'!A:C,3,FALSE))*1000)</f>
        <v/>
      </c>
      <c r="J559" s="10" t="str">
        <f>IF(ISNA(VLOOKUP(A559,'[1]Craig Eval'!A:M,13,FALSE)),"",VLOOKUP(A559,'[1]Craig Eval'!A:M,13,FALSE))</f>
        <v/>
      </c>
      <c r="K559" s="17">
        <v>3</v>
      </c>
    </row>
    <row r="560" spans="1:11" ht="30" x14ac:dyDescent="0.25">
      <c r="A560" s="3" t="s">
        <v>1139</v>
      </c>
      <c r="B560" s="4" t="s">
        <v>1140</v>
      </c>
      <c r="C560" s="5">
        <v>1698</v>
      </c>
      <c r="D560" s="6" t="s">
        <v>31</v>
      </c>
      <c r="E560" s="6" t="s">
        <v>17</v>
      </c>
      <c r="F560" s="7">
        <v>29221</v>
      </c>
      <c r="G560" s="8">
        <f t="shared" si="8"/>
        <v>29221</v>
      </c>
      <c r="H560" s="6" t="s">
        <v>13</v>
      </c>
      <c r="I560" s="9">
        <f>IF(ISNA(VLOOKUP(A560,'[1]Craig Eval'!A:C,3,FALSE)),"",(VLOOKUP(A560,'[1]Craig Eval'!A:C,3,FALSE))*1000)</f>
        <v>80887.439473087696</v>
      </c>
      <c r="J560" s="10">
        <f>IF(ISNA(VLOOKUP(A560,'[1]Craig Eval'!A:M,13,FALSE)),"",VLOOKUP(A560,'[1]Craig Eval'!A:M,13,FALSE))</f>
        <v>216.683275837694</v>
      </c>
      <c r="K560" s="17">
        <v>2</v>
      </c>
    </row>
    <row r="561" spans="1:11" ht="30" x14ac:dyDescent="0.25">
      <c r="A561" s="3" t="s">
        <v>1141</v>
      </c>
      <c r="B561" s="4" t="s">
        <v>1142</v>
      </c>
      <c r="C561" s="14">
        <v>52354</v>
      </c>
      <c r="D561" s="6" t="s">
        <v>31</v>
      </c>
      <c r="E561" s="6" t="s">
        <v>17</v>
      </c>
      <c r="F561" s="7">
        <v>36301</v>
      </c>
      <c r="G561" s="8">
        <f t="shared" si="8"/>
        <v>36301</v>
      </c>
      <c r="H561" s="6" t="s">
        <v>13</v>
      </c>
      <c r="I561" s="9">
        <f>IF(ISNA(VLOOKUP(A561,'[1]Craig Eval'!A:C,3,FALSE)),"",(VLOOKUP(A561,'[1]Craig Eval'!A:C,3,FALSE))*1000)</f>
        <v>26081.789310078002</v>
      </c>
      <c r="J561" s="10">
        <f>IF(ISNA(VLOOKUP(A561,'[1]Craig Eval'!A:M,13,FALSE)),"",VLOOKUP(A561,'[1]Craig Eval'!A:M,13,FALSE))</f>
        <v>74.328188109359502</v>
      </c>
      <c r="K561" s="17">
        <v>1</v>
      </c>
    </row>
    <row r="562" spans="1:11" ht="30" x14ac:dyDescent="0.25">
      <c r="A562" s="3" t="s">
        <v>1143</v>
      </c>
      <c r="B562" s="4" t="s">
        <v>1144</v>
      </c>
      <c r="C562" s="14">
        <v>1919</v>
      </c>
      <c r="D562" s="6" t="s">
        <v>31</v>
      </c>
      <c r="E562" s="6" t="s">
        <v>17</v>
      </c>
      <c r="F562" s="7">
        <v>29221</v>
      </c>
      <c r="G562" s="8">
        <f t="shared" si="8"/>
        <v>29221</v>
      </c>
      <c r="H562" s="6" t="s">
        <v>13</v>
      </c>
      <c r="I562" s="9">
        <f>IF(ISNA(VLOOKUP(A562,'[1]Craig Eval'!A:C,3,FALSE)),"",(VLOOKUP(A562,'[1]Craig Eval'!A:C,3,FALSE))*1000)</f>
        <v>128153.73443524701</v>
      </c>
      <c r="J562" s="10">
        <f>IF(ISNA(VLOOKUP(A562,'[1]Craig Eval'!A:M,13,FALSE)),"",VLOOKUP(A562,'[1]Craig Eval'!A:M,13,FALSE))</f>
        <v>331.771746101914</v>
      </c>
      <c r="K562" s="17">
        <v>3</v>
      </c>
    </row>
    <row r="563" spans="1:11" ht="30" x14ac:dyDescent="0.25">
      <c r="A563" s="3" t="s">
        <v>1145</v>
      </c>
      <c r="B563" s="4" t="s">
        <v>1146</v>
      </c>
      <c r="C563" s="5">
        <v>52385</v>
      </c>
      <c r="D563" s="6" t="s">
        <v>31</v>
      </c>
      <c r="E563" s="6" t="s">
        <v>17</v>
      </c>
      <c r="F563" s="7">
        <v>37378</v>
      </c>
      <c r="G563" s="8">
        <f t="shared" si="8"/>
        <v>37378</v>
      </c>
      <c r="H563" s="6" t="s">
        <v>13</v>
      </c>
      <c r="I563" s="9">
        <f>IF(ISNA(VLOOKUP(A563,'[1]Craig Eval'!A:C,3,FALSE)),"",(VLOOKUP(A563,'[1]Craig Eval'!A:C,3,FALSE))*1000)</f>
        <v>29745.635187837401</v>
      </c>
      <c r="J563" s="10">
        <f>IF(ISNA(VLOOKUP(A563,'[1]Craig Eval'!A:M,13,FALSE)),"",VLOOKUP(A563,'[1]Craig Eval'!A:M,13,FALSE))</f>
        <v>84.280124878187294</v>
      </c>
      <c r="K563" s="17">
        <v>2</v>
      </c>
    </row>
    <row r="564" spans="1:11" ht="30" x14ac:dyDescent="0.25">
      <c r="A564" s="3" t="s">
        <v>1147</v>
      </c>
      <c r="B564" s="4" t="s">
        <v>1148</v>
      </c>
      <c r="C564" s="5">
        <v>1056</v>
      </c>
      <c r="D564" s="6" t="s">
        <v>31</v>
      </c>
      <c r="E564" s="6" t="s">
        <v>17</v>
      </c>
      <c r="F564" s="7">
        <v>36858</v>
      </c>
      <c r="G564" s="8">
        <f t="shared" si="8"/>
        <v>36858</v>
      </c>
      <c r="H564" s="6" t="s">
        <v>13</v>
      </c>
      <c r="I564" s="9" t="str">
        <f>IF(ISNA(VLOOKUP(A564,'[1]Craig Eval'!A:C,3,FALSE)),"",(VLOOKUP(A564,'[1]Craig Eval'!A:C,3,FALSE))*1000)</f>
        <v/>
      </c>
      <c r="J564" s="10" t="str">
        <f>IF(ISNA(VLOOKUP(A564,'[1]Craig Eval'!A:M,13,FALSE)),"",VLOOKUP(A564,'[1]Craig Eval'!A:M,13,FALSE))</f>
        <v/>
      </c>
      <c r="K564" s="17">
        <v>1</v>
      </c>
    </row>
    <row r="565" spans="1:11" ht="30" x14ac:dyDescent="0.25">
      <c r="A565" s="3" t="s">
        <v>1149</v>
      </c>
      <c r="B565" s="4" t="s">
        <v>1150</v>
      </c>
      <c r="C565" s="5">
        <v>10888</v>
      </c>
      <c r="D565" s="6" t="s">
        <v>31</v>
      </c>
      <c r="E565" s="6" t="s">
        <v>17</v>
      </c>
      <c r="F565" s="7">
        <v>37819</v>
      </c>
      <c r="G565" s="8">
        <f t="shared" si="8"/>
        <v>37819</v>
      </c>
      <c r="H565" s="6" t="s">
        <v>13</v>
      </c>
      <c r="I565" s="9">
        <f>IF(ISNA(VLOOKUP(A565,'[1]Craig Eval'!A:C,3,FALSE)),"",(VLOOKUP(A565,'[1]Craig Eval'!A:C,3,FALSE))*1000)</f>
        <v>51680.824348315102</v>
      </c>
      <c r="J565" s="10">
        <f>IF(ISNA(VLOOKUP(A565,'[1]Craig Eval'!A:M,13,FALSE)),"",VLOOKUP(A565,'[1]Craig Eval'!A:M,13,FALSE))</f>
        <v>142.36620868037301</v>
      </c>
      <c r="K565" s="17">
        <v>2</v>
      </c>
    </row>
    <row r="566" spans="1:11" ht="30" x14ac:dyDescent="0.25">
      <c r="A566" s="3" t="s">
        <v>1151</v>
      </c>
      <c r="B566" s="4" t="s">
        <v>1152</v>
      </c>
      <c r="C566" s="46">
        <v>399645</v>
      </c>
      <c r="D566" s="6" t="s">
        <v>34</v>
      </c>
      <c r="E566" s="6" t="s">
        <v>17</v>
      </c>
      <c r="F566" s="7">
        <v>45721</v>
      </c>
      <c r="G566" s="8">
        <f t="shared" si="8"/>
        <v>45721</v>
      </c>
      <c r="H566" s="6" t="s">
        <v>13</v>
      </c>
      <c r="I566" s="9" t="str">
        <f>IF(ISNA(VLOOKUP(A566,'[1]Craig Eval'!A:C,3,FALSE)),"",(VLOOKUP(A566,'[1]Craig Eval'!A:C,3,FALSE))*1000)</f>
        <v/>
      </c>
      <c r="J566" s="10" t="str">
        <f>IF(ISNA(VLOOKUP(A566,'[1]Craig Eval'!A:M,13,FALSE)),"",VLOOKUP(A566,'[1]Craig Eval'!A:M,13,FALSE))</f>
        <v/>
      </c>
      <c r="K566" s="17">
        <v>3</v>
      </c>
    </row>
    <row r="567" spans="1:11" ht="30" x14ac:dyDescent="0.25">
      <c r="A567" s="3" t="s">
        <v>1153</v>
      </c>
      <c r="B567" s="4" t="s">
        <v>1154</v>
      </c>
      <c r="C567" s="14">
        <v>8327</v>
      </c>
      <c r="D567" s="6" t="s">
        <v>28</v>
      </c>
      <c r="E567" s="6" t="s">
        <v>17</v>
      </c>
      <c r="F567" s="7">
        <v>34607</v>
      </c>
      <c r="G567" s="8">
        <f t="shared" si="8"/>
        <v>34607</v>
      </c>
      <c r="H567" s="6" t="s">
        <v>13</v>
      </c>
      <c r="I567" s="9">
        <f>IF(ISNA(VLOOKUP(A567,'[1]Craig Eval'!A:C,3,FALSE)),"",(VLOOKUP(A567,'[1]Craig Eval'!A:C,3,FALSE))*1000)</f>
        <v>13762.916588096999</v>
      </c>
      <c r="J567" s="10">
        <f>IF(ISNA(VLOOKUP(A567,'[1]Craig Eval'!A:M,13,FALSE)),"",VLOOKUP(A567,'[1]Craig Eval'!A:M,13,FALSE))</f>
        <v>40.169940090195198</v>
      </c>
      <c r="K567" s="17">
        <v>2</v>
      </c>
    </row>
    <row r="568" spans="1:11" ht="30" x14ac:dyDescent="0.25">
      <c r="A568" s="3" t="s">
        <v>1155</v>
      </c>
      <c r="B568" s="4" t="s">
        <v>1156</v>
      </c>
      <c r="C568" s="14">
        <v>1154</v>
      </c>
      <c r="D568" s="6" t="s">
        <v>28</v>
      </c>
      <c r="E568" s="6" t="s">
        <v>17</v>
      </c>
      <c r="F568" s="7">
        <v>41190</v>
      </c>
      <c r="G568" s="8">
        <f t="shared" si="8"/>
        <v>41190</v>
      </c>
      <c r="H568" s="6" t="s">
        <v>13</v>
      </c>
      <c r="I568" s="9" t="str">
        <f>IF(ISNA(VLOOKUP(A568,'[1]Craig Eval'!A:C,3,FALSE)),"",(VLOOKUP(A568,'[1]Craig Eval'!A:C,3,FALSE))*1000)</f>
        <v/>
      </c>
      <c r="J568" s="10" t="str">
        <f>IF(ISNA(VLOOKUP(A568,'[1]Craig Eval'!A:M,13,FALSE)),"",VLOOKUP(A568,'[1]Craig Eval'!A:M,13,FALSE))</f>
        <v/>
      </c>
      <c r="K568" s="17">
        <v>4</v>
      </c>
    </row>
    <row r="569" spans="1:11" ht="30" x14ac:dyDescent="0.25">
      <c r="A569" s="3" t="s">
        <v>1157</v>
      </c>
      <c r="B569" s="4" t="s">
        <v>1158</v>
      </c>
      <c r="C569" s="5">
        <v>21763</v>
      </c>
      <c r="D569" s="6" t="s">
        <v>11</v>
      </c>
      <c r="E569" s="6" t="s">
        <v>12</v>
      </c>
      <c r="F569" s="7">
        <v>32143</v>
      </c>
      <c r="G569" s="8">
        <f t="shared" si="8"/>
        <v>32143</v>
      </c>
      <c r="H569" s="6" t="s">
        <v>39</v>
      </c>
      <c r="I569" s="9" t="str">
        <f>IF(ISNA(VLOOKUP(A569,'[1]Craig Eval'!A:C,3,FALSE)),"",(VLOOKUP(A569,'[1]Craig Eval'!A:C,3,FALSE))*1000)</f>
        <v/>
      </c>
      <c r="J569" s="10" t="str">
        <f>IF(ISNA(VLOOKUP(A569,'[1]Craig Eval'!A:M,13,FALSE)),"",VLOOKUP(A569,'[1]Craig Eval'!A:M,13,FALSE))</f>
        <v/>
      </c>
      <c r="K569" s="17">
        <v>1</v>
      </c>
    </row>
    <row r="570" spans="1:11" ht="30" x14ac:dyDescent="0.25">
      <c r="A570" s="3" t="s">
        <v>1159</v>
      </c>
      <c r="B570" s="4" t="s">
        <v>1160</v>
      </c>
      <c r="C570" s="14">
        <v>1279</v>
      </c>
      <c r="D570" s="6" t="s">
        <v>34</v>
      </c>
      <c r="E570" s="6" t="s">
        <v>17</v>
      </c>
      <c r="F570" s="7">
        <v>34957</v>
      </c>
      <c r="G570" s="8">
        <f t="shared" si="8"/>
        <v>34957</v>
      </c>
      <c r="H570" s="6" t="s">
        <v>13</v>
      </c>
      <c r="I570" s="9">
        <f>IF(ISNA(VLOOKUP(A570,'[1]Craig Eval'!A:C,3,FALSE)),"",(VLOOKUP(A570,'[1]Craig Eval'!A:C,3,FALSE))*1000)</f>
        <v>176213.68355383101</v>
      </c>
      <c r="J570" s="10">
        <f>IF(ISNA(VLOOKUP(A570,'[1]Craig Eval'!A:M,13,FALSE)),"",VLOOKUP(A570,'[1]Craig Eval'!A:M,13,FALSE))</f>
        <v>443.94791137306999</v>
      </c>
      <c r="K570" s="17">
        <v>4</v>
      </c>
    </row>
    <row r="571" spans="1:11" ht="30" x14ac:dyDescent="0.25">
      <c r="A571" s="3" t="s">
        <v>1161</v>
      </c>
      <c r="B571" s="4" t="s">
        <v>1162</v>
      </c>
      <c r="C571" s="5">
        <v>72142</v>
      </c>
      <c r="D571" s="6" t="s">
        <v>28</v>
      </c>
      <c r="E571" s="6" t="s">
        <v>17</v>
      </c>
      <c r="F571" s="7">
        <v>39341</v>
      </c>
      <c r="G571" s="8">
        <f t="shared" si="8"/>
        <v>39341</v>
      </c>
      <c r="H571" s="6" t="s">
        <v>13</v>
      </c>
      <c r="I571" s="9">
        <f>IF(ISNA(VLOOKUP(A571,'[1]Craig Eval'!A:C,3,FALSE)),"",(VLOOKUP(A571,'[1]Craig Eval'!A:C,3,FALSE))*1000)</f>
        <v>16653.0948859522</v>
      </c>
      <c r="J571" s="10">
        <f>IF(ISNA(VLOOKUP(A571,'[1]Craig Eval'!A:M,13,FALSE)),"",VLOOKUP(A571,'[1]Craig Eval'!A:M,13,FALSE))</f>
        <v>48.293795329539797</v>
      </c>
      <c r="K571" s="17">
        <v>1</v>
      </c>
    </row>
    <row r="572" spans="1:11" ht="30" x14ac:dyDescent="0.25">
      <c r="A572" s="3" t="s">
        <v>1163</v>
      </c>
      <c r="B572" s="4" t="s">
        <v>1164</v>
      </c>
      <c r="C572" s="5">
        <v>54560</v>
      </c>
      <c r="D572" s="6" t="s">
        <v>31</v>
      </c>
      <c r="E572" s="6" t="s">
        <v>17</v>
      </c>
      <c r="F572" s="7">
        <v>29768</v>
      </c>
      <c r="G572" s="8">
        <f t="shared" si="8"/>
        <v>29768</v>
      </c>
      <c r="H572" s="6" t="s">
        <v>13</v>
      </c>
      <c r="I572" s="9">
        <f>IF(ISNA(VLOOKUP(A572,'[1]Craig Eval'!A:C,3,FALSE)),"",(VLOOKUP(A572,'[1]Craig Eval'!A:C,3,FALSE))*1000)</f>
        <v>3009.9823708679</v>
      </c>
      <c r="J572" s="10">
        <f>IF(ISNA(VLOOKUP(A572,'[1]Craig Eval'!A:M,13,FALSE)),"",VLOOKUP(A572,'[1]Craig Eval'!A:M,13,FALSE))</f>
        <v>9.1020701413953997</v>
      </c>
      <c r="K572" s="17">
        <v>1</v>
      </c>
    </row>
    <row r="573" spans="1:11" ht="30" x14ac:dyDescent="0.25">
      <c r="A573" s="18" t="s">
        <v>1165</v>
      </c>
      <c r="B573" s="19" t="s">
        <v>1166</v>
      </c>
      <c r="C573" s="20">
        <v>1284</v>
      </c>
      <c r="D573" s="21" t="s">
        <v>28</v>
      </c>
      <c r="E573" s="21" t="s">
        <v>17</v>
      </c>
      <c r="F573" s="22">
        <v>18264</v>
      </c>
      <c r="G573" s="23">
        <f t="shared" si="8"/>
        <v>18264</v>
      </c>
      <c r="H573" s="21" t="s">
        <v>13</v>
      </c>
      <c r="I573" s="9">
        <f>IF(ISNA(VLOOKUP(A573,'[1]Craig Eval'!A:C,3,FALSE)),"",(VLOOKUP(A573,'[1]Craig Eval'!A:C,3,FALSE))*1000)</f>
        <v>10029.8875959221</v>
      </c>
      <c r="J573" s="24">
        <f>IF(ISNA(VLOOKUP(A573,'[1]Craig Eval'!A:M,13,FALSE)),"",VLOOKUP(A573,'[1]Craig Eval'!A:M,13,FALSE))</f>
        <v>29.554862325597998</v>
      </c>
      <c r="K573" s="25">
        <v>1</v>
      </c>
    </row>
    <row r="574" spans="1:11" ht="30" x14ac:dyDescent="0.25">
      <c r="A574" s="3" t="s">
        <v>1167</v>
      </c>
      <c r="B574" s="4" t="s">
        <v>1168</v>
      </c>
      <c r="C574" s="5">
        <v>1850</v>
      </c>
      <c r="D574" s="6" t="s">
        <v>16</v>
      </c>
      <c r="E574" s="6" t="s">
        <v>17</v>
      </c>
      <c r="F574" s="7">
        <v>29221</v>
      </c>
      <c r="G574" s="8">
        <f t="shared" si="8"/>
        <v>29221</v>
      </c>
      <c r="H574" s="6" t="s">
        <v>13</v>
      </c>
      <c r="I574" s="9" t="str">
        <f>IF(ISNA(VLOOKUP(A574,'[1]Craig Eval'!A:C,3,FALSE)),"",(VLOOKUP(A574,'[1]Craig Eval'!A:C,3,FALSE))*1000)</f>
        <v/>
      </c>
      <c r="J574" s="10" t="str">
        <f>IF(ISNA(VLOOKUP(A574,'[1]Craig Eval'!A:M,13,FALSE)),"",VLOOKUP(A574,'[1]Craig Eval'!A:M,13,FALSE))</f>
        <v/>
      </c>
      <c r="K574" s="17">
        <v>2</v>
      </c>
    </row>
    <row r="575" spans="1:11" ht="30" x14ac:dyDescent="0.25">
      <c r="A575" s="3" t="s">
        <v>1169</v>
      </c>
      <c r="B575" s="4" t="s">
        <v>1170</v>
      </c>
      <c r="C575" s="5">
        <v>1330</v>
      </c>
      <c r="D575" s="6" t="s">
        <v>31</v>
      </c>
      <c r="E575" s="6" t="s">
        <v>17</v>
      </c>
      <c r="F575" s="7">
        <v>25569</v>
      </c>
      <c r="G575" s="8">
        <f t="shared" si="8"/>
        <v>25569</v>
      </c>
      <c r="H575" s="6" t="s">
        <v>13</v>
      </c>
      <c r="I575" s="9">
        <f>IF(ISNA(VLOOKUP(A575,'[1]Craig Eval'!A:C,3,FALSE)),"",(VLOOKUP(A575,'[1]Craig Eval'!A:C,3,FALSE))*1000)</f>
        <v>37596.9538598238</v>
      </c>
      <c r="J575" s="10">
        <f>IF(ISNA(VLOOKUP(A575,'[1]Craig Eval'!A:M,13,FALSE)),"",VLOOKUP(A575,'[1]Craig Eval'!A:M,13,FALSE))</f>
        <v>105.34441333416601</v>
      </c>
      <c r="K575" s="11">
        <v>1</v>
      </c>
    </row>
    <row r="576" spans="1:11" ht="30" x14ac:dyDescent="0.25">
      <c r="A576" s="18" t="s">
        <v>1171</v>
      </c>
      <c r="B576" s="19" t="s">
        <v>1172</v>
      </c>
      <c r="C576" s="5">
        <v>1376</v>
      </c>
      <c r="D576" s="21" t="s">
        <v>28</v>
      </c>
      <c r="E576" s="21" t="s">
        <v>17</v>
      </c>
      <c r="F576" s="22">
        <v>38091</v>
      </c>
      <c r="G576" s="23">
        <f t="shared" si="8"/>
        <v>38091</v>
      </c>
      <c r="H576" s="21" t="s">
        <v>13</v>
      </c>
      <c r="I576" s="9">
        <f>IF(ISNA(VLOOKUP(A576,'[1]Craig Eval'!A:C,3,FALSE)),"",(VLOOKUP(A576,'[1]Craig Eval'!A:C,3,FALSE))*1000)</f>
        <v>47119.721145843105</v>
      </c>
      <c r="J576" s="24">
        <f>IF(ISNA(VLOOKUP(A576,'[1]Craig Eval'!A:M,13,FALSE)),"",VLOOKUP(A576,'[1]Craig Eval'!A:M,13,FALSE))</f>
        <v>130.47396598854701</v>
      </c>
      <c r="K576" s="25">
        <v>1</v>
      </c>
    </row>
    <row r="577" spans="1:11" ht="30" x14ac:dyDescent="0.25">
      <c r="A577" s="3" t="s">
        <v>1173</v>
      </c>
      <c r="B577" s="4" t="s">
        <v>1174</v>
      </c>
      <c r="C577" s="5">
        <v>17285</v>
      </c>
      <c r="D577" s="6" t="s">
        <v>16</v>
      </c>
      <c r="E577" s="6" t="s">
        <v>17</v>
      </c>
      <c r="F577" s="7">
        <v>32316</v>
      </c>
      <c r="G577" s="8">
        <f t="shared" si="8"/>
        <v>32316</v>
      </c>
      <c r="H577" s="6" t="s">
        <v>13</v>
      </c>
      <c r="I577" s="9">
        <f>IF(ISNA(VLOOKUP(A577,'[1]Craig Eval'!A:C,3,FALSE)),"",(VLOOKUP(A577,'[1]Craig Eval'!A:C,3,FALSE))*1000)</f>
        <v>5629.9371184741394</v>
      </c>
      <c r="J577" s="10">
        <f>IF(ISNA(VLOOKUP(A577,'[1]Craig Eval'!A:M,13,FALSE)),"",VLOOKUP(A577,'[1]Craig Eval'!A:M,13,FALSE))</f>
        <v>16.827296892897198</v>
      </c>
      <c r="K577" s="17">
        <v>1</v>
      </c>
    </row>
    <row r="578" spans="1:11" ht="30" x14ac:dyDescent="0.25">
      <c r="A578" s="3" t="s">
        <v>1175</v>
      </c>
      <c r="B578" s="4" t="s">
        <v>1176</v>
      </c>
      <c r="C578" s="14">
        <v>16648</v>
      </c>
      <c r="D578" s="6" t="s">
        <v>16</v>
      </c>
      <c r="E578" s="6" t="s">
        <v>17</v>
      </c>
      <c r="F578" s="7">
        <v>31027</v>
      </c>
      <c r="G578" s="8">
        <f t="shared" ref="G578:G641" si="9">F578</f>
        <v>31027</v>
      </c>
      <c r="H578" s="6" t="s">
        <v>13</v>
      </c>
      <c r="I578" s="9">
        <f>IF(ISNA(VLOOKUP(A578,'[1]Craig Eval'!A:C,3,FALSE)),"",(VLOOKUP(A578,'[1]Craig Eval'!A:C,3,FALSE))*1000)</f>
        <v>298784.01695907599</v>
      </c>
      <c r="J578" s="10">
        <f>IF(ISNA(VLOOKUP(A578,'[1]Craig Eval'!A:M,13,FALSE)),"",VLOOKUP(A578,'[1]Craig Eval'!A:M,13,FALSE))</f>
        <v>714.57205435285596</v>
      </c>
      <c r="K578" s="17">
        <v>3</v>
      </c>
    </row>
    <row r="579" spans="1:11" ht="30" x14ac:dyDescent="0.25">
      <c r="A579" s="3" t="s">
        <v>1177</v>
      </c>
      <c r="B579" s="4" t="s">
        <v>1178</v>
      </c>
      <c r="C579" s="5">
        <v>12492</v>
      </c>
      <c r="D579" s="6" t="s">
        <v>34</v>
      </c>
      <c r="E579" s="6" t="s">
        <v>17</v>
      </c>
      <c r="F579" s="7">
        <v>38113</v>
      </c>
      <c r="G579" s="8">
        <f t="shared" si="9"/>
        <v>38113</v>
      </c>
      <c r="H579" s="6" t="s">
        <v>13</v>
      </c>
      <c r="I579" s="9" t="str">
        <f>IF(ISNA(VLOOKUP(A579,'[1]Craig Eval'!A:C,3,FALSE)),"",(VLOOKUP(A579,'[1]Craig Eval'!A:C,3,FALSE))*1000)</f>
        <v/>
      </c>
      <c r="J579" s="10" t="str">
        <f>IF(ISNA(VLOOKUP(A579,'[1]Craig Eval'!A:M,13,FALSE)),"",VLOOKUP(A579,'[1]Craig Eval'!A:M,13,FALSE))</f>
        <v/>
      </c>
      <c r="K579" s="17">
        <v>2</v>
      </c>
    </row>
    <row r="580" spans="1:11" ht="30" x14ac:dyDescent="0.25">
      <c r="A580" s="3" t="s">
        <v>1179</v>
      </c>
      <c r="B580" s="4" t="s">
        <v>1180</v>
      </c>
      <c r="C580" s="5">
        <v>72169</v>
      </c>
      <c r="D580" s="6" t="s">
        <v>37</v>
      </c>
      <c r="E580" s="6" t="s">
        <v>38</v>
      </c>
      <c r="F580" s="7">
        <v>39184</v>
      </c>
      <c r="G580" s="8">
        <f t="shared" si="9"/>
        <v>39184</v>
      </c>
      <c r="H580" s="6" t="s">
        <v>39</v>
      </c>
      <c r="I580" s="9" t="str">
        <f>IF(ISNA(VLOOKUP(A580,'[1]Craig Eval'!A:C,3,FALSE)),"",(VLOOKUP(A580,'[1]Craig Eval'!A:C,3,FALSE))*1000)</f>
        <v/>
      </c>
      <c r="J580" s="10" t="str">
        <f>IF(ISNA(VLOOKUP(A580,'[1]Craig Eval'!A:M,13,FALSE)),"",VLOOKUP(A580,'[1]Craig Eval'!A:M,13,FALSE))</f>
        <v/>
      </c>
      <c r="K580" s="17">
        <v>1</v>
      </c>
    </row>
    <row r="581" spans="1:11" ht="30" x14ac:dyDescent="0.25">
      <c r="A581" s="3" t="s">
        <v>1181</v>
      </c>
      <c r="B581" s="4" t="s">
        <v>1182</v>
      </c>
      <c r="C581" s="5">
        <v>29185</v>
      </c>
      <c r="D581" s="6" t="s">
        <v>34</v>
      </c>
      <c r="E581" s="6" t="s">
        <v>17</v>
      </c>
      <c r="F581" s="7">
        <v>38275</v>
      </c>
      <c r="G581" s="8">
        <f t="shared" si="9"/>
        <v>38275</v>
      </c>
      <c r="H581" s="6" t="s">
        <v>13</v>
      </c>
      <c r="I581" s="9" t="str">
        <f>IF(ISNA(VLOOKUP(A581,'[1]Craig Eval'!A:C,3,FALSE)),"",(VLOOKUP(A581,'[1]Craig Eval'!A:C,3,FALSE))*1000)</f>
        <v/>
      </c>
      <c r="J581" s="10" t="str">
        <f>IF(ISNA(VLOOKUP(A581,'[1]Craig Eval'!A:M,13,FALSE)),"",VLOOKUP(A581,'[1]Craig Eval'!A:M,13,FALSE))</f>
        <v/>
      </c>
      <c r="K581" s="17">
        <v>1</v>
      </c>
    </row>
    <row r="582" spans="1:11" ht="30" x14ac:dyDescent="0.25">
      <c r="A582" s="3" t="s">
        <v>1183</v>
      </c>
      <c r="B582" s="4" t="s">
        <v>1184</v>
      </c>
      <c r="C582" s="5">
        <v>32273</v>
      </c>
      <c r="D582" s="6" t="s">
        <v>28</v>
      </c>
      <c r="E582" s="6" t="s">
        <v>17</v>
      </c>
      <c r="F582" s="7">
        <v>38474</v>
      </c>
      <c r="G582" s="8">
        <f t="shared" si="9"/>
        <v>38474</v>
      </c>
      <c r="H582" s="6" t="s">
        <v>13</v>
      </c>
      <c r="I582" s="9">
        <f>IF(ISNA(VLOOKUP(A582,'[1]Craig Eval'!A:C,3,FALSE)),"",(VLOOKUP(A582,'[1]Craig Eval'!A:C,3,FALSE))*1000)</f>
        <v>6782.5982552280702</v>
      </c>
      <c r="J582" s="10">
        <f>IF(ISNA(VLOOKUP(A582,'[1]Craig Eval'!A:M,13,FALSE)),"",VLOOKUP(A582,'[1]Craig Eval'!A:M,13,FALSE))</f>
        <v>20.187885739530401</v>
      </c>
      <c r="K582" s="17">
        <v>1</v>
      </c>
    </row>
    <row r="583" spans="1:11" ht="30" x14ac:dyDescent="0.25">
      <c r="A583" s="3" t="s">
        <v>1185</v>
      </c>
      <c r="B583" s="4" t="s">
        <v>1186</v>
      </c>
      <c r="C583" s="5">
        <v>10572</v>
      </c>
      <c r="D583" s="6" t="s">
        <v>16</v>
      </c>
      <c r="E583" s="6" t="s">
        <v>17</v>
      </c>
      <c r="F583" s="7">
        <v>37148</v>
      </c>
      <c r="G583" s="8">
        <f t="shared" si="9"/>
        <v>37148</v>
      </c>
      <c r="H583" s="6" t="s">
        <v>13</v>
      </c>
      <c r="I583" s="9" t="str">
        <f>IF(ISNA(VLOOKUP(A583,'[1]Craig Eval'!A:C,3,FALSE)),"",(VLOOKUP(A583,'[1]Craig Eval'!A:C,3,FALSE))*1000)</f>
        <v/>
      </c>
      <c r="J583" s="10" t="str">
        <f>IF(ISNA(VLOOKUP(A583,'[1]Craig Eval'!A:M,13,FALSE)),"",VLOOKUP(A583,'[1]Craig Eval'!A:M,13,FALSE))</f>
        <v/>
      </c>
      <c r="K583" s="17">
        <v>1</v>
      </c>
    </row>
    <row r="584" spans="1:11" ht="30" x14ac:dyDescent="0.25">
      <c r="A584" s="3" t="s">
        <v>1187</v>
      </c>
      <c r="B584" s="4" t="s">
        <v>1188</v>
      </c>
      <c r="C584" s="5">
        <v>2243</v>
      </c>
      <c r="D584" s="6" t="s">
        <v>28</v>
      </c>
      <c r="E584" s="6" t="s">
        <v>17</v>
      </c>
      <c r="F584" s="7">
        <v>31958</v>
      </c>
      <c r="G584" s="8">
        <f t="shared" si="9"/>
        <v>31958</v>
      </c>
      <c r="H584" s="6" t="s">
        <v>13</v>
      </c>
      <c r="I584" s="9">
        <f>IF(ISNA(VLOOKUP(A584,'[1]Craig Eval'!A:C,3,FALSE)),"",(VLOOKUP(A584,'[1]Craig Eval'!A:C,3,FALSE))*1000)</f>
        <v>15699.7125491241</v>
      </c>
      <c r="J584" s="10">
        <f>IF(ISNA(VLOOKUP(A584,'[1]Craig Eval'!A:M,13,FALSE)),"",VLOOKUP(A584,'[1]Craig Eval'!A:M,13,FALSE))</f>
        <v>45.6223589417272</v>
      </c>
      <c r="K584" s="17">
        <v>1</v>
      </c>
    </row>
    <row r="585" spans="1:11" ht="30" x14ac:dyDescent="0.25">
      <c r="A585" s="3" t="s">
        <v>1189</v>
      </c>
      <c r="B585" s="4" t="s">
        <v>1190</v>
      </c>
      <c r="C585" s="14">
        <v>19207</v>
      </c>
      <c r="D585" s="6" t="s">
        <v>16</v>
      </c>
      <c r="E585" s="6" t="s">
        <v>17</v>
      </c>
      <c r="F585" s="7">
        <v>24737</v>
      </c>
      <c r="G585" s="8">
        <f t="shared" si="9"/>
        <v>24737</v>
      </c>
      <c r="H585" s="6" t="s">
        <v>13</v>
      </c>
      <c r="I585" s="9">
        <f>IF(ISNA(VLOOKUP(A585,'[1]Craig Eval'!A:C,3,FALSE)),"",(VLOOKUP(A585,'[1]Craig Eval'!A:C,3,FALSE))*1000)</f>
        <v>152383.14023759999</v>
      </c>
      <c r="J585" s="10">
        <f>IF(ISNA(VLOOKUP(A585,'[1]Craig Eval'!A:M,13,FALSE)),"",VLOOKUP(A585,'[1]Craig Eval'!A:M,13,FALSE))</f>
        <v>388.851706747138</v>
      </c>
      <c r="K585" s="17">
        <v>1</v>
      </c>
    </row>
    <row r="586" spans="1:11" ht="30" x14ac:dyDescent="0.25">
      <c r="A586" s="3" t="s">
        <v>1191</v>
      </c>
      <c r="B586" s="4" t="s">
        <v>1192</v>
      </c>
      <c r="C586" s="14">
        <v>1722</v>
      </c>
      <c r="D586" s="6" t="s">
        <v>16</v>
      </c>
      <c r="E586" s="6" t="s">
        <v>17</v>
      </c>
      <c r="F586" s="7">
        <v>25569</v>
      </c>
      <c r="G586" s="8">
        <f t="shared" si="9"/>
        <v>25569</v>
      </c>
      <c r="H586" s="6" t="s">
        <v>13</v>
      </c>
      <c r="I586" s="9" t="str">
        <f>IF(ISNA(VLOOKUP(A586,'[1]Craig Eval'!A:C,3,FALSE)),"",(VLOOKUP(A586,'[1]Craig Eval'!A:C,3,FALSE))*1000)</f>
        <v/>
      </c>
      <c r="J586" s="10" t="str">
        <f>IF(ISNA(VLOOKUP(A586,'[1]Craig Eval'!A:M,13,FALSE)),"",VLOOKUP(A586,'[1]Craig Eval'!A:M,13,FALSE))</f>
        <v/>
      </c>
      <c r="K586" s="17">
        <v>1</v>
      </c>
    </row>
    <row r="587" spans="1:11" ht="30" x14ac:dyDescent="0.25">
      <c r="A587" s="3" t="s">
        <v>1193</v>
      </c>
      <c r="B587" s="4" t="s">
        <v>1194</v>
      </c>
      <c r="C587" s="14">
        <v>1745</v>
      </c>
      <c r="D587" s="6" t="s">
        <v>34</v>
      </c>
      <c r="E587" s="6" t="s">
        <v>17</v>
      </c>
      <c r="F587" s="7">
        <v>36850</v>
      </c>
      <c r="G587" s="8">
        <f t="shared" si="9"/>
        <v>36850</v>
      </c>
      <c r="H587" s="6" t="s">
        <v>13</v>
      </c>
      <c r="I587" s="9">
        <f>IF(ISNA(VLOOKUP(A587,'[1]Craig Eval'!A:C,3,FALSE)),"",(VLOOKUP(A587,'[1]Craig Eval'!A:C,3,FALSE))*1000)</f>
        <v>46323.566172022198</v>
      </c>
      <c r="J587" s="10">
        <f>IF(ISNA(VLOOKUP(A587,'[1]Craig Eval'!A:M,13,FALSE)),"",VLOOKUP(A587,'[1]Craig Eval'!A:M,13,FALSE))</f>
        <v>128.388995346467</v>
      </c>
      <c r="K587" s="17">
        <v>2</v>
      </c>
    </row>
    <row r="588" spans="1:11" ht="30" x14ac:dyDescent="0.25">
      <c r="A588" s="3" t="s">
        <v>1195</v>
      </c>
      <c r="B588" s="4" t="s">
        <v>1196</v>
      </c>
      <c r="C588" s="5">
        <v>14081</v>
      </c>
      <c r="D588" s="6" t="s">
        <v>34</v>
      </c>
      <c r="E588" s="6" t="s">
        <v>17</v>
      </c>
      <c r="F588" s="7">
        <v>38049</v>
      </c>
      <c r="G588" s="8">
        <f t="shared" si="9"/>
        <v>38049</v>
      </c>
      <c r="H588" s="6" t="s">
        <v>13</v>
      </c>
      <c r="I588" s="9" t="str">
        <f>IF(ISNA(VLOOKUP(A588,'[1]Craig Eval'!A:C,3,FALSE)),"",(VLOOKUP(A588,'[1]Craig Eval'!A:C,3,FALSE))*1000)</f>
        <v/>
      </c>
      <c r="J588" s="10" t="str">
        <f>IF(ISNA(VLOOKUP(A588,'[1]Craig Eval'!A:M,13,FALSE)),"",VLOOKUP(A588,'[1]Craig Eval'!A:M,13,FALSE))</f>
        <v/>
      </c>
      <c r="K588" s="17">
        <v>1</v>
      </c>
    </row>
    <row r="589" spans="1:11" ht="30" x14ac:dyDescent="0.25">
      <c r="A589" s="3" t="s">
        <v>1197</v>
      </c>
      <c r="B589" s="4" t="s">
        <v>1198</v>
      </c>
      <c r="C589" s="14">
        <v>1110</v>
      </c>
      <c r="D589" s="6" t="s">
        <v>28</v>
      </c>
      <c r="E589" s="6" t="s">
        <v>17</v>
      </c>
      <c r="F589" s="7">
        <v>36901</v>
      </c>
      <c r="G589" s="8">
        <f t="shared" si="9"/>
        <v>36901</v>
      </c>
      <c r="H589" s="6" t="s">
        <v>13</v>
      </c>
      <c r="I589" s="9">
        <f>IF(ISNA(VLOOKUP(A589,'[1]Craig Eval'!A:C,3,FALSE)),"",(VLOOKUP(A589,'[1]Craig Eval'!A:C,3,FALSE))*1000)</f>
        <v>171533.40616531801</v>
      </c>
      <c r="J589" s="10">
        <f>IF(ISNA(VLOOKUP(A589,'[1]Craig Eval'!A:M,13,FALSE)),"",VLOOKUP(A589,'[1]Craig Eval'!A:M,13,FALSE))</f>
        <v>433.20285471178602</v>
      </c>
      <c r="K589" s="17">
        <v>2</v>
      </c>
    </row>
    <row r="590" spans="1:11" ht="30" x14ac:dyDescent="0.25">
      <c r="A590" s="3" t="s">
        <v>1199</v>
      </c>
      <c r="B590" s="4" t="s">
        <v>1200</v>
      </c>
      <c r="C590" s="5">
        <v>1371</v>
      </c>
      <c r="D590" s="6" t="s">
        <v>28</v>
      </c>
      <c r="E590" s="6" t="s">
        <v>17</v>
      </c>
      <c r="F590" s="7">
        <v>29952</v>
      </c>
      <c r="G590" s="8">
        <f t="shared" si="9"/>
        <v>29952</v>
      </c>
      <c r="H590" s="6" t="s">
        <v>13</v>
      </c>
      <c r="I590" s="9">
        <f>IF(ISNA(VLOOKUP(A590,'[1]Craig Eval'!A:C,3,FALSE)),"",(VLOOKUP(A590,'[1]Craig Eval'!A:C,3,FALSE))*1000)</f>
        <v>58084.8140947383</v>
      </c>
      <c r="J590" s="10">
        <f>IF(ISNA(VLOOKUP(A590,'[1]Craig Eval'!A:M,13,FALSE)),"",VLOOKUP(A590,'[1]Craig Eval'!A:M,13,FALSE))</f>
        <v>158.92079811134499</v>
      </c>
      <c r="K590" s="17">
        <v>2</v>
      </c>
    </row>
    <row r="591" spans="1:11" ht="30" x14ac:dyDescent="0.25">
      <c r="A591" s="26" t="s">
        <v>1201</v>
      </c>
      <c r="B591" s="27" t="s">
        <v>1202</v>
      </c>
      <c r="C591" s="5">
        <v>1255</v>
      </c>
      <c r="D591" s="28" t="s">
        <v>28</v>
      </c>
      <c r="E591" s="28" t="s">
        <v>17</v>
      </c>
      <c r="F591" s="29">
        <v>28491</v>
      </c>
      <c r="G591" s="30">
        <f t="shared" si="9"/>
        <v>28491</v>
      </c>
      <c r="H591" s="28" t="s">
        <v>13</v>
      </c>
      <c r="I591" s="31">
        <f>IF(ISNA(VLOOKUP(A591,'[1]Craig Eval'!A:C,3,FALSE)),"",(VLOOKUP(A591,'[1]Craig Eval'!A:C,3,FALSE))*1000)</f>
        <v>40149.147224330198</v>
      </c>
      <c r="J591" s="32">
        <f>IF(ISNA(VLOOKUP(A591,'[1]Craig Eval'!A:M,13,FALSE)),"",VLOOKUP(A591,'[1]Craig Eval'!A:M,13,FALSE))</f>
        <v>112.12170645886</v>
      </c>
      <c r="K591" s="33">
        <v>1</v>
      </c>
    </row>
    <row r="592" spans="1:11" ht="30" x14ac:dyDescent="0.25">
      <c r="A592" s="3" t="s">
        <v>1203</v>
      </c>
      <c r="B592" s="4" t="s">
        <v>1204</v>
      </c>
      <c r="C592" s="14">
        <v>9922</v>
      </c>
      <c r="D592" s="6" t="s">
        <v>34</v>
      </c>
      <c r="E592" s="6" t="s">
        <v>17</v>
      </c>
      <c r="F592" s="7">
        <v>37575</v>
      </c>
      <c r="G592" s="8">
        <f t="shared" si="9"/>
        <v>37575</v>
      </c>
      <c r="H592" s="6" t="s">
        <v>13</v>
      </c>
      <c r="I592" s="9">
        <f>IF(ISNA(VLOOKUP(A592,'[1]Craig Eval'!A:C,3,FALSE)),"",(VLOOKUP(A592,'[1]Craig Eval'!A:C,3,FALSE))*1000)</f>
        <v>89985.183601445693</v>
      </c>
      <c r="J592" s="10">
        <f>IF(ISNA(VLOOKUP(A592,'[1]Craig Eval'!A:M,13,FALSE)),"",VLOOKUP(A592,'[1]Craig Eval'!A:M,13,FALSE))</f>
        <v>239.27810177283399</v>
      </c>
      <c r="K592" s="17">
        <v>2</v>
      </c>
    </row>
    <row r="593" spans="1:11" ht="30" x14ac:dyDescent="0.25">
      <c r="A593" s="3" t="s">
        <v>1205</v>
      </c>
      <c r="B593" s="4" t="s">
        <v>1206</v>
      </c>
      <c r="C593" s="5">
        <v>1683</v>
      </c>
      <c r="D593" s="6" t="s">
        <v>28</v>
      </c>
      <c r="E593" s="6" t="s">
        <v>17</v>
      </c>
      <c r="F593" s="7">
        <v>33239</v>
      </c>
      <c r="G593" s="8">
        <f t="shared" si="9"/>
        <v>33239</v>
      </c>
      <c r="H593" s="6" t="s">
        <v>13</v>
      </c>
      <c r="I593" s="9">
        <f>IF(ISNA(VLOOKUP(A593,'[1]Craig Eval'!A:C,3,FALSE)),"",(VLOOKUP(A593,'[1]Craig Eval'!A:C,3,FALSE))*1000)</f>
        <v>35318.891423982997</v>
      </c>
      <c r="J593" s="10">
        <f>IF(ISNA(VLOOKUP(A593,'[1]Craig Eval'!A:M,13,FALSE)),"",VLOOKUP(A593,'[1]Craig Eval'!A:M,13,FALSE))</f>
        <v>99.267084966515895</v>
      </c>
      <c r="K593" s="17">
        <v>2</v>
      </c>
    </row>
    <row r="594" spans="1:11" ht="30" x14ac:dyDescent="0.25">
      <c r="A594" s="3" t="s">
        <v>1207</v>
      </c>
      <c r="B594" s="4" t="s">
        <v>1208</v>
      </c>
      <c r="C594" s="5">
        <v>54563</v>
      </c>
      <c r="D594" s="6" t="s">
        <v>28</v>
      </c>
      <c r="E594" s="6" t="s">
        <v>17</v>
      </c>
      <c r="F594" s="7">
        <v>37138</v>
      </c>
      <c r="G594" s="8">
        <f t="shared" si="9"/>
        <v>37138</v>
      </c>
      <c r="H594" s="6" t="s">
        <v>13</v>
      </c>
      <c r="I594" s="9">
        <f>IF(ISNA(VLOOKUP(A594,'[1]Craig Eval'!A:C,3,FALSE)),"",(VLOOKUP(A594,'[1]Craig Eval'!A:C,3,FALSE))*1000)</f>
        <v>2523.4855845822303</v>
      </c>
      <c r="J594" s="10">
        <f>IF(ISNA(VLOOKUP(A594,'[1]Craig Eval'!A:M,13,FALSE)),"",VLOOKUP(A594,'[1]Craig Eval'!A:M,13,FALSE))</f>
        <v>7.6516136286283798</v>
      </c>
      <c r="K594" s="17">
        <v>1</v>
      </c>
    </row>
    <row r="595" spans="1:11" ht="30" x14ac:dyDescent="0.25">
      <c r="A595" s="3" t="s">
        <v>1209</v>
      </c>
      <c r="B595" s="4" t="s">
        <v>1210</v>
      </c>
      <c r="C595" s="5">
        <v>89409</v>
      </c>
      <c r="D595" s="6" t="s">
        <v>16</v>
      </c>
      <c r="E595" s="6" t="s">
        <v>17</v>
      </c>
      <c r="F595" s="7">
        <v>39295</v>
      </c>
      <c r="G595" s="8">
        <f t="shared" si="9"/>
        <v>39295</v>
      </c>
      <c r="H595" s="6" t="s">
        <v>13</v>
      </c>
      <c r="I595" s="9" t="str">
        <f>IF(ISNA(VLOOKUP(A595,'[1]Craig Eval'!A:C,3,FALSE)),"",(VLOOKUP(A595,'[1]Craig Eval'!A:C,3,FALSE))*1000)</f>
        <v/>
      </c>
      <c r="J595" s="10" t="str">
        <f>IF(ISNA(VLOOKUP(A595,'[1]Craig Eval'!A:M,13,FALSE)),"",VLOOKUP(A595,'[1]Craig Eval'!A:M,13,FALSE))</f>
        <v/>
      </c>
      <c r="K595" s="17">
        <v>1</v>
      </c>
    </row>
    <row r="596" spans="1:11" ht="30" x14ac:dyDescent="0.25">
      <c r="A596" s="3" t="s">
        <v>1211</v>
      </c>
      <c r="B596" s="4" t="s">
        <v>1212</v>
      </c>
      <c r="C596" s="5">
        <v>1909</v>
      </c>
      <c r="D596" s="6" t="s">
        <v>34</v>
      </c>
      <c r="E596" s="6" t="s">
        <v>17</v>
      </c>
      <c r="F596" s="7">
        <v>25569</v>
      </c>
      <c r="G596" s="8">
        <f t="shared" si="9"/>
        <v>25569</v>
      </c>
      <c r="H596" s="6" t="s">
        <v>13</v>
      </c>
      <c r="I596" s="9" t="str">
        <f>IF(ISNA(VLOOKUP(A596,'[1]Craig Eval'!A:C,3,FALSE)),"",(VLOOKUP(A596,'[1]Craig Eval'!A:C,3,FALSE))*1000)</f>
        <v/>
      </c>
      <c r="J596" s="10" t="str">
        <f>IF(ISNA(VLOOKUP(A596,'[1]Craig Eval'!A:M,13,FALSE)),"",VLOOKUP(A596,'[1]Craig Eval'!A:M,13,FALSE))</f>
        <v/>
      </c>
      <c r="K596" s="17">
        <v>1</v>
      </c>
    </row>
    <row r="597" spans="1:11" ht="30" x14ac:dyDescent="0.25">
      <c r="A597" s="3" t="s">
        <v>1213</v>
      </c>
      <c r="B597" s="4" t="s">
        <v>1214</v>
      </c>
      <c r="C597" s="5">
        <v>54562</v>
      </c>
      <c r="D597" s="6" t="s">
        <v>31</v>
      </c>
      <c r="E597" s="6" t="s">
        <v>17</v>
      </c>
      <c r="F597" s="7">
        <v>39518</v>
      </c>
      <c r="G597" s="8">
        <f t="shared" si="9"/>
        <v>39518</v>
      </c>
      <c r="H597" s="6" t="s">
        <v>13</v>
      </c>
      <c r="I597" s="9" t="str">
        <f>IF(ISNA(VLOOKUP(A597,'[1]Craig Eval'!A:C,3,FALSE)),"",(VLOOKUP(A597,'[1]Craig Eval'!A:C,3,FALSE))*1000)</f>
        <v/>
      </c>
      <c r="J597" s="10" t="str">
        <f>IF(ISNA(VLOOKUP(A597,'[1]Craig Eval'!A:M,13,FALSE)),"",VLOOKUP(A597,'[1]Craig Eval'!A:M,13,FALSE))</f>
        <v/>
      </c>
      <c r="K597" s="17">
        <v>1</v>
      </c>
    </row>
    <row r="598" spans="1:11" ht="30" x14ac:dyDescent="0.25">
      <c r="A598" s="26" t="s">
        <v>1215</v>
      </c>
      <c r="B598" s="27" t="s">
        <v>1216</v>
      </c>
      <c r="C598" s="34">
        <v>1138</v>
      </c>
      <c r="D598" s="28" t="s">
        <v>31</v>
      </c>
      <c r="E598" s="28" t="s">
        <v>17</v>
      </c>
      <c r="F598" s="29">
        <v>29221</v>
      </c>
      <c r="G598" s="30">
        <f t="shared" si="9"/>
        <v>29221</v>
      </c>
      <c r="H598" s="28" t="s">
        <v>13</v>
      </c>
      <c r="I598" s="31">
        <f>IF(ISNA(VLOOKUP(A598,'[1]Craig Eval'!A:C,3,FALSE)),"",(VLOOKUP(A598,'[1]Craig Eval'!A:C,3,FALSE))*1000)</f>
        <v>16307.025647206601</v>
      </c>
      <c r="J598" s="32">
        <f>IF(ISNA(VLOOKUP(A598,'[1]Craig Eval'!A:M,13,FALSE)),"",VLOOKUP(A598,'[1]Craig Eval'!A:M,13,FALSE))</f>
        <v>47.325009611164397</v>
      </c>
      <c r="K598" s="33">
        <v>1</v>
      </c>
    </row>
    <row r="599" spans="1:11" ht="30" x14ac:dyDescent="0.25">
      <c r="A599" s="18" t="s">
        <v>1217</v>
      </c>
      <c r="B599" s="19" t="s">
        <v>1218</v>
      </c>
      <c r="C599" s="5">
        <v>20173</v>
      </c>
      <c r="D599" s="21" t="s">
        <v>34</v>
      </c>
      <c r="E599" s="21" t="s">
        <v>17</v>
      </c>
      <c r="F599" s="22">
        <v>20821</v>
      </c>
      <c r="G599" s="23">
        <f t="shared" si="9"/>
        <v>20821</v>
      </c>
      <c r="H599" s="21" t="s">
        <v>13</v>
      </c>
      <c r="I599" s="9">
        <f>IF(ISNA(VLOOKUP(A599,'[1]Craig Eval'!A:C,3,FALSE)),"",(VLOOKUP(A599,'[1]Craig Eval'!A:C,3,FALSE))*1000)</f>
        <v>54055.147172829995</v>
      </c>
      <c r="J599" s="24">
        <f>IF(ISNA(VLOOKUP(A599,'[1]Craig Eval'!A:M,13,FALSE)),"",VLOOKUP(A599,'[1]Craig Eval'!A:M,13,FALSE))</f>
        <v>148.52277569578101</v>
      </c>
      <c r="K599" s="25">
        <v>1</v>
      </c>
    </row>
    <row r="600" spans="1:11" ht="30" x14ac:dyDescent="0.25">
      <c r="A600" s="3" t="s">
        <v>1219</v>
      </c>
      <c r="B600" s="4" t="s">
        <v>1220</v>
      </c>
      <c r="C600" s="14">
        <v>1204</v>
      </c>
      <c r="D600" s="6" t="s">
        <v>31</v>
      </c>
      <c r="E600" s="6" t="s">
        <v>17</v>
      </c>
      <c r="F600" s="7">
        <v>29221</v>
      </c>
      <c r="G600" s="8">
        <f t="shared" si="9"/>
        <v>29221</v>
      </c>
      <c r="H600" s="6" t="s">
        <v>13</v>
      </c>
      <c r="I600" s="9">
        <f>IF(ISNA(VLOOKUP(A600,'[1]Craig Eval'!A:C,3,FALSE)),"",(VLOOKUP(A600,'[1]Craig Eval'!A:C,3,FALSE))*1000)</f>
        <v>54872.566003221</v>
      </c>
      <c r="J600" s="10">
        <f>IF(ISNA(VLOOKUP(A600,'[1]Craig Eval'!A:M,13,FALSE)),"",VLOOKUP(A600,'[1]Craig Eval'!A:M,13,FALSE))</f>
        <v>150.637116429119</v>
      </c>
      <c r="K600" s="17">
        <v>2</v>
      </c>
    </row>
    <row r="601" spans="1:11" ht="30" x14ac:dyDescent="0.25">
      <c r="A601" s="3" t="s">
        <v>1221</v>
      </c>
      <c r="B601" s="4" t="s">
        <v>1222</v>
      </c>
      <c r="C601" s="5">
        <v>16654</v>
      </c>
      <c r="D601" s="6" t="s">
        <v>16</v>
      </c>
      <c r="E601" s="6" t="s">
        <v>17</v>
      </c>
      <c r="F601" s="7">
        <v>26276</v>
      </c>
      <c r="G601" s="8">
        <f t="shared" si="9"/>
        <v>26276</v>
      </c>
      <c r="H601" s="6" t="s">
        <v>13</v>
      </c>
      <c r="I601" s="9">
        <f>IF(ISNA(VLOOKUP(A601,'[1]Craig Eval'!A:C,3,FALSE)),"",(VLOOKUP(A601,'[1]Craig Eval'!A:C,3,FALSE))*1000)</f>
        <v>23776.302383406102</v>
      </c>
      <c r="J601" s="10">
        <f>IF(ISNA(VLOOKUP(A601,'[1]Craig Eval'!A:M,13,FALSE)),"",VLOOKUP(A601,'[1]Craig Eval'!A:M,13,FALSE))</f>
        <v>68.021706624193797</v>
      </c>
      <c r="K601" s="17">
        <v>1</v>
      </c>
    </row>
    <row r="602" spans="1:11" ht="30" x14ac:dyDescent="0.25">
      <c r="A602" s="3" t="s">
        <v>1223</v>
      </c>
      <c r="B602" s="4" t="s">
        <v>1224</v>
      </c>
      <c r="C602" s="5">
        <v>33889</v>
      </c>
      <c r="D602" s="6" t="s">
        <v>31</v>
      </c>
      <c r="E602" s="6" t="s">
        <v>17</v>
      </c>
      <c r="F602" s="7">
        <v>39983</v>
      </c>
      <c r="G602" s="8">
        <f t="shared" si="9"/>
        <v>39983</v>
      </c>
      <c r="H602" s="6" t="s">
        <v>13</v>
      </c>
      <c r="I602" s="9" t="str">
        <f>IF(ISNA(VLOOKUP(A602,'[1]Craig Eval'!A:C,3,FALSE)),"",(VLOOKUP(A602,'[1]Craig Eval'!A:C,3,FALSE))*1000)</f>
        <v/>
      </c>
      <c r="J602" s="10" t="str">
        <f>IF(ISNA(VLOOKUP(A602,'[1]Craig Eval'!A:M,13,FALSE)),"",VLOOKUP(A602,'[1]Craig Eval'!A:M,13,FALSE))</f>
        <v/>
      </c>
      <c r="K602" s="17">
        <v>1</v>
      </c>
    </row>
    <row r="603" spans="1:11" ht="30" x14ac:dyDescent="0.25">
      <c r="A603" s="3" t="s">
        <v>1225</v>
      </c>
      <c r="B603" s="4" t="s">
        <v>1226</v>
      </c>
      <c r="C603" s="5">
        <v>1315</v>
      </c>
      <c r="D603" s="6" t="s">
        <v>16</v>
      </c>
      <c r="E603" s="6" t="s">
        <v>17</v>
      </c>
      <c r="F603" s="7">
        <v>29221</v>
      </c>
      <c r="G603" s="8">
        <f t="shared" si="9"/>
        <v>29221</v>
      </c>
      <c r="H603" s="6" t="s">
        <v>13</v>
      </c>
      <c r="I603" s="9" t="str">
        <f>IF(ISNA(VLOOKUP(A603,'[1]Craig Eval'!A:C,3,FALSE)),"",(VLOOKUP(A603,'[1]Craig Eval'!A:C,3,FALSE))*1000)</f>
        <v/>
      </c>
      <c r="J603" s="10" t="str">
        <f>IF(ISNA(VLOOKUP(A603,'[1]Craig Eval'!A:M,13,FALSE)),"",VLOOKUP(A603,'[1]Craig Eval'!A:M,13,FALSE))</f>
        <v/>
      </c>
      <c r="K603" s="17">
        <v>2</v>
      </c>
    </row>
    <row r="604" spans="1:11" ht="30" x14ac:dyDescent="0.25">
      <c r="A604" s="3" t="s">
        <v>1227</v>
      </c>
      <c r="B604" s="4" t="s">
        <v>1228</v>
      </c>
      <c r="C604" s="14">
        <v>35489</v>
      </c>
      <c r="D604" s="6" t="s">
        <v>11</v>
      </c>
      <c r="E604" s="6" t="s">
        <v>12</v>
      </c>
      <c r="F604" s="7">
        <v>28843</v>
      </c>
      <c r="G604" s="8">
        <f t="shared" si="9"/>
        <v>28843</v>
      </c>
      <c r="H604" s="6" t="s">
        <v>776</v>
      </c>
      <c r="I604" s="9" t="str">
        <f>IF(ISNA(VLOOKUP(A604,'[1]Craig Eval'!A:C,3,FALSE)),"",(VLOOKUP(A604,'[1]Craig Eval'!A:C,3,FALSE))*1000)</f>
        <v/>
      </c>
      <c r="J604" s="10" t="str">
        <f>IF(ISNA(VLOOKUP(A604,'[1]Craig Eval'!A:M,13,FALSE)),"",VLOOKUP(A604,'[1]Craig Eval'!A:M,13,FALSE))</f>
        <v/>
      </c>
      <c r="K604" s="11">
        <v>1</v>
      </c>
    </row>
    <row r="605" spans="1:11" ht="30" x14ac:dyDescent="0.25">
      <c r="A605" s="3" t="s">
        <v>1229</v>
      </c>
      <c r="B605" s="4" t="s">
        <v>1230</v>
      </c>
      <c r="C605" s="14">
        <v>1944</v>
      </c>
      <c r="D605" s="6" t="s">
        <v>34</v>
      </c>
      <c r="E605" s="6" t="s">
        <v>17</v>
      </c>
      <c r="F605" s="7">
        <v>18264</v>
      </c>
      <c r="G605" s="8">
        <f t="shared" si="9"/>
        <v>18264</v>
      </c>
      <c r="H605" s="6" t="s">
        <v>13</v>
      </c>
      <c r="I605" s="9" t="str">
        <f>IF(ISNA(VLOOKUP(A605,'[1]Craig Eval'!A:C,3,FALSE)),"",(VLOOKUP(A605,'[1]Craig Eval'!A:C,3,FALSE))*1000)</f>
        <v/>
      </c>
      <c r="J605" s="10" t="str">
        <f>IF(ISNA(VLOOKUP(A605,'[1]Craig Eval'!A:M,13,FALSE)),"",VLOOKUP(A605,'[1]Craig Eval'!A:M,13,FALSE))</f>
        <v/>
      </c>
      <c r="K605" s="17">
        <v>4</v>
      </c>
    </row>
    <row r="606" spans="1:11" ht="30" x14ac:dyDescent="0.25">
      <c r="A606" s="26" t="s">
        <v>1231</v>
      </c>
      <c r="B606" s="27" t="s">
        <v>1232</v>
      </c>
      <c r="C606" s="34">
        <v>1917</v>
      </c>
      <c r="D606" s="28" t="s">
        <v>31</v>
      </c>
      <c r="E606" s="28" t="s">
        <v>17</v>
      </c>
      <c r="F606" s="29">
        <v>27011</v>
      </c>
      <c r="G606" s="30">
        <f t="shared" si="9"/>
        <v>27011</v>
      </c>
      <c r="H606" s="28" t="s">
        <v>13</v>
      </c>
      <c r="I606" s="31">
        <f>IF(ISNA(VLOOKUP(A606,'[1]Craig Eval'!A:C,3,FALSE)),"",(VLOOKUP(A606,'[1]Craig Eval'!A:C,3,FALSE))*1000)</f>
        <v>31423.111771801297</v>
      </c>
      <c r="J606" s="32">
        <f>IF(ISNA(VLOOKUP(A606,'[1]Craig Eval'!A:M,13,FALSE)),"",VLOOKUP(A606,'[1]Craig Eval'!A:M,13,FALSE))</f>
        <v>88.809488510265496</v>
      </c>
      <c r="K606" s="33">
        <v>1</v>
      </c>
    </row>
    <row r="607" spans="1:11" ht="30" x14ac:dyDescent="0.25">
      <c r="A607" s="26" t="s">
        <v>1233</v>
      </c>
      <c r="B607" s="27" t="s">
        <v>1234</v>
      </c>
      <c r="C607" s="34">
        <v>1860</v>
      </c>
      <c r="D607" s="28" t="s">
        <v>31</v>
      </c>
      <c r="E607" s="28" t="s">
        <v>17</v>
      </c>
      <c r="F607" s="29">
        <v>38029</v>
      </c>
      <c r="G607" s="30">
        <f t="shared" si="9"/>
        <v>38029</v>
      </c>
      <c r="H607" s="28" t="s">
        <v>13</v>
      </c>
      <c r="I607" s="31">
        <f>IF(ISNA(VLOOKUP(A607,'[1]Craig Eval'!A:C,3,FALSE)),"",(VLOOKUP(A607,'[1]Craig Eval'!A:C,3,FALSE))*1000)</f>
        <v>54680.156879131304</v>
      </c>
      <c r="J607" s="32">
        <f>IF(ISNA(VLOOKUP(A607,'[1]Craig Eval'!A:M,13,FALSE)),"",VLOOKUP(A607,'[1]Craig Eval'!A:M,13,FALSE))</f>
        <v>150.13966671331099</v>
      </c>
      <c r="K607" s="33">
        <v>1</v>
      </c>
    </row>
    <row r="608" spans="1:11" ht="30" x14ac:dyDescent="0.25">
      <c r="A608" s="3" t="s">
        <v>1235</v>
      </c>
      <c r="B608" s="4" t="s">
        <v>1236</v>
      </c>
      <c r="C608" s="14">
        <v>37169</v>
      </c>
      <c r="D608" s="6" t="s">
        <v>11</v>
      </c>
      <c r="E608" s="6" t="s">
        <v>12</v>
      </c>
      <c r="F608" s="7">
        <v>27046</v>
      </c>
      <c r="G608" s="8">
        <f t="shared" si="9"/>
        <v>27046</v>
      </c>
      <c r="H608" s="6" t="s">
        <v>776</v>
      </c>
      <c r="I608" s="9" t="str">
        <f>IF(ISNA(VLOOKUP(A608,'[1]Craig Eval'!A:C,3,FALSE)),"",(VLOOKUP(A608,'[1]Craig Eval'!A:C,3,FALSE))*1000)</f>
        <v/>
      </c>
      <c r="J608" s="10" t="str">
        <f>IF(ISNA(VLOOKUP(A608,'[1]Craig Eval'!A:M,13,FALSE)),"",VLOOKUP(A608,'[1]Craig Eval'!A:M,13,FALSE))</f>
        <v/>
      </c>
      <c r="K608" s="17">
        <v>2</v>
      </c>
    </row>
    <row r="609" spans="1:11" ht="30" x14ac:dyDescent="0.25">
      <c r="A609" s="3" t="s">
        <v>1237</v>
      </c>
      <c r="B609" s="4" t="s">
        <v>1238</v>
      </c>
      <c r="C609" s="5">
        <v>2245</v>
      </c>
      <c r="D609" s="6" t="s">
        <v>16</v>
      </c>
      <c r="E609" s="6" t="s">
        <v>17</v>
      </c>
      <c r="F609" s="7">
        <v>37084</v>
      </c>
      <c r="G609" s="8">
        <f t="shared" si="9"/>
        <v>37084</v>
      </c>
      <c r="H609" s="6" t="s">
        <v>13</v>
      </c>
      <c r="I609" s="9" t="str">
        <f>IF(ISNA(VLOOKUP(A609,'[1]Craig Eval'!A:C,3,FALSE)),"",(VLOOKUP(A609,'[1]Craig Eval'!A:C,3,FALSE))*1000)</f>
        <v/>
      </c>
      <c r="J609" s="10" t="str">
        <f>IF(ISNA(VLOOKUP(A609,'[1]Craig Eval'!A:M,13,FALSE)),"",VLOOKUP(A609,'[1]Craig Eval'!A:M,13,FALSE))</f>
        <v/>
      </c>
      <c r="K609" s="17">
        <v>1</v>
      </c>
    </row>
    <row r="610" spans="1:11" ht="30" x14ac:dyDescent="0.25">
      <c r="A610" s="3" t="s">
        <v>1239</v>
      </c>
      <c r="B610" s="4" t="s">
        <v>1240</v>
      </c>
      <c r="C610" s="5">
        <v>2001</v>
      </c>
      <c r="D610" s="6" t="s">
        <v>31</v>
      </c>
      <c r="E610" s="6" t="s">
        <v>17</v>
      </c>
      <c r="F610" s="7">
        <v>29952</v>
      </c>
      <c r="G610" s="8">
        <f t="shared" si="9"/>
        <v>29952</v>
      </c>
      <c r="H610" s="6" t="s">
        <v>13</v>
      </c>
      <c r="I610" s="9">
        <f>IF(ISNA(VLOOKUP(A610,'[1]Craig Eval'!A:C,3,FALSE)),"",(VLOOKUP(A610,'[1]Craig Eval'!A:C,3,FALSE))*1000)</f>
        <v>18103.503907168899</v>
      </c>
      <c r="J610" s="10">
        <f>IF(ISNA(VLOOKUP(A610,'[1]Craig Eval'!A:M,13,FALSE)),"",VLOOKUP(A610,'[1]Craig Eval'!A:M,13,FALSE))</f>
        <v>52.3429767703972</v>
      </c>
      <c r="K610" s="17">
        <v>1</v>
      </c>
    </row>
    <row r="611" spans="1:11" ht="30" x14ac:dyDescent="0.25">
      <c r="A611" s="3" t="s">
        <v>1241</v>
      </c>
      <c r="B611" s="4" t="s">
        <v>1242</v>
      </c>
      <c r="C611" s="5">
        <v>1141</v>
      </c>
      <c r="D611" s="6" t="s">
        <v>31</v>
      </c>
      <c r="E611" s="6" t="s">
        <v>17</v>
      </c>
      <c r="F611" s="7">
        <v>40998</v>
      </c>
      <c r="G611" s="8">
        <f t="shared" si="9"/>
        <v>40998</v>
      </c>
      <c r="H611" s="6" t="s">
        <v>13</v>
      </c>
      <c r="I611" s="9">
        <f>IF(ISNA(VLOOKUP(A611,'[1]Craig Eval'!A:C,3,FALSE)),"",(VLOOKUP(A611,'[1]Craig Eval'!A:C,3,FALSE))*1000)</f>
        <v>31188.387148552898</v>
      </c>
      <c r="J611" s="10">
        <f>IF(ISNA(VLOOKUP(A611,'[1]Craig Eval'!A:M,13,FALSE)),"",VLOOKUP(A611,'[1]Craig Eval'!A:M,13,FALSE))</f>
        <v>88.1766928187687</v>
      </c>
      <c r="K611" s="17">
        <v>1</v>
      </c>
    </row>
    <row r="612" spans="1:11" ht="30" x14ac:dyDescent="0.25">
      <c r="A612" s="26" t="s">
        <v>1243</v>
      </c>
      <c r="B612" s="27" t="s">
        <v>1244</v>
      </c>
      <c r="C612" s="34">
        <v>1458</v>
      </c>
      <c r="D612" s="28" t="s">
        <v>34</v>
      </c>
      <c r="E612" s="28" t="s">
        <v>17</v>
      </c>
      <c r="F612" s="29">
        <v>29221</v>
      </c>
      <c r="G612" s="30">
        <f t="shared" si="9"/>
        <v>29221</v>
      </c>
      <c r="H612" s="28" t="s">
        <v>13</v>
      </c>
      <c r="I612" s="31" t="str">
        <f>IF(ISNA(VLOOKUP(A612,'[1]Craig Eval'!A:C,3,FALSE)),"",(VLOOKUP(A612,'[1]Craig Eval'!A:C,3,FALSE))*1000)</f>
        <v/>
      </c>
      <c r="J612" s="32" t="str">
        <f>IF(ISNA(VLOOKUP(A612,'[1]Craig Eval'!A:M,13,FALSE)),"",VLOOKUP(A612,'[1]Craig Eval'!A:M,13,FALSE))</f>
        <v/>
      </c>
      <c r="K612" s="33">
        <v>1</v>
      </c>
    </row>
    <row r="613" spans="1:11" ht="30" x14ac:dyDescent="0.25">
      <c r="A613" s="3" t="s">
        <v>1245</v>
      </c>
      <c r="B613" s="4" t="s">
        <v>1246</v>
      </c>
      <c r="C613" s="5">
        <v>29844</v>
      </c>
      <c r="D613" s="6" t="s">
        <v>34</v>
      </c>
      <c r="E613" s="6" t="s">
        <v>17</v>
      </c>
      <c r="F613" s="7">
        <v>35584</v>
      </c>
      <c r="G613" s="8">
        <f t="shared" si="9"/>
        <v>35584</v>
      </c>
      <c r="H613" s="6" t="s">
        <v>13</v>
      </c>
      <c r="I613" s="9">
        <f>IF(ISNA(VLOOKUP(A613,'[1]Craig Eval'!A:C,3,FALSE)),"",(VLOOKUP(A613,'[1]Craig Eval'!A:C,3,FALSE))*1000)</f>
        <v>2637.8468931080897</v>
      </c>
      <c r="J613" s="10">
        <f>IF(ISNA(VLOOKUP(A613,'[1]Craig Eval'!A:M,13,FALSE)),"",VLOOKUP(A613,'[1]Craig Eval'!A:M,13,FALSE))</f>
        <v>7.9931019010486501</v>
      </c>
      <c r="K613" s="17">
        <v>1</v>
      </c>
    </row>
    <row r="614" spans="1:11" ht="30" x14ac:dyDescent="0.25">
      <c r="A614" s="18" t="s">
        <v>1247</v>
      </c>
      <c r="B614" s="19" t="s">
        <v>1248</v>
      </c>
      <c r="C614" s="5">
        <v>1987</v>
      </c>
      <c r="D614" s="21" t="s">
        <v>28</v>
      </c>
      <c r="E614" s="21" t="s">
        <v>17</v>
      </c>
      <c r="F614" s="22">
        <v>18264</v>
      </c>
      <c r="G614" s="23">
        <f t="shared" si="9"/>
        <v>18264</v>
      </c>
      <c r="H614" s="21" t="s">
        <v>13</v>
      </c>
      <c r="I614" s="9">
        <f>IF(ISNA(VLOOKUP(A614,'[1]Craig Eval'!A:C,3,FALSE)),"",(VLOOKUP(A614,'[1]Craig Eval'!A:C,3,FALSE))*1000)</f>
        <v>705328.40568832599</v>
      </c>
      <c r="J614" s="24">
        <f>IF(ISNA(VLOOKUP(A614,'[1]Craig Eval'!A:M,13,FALSE)),"",VLOOKUP(A614,'[1]Craig Eval'!A:M,13,FALSE))</f>
        <v>1520.0943759818399</v>
      </c>
      <c r="K614" s="25">
        <v>3</v>
      </c>
    </row>
    <row r="615" spans="1:11" ht="30" x14ac:dyDescent="0.25">
      <c r="A615" s="3" t="s">
        <v>1249</v>
      </c>
      <c r="B615" s="4" t="s">
        <v>1250</v>
      </c>
      <c r="C615" s="5">
        <v>72097</v>
      </c>
      <c r="D615" s="6" t="s">
        <v>37</v>
      </c>
      <c r="E615" s="6" t="s">
        <v>38</v>
      </c>
      <c r="F615" s="7">
        <v>38491</v>
      </c>
      <c r="G615" s="8">
        <f t="shared" si="9"/>
        <v>38491</v>
      </c>
      <c r="H615" s="6" t="s">
        <v>39</v>
      </c>
      <c r="I615" s="9" t="str">
        <f>IF(ISNA(VLOOKUP(A615,'[1]Craig Eval'!A:C,3,FALSE)),"",(VLOOKUP(A615,'[1]Craig Eval'!A:C,3,FALSE))*1000)</f>
        <v/>
      </c>
      <c r="J615" s="10" t="str">
        <f>IF(ISNA(VLOOKUP(A615,'[1]Craig Eval'!A:M,13,FALSE)),"",VLOOKUP(A615,'[1]Craig Eval'!A:M,13,FALSE))</f>
        <v/>
      </c>
      <c r="K615" s="17">
        <v>2</v>
      </c>
    </row>
    <row r="616" spans="1:11" ht="30" x14ac:dyDescent="0.25">
      <c r="A616" s="26" t="s">
        <v>1251</v>
      </c>
      <c r="B616" s="27" t="s">
        <v>1252</v>
      </c>
      <c r="C616" s="34">
        <v>30546</v>
      </c>
      <c r="D616" s="28" t="s">
        <v>11</v>
      </c>
      <c r="E616" s="28" t="s">
        <v>12</v>
      </c>
      <c r="F616" s="29">
        <v>39294</v>
      </c>
      <c r="G616" s="30">
        <f t="shared" si="9"/>
        <v>39294</v>
      </c>
      <c r="H616" s="28" t="s">
        <v>39</v>
      </c>
      <c r="I616" s="31" t="str">
        <f>IF(ISNA(VLOOKUP(A616,'[1]Craig Eval'!A:C,3,FALSE)),"",(VLOOKUP(A616,'[1]Craig Eval'!A:C,3,FALSE))*1000)</f>
        <v/>
      </c>
      <c r="J616" s="32" t="str">
        <f>IF(ISNA(VLOOKUP(A616,'[1]Craig Eval'!A:M,13,FALSE)),"",VLOOKUP(A616,'[1]Craig Eval'!A:M,13,FALSE))</f>
        <v/>
      </c>
      <c r="K616" s="33">
        <v>2</v>
      </c>
    </row>
    <row r="617" spans="1:11" ht="30" x14ac:dyDescent="0.25">
      <c r="A617" s="3" t="s">
        <v>1253</v>
      </c>
      <c r="B617" s="4" t="s">
        <v>1254</v>
      </c>
      <c r="C617" s="14">
        <v>54564</v>
      </c>
      <c r="D617" s="6" t="s">
        <v>11</v>
      </c>
      <c r="E617" s="6" t="s">
        <v>12</v>
      </c>
      <c r="F617" s="7">
        <v>37386</v>
      </c>
      <c r="G617" s="8">
        <f t="shared" si="9"/>
        <v>37386</v>
      </c>
      <c r="H617" s="6" t="s">
        <v>39</v>
      </c>
      <c r="I617" s="9" t="str">
        <f>IF(ISNA(VLOOKUP(A617,'[1]Craig Eval'!A:C,3,FALSE)),"",(VLOOKUP(A617,'[1]Craig Eval'!A:C,3,FALSE))*1000)</f>
        <v/>
      </c>
      <c r="J617" s="10" t="str">
        <f>IF(ISNA(VLOOKUP(A617,'[1]Craig Eval'!A:M,13,FALSE)),"",VLOOKUP(A617,'[1]Craig Eval'!A:M,13,FALSE))</f>
        <v/>
      </c>
      <c r="K617" s="17">
        <v>2</v>
      </c>
    </row>
    <row r="618" spans="1:11" ht="30" x14ac:dyDescent="0.25">
      <c r="A618" s="3" t="s">
        <v>1255</v>
      </c>
      <c r="B618" s="4" t="s">
        <v>1256</v>
      </c>
      <c r="C618" s="5">
        <v>1939</v>
      </c>
      <c r="D618" s="6" t="s">
        <v>34</v>
      </c>
      <c r="E618" s="6" t="s">
        <v>17</v>
      </c>
      <c r="F618" s="7">
        <v>29221</v>
      </c>
      <c r="G618" s="8">
        <f t="shared" si="9"/>
        <v>29221</v>
      </c>
      <c r="H618" s="6" t="s">
        <v>13</v>
      </c>
      <c r="I618" s="9">
        <f>IF(ISNA(VLOOKUP(A618,'[1]Craig Eval'!A:C,3,FALSE)),"",(VLOOKUP(A618,'[1]Craig Eval'!A:C,3,FALSE))*1000)</f>
        <v>5783.9483586063297</v>
      </c>
      <c r="J618" s="10">
        <f>IF(ISNA(VLOOKUP(A618,'[1]Craig Eval'!A:M,13,FALSE)),"",VLOOKUP(A618,'[1]Craig Eval'!A:M,13,FALSE))</f>
        <v>17.2775322062862</v>
      </c>
      <c r="K618" s="17">
        <v>1</v>
      </c>
    </row>
    <row r="619" spans="1:11" ht="30" x14ac:dyDescent="0.25">
      <c r="A619" s="3" t="s">
        <v>1257</v>
      </c>
      <c r="B619" s="4" t="s">
        <v>1258</v>
      </c>
      <c r="C619" s="5">
        <v>1546</v>
      </c>
      <c r="D619" s="6" t="s">
        <v>28</v>
      </c>
      <c r="E619" s="6" t="s">
        <v>17</v>
      </c>
      <c r="F619" s="7">
        <v>25569</v>
      </c>
      <c r="G619" s="8">
        <f t="shared" si="9"/>
        <v>25569</v>
      </c>
      <c r="H619" s="6" t="s">
        <v>13</v>
      </c>
      <c r="I619" s="9">
        <f>IF(ISNA(VLOOKUP(A619,'[1]Craig Eval'!A:C,3,FALSE)),"",(VLOOKUP(A619,'[1]Craig Eval'!A:C,3,FALSE))*1000)</f>
        <v>12723.438574330799</v>
      </c>
      <c r="J619" s="10">
        <f>IF(ISNA(VLOOKUP(A619,'[1]Craig Eval'!A:M,13,FALSE)),"",VLOOKUP(A619,'[1]Craig Eval'!A:M,13,FALSE))</f>
        <v>37.228797946132701</v>
      </c>
      <c r="K619" s="17">
        <v>1</v>
      </c>
    </row>
    <row r="620" spans="1:11" ht="30" x14ac:dyDescent="0.25">
      <c r="A620" s="3" t="s">
        <v>1259</v>
      </c>
      <c r="B620" s="4" t="s">
        <v>1260</v>
      </c>
      <c r="C620" s="5">
        <v>12807</v>
      </c>
      <c r="D620" s="6" t="s">
        <v>37</v>
      </c>
      <c r="E620" s="6" t="s">
        <v>38</v>
      </c>
      <c r="F620" s="7">
        <v>37818</v>
      </c>
      <c r="G620" s="8">
        <f t="shared" si="9"/>
        <v>37818</v>
      </c>
      <c r="H620" s="6" t="s">
        <v>39</v>
      </c>
      <c r="I620" s="9" t="str">
        <f>IF(ISNA(VLOOKUP(A620,'[1]Craig Eval'!A:C,3,FALSE)),"",(VLOOKUP(A620,'[1]Craig Eval'!A:C,3,FALSE))*1000)</f>
        <v/>
      </c>
      <c r="J620" s="10" t="str">
        <f>IF(ISNA(VLOOKUP(A620,'[1]Craig Eval'!A:M,13,FALSE)),"",VLOOKUP(A620,'[1]Craig Eval'!A:M,13,FALSE))</f>
        <v/>
      </c>
      <c r="K620" s="17">
        <v>2</v>
      </c>
    </row>
    <row r="621" spans="1:11" ht="30" x14ac:dyDescent="0.25">
      <c r="A621" s="3" t="s">
        <v>1261</v>
      </c>
      <c r="B621" s="4" t="s">
        <v>1262</v>
      </c>
      <c r="C621" s="5">
        <v>48801</v>
      </c>
      <c r="D621" s="6" t="s">
        <v>37</v>
      </c>
      <c r="E621" s="6" t="s">
        <v>38</v>
      </c>
      <c r="F621" s="7">
        <v>37873</v>
      </c>
      <c r="G621" s="8">
        <f t="shared" si="9"/>
        <v>37873</v>
      </c>
      <c r="H621" s="6" t="s">
        <v>39</v>
      </c>
      <c r="I621" s="9" t="str">
        <f>IF(ISNA(VLOOKUP(A621,'[1]Craig Eval'!A:C,3,FALSE)),"",(VLOOKUP(A621,'[1]Craig Eval'!A:C,3,FALSE))*1000)</f>
        <v/>
      </c>
      <c r="J621" s="10" t="str">
        <f>IF(ISNA(VLOOKUP(A621,'[1]Craig Eval'!A:M,13,FALSE)),"",VLOOKUP(A621,'[1]Craig Eval'!A:M,13,FALSE))</f>
        <v/>
      </c>
      <c r="K621" s="17">
        <v>1</v>
      </c>
    </row>
    <row r="622" spans="1:11" ht="30" x14ac:dyDescent="0.25">
      <c r="A622" s="18" t="s">
        <v>1263</v>
      </c>
      <c r="B622" s="19" t="s">
        <v>1264</v>
      </c>
      <c r="C622" s="20">
        <v>1840</v>
      </c>
      <c r="D622" s="21" t="s">
        <v>16</v>
      </c>
      <c r="E622" s="21" t="s">
        <v>17</v>
      </c>
      <c r="F622" s="22">
        <v>18264</v>
      </c>
      <c r="G622" s="23">
        <f t="shared" si="9"/>
        <v>18264</v>
      </c>
      <c r="H622" s="21" t="s">
        <v>13</v>
      </c>
      <c r="I622" s="9">
        <f>IF(ISNA(VLOOKUP(A622,'[1]Craig Eval'!A:C,3,FALSE)),"",(VLOOKUP(A622,'[1]Craig Eval'!A:C,3,FALSE))*1000)</f>
        <v>61485.844617430703</v>
      </c>
      <c r="J622" s="24">
        <f>IF(ISNA(VLOOKUP(A622,'[1]Craig Eval'!A:M,13,FALSE)),"",VLOOKUP(A622,'[1]Craig Eval'!A:M,13,FALSE))</f>
        <v>167.648945040428</v>
      </c>
      <c r="K622" s="25">
        <v>2</v>
      </c>
    </row>
    <row r="623" spans="1:11" ht="30" x14ac:dyDescent="0.25">
      <c r="A623" s="3" t="s">
        <v>1265</v>
      </c>
      <c r="B623" s="4" t="s">
        <v>1266</v>
      </c>
      <c r="C623" s="5">
        <v>1579</v>
      </c>
      <c r="D623" s="6" t="s">
        <v>16</v>
      </c>
      <c r="E623" s="6" t="s">
        <v>17</v>
      </c>
      <c r="F623" s="7">
        <v>29221</v>
      </c>
      <c r="G623" s="8">
        <f t="shared" si="9"/>
        <v>29221</v>
      </c>
      <c r="H623" s="6" t="s">
        <v>13</v>
      </c>
      <c r="I623" s="9">
        <f>IF(ISNA(VLOOKUP(A623,'[1]Craig Eval'!A:C,3,FALSE)),"",(VLOOKUP(A623,'[1]Craig Eval'!A:C,3,FALSE))*1000)</f>
        <v>58537.795287401503</v>
      </c>
      <c r="J623" s="10">
        <f>IF(ISNA(VLOOKUP(A623,'[1]Craig Eval'!A:M,13,FALSE)),"",VLOOKUP(A623,'[1]Craig Eval'!A:M,13,FALSE))</f>
        <v>160.08577247537201</v>
      </c>
      <c r="K623" s="17">
        <v>4</v>
      </c>
    </row>
    <row r="624" spans="1:11" ht="30" x14ac:dyDescent="0.25">
      <c r="A624" s="3" t="s">
        <v>1267</v>
      </c>
      <c r="B624" s="4" t="s">
        <v>1268</v>
      </c>
      <c r="C624" s="5">
        <v>54565</v>
      </c>
      <c r="D624" s="6" t="s">
        <v>16</v>
      </c>
      <c r="E624" s="6" t="s">
        <v>17</v>
      </c>
      <c r="F624" s="7">
        <v>37312</v>
      </c>
      <c r="G624" s="8">
        <f t="shared" si="9"/>
        <v>37312</v>
      </c>
      <c r="H624" s="6" t="s">
        <v>13</v>
      </c>
      <c r="I624" s="9" t="str">
        <f>IF(ISNA(VLOOKUP(A624,'[1]Craig Eval'!A:C,3,FALSE)),"",(VLOOKUP(A624,'[1]Craig Eval'!A:C,3,FALSE))*1000)</f>
        <v/>
      </c>
      <c r="J624" s="10" t="str">
        <f>IF(ISNA(VLOOKUP(A624,'[1]Craig Eval'!A:M,13,FALSE)),"",VLOOKUP(A624,'[1]Craig Eval'!A:M,13,FALSE))</f>
        <v/>
      </c>
      <c r="K624" s="17">
        <v>1</v>
      </c>
    </row>
    <row r="625" spans="1:11" ht="30" x14ac:dyDescent="0.25">
      <c r="A625" s="3" t="s">
        <v>1269</v>
      </c>
      <c r="B625" s="4" t="s">
        <v>1270</v>
      </c>
      <c r="C625" s="5">
        <v>18887</v>
      </c>
      <c r="D625" s="6" t="s">
        <v>31</v>
      </c>
      <c r="E625" s="6" t="s">
        <v>17</v>
      </c>
      <c r="F625" s="7">
        <v>32646</v>
      </c>
      <c r="G625" s="8">
        <f t="shared" si="9"/>
        <v>32646</v>
      </c>
      <c r="H625" s="6" t="s">
        <v>13</v>
      </c>
      <c r="I625" s="9">
        <f>IF(ISNA(VLOOKUP(A625,'[1]Craig Eval'!A:C,3,FALSE)),"",(VLOOKUP(A625,'[1]Craig Eval'!A:C,3,FALSE))*1000)</f>
        <v>7023.40029826507</v>
      </c>
      <c r="J625" s="10">
        <f>IF(ISNA(VLOOKUP(A625,'[1]Craig Eval'!A:M,13,FALSE)),"",VLOOKUP(A625,'[1]Craig Eval'!A:M,13,FALSE))</f>
        <v>20.887393324219399</v>
      </c>
      <c r="K625" s="17">
        <v>1</v>
      </c>
    </row>
    <row r="626" spans="1:11" ht="30" x14ac:dyDescent="0.25">
      <c r="A626" s="3" t="s">
        <v>1271</v>
      </c>
      <c r="B626" s="4" t="s">
        <v>1272</v>
      </c>
      <c r="C626" s="14">
        <v>1509</v>
      </c>
      <c r="D626" s="6" t="s">
        <v>28</v>
      </c>
      <c r="E626" s="6" t="s">
        <v>17</v>
      </c>
      <c r="F626" s="7">
        <v>18264</v>
      </c>
      <c r="G626" s="8">
        <f t="shared" si="9"/>
        <v>18264</v>
      </c>
      <c r="H626" s="6" t="s">
        <v>13</v>
      </c>
      <c r="I626" s="9">
        <f>IF(ISNA(VLOOKUP(A626,'[1]Craig Eval'!A:C,3,FALSE)),"",(VLOOKUP(A626,'[1]Craig Eval'!A:C,3,FALSE))*1000)</f>
        <v>42637.353423353699</v>
      </c>
      <c r="J626" s="10">
        <f>IF(ISNA(VLOOKUP(A626,'[1]Craig Eval'!A:M,13,FALSE)),"",VLOOKUP(A626,'[1]Craig Eval'!A:M,13,FALSE))</f>
        <v>118.698515486424</v>
      </c>
      <c r="K626" s="17">
        <v>1</v>
      </c>
    </row>
    <row r="627" spans="1:11" ht="30" x14ac:dyDescent="0.25">
      <c r="A627" s="3" t="s">
        <v>1273</v>
      </c>
      <c r="B627" s="4" t="s">
        <v>1274</v>
      </c>
      <c r="C627" s="14">
        <v>1147</v>
      </c>
      <c r="D627" s="6" t="s">
        <v>34</v>
      </c>
      <c r="E627" s="6" t="s">
        <v>17</v>
      </c>
      <c r="F627" s="7">
        <v>37697</v>
      </c>
      <c r="G627" s="8">
        <f t="shared" si="9"/>
        <v>37697</v>
      </c>
      <c r="H627" s="6" t="s">
        <v>13</v>
      </c>
      <c r="I627" s="9">
        <f>IF(ISNA(VLOOKUP(A627,'[1]Craig Eval'!A:C,3,FALSE)),"",(VLOOKUP(A627,'[1]Craig Eval'!A:C,3,FALSE))*1000)</f>
        <v>29149.279998300903</v>
      </c>
      <c r="J627" s="10">
        <f>IF(ISNA(VLOOKUP(A627,'[1]Craig Eval'!A:M,13,FALSE)),"",VLOOKUP(A627,'[1]Craig Eval'!A:M,13,FALSE))</f>
        <v>82.665897939074696</v>
      </c>
      <c r="K627" s="17">
        <v>2</v>
      </c>
    </row>
    <row r="628" spans="1:11" ht="30" x14ac:dyDescent="0.25">
      <c r="A628" s="3" t="s">
        <v>1275</v>
      </c>
      <c r="B628" s="4" t="s">
        <v>1276</v>
      </c>
      <c r="C628" s="5">
        <v>1879</v>
      </c>
      <c r="D628" s="6" t="s">
        <v>34</v>
      </c>
      <c r="E628" s="6" t="s">
        <v>17</v>
      </c>
      <c r="F628" s="7">
        <v>32617</v>
      </c>
      <c r="G628" s="8">
        <f t="shared" si="9"/>
        <v>32617</v>
      </c>
      <c r="H628" s="6" t="s">
        <v>13</v>
      </c>
      <c r="I628" s="9" t="str">
        <f>IF(ISNA(VLOOKUP(A628,'[1]Craig Eval'!A:C,3,FALSE)),"",(VLOOKUP(A628,'[1]Craig Eval'!A:C,3,FALSE))*1000)</f>
        <v/>
      </c>
      <c r="J628" s="10" t="str">
        <f>IF(ISNA(VLOOKUP(A628,'[1]Craig Eval'!A:M,13,FALSE)),"",VLOOKUP(A628,'[1]Craig Eval'!A:M,13,FALSE))</f>
        <v/>
      </c>
      <c r="K628" s="17">
        <v>1</v>
      </c>
    </row>
    <row r="629" spans="1:11" ht="30" x14ac:dyDescent="0.25">
      <c r="A629" s="3" t="s">
        <v>1277</v>
      </c>
      <c r="B629" s="4" t="s">
        <v>1278</v>
      </c>
      <c r="C629" s="5">
        <v>10562</v>
      </c>
      <c r="D629" s="6" t="s">
        <v>11</v>
      </c>
      <c r="E629" s="6" t="s">
        <v>17</v>
      </c>
      <c r="F629" s="7">
        <v>37231</v>
      </c>
      <c r="G629" s="8">
        <f t="shared" si="9"/>
        <v>37231</v>
      </c>
      <c r="H629" s="6" t="s">
        <v>13</v>
      </c>
      <c r="I629" s="9" t="str">
        <f>IF(ISNA(VLOOKUP(A629,'[1]Craig Eval'!A:C,3,FALSE)),"",(VLOOKUP(A629,'[1]Craig Eval'!A:C,3,FALSE))*1000)</f>
        <v/>
      </c>
      <c r="J629" s="10" t="str">
        <f>IF(ISNA(VLOOKUP(A629,'[1]Craig Eval'!A:M,13,FALSE)),"",VLOOKUP(A629,'[1]Craig Eval'!A:M,13,FALSE))</f>
        <v/>
      </c>
      <c r="K629" s="17">
        <v>1</v>
      </c>
    </row>
    <row r="630" spans="1:11" ht="30" x14ac:dyDescent="0.25">
      <c r="A630" s="3" t="s">
        <v>1279</v>
      </c>
      <c r="B630" s="4" t="s">
        <v>1280</v>
      </c>
      <c r="C630" s="5">
        <v>1533</v>
      </c>
      <c r="D630" s="6" t="s">
        <v>34</v>
      </c>
      <c r="E630" s="6" t="s">
        <v>17</v>
      </c>
      <c r="F630" s="7">
        <v>19725</v>
      </c>
      <c r="G630" s="8">
        <f t="shared" si="9"/>
        <v>19725</v>
      </c>
      <c r="H630" s="6" t="s">
        <v>13</v>
      </c>
      <c r="I630" s="9">
        <f>IF(ISNA(VLOOKUP(A630,'[1]Craig Eval'!A:C,3,FALSE)),"",(VLOOKUP(A630,'[1]Craig Eval'!A:C,3,FALSE))*1000)</f>
        <v>2640.1556553074502</v>
      </c>
      <c r="J630" s="10">
        <f>IF(ISNA(VLOOKUP(A630,'[1]Craig Eval'!A:M,13,FALSE)),"",VLOOKUP(A630,'[1]Craig Eval'!A:M,13,FALSE))</f>
        <v>7.9999925479194003</v>
      </c>
      <c r="K630" s="17">
        <v>2</v>
      </c>
    </row>
    <row r="631" spans="1:11" ht="30" x14ac:dyDescent="0.25">
      <c r="A631" s="3" t="s">
        <v>1281</v>
      </c>
      <c r="B631" s="4" t="s">
        <v>1282</v>
      </c>
      <c r="C631" s="5">
        <v>12802</v>
      </c>
      <c r="D631" s="6" t="s">
        <v>34</v>
      </c>
      <c r="E631" s="6" t="s">
        <v>17</v>
      </c>
      <c r="F631" s="7">
        <v>38110</v>
      </c>
      <c r="G631" s="8">
        <f t="shared" si="9"/>
        <v>38110</v>
      </c>
      <c r="H631" s="6" t="s">
        <v>13</v>
      </c>
      <c r="I631" s="9" t="str">
        <f>IF(ISNA(VLOOKUP(A631,'[1]Craig Eval'!A:C,3,FALSE)),"",(VLOOKUP(A631,'[1]Craig Eval'!A:C,3,FALSE))*1000)</f>
        <v/>
      </c>
      <c r="J631" s="10" t="str">
        <f>IF(ISNA(VLOOKUP(A631,'[1]Craig Eval'!A:M,13,FALSE)),"",VLOOKUP(A631,'[1]Craig Eval'!A:M,13,FALSE))</f>
        <v/>
      </c>
      <c r="K631" s="17">
        <v>1</v>
      </c>
    </row>
    <row r="632" spans="1:11" ht="30" x14ac:dyDescent="0.25">
      <c r="A632" s="3" t="s">
        <v>1283</v>
      </c>
      <c r="B632" s="4" t="s">
        <v>1284</v>
      </c>
      <c r="C632" s="5">
        <v>1196</v>
      </c>
      <c r="D632" s="6" t="s">
        <v>16</v>
      </c>
      <c r="E632" s="6" t="s">
        <v>17</v>
      </c>
      <c r="F632" s="7">
        <v>29221</v>
      </c>
      <c r="G632" s="8">
        <f t="shared" si="9"/>
        <v>29221</v>
      </c>
      <c r="H632" s="6" t="s">
        <v>13</v>
      </c>
      <c r="I632" s="9" t="str">
        <f>IF(ISNA(VLOOKUP(A632,'[1]Craig Eval'!A:C,3,FALSE)),"",(VLOOKUP(A632,'[1]Craig Eval'!A:C,3,FALSE))*1000)</f>
        <v/>
      </c>
      <c r="J632" s="10" t="str">
        <f>IF(ISNA(VLOOKUP(A632,'[1]Craig Eval'!A:M,13,FALSE)),"",VLOOKUP(A632,'[1]Craig Eval'!A:M,13,FALSE))</f>
        <v/>
      </c>
      <c r="K632" s="17">
        <v>1</v>
      </c>
    </row>
    <row r="633" spans="1:11" ht="30" x14ac:dyDescent="0.25">
      <c r="A633" s="3" t="s">
        <v>1285</v>
      </c>
      <c r="B633" s="4" t="s">
        <v>1286</v>
      </c>
      <c r="C633" s="14">
        <v>1439</v>
      </c>
      <c r="D633" s="6" t="s">
        <v>16</v>
      </c>
      <c r="E633" s="6" t="s">
        <v>17</v>
      </c>
      <c r="F633" s="7">
        <v>29221</v>
      </c>
      <c r="G633" s="8">
        <f t="shared" si="9"/>
        <v>29221</v>
      </c>
      <c r="H633" s="6" t="s">
        <v>13</v>
      </c>
      <c r="I633" s="9" t="str">
        <f>IF(ISNA(VLOOKUP(A633,'[1]Craig Eval'!A:C,3,FALSE)),"",(VLOOKUP(A633,'[1]Craig Eval'!A:C,3,FALSE))*1000)</f>
        <v/>
      </c>
      <c r="J633" s="10" t="str">
        <f>IF(ISNA(VLOOKUP(A633,'[1]Craig Eval'!A:M,13,FALSE)),"",VLOOKUP(A633,'[1]Craig Eval'!A:M,13,FALSE))</f>
        <v/>
      </c>
      <c r="K633" s="17">
        <v>2</v>
      </c>
    </row>
    <row r="634" spans="1:11" ht="30" x14ac:dyDescent="0.25">
      <c r="A634" s="3" t="s">
        <v>1287</v>
      </c>
      <c r="B634" s="4" t="s">
        <v>1288</v>
      </c>
      <c r="C634" s="5">
        <v>1063</v>
      </c>
      <c r="D634" s="6" t="s">
        <v>16</v>
      </c>
      <c r="E634" s="6" t="s">
        <v>17</v>
      </c>
      <c r="F634" s="7">
        <v>25569</v>
      </c>
      <c r="G634" s="8">
        <f t="shared" si="9"/>
        <v>25569</v>
      </c>
      <c r="H634" s="6" t="s">
        <v>13</v>
      </c>
      <c r="I634" s="9" t="str">
        <f>IF(ISNA(VLOOKUP(A634,'[1]Craig Eval'!A:C,3,FALSE)),"",(VLOOKUP(A634,'[1]Craig Eval'!A:C,3,FALSE))*1000)</f>
        <v/>
      </c>
      <c r="J634" s="10" t="str">
        <f>IF(ISNA(VLOOKUP(A634,'[1]Craig Eval'!A:M,13,FALSE)),"",VLOOKUP(A634,'[1]Craig Eval'!A:M,13,FALSE))</f>
        <v/>
      </c>
      <c r="K634" s="17">
        <v>1</v>
      </c>
    </row>
    <row r="635" spans="1:11" ht="30" x14ac:dyDescent="0.25">
      <c r="A635" s="3" t="s">
        <v>1289</v>
      </c>
      <c r="B635" s="4" t="s">
        <v>1290</v>
      </c>
      <c r="C635" s="5">
        <v>1854</v>
      </c>
      <c r="D635" s="6" t="s">
        <v>16</v>
      </c>
      <c r="E635" s="6" t="s">
        <v>17</v>
      </c>
      <c r="F635" s="7">
        <v>29221</v>
      </c>
      <c r="G635" s="8">
        <f t="shared" si="9"/>
        <v>29221</v>
      </c>
      <c r="H635" s="6" t="s">
        <v>13</v>
      </c>
      <c r="I635" s="9" t="str">
        <f>IF(ISNA(VLOOKUP(A635,'[1]Craig Eval'!A:C,3,FALSE)),"",(VLOOKUP(A635,'[1]Craig Eval'!A:C,3,FALSE))*1000)</f>
        <v/>
      </c>
      <c r="J635" s="10" t="str">
        <f>IF(ISNA(VLOOKUP(A635,'[1]Craig Eval'!A:M,13,FALSE)),"",VLOOKUP(A635,'[1]Craig Eval'!A:M,13,FALSE))</f>
        <v/>
      </c>
      <c r="K635" s="17">
        <v>1</v>
      </c>
    </row>
    <row r="636" spans="1:11" ht="30" x14ac:dyDescent="0.25">
      <c r="A636" s="3" t="s">
        <v>1291</v>
      </c>
      <c r="B636" s="4" t="s">
        <v>1292</v>
      </c>
      <c r="C636" s="5">
        <v>1190</v>
      </c>
      <c r="D636" s="6" t="s">
        <v>16</v>
      </c>
      <c r="E636" s="6" t="s">
        <v>17</v>
      </c>
      <c r="F636" s="7">
        <v>25569</v>
      </c>
      <c r="G636" s="8">
        <f t="shared" si="9"/>
        <v>25569</v>
      </c>
      <c r="H636" s="6" t="s">
        <v>13</v>
      </c>
      <c r="I636" s="9" t="str">
        <f>IF(ISNA(VLOOKUP(A636,'[1]Craig Eval'!A:C,3,FALSE)),"",(VLOOKUP(A636,'[1]Craig Eval'!A:C,3,FALSE))*1000)</f>
        <v/>
      </c>
      <c r="J636" s="10" t="str">
        <f>IF(ISNA(VLOOKUP(A636,'[1]Craig Eval'!A:M,13,FALSE)),"",VLOOKUP(A636,'[1]Craig Eval'!A:M,13,FALSE))</f>
        <v/>
      </c>
      <c r="K636" s="17">
        <v>1</v>
      </c>
    </row>
    <row r="637" spans="1:11" ht="30" x14ac:dyDescent="0.25">
      <c r="A637" s="3" t="s">
        <v>1293</v>
      </c>
      <c r="B637" s="4" t="s">
        <v>1294</v>
      </c>
      <c r="C637" s="5">
        <v>1862</v>
      </c>
      <c r="D637" s="6" t="s">
        <v>31</v>
      </c>
      <c r="E637" s="6" t="s">
        <v>17</v>
      </c>
      <c r="F637" s="7">
        <v>29221</v>
      </c>
      <c r="G637" s="8">
        <f t="shared" si="9"/>
        <v>29221</v>
      </c>
      <c r="H637" s="6" t="s">
        <v>13</v>
      </c>
      <c r="I637" s="9">
        <f>IF(ISNA(VLOOKUP(A637,'[1]Craig Eval'!A:C,3,FALSE)),"",(VLOOKUP(A637,'[1]Craig Eval'!A:C,3,FALSE))*1000)</f>
        <v>32322.561112202999</v>
      </c>
      <c r="J637" s="10">
        <f>IF(ISNA(VLOOKUP(A637,'[1]Craig Eval'!A:M,13,FALSE)),"",VLOOKUP(A637,'[1]Craig Eval'!A:M,13,FALSE))</f>
        <v>91.231404941777896</v>
      </c>
      <c r="K637" s="17">
        <v>2</v>
      </c>
    </row>
    <row r="638" spans="1:11" ht="30" x14ac:dyDescent="0.25">
      <c r="A638" s="3" t="s">
        <v>1295</v>
      </c>
      <c r="B638" s="4" t="s">
        <v>1296</v>
      </c>
      <c r="C638" s="5">
        <v>54169</v>
      </c>
      <c r="D638" s="6" t="s">
        <v>28</v>
      </c>
      <c r="E638" s="6" t="s">
        <v>17</v>
      </c>
      <c r="F638" s="7">
        <v>38562</v>
      </c>
      <c r="G638" s="8">
        <f t="shared" si="9"/>
        <v>38562</v>
      </c>
      <c r="H638" s="6" t="s">
        <v>13</v>
      </c>
      <c r="I638" s="9">
        <f>IF(ISNA(VLOOKUP(A638,'[1]Craig Eval'!A:C,3,FALSE)),"",(VLOOKUP(A638,'[1]Craig Eval'!A:C,3,FALSE))*1000)</f>
        <v>8943.37950957871</v>
      </c>
      <c r="J638" s="10">
        <f>IF(ISNA(VLOOKUP(A638,'[1]Craig Eval'!A:M,13,FALSE)),"",VLOOKUP(A638,'[1]Craig Eval'!A:M,13,FALSE))</f>
        <v>26.435945144440399</v>
      </c>
      <c r="K638" s="17">
        <v>1</v>
      </c>
    </row>
    <row r="639" spans="1:11" ht="30" x14ac:dyDescent="0.25">
      <c r="A639" s="3" t="s">
        <v>1297</v>
      </c>
      <c r="B639" s="4" t="s">
        <v>1298</v>
      </c>
      <c r="C639" s="5">
        <v>1964</v>
      </c>
      <c r="D639" s="6" t="s">
        <v>11</v>
      </c>
      <c r="E639" s="6" t="s">
        <v>17</v>
      </c>
      <c r="F639" s="7">
        <v>34633</v>
      </c>
      <c r="G639" s="8">
        <f t="shared" si="9"/>
        <v>34633</v>
      </c>
      <c r="H639" s="6" t="s">
        <v>13</v>
      </c>
      <c r="I639" s="9" t="str">
        <f>IF(ISNA(VLOOKUP(A639,'[1]Craig Eval'!A:C,3,FALSE)),"",(VLOOKUP(A639,'[1]Craig Eval'!A:C,3,FALSE))*1000)</f>
        <v/>
      </c>
      <c r="J639" s="10" t="str">
        <f>IF(ISNA(VLOOKUP(A639,'[1]Craig Eval'!A:M,13,FALSE)),"",VLOOKUP(A639,'[1]Craig Eval'!A:M,13,FALSE))</f>
        <v/>
      </c>
      <c r="K639" s="17">
        <v>2</v>
      </c>
    </row>
    <row r="640" spans="1:11" ht="30" x14ac:dyDescent="0.25">
      <c r="A640" s="3" t="s">
        <v>1299</v>
      </c>
      <c r="B640" s="4" t="s">
        <v>1300</v>
      </c>
      <c r="C640" s="5">
        <v>52945</v>
      </c>
      <c r="D640" s="6" t="s">
        <v>28</v>
      </c>
      <c r="E640" s="6" t="s">
        <v>17</v>
      </c>
      <c r="F640" s="7">
        <v>38548</v>
      </c>
      <c r="G640" s="8">
        <f t="shared" si="9"/>
        <v>38548</v>
      </c>
      <c r="H640" s="6" t="s">
        <v>13</v>
      </c>
      <c r="I640" s="9">
        <f>IF(ISNA(VLOOKUP(A640,'[1]Craig Eval'!A:C,3,FALSE)),"",(VLOOKUP(A640,'[1]Craig Eval'!A:C,3,FALSE))*1000)</f>
        <v>20101.182896864899</v>
      </c>
      <c r="J640" s="10">
        <f>IF(ISNA(VLOOKUP(A640,'[1]Craig Eval'!A:M,13,FALSE)),"",VLOOKUP(A640,'[1]Craig Eval'!A:M,13,FALSE))</f>
        <v>57.891951399880902</v>
      </c>
      <c r="K640" s="17">
        <v>1</v>
      </c>
    </row>
    <row r="641" spans="1:11" ht="30" x14ac:dyDescent="0.25">
      <c r="A641" s="3" t="s">
        <v>1301</v>
      </c>
      <c r="B641" s="4" t="s">
        <v>1302</v>
      </c>
      <c r="C641" s="5">
        <v>1861</v>
      </c>
      <c r="D641" s="6" t="s">
        <v>31</v>
      </c>
      <c r="E641" s="6" t="s">
        <v>17</v>
      </c>
      <c r="F641" s="7">
        <v>31048</v>
      </c>
      <c r="G641" s="8">
        <f t="shared" si="9"/>
        <v>31048</v>
      </c>
      <c r="H641" s="6" t="s">
        <v>13</v>
      </c>
      <c r="I641" s="9">
        <f>IF(ISNA(VLOOKUP(A641,'[1]Craig Eval'!A:C,3,FALSE)),"",(VLOOKUP(A641,'[1]Craig Eval'!A:C,3,FALSE))*1000)</f>
        <v>55061.21019505</v>
      </c>
      <c r="J641" s="10">
        <f>IF(ISNA(VLOOKUP(A641,'[1]Craig Eval'!A:M,13,FALSE)),"",VLOOKUP(A641,'[1]Craig Eval'!A:M,13,FALSE))</f>
        <v>151.12469136192999</v>
      </c>
      <c r="K641" s="11">
        <v>1</v>
      </c>
    </row>
    <row r="642" spans="1:11" ht="30" x14ac:dyDescent="0.25">
      <c r="A642" s="3" t="s">
        <v>1303</v>
      </c>
      <c r="B642" s="4" t="s">
        <v>1304</v>
      </c>
      <c r="C642" s="5">
        <v>1332</v>
      </c>
      <c r="D642" s="6" t="s">
        <v>31</v>
      </c>
      <c r="E642" s="6" t="s">
        <v>17</v>
      </c>
      <c r="F642" s="7">
        <v>28856</v>
      </c>
      <c r="G642" s="8">
        <f t="shared" ref="G642:G705" si="10">F642</f>
        <v>28856</v>
      </c>
      <c r="H642" s="6" t="s">
        <v>13</v>
      </c>
      <c r="I642" s="9">
        <f>IF(ISNA(VLOOKUP(A642,'[1]Craig Eval'!A:C,3,FALSE)),"",(VLOOKUP(A642,'[1]Craig Eval'!A:C,3,FALSE))*1000)</f>
        <v>41882.001547920503</v>
      </c>
      <c r="J642" s="10">
        <f>IF(ISNA(VLOOKUP(A642,'[1]Craig Eval'!A:M,13,FALSE)),"",VLOOKUP(A642,'[1]Craig Eval'!A:M,13,FALSE))</f>
        <v>116.70508901939399</v>
      </c>
      <c r="K642" s="17">
        <v>1</v>
      </c>
    </row>
    <row r="643" spans="1:11" ht="30" x14ac:dyDescent="0.25">
      <c r="A643" s="3" t="s">
        <v>1305</v>
      </c>
      <c r="B643" s="4" t="s">
        <v>1306</v>
      </c>
      <c r="C643" s="5">
        <v>41329</v>
      </c>
      <c r="D643" s="6" t="s">
        <v>34</v>
      </c>
      <c r="E643" s="6" t="s">
        <v>17</v>
      </c>
      <c r="F643" s="7">
        <v>38639</v>
      </c>
      <c r="G643" s="8">
        <f t="shared" si="10"/>
        <v>38639</v>
      </c>
      <c r="H643" s="6" t="s">
        <v>13</v>
      </c>
      <c r="I643" s="9" t="str">
        <f>IF(ISNA(VLOOKUP(A643,'[1]Craig Eval'!A:C,3,FALSE)),"",(VLOOKUP(A643,'[1]Craig Eval'!A:C,3,FALSE))*1000)</f>
        <v/>
      </c>
      <c r="J643" s="10" t="str">
        <f>IF(ISNA(VLOOKUP(A643,'[1]Craig Eval'!A:M,13,FALSE)),"",VLOOKUP(A643,'[1]Craig Eval'!A:M,13,FALSE))</f>
        <v/>
      </c>
      <c r="K643" s="17">
        <v>1</v>
      </c>
    </row>
    <row r="644" spans="1:11" ht="30" x14ac:dyDescent="0.25">
      <c r="A644" s="3" t="s">
        <v>1307</v>
      </c>
      <c r="B644" s="4" t="s">
        <v>1308</v>
      </c>
      <c r="C644" s="14">
        <v>54713</v>
      </c>
      <c r="D644" s="6" t="s">
        <v>34</v>
      </c>
      <c r="E644" s="6" t="s">
        <v>17</v>
      </c>
      <c r="F644" s="7">
        <v>39276</v>
      </c>
      <c r="G644" s="8">
        <f t="shared" si="10"/>
        <v>39276</v>
      </c>
      <c r="H644" s="6" t="s">
        <v>13</v>
      </c>
      <c r="I644" s="9" t="str">
        <f>IF(ISNA(VLOOKUP(A644,'[1]Craig Eval'!A:C,3,FALSE)),"",(VLOOKUP(A644,'[1]Craig Eval'!A:C,3,FALSE))*1000)</f>
        <v/>
      </c>
      <c r="J644" s="10" t="str">
        <f>IF(ISNA(VLOOKUP(A644,'[1]Craig Eval'!A:M,13,FALSE)),"",VLOOKUP(A644,'[1]Craig Eval'!A:M,13,FALSE))</f>
        <v/>
      </c>
      <c r="K644" s="17">
        <v>2</v>
      </c>
    </row>
    <row r="645" spans="1:11" ht="30" x14ac:dyDescent="0.25">
      <c r="A645" s="3" t="s">
        <v>1309</v>
      </c>
      <c r="B645" s="4" t="s">
        <v>1310</v>
      </c>
      <c r="C645" s="14">
        <v>72110</v>
      </c>
      <c r="D645" s="6" t="s">
        <v>11</v>
      </c>
      <c r="E645" s="6" t="s">
        <v>17</v>
      </c>
      <c r="F645" s="7">
        <v>39169</v>
      </c>
      <c r="G645" s="8">
        <f t="shared" si="10"/>
        <v>39169</v>
      </c>
      <c r="H645" s="6" t="s">
        <v>13</v>
      </c>
      <c r="I645" s="9" t="str">
        <f>IF(ISNA(VLOOKUP(A645,'[1]Craig Eval'!A:C,3,FALSE)),"",(VLOOKUP(A645,'[1]Craig Eval'!A:C,3,FALSE))*1000)</f>
        <v/>
      </c>
      <c r="J645" s="10" t="str">
        <f>IF(ISNA(VLOOKUP(A645,'[1]Craig Eval'!A:M,13,FALSE)),"",VLOOKUP(A645,'[1]Craig Eval'!A:M,13,FALSE))</f>
        <v/>
      </c>
      <c r="K645" s="17">
        <v>2</v>
      </c>
    </row>
    <row r="646" spans="1:11" ht="30" x14ac:dyDescent="0.25">
      <c r="A646" s="3" t="s">
        <v>1311</v>
      </c>
      <c r="B646" s="4" t="s">
        <v>1312</v>
      </c>
      <c r="C646" s="14">
        <v>72176</v>
      </c>
      <c r="D646" s="6" t="s">
        <v>11</v>
      </c>
      <c r="E646" s="6" t="s">
        <v>12</v>
      </c>
      <c r="F646" s="7">
        <v>39296</v>
      </c>
      <c r="G646" s="8">
        <f t="shared" si="10"/>
        <v>39296</v>
      </c>
      <c r="H646" s="6" t="s">
        <v>39</v>
      </c>
      <c r="I646" s="9" t="str">
        <f>IF(ISNA(VLOOKUP(A646,'[1]Craig Eval'!A:C,3,FALSE)),"",(VLOOKUP(A646,'[1]Craig Eval'!A:C,3,FALSE))*1000)</f>
        <v/>
      </c>
      <c r="J646" s="10" t="str">
        <f>IF(ISNA(VLOOKUP(A646,'[1]Craig Eval'!A:M,13,FALSE)),"",VLOOKUP(A646,'[1]Craig Eval'!A:M,13,FALSE))</f>
        <v/>
      </c>
      <c r="K646" s="17">
        <v>1</v>
      </c>
    </row>
    <row r="647" spans="1:11" ht="30" x14ac:dyDescent="0.25">
      <c r="A647" s="18" t="s">
        <v>1313</v>
      </c>
      <c r="B647" s="19" t="s">
        <v>1314</v>
      </c>
      <c r="C647" s="20">
        <v>1220</v>
      </c>
      <c r="D647" s="21" t="s">
        <v>31</v>
      </c>
      <c r="E647" s="21" t="s">
        <v>17</v>
      </c>
      <c r="F647" s="22">
        <v>25569</v>
      </c>
      <c r="G647" s="23">
        <f t="shared" si="10"/>
        <v>25569</v>
      </c>
      <c r="H647" s="21" t="s">
        <v>13</v>
      </c>
      <c r="I647" s="9">
        <f>IF(ISNA(VLOOKUP(A647,'[1]Craig Eval'!A:C,3,FALSE)),"",(VLOOKUP(A647,'[1]Craig Eval'!A:C,3,FALSE))*1000)</f>
        <v>7514.7435033983402</v>
      </c>
      <c r="J647" s="24">
        <f>IF(ISNA(VLOOKUP(A647,'[1]Craig Eval'!A:M,13,FALSE)),"",VLOOKUP(A647,'[1]Craig Eval'!A:M,13,FALSE))</f>
        <v>22.312109212260399</v>
      </c>
      <c r="K647" s="25">
        <v>1</v>
      </c>
    </row>
    <row r="648" spans="1:11" ht="30" x14ac:dyDescent="0.25">
      <c r="A648" s="3" t="s">
        <v>1315</v>
      </c>
      <c r="B648" s="4" t="s">
        <v>1316</v>
      </c>
      <c r="C648" s="5">
        <v>24321</v>
      </c>
      <c r="D648" s="6" t="s">
        <v>11</v>
      </c>
      <c r="E648" s="6" t="s">
        <v>17</v>
      </c>
      <c r="F648" s="7">
        <v>34182</v>
      </c>
      <c r="G648" s="8">
        <f t="shared" si="10"/>
        <v>34182</v>
      </c>
      <c r="H648" s="6" t="s">
        <v>13</v>
      </c>
      <c r="I648" s="9" t="str">
        <f>IF(ISNA(VLOOKUP(A648,'[1]Craig Eval'!A:C,3,FALSE)),"",(VLOOKUP(A648,'[1]Craig Eval'!A:C,3,FALSE))*1000)</f>
        <v/>
      </c>
      <c r="J648" s="10" t="str">
        <f>IF(ISNA(VLOOKUP(A648,'[1]Craig Eval'!A:M,13,FALSE)),"",VLOOKUP(A648,'[1]Craig Eval'!A:M,13,FALSE))</f>
        <v/>
      </c>
      <c r="K648" s="17">
        <v>1</v>
      </c>
    </row>
    <row r="649" spans="1:11" ht="30" x14ac:dyDescent="0.25">
      <c r="A649" s="3" t="s">
        <v>1317</v>
      </c>
      <c r="B649" s="4" t="s">
        <v>1318</v>
      </c>
      <c r="C649" s="5">
        <v>1597</v>
      </c>
      <c r="D649" s="6" t="s">
        <v>28</v>
      </c>
      <c r="E649" s="6" t="s">
        <v>17</v>
      </c>
      <c r="F649" s="7">
        <v>38020</v>
      </c>
      <c r="G649" s="8">
        <f t="shared" si="10"/>
        <v>38020</v>
      </c>
      <c r="H649" s="6" t="s">
        <v>13</v>
      </c>
      <c r="I649" s="9">
        <f>IF(ISNA(VLOOKUP(A649,'[1]Craig Eval'!A:C,3,FALSE)),"",(VLOOKUP(A649,'[1]Craig Eval'!A:C,3,FALSE))*1000)</f>
        <v>6083.9516682286594</v>
      </c>
      <c r="J649" s="10">
        <f>IF(ISNA(VLOOKUP(A649,'[1]Craig Eval'!A:M,13,FALSE)),"",VLOOKUP(A649,'[1]Craig Eval'!A:M,13,FALSE))</f>
        <v>18.153459977456201</v>
      </c>
      <c r="K649" s="17">
        <v>1</v>
      </c>
    </row>
    <row r="650" spans="1:11" ht="30" x14ac:dyDescent="0.25">
      <c r="A650" s="3" t="s">
        <v>1319</v>
      </c>
      <c r="B650" s="4" t="s">
        <v>1320</v>
      </c>
      <c r="C650" s="14">
        <v>1185</v>
      </c>
      <c r="D650" s="6" t="s">
        <v>16</v>
      </c>
      <c r="E650" s="6" t="s">
        <v>17</v>
      </c>
      <c r="F650" s="7">
        <v>29221</v>
      </c>
      <c r="G650" s="8">
        <f t="shared" si="10"/>
        <v>29221</v>
      </c>
      <c r="H650" s="6" t="s">
        <v>13</v>
      </c>
      <c r="I650" s="9" t="str">
        <f>IF(ISNA(VLOOKUP(A650,'[1]Craig Eval'!A:C,3,FALSE)),"",(VLOOKUP(A650,'[1]Craig Eval'!A:C,3,FALSE))*1000)</f>
        <v/>
      </c>
      <c r="J650" s="10" t="str">
        <f>IF(ISNA(VLOOKUP(A650,'[1]Craig Eval'!A:M,13,FALSE)),"",VLOOKUP(A650,'[1]Craig Eval'!A:M,13,FALSE))</f>
        <v/>
      </c>
      <c r="K650" s="17">
        <v>2</v>
      </c>
    </row>
    <row r="651" spans="1:11" ht="30" x14ac:dyDescent="0.25">
      <c r="A651" s="18" t="s">
        <v>1321</v>
      </c>
      <c r="B651" s="19" t="s">
        <v>1322</v>
      </c>
      <c r="C651" s="20">
        <v>1121</v>
      </c>
      <c r="D651" s="21" t="s">
        <v>16</v>
      </c>
      <c r="E651" s="21" t="s">
        <v>17</v>
      </c>
      <c r="F651" s="22">
        <v>31048</v>
      </c>
      <c r="G651" s="23">
        <f t="shared" si="10"/>
        <v>31048</v>
      </c>
      <c r="H651" s="21" t="s">
        <v>13</v>
      </c>
      <c r="I651" s="9" t="str">
        <f>IF(ISNA(VLOOKUP(A651,'[1]Craig Eval'!A:C,3,FALSE)),"",(VLOOKUP(A651,'[1]Craig Eval'!A:C,3,FALSE))*1000)</f>
        <v/>
      </c>
      <c r="J651" s="24" t="str">
        <f>IF(ISNA(VLOOKUP(A651,'[1]Craig Eval'!A:M,13,FALSE)),"",VLOOKUP(A651,'[1]Craig Eval'!A:M,13,FALSE))</f>
        <v/>
      </c>
      <c r="K651" s="25">
        <v>2</v>
      </c>
    </row>
    <row r="652" spans="1:11" ht="30" x14ac:dyDescent="0.25">
      <c r="A652" s="3" t="s">
        <v>1323</v>
      </c>
      <c r="B652" s="4" t="s">
        <v>1324</v>
      </c>
      <c r="C652" s="5">
        <v>54568</v>
      </c>
      <c r="D652" s="6" t="s">
        <v>16</v>
      </c>
      <c r="E652" s="6" t="s">
        <v>17</v>
      </c>
      <c r="F652" s="7">
        <v>38390</v>
      </c>
      <c r="G652" s="8">
        <f t="shared" si="10"/>
        <v>38390</v>
      </c>
      <c r="H652" s="6" t="s">
        <v>13</v>
      </c>
      <c r="I652" s="9" t="str">
        <f>IF(ISNA(VLOOKUP(A652,'[1]Craig Eval'!A:C,3,FALSE)),"",(VLOOKUP(A652,'[1]Craig Eval'!A:C,3,FALSE))*1000)</f>
        <v/>
      </c>
      <c r="J652" s="10" t="str">
        <f>IF(ISNA(VLOOKUP(A652,'[1]Craig Eval'!A:M,13,FALSE)),"",VLOOKUP(A652,'[1]Craig Eval'!A:M,13,FALSE))</f>
        <v/>
      </c>
      <c r="K652" s="17">
        <v>1</v>
      </c>
    </row>
    <row r="653" spans="1:11" ht="30" x14ac:dyDescent="0.25">
      <c r="A653" s="3" t="s">
        <v>1325</v>
      </c>
      <c r="B653" s="4" t="s">
        <v>1326</v>
      </c>
      <c r="C653" s="5">
        <v>2022</v>
      </c>
      <c r="D653" s="6" t="s">
        <v>16</v>
      </c>
      <c r="E653" s="6" t="s">
        <v>17</v>
      </c>
      <c r="F653" s="7">
        <v>36020</v>
      </c>
      <c r="G653" s="8">
        <f t="shared" si="10"/>
        <v>36020</v>
      </c>
      <c r="H653" s="6" t="s">
        <v>13</v>
      </c>
      <c r="I653" s="9" t="str">
        <f>IF(ISNA(VLOOKUP(A653,'[1]Craig Eval'!A:C,3,FALSE)),"",(VLOOKUP(A653,'[1]Craig Eval'!A:C,3,FALSE))*1000)</f>
        <v/>
      </c>
      <c r="J653" s="10" t="str">
        <f>IF(ISNA(VLOOKUP(A653,'[1]Craig Eval'!A:M,13,FALSE)),"",VLOOKUP(A653,'[1]Craig Eval'!A:M,13,FALSE))</f>
        <v/>
      </c>
      <c r="K653" s="17">
        <v>1</v>
      </c>
    </row>
    <row r="654" spans="1:11" ht="30" x14ac:dyDescent="0.25">
      <c r="A654" s="26" t="s">
        <v>1327</v>
      </c>
      <c r="B654" s="27" t="s">
        <v>1328</v>
      </c>
      <c r="C654" s="5">
        <v>1134</v>
      </c>
      <c r="D654" s="28" t="s">
        <v>16</v>
      </c>
      <c r="E654" s="28" t="s">
        <v>17</v>
      </c>
      <c r="F654" s="29">
        <v>29221</v>
      </c>
      <c r="G654" s="30">
        <f t="shared" si="10"/>
        <v>29221</v>
      </c>
      <c r="H654" s="28" t="s">
        <v>13</v>
      </c>
      <c r="I654" s="31">
        <f>IF(ISNA(VLOOKUP(A654,'[1]Craig Eval'!A:C,3,FALSE)),"",(VLOOKUP(A654,'[1]Craig Eval'!A:C,3,FALSE))*1000)</f>
        <v>22514.217664443098</v>
      </c>
      <c r="J654" s="32">
        <f>IF(ISNA(VLOOKUP(A654,'[1]Craig Eval'!A:M,13,FALSE)),"",VLOOKUP(A654,'[1]Craig Eval'!A:M,13,FALSE))</f>
        <v>64.554002546242103</v>
      </c>
      <c r="K654" s="33">
        <v>1</v>
      </c>
    </row>
    <row r="655" spans="1:11" ht="30" x14ac:dyDescent="0.25">
      <c r="A655" s="42" t="s">
        <v>1329</v>
      </c>
      <c r="B655" s="43" t="s">
        <v>1330</v>
      </c>
      <c r="C655" s="5">
        <v>1869</v>
      </c>
      <c r="D655" s="44" t="s">
        <v>31</v>
      </c>
      <c r="E655" s="44" t="s">
        <v>17</v>
      </c>
      <c r="F655" s="45">
        <v>25569</v>
      </c>
      <c r="G655" s="30">
        <f t="shared" si="10"/>
        <v>25569</v>
      </c>
      <c r="H655" s="44" t="s">
        <v>13</v>
      </c>
      <c r="I655" s="31">
        <f>IF(ISNA(VLOOKUP(A655,'[1]Craig Eval'!A:C,3,FALSE)),"",(VLOOKUP(A655,'[1]Craig Eval'!A:C,3,FALSE))*1000)</f>
        <v>69425.753068055899</v>
      </c>
      <c r="J655" s="32">
        <f>IF(ISNA(VLOOKUP(A655,'[1]Craig Eval'!A:M,13,FALSE)),"",VLOOKUP(A655,'[1]Craig Eval'!A:M,13,FALSE))</f>
        <v>187.86507241026399</v>
      </c>
      <c r="K655" s="33">
        <v>2</v>
      </c>
    </row>
    <row r="656" spans="1:11" ht="30" x14ac:dyDescent="0.25">
      <c r="A656" s="3" t="s">
        <v>1331</v>
      </c>
      <c r="B656" s="4" t="s">
        <v>1332</v>
      </c>
      <c r="C656" s="5">
        <v>54567</v>
      </c>
      <c r="D656" s="6" t="s">
        <v>28</v>
      </c>
      <c r="E656" s="6" t="s">
        <v>17</v>
      </c>
      <c r="F656" s="7">
        <v>38730</v>
      </c>
      <c r="G656" s="8">
        <f t="shared" si="10"/>
        <v>38730</v>
      </c>
      <c r="H656" s="6" t="s">
        <v>13</v>
      </c>
      <c r="I656" s="9">
        <f>IF(ISNA(VLOOKUP(A656,'[1]Craig Eval'!A:C,3,FALSE)),"",(VLOOKUP(A656,'[1]Craig Eval'!A:C,3,FALSE))*1000)</f>
        <v>10412.277799535599</v>
      </c>
      <c r="J656" s="10">
        <f>IF(ISNA(VLOOKUP(A656,'[1]Craig Eval'!A:M,13,FALSE)),"",VLOOKUP(A656,'[1]Craig Eval'!A:M,13,FALSE))</f>
        <v>30.649198195560501</v>
      </c>
      <c r="K656" s="17">
        <v>1</v>
      </c>
    </row>
    <row r="657" spans="1:11" ht="30" x14ac:dyDescent="0.25">
      <c r="A657" s="3" t="s">
        <v>1333</v>
      </c>
      <c r="B657" s="4" t="s">
        <v>1334</v>
      </c>
      <c r="C657" s="5">
        <v>1510</v>
      </c>
      <c r="D657" s="6" t="s">
        <v>28</v>
      </c>
      <c r="E657" s="6" t="s">
        <v>17</v>
      </c>
      <c r="F657" s="7">
        <v>25569</v>
      </c>
      <c r="G657" s="8">
        <f t="shared" si="10"/>
        <v>25569</v>
      </c>
      <c r="H657" s="6" t="s">
        <v>13</v>
      </c>
      <c r="I657" s="9">
        <f>IF(ISNA(VLOOKUP(A657,'[1]Craig Eval'!A:C,3,FALSE)),"",(VLOOKUP(A657,'[1]Craig Eval'!A:C,3,FALSE))*1000)</f>
        <v>38102.979282438901</v>
      </c>
      <c r="J657" s="10">
        <f>IF(ISNA(VLOOKUP(A657,'[1]Craig Eval'!A:M,13,FALSE)),"",VLOOKUP(A657,'[1]Craig Eval'!A:M,13,FALSE))</f>
        <v>106.690742266105</v>
      </c>
      <c r="K657" s="17">
        <v>2</v>
      </c>
    </row>
    <row r="658" spans="1:11" ht="30" x14ac:dyDescent="0.25">
      <c r="A658" s="3" t="s">
        <v>1335</v>
      </c>
      <c r="B658" s="4" t="s">
        <v>1336</v>
      </c>
      <c r="C658" s="5">
        <v>1319</v>
      </c>
      <c r="D658" s="6" t="s">
        <v>16</v>
      </c>
      <c r="E658" s="6" t="s">
        <v>17</v>
      </c>
      <c r="F658" s="7">
        <v>31048</v>
      </c>
      <c r="G658" s="8">
        <f t="shared" si="10"/>
        <v>31048</v>
      </c>
      <c r="H658" s="6" t="s">
        <v>13</v>
      </c>
      <c r="I658" s="9" t="str">
        <f>IF(ISNA(VLOOKUP(A658,'[1]Craig Eval'!A:C,3,FALSE)),"",(VLOOKUP(A658,'[1]Craig Eval'!A:C,3,FALSE))*1000)</f>
        <v/>
      </c>
      <c r="J658" s="10" t="str">
        <f>IF(ISNA(VLOOKUP(A658,'[1]Craig Eval'!A:M,13,FALSE)),"",VLOOKUP(A658,'[1]Craig Eval'!A:M,13,FALSE))</f>
        <v/>
      </c>
      <c r="K658" s="17">
        <v>1</v>
      </c>
    </row>
    <row r="659" spans="1:11" ht="30" x14ac:dyDescent="0.25">
      <c r="A659" s="3" t="s">
        <v>1337</v>
      </c>
      <c r="B659" s="4" t="s">
        <v>1338</v>
      </c>
      <c r="C659" s="5">
        <v>1777</v>
      </c>
      <c r="D659" s="6" t="s">
        <v>34</v>
      </c>
      <c r="E659" s="6" t="s">
        <v>17</v>
      </c>
      <c r="F659" s="7">
        <v>25569</v>
      </c>
      <c r="G659" s="8">
        <f t="shared" si="10"/>
        <v>25569</v>
      </c>
      <c r="H659" s="6" t="s">
        <v>13</v>
      </c>
      <c r="I659" s="9">
        <f>IF(ISNA(VLOOKUP(A659,'[1]Craig Eval'!A:C,3,FALSE)),"",(VLOOKUP(A659,'[1]Craig Eval'!A:C,3,FALSE))*1000)</f>
        <v>4110.1402627134603</v>
      </c>
      <c r="J659" s="10">
        <f>IF(ISNA(VLOOKUP(A659,'[1]Craig Eval'!A:M,13,FALSE)),"",VLOOKUP(A659,'[1]Craig Eval'!A:M,13,FALSE))</f>
        <v>12.3622865419881</v>
      </c>
      <c r="K659" s="17">
        <v>1</v>
      </c>
    </row>
    <row r="660" spans="1:11" ht="30" x14ac:dyDescent="0.25">
      <c r="A660" s="3" t="s">
        <v>1339</v>
      </c>
      <c r="B660" s="4" t="s">
        <v>1340</v>
      </c>
      <c r="C660" s="5">
        <v>1505</v>
      </c>
      <c r="D660" s="6" t="s">
        <v>28</v>
      </c>
      <c r="E660" s="6" t="s">
        <v>17</v>
      </c>
      <c r="F660" s="7">
        <v>32143</v>
      </c>
      <c r="G660" s="8">
        <f t="shared" si="10"/>
        <v>32143</v>
      </c>
      <c r="H660" s="6" t="s">
        <v>13</v>
      </c>
      <c r="I660" s="9">
        <f>IF(ISNA(VLOOKUP(A660,'[1]Craig Eval'!A:C,3,FALSE)),"",(VLOOKUP(A660,'[1]Craig Eval'!A:C,3,FALSE))*1000)</f>
        <v>3223.2271688666797</v>
      </c>
      <c r="J660" s="10">
        <f>IF(ISNA(VLOOKUP(A660,'[1]Craig Eval'!A:M,13,FALSE)),"",VLOOKUP(A660,'[1]Craig Eval'!A:M,13,FALSE))</f>
        <v>9.7360623953701904</v>
      </c>
      <c r="K660" s="17">
        <v>1</v>
      </c>
    </row>
    <row r="661" spans="1:11" ht="30" x14ac:dyDescent="0.25">
      <c r="A661" s="3" t="s">
        <v>1341</v>
      </c>
      <c r="B661" s="4" t="s">
        <v>1342</v>
      </c>
      <c r="C661" s="5">
        <v>52561</v>
      </c>
      <c r="D661" s="6" t="s">
        <v>28</v>
      </c>
      <c r="E661" s="6" t="s">
        <v>17</v>
      </c>
      <c r="F661" s="7">
        <v>38292</v>
      </c>
      <c r="G661" s="8">
        <f t="shared" si="10"/>
        <v>38292</v>
      </c>
      <c r="H661" s="6" t="s">
        <v>13</v>
      </c>
      <c r="I661" s="9">
        <f>IF(ISNA(VLOOKUP(A661,'[1]Craig Eval'!A:C,3,FALSE)),"",(VLOOKUP(A661,'[1]Craig Eval'!A:C,3,FALSE))*1000)</f>
        <v>10991.497537277599</v>
      </c>
      <c r="J661" s="10">
        <f>IF(ISNA(VLOOKUP(A661,'[1]Craig Eval'!A:M,13,FALSE)),"",VLOOKUP(A661,'[1]Craig Eval'!A:M,13,FALSE))</f>
        <v>32.303637992136203</v>
      </c>
      <c r="K661" s="17">
        <v>1</v>
      </c>
    </row>
    <row r="662" spans="1:11" ht="30" x14ac:dyDescent="0.25">
      <c r="A662" s="3" t="s">
        <v>1343</v>
      </c>
      <c r="B662" s="4" t="s">
        <v>1344</v>
      </c>
      <c r="C662" s="5">
        <v>21450</v>
      </c>
      <c r="D662" s="6" t="s">
        <v>31</v>
      </c>
      <c r="E662" s="6" t="s">
        <v>17</v>
      </c>
      <c r="F662" s="7">
        <v>29875</v>
      </c>
      <c r="G662" s="8">
        <f t="shared" si="10"/>
        <v>29875</v>
      </c>
      <c r="H662" s="6" t="s">
        <v>13</v>
      </c>
      <c r="I662" s="9">
        <f>IF(ISNA(VLOOKUP(A662,'[1]Craig Eval'!A:C,3,FALSE)),"",(VLOOKUP(A662,'[1]Craig Eval'!A:C,3,FALSE))*1000)</f>
        <v>11639.8597982296</v>
      </c>
      <c r="J662" s="10">
        <f>IF(ISNA(VLOOKUP(A662,'[1]Craig Eval'!A:M,13,FALSE)),"",VLOOKUP(A662,'[1]Craig Eval'!A:M,13,FALSE))</f>
        <v>34.151148850963899</v>
      </c>
      <c r="K662" s="17">
        <v>1</v>
      </c>
    </row>
    <row r="663" spans="1:11" ht="30" x14ac:dyDescent="0.25">
      <c r="A663" s="3" t="s">
        <v>1345</v>
      </c>
      <c r="B663" s="4" t="s">
        <v>1346</v>
      </c>
      <c r="C663" s="5">
        <v>41681</v>
      </c>
      <c r="D663" s="6" t="s">
        <v>31</v>
      </c>
      <c r="E663" s="6" t="s">
        <v>17</v>
      </c>
      <c r="F663" s="7">
        <v>35887</v>
      </c>
      <c r="G663" s="8">
        <f t="shared" si="10"/>
        <v>35887</v>
      </c>
      <c r="H663" s="6" t="s">
        <v>13</v>
      </c>
      <c r="I663" s="9">
        <f>IF(ISNA(VLOOKUP(A663,'[1]Craig Eval'!A:C,3,FALSE)),"",(VLOOKUP(A663,'[1]Craig Eval'!A:C,3,FALSE))*1000)</f>
        <v>11200.2343772245</v>
      </c>
      <c r="J663" s="10">
        <f>IF(ISNA(VLOOKUP(A663,'[1]Craig Eval'!A:M,13,FALSE)),"",VLOOKUP(A663,'[1]Craig Eval'!A:M,13,FALSE))</f>
        <v>32.898937074765698</v>
      </c>
      <c r="K663" s="17">
        <v>1</v>
      </c>
    </row>
    <row r="664" spans="1:11" ht="30" x14ac:dyDescent="0.25">
      <c r="A664" s="3" t="s">
        <v>1347</v>
      </c>
      <c r="B664" s="4" t="s">
        <v>1348</v>
      </c>
      <c r="C664" s="5">
        <v>21455</v>
      </c>
      <c r="D664" s="6" t="s">
        <v>31</v>
      </c>
      <c r="E664" s="6" t="s">
        <v>17</v>
      </c>
      <c r="F664" s="7">
        <v>36431</v>
      </c>
      <c r="G664" s="8">
        <f t="shared" si="10"/>
        <v>36431</v>
      </c>
      <c r="H664" s="6" t="s">
        <v>13</v>
      </c>
      <c r="I664" s="9">
        <f>IF(ISNA(VLOOKUP(A664,'[1]Craig Eval'!A:C,3,FALSE)),"",(VLOOKUP(A664,'[1]Craig Eval'!A:C,3,FALSE))*1000)</f>
        <v>1278.16407306208</v>
      </c>
      <c r="J664" s="10">
        <f>IF(ISNA(VLOOKUP(A664,'[1]Craig Eval'!A:M,13,FALSE)),"",VLOOKUP(A664,'[1]Craig Eval'!A:M,13,FALSE))</f>
        <v>3.9088700082767902</v>
      </c>
      <c r="K664" s="17">
        <v>1</v>
      </c>
    </row>
    <row r="665" spans="1:11" ht="30" x14ac:dyDescent="0.25">
      <c r="A665" s="3" t="s">
        <v>1349</v>
      </c>
      <c r="B665" s="4" t="s">
        <v>1350</v>
      </c>
      <c r="C665" s="5">
        <v>32257</v>
      </c>
      <c r="D665" s="6" t="s">
        <v>37</v>
      </c>
      <c r="E665" s="6" t="s">
        <v>38</v>
      </c>
      <c r="F665" s="7">
        <v>32093</v>
      </c>
      <c r="G665" s="8">
        <f t="shared" si="10"/>
        <v>32093</v>
      </c>
      <c r="H665" s="6" t="s">
        <v>39</v>
      </c>
      <c r="I665" s="9" t="str">
        <f>IF(ISNA(VLOOKUP(A665,'[1]Craig Eval'!A:C,3,FALSE)),"",(VLOOKUP(A665,'[1]Craig Eval'!A:C,3,FALSE))*1000)</f>
        <v/>
      </c>
      <c r="J665" s="10" t="str">
        <f>IF(ISNA(VLOOKUP(A665,'[1]Craig Eval'!A:M,13,FALSE)),"",VLOOKUP(A665,'[1]Craig Eval'!A:M,13,FALSE))</f>
        <v/>
      </c>
      <c r="K665" s="17">
        <v>1</v>
      </c>
    </row>
    <row r="666" spans="1:11" ht="30" x14ac:dyDescent="0.25">
      <c r="A666" s="3" t="s">
        <v>1351</v>
      </c>
      <c r="B666" s="4" t="s">
        <v>1352</v>
      </c>
      <c r="C666" s="5">
        <v>54569</v>
      </c>
      <c r="D666" s="6" t="s">
        <v>11</v>
      </c>
      <c r="E666" s="6" t="s">
        <v>12</v>
      </c>
      <c r="F666" s="7">
        <v>38013</v>
      </c>
      <c r="G666" s="8">
        <f t="shared" si="10"/>
        <v>38013</v>
      </c>
      <c r="H666" s="6" t="s">
        <v>39</v>
      </c>
      <c r="I666" s="9" t="str">
        <f>IF(ISNA(VLOOKUP(A666,'[1]Craig Eval'!A:C,3,FALSE)),"",(VLOOKUP(A666,'[1]Craig Eval'!A:C,3,FALSE))*1000)</f>
        <v/>
      </c>
      <c r="J666" s="10" t="str">
        <f>IF(ISNA(VLOOKUP(A666,'[1]Craig Eval'!A:M,13,FALSE)),"",VLOOKUP(A666,'[1]Craig Eval'!A:M,13,FALSE))</f>
        <v/>
      </c>
      <c r="K666" s="17">
        <v>1</v>
      </c>
    </row>
    <row r="667" spans="1:11" ht="30" x14ac:dyDescent="0.25">
      <c r="A667" s="3" t="s">
        <v>1353</v>
      </c>
      <c r="B667" s="4" t="s">
        <v>1354</v>
      </c>
      <c r="C667" s="5">
        <v>16004</v>
      </c>
      <c r="D667" s="6" t="s">
        <v>28</v>
      </c>
      <c r="E667" s="6" t="s">
        <v>17</v>
      </c>
      <c r="F667" s="7">
        <v>38308</v>
      </c>
      <c r="G667" s="8">
        <f t="shared" si="10"/>
        <v>38308</v>
      </c>
      <c r="H667" s="6" t="s">
        <v>13</v>
      </c>
      <c r="I667" s="9">
        <f>IF(ISNA(VLOOKUP(A667,'[1]Craig Eval'!A:C,3,FALSE)),"",(VLOOKUP(A667,'[1]Craig Eval'!A:C,3,FALSE))*1000)</f>
        <v>11879.7671816692</v>
      </c>
      <c r="J667" s="10">
        <f>IF(ISNA(VLOOKUP(A667,'[1]Craig Eval'!A:M,13,FALSE)),"",VLOOKUP(A667,'[1]Craig Eval'!A:M,13,FALSE))</f>
        <v>34.833612542653199</v>
      </c>
      <c r="K667" s="17">
        <v>1</v>
      </c>
    </row>
    <row r="668" spans="1:11" ht="30" x14ac:dyDescent="0.25">
      <c r="A668" s="3" t="s">
        <v>1355</v>
      </c>
      <c r="B668" s="4" t="s">
        <v>1356</v>
      </c>
      <c r="C668" s="5">
        <v>9285</v>
      </c>
      <c r="D668" s="6" t="s">
        <v>28</v>
      </c>
      <c r="E668" s="6" t="s">
        <v>17</v>
      </c>
      <c r="F668" s="7">
        <v>37636</v>
      </c>
      <c r="G668" s="8">
        <f t="shared" si="10"/>
        <v>37636</v>
      </c>
      <c r="H668" s="6" t="s">
        <v>13</v>
      </c>
      <c r="I668" s="9">
        <f>IF(ISNA(VLOOKUP(A668,'[1]Craig Eval'!A:C,3,FALSE)),"",(VLOOKUP(A668,'[1]Craig Eval'!A:C,3,FALSE))*1000)</f>
        <v>40453.691512257203</v>
      </c>
      <c r="J668" s="10">
        <f>IF(ISNA(VLOOKUP(A668,'[1]Craig Eval'!A:M,13,FALSE)),"",VLOOKUP(A668,'[1]Craig Eval'!A:M,13,FALSE))</f>
        <v>112.92827054407699</v>
      </c>
      <c r="K668" s="17">
        <v>2</v>
      </c>
    </row>
    <row r="669" spans="1:11" ht="30" x14ac:dyDescent="0.25">
      <c r="A669" s="3" t="s">
        <v>1357</v>
      </c>
      <c r="B669" s="4" t="s">
        <v>1358</v>
      </c>
      <c r="C669" s="5">
        <v>1363</v>
      </c>
      <c r="D669" s="6" t="s">
        <v>34</v>
      </c>
      <c r="E669" s="6" t="s">
        <v>17</v>
      </c>
      <c r="F669" s="7">
        <v>18264</v>
      </c>
      <c r="G669" s="8">
        <f t="shared" si="10"/>
        <v>18264</v>
      </c>
      <c r="H669" s="6" t="s">
        <v>13</v>
      </c>
      <c r="I669" s="9">
        <f>IF(ISNA(VLOOKUP(A669,'[1]Craig Eval'!A:C,3,FALSE)),"",(VLOOKUP(A669,'[1]Craig Eval'!A:C,3,FALSE))*1000)</f>
        <v>6299.44480986077</v>
      </c>
      <c r="J669" s="10">
        <f>IF(ISNA(VLOOKUP(A669,'[1]Craig Eval'!A:M,13,FALSE)),"",VLOOKUP(A669,'[1]Craig Eval'!A:M,13,FALSE))</f>
        <v>18.781763441947</v>
      </c>
      <c r="K669" s="17">
        <v>1</v>
      </c>
    </row>
    <row r="670" spans="1:11" ht="30" x14ac:dyDescent="0.25">
      <c r="A670" s="3" t="s">
        <v>1359</v>
      </c>
      <c r="B670" s="4" t="s">
        <v>1360</v>
      </c>
      <c r="C670" s="5">
        <v>27969</v>
      </c>
      <c r="D670" s="6" t="s">
        <v>31</v>
      </c>
      <c r="E670" s="6" t="s">
        <v>17</v>
      </c>
      <c r="F670" s="7">
        <v>34095</v>
      </c>
      <c r="G670" s="8">
        <f t="shared" si="10"/>
        <v>34095</v>
      </c>
      <c r="H670" s="6" t="s">
        <v>13</v>
      </c>
      <c r="I670" s="9" t="str">
        <f>IF(ISNA(VLOOKUP(A670,'[1]Craig Eval'!A:C,3,FALSE)),"",(VLOOKUP(A670,'[1]Craig Eval'!A:C,3,FALSE))*1000)</f>
        <v/>
      </c>
      <c r="J670" s="10" t="str">
        <f>IF(ISNA(VLOOKUP(A670,'[1]Craig Eval'!A:M,13,FALSE)),"",VLOOKUP(A670,'[1]Craig Eval'!A:M,13,FALSE))</f>
        <v/>
      </c>
      <c r="K670" s="17">
        <v>1</v>
      </c>
    </row>
    <row r="671" spans="1:11" ht="30" x14ac:dyDescent="0.25">
      <c r="A671" s="12" t="s">
        <v>1361</v>
      </c>
      <c r="B671" s="4" t="s">
        <v>1362</v>
      </c>
      <c r="C671" s="14">
        <v>2068</v>
      </c>
      <c r="D671" s="6" t="s">
        <v>34</v>
      </c>
      <c r="E671" s="6" t="s">
        <v>17</v>
      </c>
      <c r="F671" s="7">
        <v>35838</v>
      </c>
      <c r="G671" s="8">
        <f t="shared" si="10"/>
        <v>35838</v>
      </c>
      <c r="H671" s="6" t="s">
        <v>13</v>
      </c>
      <c r="I671" s="9" t="str">
        <f>IF(ISNA(VLOOKUP(A671,'[1]Craig Eval'!A:C,3,FALSE)),"",(VLOOKUP(A671,'[1]Craig Eval'!A:C,3,FALSE))*1000)</f>
        <v/>
      </c>
      <c r="J671" s="10" t="str">
        <f>IF(ISNA(VLOOKUP(A671,'[1]Craig Eval'!A:M,13,FALSE)),"",VLOOKUP(A671,'[1]Craig Eval'!A:M,13,FALSE))</f>
        <v/>
      </c>
      <c r="K671" s="17">
        <v>4</v>
      </c>
    </row>
    <row r="672" spans="1:11" ht="30" x14ac:dyDescent="0.25">
      <c r="A672" s="3" t="s">
        <v>1363</v>
      </c>
      <c r="B672" s="4" t="s">
        <v>1364</v>
      </c>
      <c r="C672" s="5">
        <v>27585</v>
      </c>
      <c r="D672" s="6" t="s">
        <v>31</v>
      </c>
      <c r="E672" s="6" t="s">
        <v>17</v>
      </c>
      <c r="F672" s="7">
        <v>39872</v>
      </c>
      <c r="G672" s="8">
        <f t="shared" si="10"/>
        <v>39872</v>
      </c>
      <c r="H672" s="6" t="s">
        <v>13</v>
      </c>
      <c r="I672" s="9">
        <f>IF(ISNA(VLOOKUP(A672,'[1]Craig Eval'!A:C,3,FALSE)),"",(VLOOKUP(A672,'[1]Craig Eval'!A:C,3,FALSE))*1000)</f>
        <v>7801.9611573335005</v>
      </c>
      <c r="J672" s="10">
        <f>IF(ISNA(VLOOKUP(A672,'[1]Craig Eval'!A:M,13,FALSE)),"",VLOOKUP(A672,'[1]Craig Eval'!A:M,13,FALSE))</f>
        <v>23.143368531157002</v>
      </c>
      <c r="K672" s="17">
        <v>1</v>
      </c>
    </row>
    <row r="673" spans="1:11" ht="30" x14ac:dyDescent="0.25">
      <c r="A673" s="3" t="s">
        <v>1365</v>
      </c>
      <c r="B673" s="4" t="s">
        <v>1366</v>
      </c>
      <c r="C673" s="5">
        <v>15051</v>
      </c>
      <c r="D673" s="6" t="s">
        <v>31</v>
      </c>
      <c r="E673" s="6" t="s">
        <v>17</v>
      </c>
      <c r="F673" s="7">
        <v>33137</v>
      </c>
      <c r="G673" s="8">
        <f t="shared" si="10"/>
        <v>33137</v>
      </c>
      <c r="H673" s="6" t="s">
        <v>13</v>
      </c>
      <c r="I673" s="9">
        <f>IF(ISNA(VLOOKUP(A673,'[1]Craig Eval'!A:C,3,FALSE)),"",(VLOOKUP(A673,'[1]Craig Eval'!A:C,3,FALSE))*1000)</f>
        <v>22717.9189406728</v>
      </c>
      <c r="J673" s="10">
        <f>IF(ISNA(VLOOKUP(A673,'[1]Craig Eval'!A:M,13,FALSE)),"",VLOOKUP(A673,'[1]Craig Eval'!A:M,13,FALSE))</f>
        <v>65.114450649429401</v>
      </c>
      <c r="K673" s="17">
        <v>1</v>
      </c>
    </row>
    <row r="674" spans="1:11" ht="30" x14ac:dyDescent="0.25">
      <c r="A674" s="3" t="s">
        <v>1367</v>
      </c>
      <c r="B674" s="4" t="s">
        <v>1368</v>
      </c>
      <c r="C674" s="5">
        <v>1419</v>
      </c>
      <c r="D674" s="6" t="s">
        <v>34</v>
      </c>
      <c r="E674" s="6" t="s">
        <v>17</v>
      </c>
      <c r="F674" s="7">
        <v>24108</v>
      </c>
      <c r="G674" s="8">
        <f t="shared" si="10"/>
        <v>24108</v>
      </c>
      <c r="H674" s="6" t="s">
        <v>13</v>
      </c>
      <c r="I674" s="9">
        <f>IF(ISNA(VLOOKUP(A674,'[1]Craig Eval'!A:C,3,FALSE)),"",(VLOOKUP(A674,'[1]Craig Eval'!A:C,3,FALSE))*1000)</f>
        <v>55103.8843420427</v>
      </c>
      <c r="J674" s="10">
        <f>IF(ISNA(VLOOKUP(A674,'[1]Craig Eval'!A:M,13,FALSE)),"",VLOOKUP(A674,'[1]Craig Eval'!A:M,13,FALSE))</f>
        <v>151.234968797764</v>
      </c>
      <c r="K674" s="17">
        <v>1</v>
      </c>
    </row>
    <row r="675" spans="1:11" ht="30" x14ac:dyDescent="0.25">
      <c r="A675" s="3" t="s">
        <v>1369</v>
      </c>
      <c r="B675" s="4" t="s">
        <v>1370</v>
      </c>
      <c r="C675" s="14">
        <v>1370</v>
      </c>
      <c r="D675" s="6" t="s">
        <v>28</v>
      </c>
      <c r="E675" s="6" t="s">
        <v>17</v>
      </c>
      <c r="F675" s="7">
        <v>40591</v>
      </c>
      <c r="G675" s="8">
        <f t="shared" si="10"/>
        <v>40591</v>
      </c>
      <c r="H675" s="6" t="s">
        <v>13</v>
      </c>
      <c r="I675" s="9">
        <f>IF(ISNA(VLOOKUP(A675,'[1]Craig Eval'!A:C,3,FALSE)),"",(VLOOKUP(A675,'[1]Craig Eval'!A:C,3,FALSE))*1000)</f>
        <v>52339.195904061198</v>
      </c>
      <c r="J675" s="10">
        <f>IF(ISNA(VLOOKUP(A675,'[1]Craig Eval'!A:M,13,FALSE)),"",VLOOKUP(A675,'[1]Craig Eval'!A:M,13,FALSE))</f>
        <v>144.075632234528</v>
      </c>
      <c r="K675" s="17">
        <v>2</v>
      </c>
    </row>
    <row r="676" spans="1:11" ht="30" x14ac:dyDescent="0.25">
      <c r="A676" s="3" t="s">
        <v>1371</v>
      </c>
      <c r="B676" s="4" t="s">
        <v>1372</v>
      </c>
      <c r="C676" s="5">
        <v>1785</v>
      </c>
      <c r="D676" s="6" t="s">
        <v>28</v>
      </c>
      <c r="E676" s="6" t="s">
        <v>17</v>
      </c>
      <c r="F676" s="7">
        <v>36931</v>
      </c>
      <c r="G676" s="8">
        <f t="shared" si="10"/>
        <v>36931</v>
      </c>
      <c r="H676" s="6" t="s">
        <v>13</v>
      </c>
      <c r="I676" s="9">
        <f>IF(ISNA(VLOOKUP(A676,'[1]Craig Eval'!A:C,3,FALSE)),"",(VLOOKUP(A676,'[1]Craig Eval'!A:C,3,FALSE))*1000)</f>
        <v>5672.7341654335896</v>
      </c>
      <c r="J676" s="10">
        <f>IF(ISNA(VLOOKUP(A676,'[1]Craig Eval'!A:M,13,FALSE)),"",VLOOKUP(A676,'[1]Craig Eval'!A:M,13,FALSE))</f>
        <v>16.9524484142778</v>
      </c>
      <c r="K676" s="17">
        <v>1</v>
      </c>
    </row>
    <row r="677" spans="1:11" ht="30" x14ac:dyDescent="0.25">
      <c r="A677" s="3" t="s">
        <v>1373</v>
      </c>
      <c r="B677" s="4" t="s">
        <v>1374</v>
      </c>
      <c r="C677" s="14">
        <v>44561</v>
      </c>
      <c r="D677" s="6" t="s">
        <v>28</v>
      </c>
      <c r="E677" s="6" t="s">
        <v>17</v>
      </c>
      <c r="F677" s="7">
        <v>39029</v>
      </c>
      <c r="G677" s="8">
        <f t="shared" si="10"/>
        <v>39029</v>
      </c>
      <c r="H677" s="6" t="s">
        <v>13</v>
      </c>
      <c r="I677" s="9">
        <f>IF(ISNA(VLOOKUP(A677,'[1]Craig Eval'!A:C,3,FALSE)),"",(VLOOKUP(A677,'[1]Craig Eval'!A:C,3,FALSE))*1000)</f>
        <v>14142.869925565501</v>
      </c>
      <c r="J677" s="10">
        <f>IF(ISNA(VLOOKUP(A677,'[1]Craig Eval'!A:M,13,FALSE)),"",VLOOKUP(A677,'[1]Craig Eval'!A:M,13,FALSE))</f>
        <v>41.242352105891399</v>
      </c>
      <c r="K677" s="17">
        <v>1</v>
      </c>
    </row>
    <row r="678" spans="1:11" ht="30" x14ac:dyDescent="0.25">
      <c r="A678" s="3" t="s">
        <v>1375</v>
      </c>
      <c r="B678" s="4" t="s">
        <v>1376</v>
      </c>
      <c r="C678" s="5">
        <v>19215</v>
      </c>
      <c r="D678" s="6" t="s">
        <v>16</v>
      </c>
      <c r="E678" s="6" t="s">
        <v>17</v>
      </c>
      <c r="F678" s="7">
        <v>35607</v>
      </c>
      <c r="G678" s="8">
        <f t="shared" si="10"/>
        <v>35607</v>
      </c>
      <c r="H678" s="6" t="s">
        <v>13</v>
      </c>
      <c r="I678" s="9">
        <f>IF(ISNA(VLOOKUP(A678,'[1]Craig Eval'!A:C,3,FALSE)),"",(VLOOKUP(A678,'[1]Craig Eval'!A:C,3,FALSE))*1000)</f>
        <v>26775.5223498245</v>
      </c>
      <c r="J678" s="10">
        <f>IF(ISNA(VLOOKUP(A678,'[1]Craig Eval'!A:M,13,FALSE)),"",VLOOKUP(A678,'[1]Craig Eval'!A:M,13,FALSE))</f>
        <v>76.218998077528298</v>
      </c>
      <c r="K678" s="17">
        <v>1</v>
      </c>
    </row>
    <row r="679" spans="1:11" ht="30" x14ac:dyDescent="0.25">
      <c r="A679" s="3" t="s">
        <v>1377</v>
      </c>
      <c r="B679" s="4" t="s">
        <v>1378</v>
      </c>
      <c r="C679" s="5">
        <v>1247</v>
      </c>
      <c r="D679" s="6" t="s">
        <v>28</v>
      </c>
      <c r="E679" s="6" t="s">
        <v>17</v>
      </c>
      <c r="F679" s="7">
        <v>36342</v>
      </c>
      <c r="G679" s="8">
        <f t="shared" si="10"/>
        <v>36342</v>
      </c>
      <c r="H679" s="6" t="s">
        <v>13</v>
      </c>
      <c r="I679" s="9">
        <f>IF(ISNA(VLOOKUP(A679,'[1]Craig Eval'!A:C,3,FALSE)),"",(VLOOKUP(A679,'[1]Craig Eval'!A:C,3,FALSE))*1000)</f>
        <v>28874.2186847179</v>
      </c>
      <c r="J679" s="10">
        <f>IF(ISNA(VLOOKUP(A679,'[1]Craig Eval'!A:M,13,FALSE)),"",VLOOKUP(A679,'[1]Craig Eval'!A:M,13,FALSE))</f>
        <v>81.920634781982102</v>
      </c>
      <c r="K679" s="17">
        <v>1</v>
      </c>
    </row>
    <row r="680" spans="1:11" ht="30" x14ac:dyDescent="0.25">
      <c r="A680" s="3" t="s">
        <v>1379</v>
      </c>
      <c r="B680" s="4" t="s">
        <v>1380</v>
      </c>
      <c r="C680" s="5">
        <v>54571</v>
      </c>
      <c r="D680" s="6" t="s">
        <v>16</v>
      </c>
      <c r="E680" s="6" t="s">
        <v>17</v>
      </c>
      <c r="F680" s="7">
        <v>25982</v>
      </c>
      <c r="G680" s="8">
        <f t="shared" si="10"/>
        <v>25982</v>
      </c>
      <c r="H680" s="6" t="s">
        <v>13</v>
      </c>
      <c r="I680" s="9">
        <f>IF(ISNA(VLOOKUP(A680,'[1]Craig Eval'!A:C,3,FALSE)),"",(VLOOKUP(A680,'[1]Craig Eval'!A:C,3,FALSE))*1000)</f>
        <v>33369.153932575202</v>
      </c>
      <c r="J680" s="10">
        <f>IF(ISNA(VLOOKUP(A680,'[1]Craig Eval'!A:M,13,FALSE)),"",VLOOKUP(A680,'[1]Craig Eval'!A:M,13,FALSE))</f>
        <v>94.043796285225696</v>
      </c>
      <c r="K680" s="17">
        <v>1</v>
      </c>
    </row>
    <row r="681" spans="1:11" ht="30" x14ac:dyDescent="0.25">
      <c r="A681" s="18" t="s">
        <v>1381</v>
      </c>
      <c r="B681" s="19" t="s">
        <v>1382</v>
      </c>
      <c r="C681" s="5">
        <v>1037</v>
      </c>
      <c r="D681" s="21" t="s">
        <v>31</v>
      </c>
      <c r="E681" s="21" t="s">
        <v>17</v>
      </c>
      <c r="F681" s="22">
        <v>29221</v>
      </c>
      <c r="G681" s="23">
        <f t="shared" si="10"/>
        <v>29221</v>
      </c>
      <c r="H681" s="21" t="s">
        <v>13</v>
      </c>
      <c r="I681" s="9">
        <f>IF(ISNA(VLOOKUP(A681,'[1]Craig Eval'!A:C,3,FALSE)),"",(VLOOKUP(A681,'[1]Craig Eval'!A:C,3,FALSE))*1000)</f>
        <v>75624.651400711402</v>
      </c>
      <c r="J681" s="24">
        <f>IF(ISNA(VLOOKUP(A681,'[1]Craig Eval'!A:M,13,FALSE)),"",VLOOKUP(A681,'[1]Craig Eval'!A:M,13,FALSE))</f>
        <v>203.502002709854</v>
      </c>
      <c r="K681" s="25">
        <v>1</v>
      </c>
    </row>
    <row r="682" spans="1:11" ht="30" x14ac:dyDescent="0.25">
      <c r="A682" s="3" t="s">
        <v>1383</v>
      </c>
      <c r="B682" s="4" t="s">
        <v>1384</v>
      </c>
      <c r="C682" s="5">
        <v>54572</v>
      </c>
      <c r="D682" s="6" t="s">
        <v>31</v>
      </c>
      <c r="E682" s="6" t="s">
        <v>17</v>
      </c>
      <c r="F682" s="7">
        <v>21602</v>
      </c>
      <c r="G682" s="8">
        <f t="shared" si="10"/>
        <v>21602</v>
      </c>
      <c r="H682" s="6" t="s">
        <v>13</v>
      </c>
      <c r="I682" s="9" t="str">
        <f>IF(ISNA(VLOOKUP(A682,'[1]Craig Eval'!A:C,3,FALSE)),"",(VLOOKUP(A682,'[1]Craig Eval'!A:C,3,FALSE))*1000)</f>
        <v/>
      </c>
      <c r="J682" s="10" t="str">
        <f>IF(ISNA(VLOOKUP(A682,'[1]Craig Eval'!A:M,13,FALSE)),"",VLOOKUP(A682,'[1]Craig Eval'!A:M,13,FALSE))</f>
        <v/>
      </c>
      <c r="K682" s="17">
        <v>1</v>
      </c>
    </row>
    <row r="683" spans="1:11" ht="30" x14ac:dyDescent="0.25">
      <c r="A683" s="3" t="s">
        <v>1385</v>
      </c>
      <c r="B683" s="4" t="s">
        <v>1386</v>
      </c>
      <c r="C683" s="5">
        <v>18890</v>
      </c>
      <c r="D683" s="6" t="s">
        <v>28</v>
      </c>
      <c r="E683" s="6" t="s">
        <v>17</v>
      </c>
      <c r="F683" s="7">
        <v>38499</v>
      </c>
      <c r="G683" s="8">
        <f t="shared" si="10"/>
        <v>38499</v>
      </c>
      <c r="H683" s="6" t="s">
        <v>13</v>
      </c>
      <c r="I683" s="9">
        <f>IF(ISNA(VLOOKUP(A683,'[1]Craig Eval'!A:C,3,FALSE)),"",(VLOOKUP(A683,'[1]Craig Eval'!A:C,3,FALSE))*1000)</f>
        <v>53679.630354863999</v>
      </c>
      <c r="J683" s="10">
        <f>IF(ISNA(VLOOKUP(A683,'[1]Craig Eval'!A:M,13,FALSE)),"",VLOOKUP(A683,'[1]Craig Eval'!A:M,13,FALSE))</f>
        <v>147.55057504625501</v>
      </c>
      <c r="K683" s="17">
        <v>2</v>
      </c>
    </row>
    <row r="684" spans="1:11" ht="30" x14ac:dyDescent="0.25">
      <c r="A684" s="3" t="s">
        <v>1387</v>
      </c>
      <c r="B684" s="4" t="s">
        <v>1388</v>
      </c>
      <c r="C684" s="14">
        <v>1910</v>
      </c>
      <c r="D684" s="6" t="s">
        <v>34</v>
      </c>
      <c r="E684" s="6" t="s">
        <v>17</v>
      </c>
      <c r="F684" s="7">
        <v>35907</v>
      </c>
      <c r="G684" s="8">
        <f t="shared" si="10"/>
        <v>35907</v>
      </c>
      <c r="H684" s="6" t="s">
        <v>13</v>
      </c>
      <c r="I684" s="9" t="str">
        <f>IF(ISNA(VLOOKUP(A684,'[1]Craig Eval'!A:C,3,FALSE)),"",(VLOOKUP(A684,'[1]Craig Eval'!A:C,3,FALSE))*1000)</f>
        <v/>
      </c>
      <c r="J684" s="10" t="str">
        <f>IF(ISNA(VLOOKUP(A684,'[1]Craig Eval'!A:M,13,FALSE)),"",VLOOKUP(A684,'[1]Craig Eval'!A:M,13,FALSE))</f>
        <v/>
      </c>
      <c r="K684" s="17">
        <v>4</v>
      </c>
    </row>
    <row r="685" spans="1:11" ht="30" x14ac:dyDescent="0.25">
      <c r="A685" s="3" t="s">
        <v>1389</v>
      </c>
      <c r="B685" s="4" t="s">
        <v>1390</v>
      </c>
      <c r="C685" s="5">
        <v>52278</v>
      </c>
      <c r="D685" s="6" t="s">
        <v>37</v>
      </c>
      <c r="E685" s="6" t="s">
        <v>38</v>
      </c>
      <c r="F685" s="7">
        <v>34820</v>
      </c>
      <c r="G685" s="8">
        <f t="shared" si="10"/>
        <v>34820</v>
      </c>
      <c r="H685" s="6" t="s">
        <v>39</v>
      </c>
      <c r="I685" s="9" t="str">
        <f>IF(ISNA(VLOOKUP(A685,'[1]Craig Eval'!A:C,3,FALSE)),"",(VLOOKUP(A685,'[1]Craig Eval'!A:C,3,FALSE))*1000)</f>
        <v/>
      </c>
      <c r="J685" s="10" t="str">
        <f>IF(ISNA(VLOOKUP(A685,'[1]Craig Eval'!A:M,13,FALSE)),"",VLOOKUP(A685,'[1]Craig Eval'!A:M,13,FALSE))</f>
        <v/>
      </c>
      <c r="K685" s="11">
        <v>2</v>
      </c>
    </row>
    <row r="686" spans="1:11" ht="30" x14ac:dyDescent="0.25">
      <c r="A686" s="26" t="s">
        <v>1391</v>
      </c>
      <c r="B686" s="27" t="s">
        <v>1392</v>
      </c>
      <c r="C686" s="5">
        <v>1603</v>
      </c>
      <c r="D686" s="28" t="s">
        <v>16</v>
      </c>
      <c r="E686" s="28" t="s">
        <v>17</v>
      </c>
      <c r="F686" s="29">
        <v>29221</v>
      </c>
      <c r="G686" s="30">
        <f t="shared" si="10"/>
        <v>29221</v>
      </c>
      <c r="H686" s="28" t="s">
        <v>13</v>
      </c>
      <c r="I686" s="31">
        <f>IF(ISNA(VLOOKUP(A686,'[1]Craig Eval'!A:C,3,FALSE)),"",(VLOOKUP(A686,'[1]Craig Eval'!A:C,3,FALSE))*1000)</f>
        <v>17271.117119244602</v>
      </c>
      <c r="J686" s="32">
        <f>IF(ISNA(VLOOKUP(A686,'[1]Craig Eval'!A:M,13,FALSE)),"",VLOOKUP(A686,'[1]Craig Eval'!A:M,13,FALSE))</f>
        <v>50.0213239291636</v>
      </c>
      <c r="K686" s="33">
        <v>1</v>
      </c>
    </row>
    <row r="687" spans="1:11" ht="30" x14ac:dyDescent="0.25">
      <c r="A687" s="3" t="s">
        <v>1393</v>
      </c>
      <c r="B687" s="4" t="s">
        <v>1394</v>
      </c>
      <c r="C687" s="5">
        <v>31298</v>
      </c>
      <c r="D687" s="6" t="s">
        <v>28</v>
      </c>
      <c r="E687" s="6" t="s">
        <v>17</v>
      </c>
      <c r="F687" s="7">
        <v>38025</v>
      </c>
      <c r="G687" s="8">
        <f t="shared" si="10"/>
        <v>38025</v>
      </c>
      <c r="H687" s="6" t="s">
        <v>13</v>
      </c>
      <c r="I687" s="9">
        <f>IF(ISNA(VLOOKUP(A687,'[1]Craig Eval'!A:C,3,FALSE)),"",(VLOOKUP(A687,'[1]Craig Eval'!A:C,3,FALSE))*1000)</f>
        <v>12963.419435864</v>
      </c>
      <c r="J687" s="10">
        <f>IF(ISNA(VLOOKUP(A687,'[1]Craig Eval'!A:M,13,FALSE)),"",VLOOKUP(A687,'[1]Craig Eval'!A:M,13,FALSE))</f>
        <v>37.9087672180383</v>
      </c>
      <c r="K687" s="17">
        <v>1</v>
      </c>
    </row>
    <row r="688" spans="1:11" ht="30" x14ac:dyDescent="0.25">
      <c r="A688" s="3" t="s">
        <v>1395</v>
      </c>
      <c r="B688" s="4" t="s">
        <v>1396</v>
      </c>
      <c r="C688" s="14">
        <v>52899</v>
      </c>
      <c r="D688" s="6" t="s">
        <v>28</v>
      </c>
      <c r="E688" s="6" t="s">
        <v>17</v>
      </c>
      <c r="F688" s="7">
        <v>38657</v>
      </c>
      <c r="G688" s="8">
        <f t="shared" si="10"/>
        <v>38657</v>
      </c>
      <c r="H688" s="6" t="s">
        <v>13</v>
      </c>
      <c r="I688" s="9">
        <f>IF(ISNA(VLOOKUP(A688,'[1]Craig Eval'!A:C,3,FALSE)),"",(VLOOKUP(A688,'[1]Craig Eval'!A:C,3,FALSE))*1000)</f>
        <v>28376.218472223201</v>
      </c>
      <c r="J688" s="10">
        <f>IF(ISNA(VLOOKUP(A688,'[1]Craig Eval'!A:M,13,FALSE)),"",VLOOKUP(A688,'[1]Craig Eval'!A:M,13,FALSE))</f>
        <v>80.570160628657604</v>
      </c>
      <c r="K688" s="17">
        <v>2</v>
      </c>
    </row>
    <row r="689" spans="1:11" ht="30" x14ac:dyDescent="0.25">
      <c r="A689" s="3" t="s">
        <v>1397</v>
      </c>
      <c r="B689" s="4" t="s">
        <v>1398</v>
      </c>
      <c r="C689" s="5">
        <v>1385</v>
      </c>
      <c r="D689" s="6" t="s">
        <v>16</v>
      </c>
      <c r="E689" s="6" t="s">
        <v>17</v>
      </c>
      <c r="F689" s="7">
        <v>29221</v>
      </c>
      <c r="G689" s="8">
        <f t="shared" si="10"/>
        <v>29221</v>
      </c>
      <c r="H689" s="6" t="s">
        <v>13</v>
      </c>
      <c r="I689" s="9" t="str">
        <f>IF(ISNA(VLOOKUP(A689,'[1]Craig Eval'!A:C,3,FALSE)),"",(VLOOKUP(A689,'[1]Craig Eval'!A:C,3,FALSE))*1000)</f>
        <v/>
      </c>
      <c r="J689" s="10" t="str">
        <f>IF(ISNA(VLOOKUP(A689,'[1]Craig Eval'!A:M,13,FALSE)),"",VLOOKUP(A689,'[1]Craig Eval'!A:M,13,FALSE))</f>
        <v/>
      </c>
      <c r="K689" s="17">
        <v>1</v>
      </c>
    </row>
    <row r="690" spans="1:11" ht="30" x14ac:dyDescent="0.25">
      <c r="A690" s="26" t="s">
        <v>1399</v>
      </c>
      <c r="B690" s="27" t="s">
        <v>1400</v>
      </c>
      <c r="C690" s="34">
        <v>27873</v>
      </c>
      <c r="D690" s="28" t="s">
        <v>31</v>
      </c>
      <c r="E690" s="28" t="s">
        <v>17</v>
      </c>
      <c r="F690" s="29">
        <v>21979</v>
      </c>
      <c r="G690" s="30">
        <f t="shared" si="10"/>
        <v>21979</v>
      </c>
      <c r="H690" s="28" t="s">
        <v>13</v>
      </c>
      <c r="I690" s="31" t="str">
        <f>IF(ISNA(VLOOKUP(A690,'[1]Craig Eval'!A:C,3,FALSE)),"",(VLOOKUP(A690,'[1]Craig Eval'!A:C,3,FALSE))*1000)</f>
        <v/>
      </c>
      <c r="J690" s="32" t="str">
        <f>IF(ISNA(VLOOKUP(A690,'[1]Craig Eval'!A:M,13,FALSE)),"",VLOOKUP(A690,'[1]Craig Eval'!A:M,13,FALSE))</f>
        <v/>
      </c>
      <c r="K690" s="33">
        <v>3</v>
      </c>
    </row>
    <row r="691" spans="1:11" ht="30" x14ac:dyDescent="0.25">
      <c r="A691" s="3" t="s">
        <v>1401</v>
      </c>
      <c r="B691" s="4" t="s">
        <v>1402</v>
      </c>
      <c r="C691" s="14">
        <v>1648</v>
      </c>
      <c r="D691" s="6" t="s">
        <v>28</v>
      </c>
      <c r="E691" s="6" t="s">
        <v>17</v>
      </c>
      <c r="F691" s="7">
        <v>30317</v>
      </c>
      <c r="G691" s="8">
        <f t="shared" si="10"/>
        <v>30317</v>
      </c>
      <c r="H691" s="6" t="s">
        <v>13</v>
      </c>
      <c r="I691" s="9">
        <f>IF(ISNA(VLOOKUP(A691,'[1]Craig Eval'!A:C,3,FALSE)),"",(VLOOKUP(A691,'[1]Craig Eval'!A:C,3,FALSE))*1000)</f>
        <v>3393.2831764358598</v>
      </c>
      <c r="J691" s="10">
        <f>IF(ISNA(VLOOKUP(A691,'[1]Craig Eval'!A:M,13,FALSE)),"",VLOOKUP(A691,'[1]Craig Eval'!A:M,13,FALSE))</f>
        <v>10.2409131662354</v>
      </c>
      <c r="K691" s="17">
        <v>1</v>
      </c>
    </row>
    <row r="692" spans="1:11" ht="30" x14ac:dyDescent="0.25">
      <c r="A692" s="3" t="s">
        <v>1403</v>
      </c>
      <c r="B692" s="4" t="s">
        <v>1404</v>
      </c>
      <c r="C692" s="14">
        <v>1384</v>
      </c>
      <c r="D692" s="6" t="s">
        <v>16</v>
      </c>
      <c r="E692" s="6" t="s">
        <v>17</v>
      </c>
      <c r="F692" s="7">
        <v>29221</v>
      </c>
      <c r="G692" s="8">
        <f t="shared" si="10"/>
        <v>29221</v>
      </c>
      <c r="H692" s="6" t="s">
        <v>13</v>
      </c>
      <c r="I692" s="9" t="str">
        <f>IF(ISNA(VLOOKUP(A692,'[1]Craig Eval'!A:C,3,FALSE)),"",(VLOOKUP(A692,'[1]Craig Eval'!A:C,3,FALSE))*1000)</f>
        <v/>
      </c>
      <c r="J692" s="10" t="str">
        <f>IF(ISNA(VLOOKUP(A692,'[1]Craig Eval'!A:M,13,FALSE)),"",VLOOKUP(A692,'[1]Craig Eval'!A:M,13,FALSE))</f>
        <v/>
      </c>
      <c r="K692" s="17">
        <v>1</v>
      </c>
    </row>
    <row r="693" spans="1:11" ht="30" x14ac:dyDescent="0.25">
      <c r="A693" s="3" t="s">
        <v>1405</v>
      </c>
      <c r="B693" s="4" t="s">
        <v>1406</v>
      </c>
      <c r="C693" s="5">
        <v>54574</v>
      </c>
      <c r="D693" s="6" t="s">
        <v>1407</v>
      </c>
      <c r="E693" s="6" t="s">
        <v>17</v>
      </c>
      <c r="F693" s="7">
        <v>38189</v>
      </c>
      <c r="G693" s="8">
        <f t="shared" si="10"/>
        <v>38189</v>
      </c>
      <c r="H693" s="6" t="s">
        <v>13</v>
      </c>
      <c r="I693" s="9" t="str">
        <f>IF(ISNA(VLOOKUP(A693,'[1]Craig Eval'!A:C,3,FALSE)),"",(VLOOKUP(A693,'[1]Craig Eval'!A:C,3,FALSE))*1000)</f>
        <v/>
      </c>
      <c r="J693" s="10" t="str">
        <f>IF(ISNA(VLOOKUP(A693,'[1]Craig Eval'!A:M,13,FALSE)),"",VLOOKUP(A693,'[1]Craig Eval'!A:M,13,FALSE))</f>
        <v/>
      </c>
      <c r="K693" s="17">
        <v>1</v>
      </c>
    </row>
    <row r="694" spans="1:11" ht="30" x14ac:dyDescent="0.25">
      <c r="A694" s="3" t="s">
        <v>1408</v>
      </c>
      <c r="B694" s="4" t="s">
        <v>1409</v>
      </c>
      <c r="C694" s="5">
        <v>1695</v>
      </c>
      <c r="D694" s="6" t="s">
        <v>28</v>
      </c>
      <c r="E694" s="6" t="s">
        <v>17</v>
      </c>
      <c r="F694" s="7">
        <v>29221</v>
      </c>
      <c r="G694" s="8">
        <f t="shared" si="10"/>
        <v>29221</v>
      </c>
      <c r="H694" s="6" t="s">
        <v>13</v>
      </c>
      <c r="I694" s="9">
        <f>IF(ISNA(VLOOKUP(A694,'[1]Craig Eval'!A:C,3,FALSE)),"",(VLOOKUP(A694,'[1]Craig Eval'!A:C,3,FALSE))*1000)</f>
        <v>8738.70827463348</v>
      </c>
      <c r="J694" s="10">
        <f>IF(ISNA(VLOOKUP(A694,'[1]Craig Eval'!A:M,13,FALSE)),"",VLOOKUP(A694,'[1]Craig Eval'!A:M,13,FALSE))</f>
        <v>25.846786873561499</v>
      </c>
      <c r="K694" s="17">
        <v>2</v>
      </c>
    </row>
    <row r="695" spans="1:11" ht="30" x14ac:dyDescent="0.25">
      <c r="A695" s="3" t="s">
        <v>1410</v>
      </c>
      <c r="B695" s="4" t="s">
        <v>1411</v>
      </c>
      <c r="C695" s="14">
        <v>1529</v>
      </c>
      <c r="D695" s="6" t="s">
        <v>31</v>
      </c>
      <c r="E695" s="6" t="s">
        <v>17</v>
      </c>
      <c r="F695" s="7">
        <v>37072</v>
      </c>
      <c r="G695" s="8">
        <f t="shared" si="10"/>
        <v>37072</v>
      </c>
      <c r="H695" s="6" t="s">
        <v>13</v>
      </c>
      <c r="I695" s="9">
        <f>IF(ISNA(VLOOKUP(A695,'[1]Craig Eval'!A:C,3,FALSE)),"",(VLOOKUP(A695,'[1]Craig Eval'!A:C,3,FALSE))*1000)</f>
        <v>458696.12992742797</v>
      </c>
      <c r="J695" s="10">
        <f>IF(ISNA(VLOOKUP(A695,'[1]Craig Eval'!A:M,13,FALSE)),"",VLOOKUP(A695,'[1]Craig Eval'!A:M,13,FALSE))</f>
        <v>1044.64604034641</v>
      </c>
      <c r="K695" s="17">
        <v>3</v>
      </c>
    </row>
    <row r="696" spans="1:11" ht="30" x14ac:dyDescent="0.25">
      <c r="A696" s="3" t="s">
        <v>1412</v>
      </c>
      <c r="B696" s="4" t="s">
        <v>1413</v>
      </c>
      <c r="C696" s="5">
        <v>2021</v>
      </c>
      <c r="D696" s="6" t="s">
        <v>16</v>
      </c>
      <c r="E696" s="6" t="s">
        <v>17</v>
      </c>
      <c r="F696" s="7">
        <v>29221</v>
      </c>
      <c r="G696" s="8">
        <f t="shared" si="10"/>
        <v>29221</v>
      </c>
      <c r="H696" s="6" t="s">
        <v>13</v>
      </c>
      <c r="I696" s="9" t="str">
        <f>IF(ISNA(VLOOKUP(A696,'[1]Craig Eval'!A:C,3,FALSE)),"",(VLOOKUP(A696,'[1]Craig Eval'!A:C,3,FALSE))*1000)</f>
        <v/>
      </c>
      <c r="J696" s="10" t="str">
        <f>IF(ISNA(VLOOKUP(A696,'[1]Craig Eval'!A:M,13,FALSE)),"",VLOOKUP(A696,'[1]Craig Eval'!A:M,13,FALSE))</f>
        <v/>
      </c>
      <c r="K696" s="17">
        <v>1</v>
      </c>
    </row>
    <row r="697" spans="1:11" ht="30" x14ac:dyDescent="0.25">
      <c r="A697" s="3" t="s">
        <v>1414</v>
      </c>
      <c r="B697" s="4" t="s">
        <v>1415</v>
      </c>
      <c r="C697" s="5">
        <v>22081</v>
      </c>
      <c r="D697" s="6" t="s">
        <v>31</v>
      </c>
      <c r="E697" s="6" t="s">
        <v>17</v>
      </c>
      <c r="F697" s="7">
        <v>34025</v>
      </c>
      <c r="G697" s="8">
        <f t="shared" si="10"/>
        <v>34025</v>
      </c>
      <c r="H697" s="6" t="s">
        <v>13</v>
      </c>
      <c r="I697" s="9">
        <f>IF(ISNA(VLOOKUP(A697,'[1]Craig Eval'!A:C,3,FALSE)),"",(VLOOKUP(A697,'[1]Craig Eval'!A:C,3,FALSE))*1000)</f>
        <v>317.90943631023697</v>
      </c>
      <c r="J697" s="10">
        <f>IF(ISNA(VLOOKUP(A697,'[1]Craig Eval'!A:M,13,FALSE)),"",VLOOKUP(A697,'[1]Craig Eval'!A:M,13,FALSE))</f>
        <v>0.98272655825247102</v>
      </c>
      <c r="K697" s="17">
        <v>2</v>
      </c>
    </row>
    <row r="698" spans="1:11" ht="30" x14ac:dyDescent="0.25">
      <c r="A698" s="3" t="s">
        <v>1416</v>
      </c>
      <c r="B698" s="4" t="s">
        <v>1417</v>
      </c>
      <c r="C698" s="5">
        <v>1812</v>
      </c>
      <c r="D698" s="6" t="s">
        <v>28</v>
      </c>
      <c r="E698" s="6" t="s">
        <v>17</v>
      </c>
      <c r="F698" s="7">
        <v>29221</v>
      </c>
      <c r="G698" s="8">
        <f t="shared" si="10"/>
        <v>29221</v>
      </c>
      <c r="H698" s="6" t="s">
        <v>13</v>
      </c>
      <c r="I698" s="9">
        <f>IF(ISNA(VLOOKUP(A698,'[1]Craig Eval'!A:C,3,FALSE)),"",(VLOOKUP(A698,'[1]Craig Eval'!A:C,3,FALSE))*1000)</f>
        <v>8427.7225317133598</v>
      </c>
      <c r="J698" s="10">
        <f>IF(ISNA(VLOOKUP(A698,'[1]Craig Eval'!A:M,13,FALSE)),"",VLOOKUP(A698,'[1]Craig Eval'!A:M,13,FALSE))</f>
        <v>24.950570815040699</v>
      </c>
      <c r="K698" s="17">
        <v>1</v>
      </c>
    </row>
    <row r="699" spans="1:11" ht="30" x14ac:dyDescent="0.25">
      <c r="A699" s="3" t="s">
        <v>1418</v>
      </c>
      <c r="B699" s="4" t="s">
        <v>1419</v>
      </c>
      <c r="C699" s="14">
        <v>1635</v>
      </c>
      <c r="D699" s="6" t="s">
        <v>31</v>
      </c>
      <c r="E699" s="6" t="s">
        <v>17</v>
      </c>
      <c r="F699" s="7">
        <v>25569</v>
      </c>
      <c r="G699" s="8">
        <f t="shared" si="10"/>
        <v>25569</v>
      </c>
      <c r="H699" s="6" t="s">
        <v>13</v>
      </c>
      <c r="I699" s="9">
        <f>IF(ISNA(VLOOKUP(A699,'[1]Craig Eval'!A:C,3,FALSE)),"",(VLOOKUP(A699,'[1]Craig Eval'!A:C,3,FALSE))*1000)</f>
        <v>128462.166324277</v>
      </c>
      <c r="J699" s="10">
        <f>IF(ISNA(VLOOKUP(A699,'[1]Craig Eval'!A:M,13,FALSE)),"",VLOOKUP(A699,'[1]Craig Eval'!A:M,13,FALSE))</f>
        <v>332.50568969532497</v>
      </c>
      <c r="K699" s="17">
        <v>2</v>
      </c>
    </row>
    <row r="700" spans="1:11" ht="30" x14ac:dyDescent="0.25">
      <c r="A700" s="3" t="s">
        <v>1420</v>
      </c>
      <c r="B700" s="4" t="s">
        <v>1421</v>
      </c>
      <c r="C700" s="5">
        <v>11202</v>
      </c>
      <c r="D700" s="6" t="s">
        <v>37</v>
      </c>
      <c r="E700" s="6" t="s">
        <v>38</v>
      </c>
      <c r="F700" s="7">
        <v>37405</v>
      </c>
      <c r="G700" s="8">
        <f t="shared" si="10"/>
        <v>37405</v>
      </c>
      <c r="H700" s="6" t="s">
        <v>39</v>
      </c>
      <c r="I700" s="9" t="str">
        <f>IF(ISNA(VLOOKUP(A700,'[1]Craig Eval'!A:C,3,FALSE)),"",(VLOOKUP(A700,'[1]Craig Eval'!A:C,3,FALSE))*1000)</f>
        <v/>
      </c>
      <c r="J700" s="10" t="str">
        <f>IF(ISNA(VLOOKUP(A700,'[1]Craig Eval'!A:M,13,FALSE)),"",VLOOKUP(A700,'[1]Craig Eval'!A:M,13,FALSE))</f>
        <v/>
      </c>
      <c r="K700" s="17">
        <v>2</v>
      </c>
    </row>
    <row r="701" spans="1:11" ht="30" x14ac:dyDescent="0.25">
      <c r="A701" s="18" t="s">
        <v>1422</v>
      </c>
      <c r="B701" s="19" t="s">
        <v>1423</v>
      </c>
      <c r="C701" s="20">
        <v>1440</v>
      </c>
      <c r="D701" s="21" t="s">
        <v>16</v>
      </c>
      <c r="E701" s="21" t="s">
        <v>17</v>
      </c>
      <c r="F701" s="22">
        <v>25569</v>
      </c>
      <c r="G701" s="23">
        <f t="shared" si="10"/>
        <v>25569</v>
      </c>
      <c r="H701" s="21" t="s">
        <v>13</v>
      </c>
      <c r="I701" s="9" t="str">
        <f>IF(ISNA(VLOOKUP(A701,'[1]Craig Eval'!A:C,3,FALSE)),"",(VLOOKUP(A701,'[1]Craig Eval'!A:C,3,FALSE))*1000)</f>
        <v/>
      </c>
      <c r="J701" s="24" t="str">
        <f>IF(ISNA(VLOOKUP(A701,'[1]Craig Eval'!A:M,13,FALSE)),"",VLOOKUP(A701,'[1]Craig Eval'!A:M,13,FALSE))</f>
        <v/>
      </c>
      <c r="K701" s="25">
        <v>1</v>
      </c>
    </row>
    <row r="702" spans="1:11" ht="30" x14ac:dyDescent="0.25">
      <c r="A702" s="3" t="s">
        <v>1424</v>
      </c>
      <c r="B702" s="4" t="s">
        <v>1425</v>
      </c>
      <c r="C702" s="5">
        <v>1677</v>
      </c>
      <c r="D702" s="6" t="s">
        <v>34</v>
      </c>
      <c r="E702" s="6" t="s">
        <v>17</v>
      </c>
      <c r="F702" s="7">
        <v>32143</v>
      </c>
      <c r="G702" s="8">
        <f t="shared" si="10"/>
        <v>32143</v>
      </c>
      <c r="H702" s="6" t="s">
        <v>13</v>
      </c>
      <c r="I702" s="9">
        <f>IF(ISNA(VLOOKUP(A702,'[1]Craig Eval'!A:C,3,FALSE)),"",(VLOOKUP(A702,'[1]Craig Eval'!A:C,3,FALSE))*1000)</f>
        <v>9503.1135748513898</v>
      </c>
      <c r="J702" s="10">
        <f>IF(ISNA(VLOOKUP(A702,'[1]Craig Eval'!A:M,13,FALSE)),"",VLOOKUP(A702,'[1]Craig Eval'!A:M,13,FALSE))</f>
        <v>28.0445018730233</v>
      </c>
      <c r="K702" s="17">
        <v>1</v>
      </c>
    </row>
    <row r="703" spans="1:11" ht="30" x14ac:dyDescent="0.25">
      <c r="A703" s="3" t="s">
        <v>1426</v>
      </c>
      <c r="B703" s="4" t="s">
        <v>1427</v>
      </c>
      <c r="C703" s="5">
        <v>16003</v>
      </c>
      <c r="D703" s="6" t="s">
        <v>31</v>
      </c>
      <c r="E703" s="6" t="s">
        <v>17</v>
      </c>
      <c r="F703" s="7">
        <v>32531</v>
      </c>
      <c r="G703" s="8">
        <f t="shared" si="10"/>
        <v>32531</v>
      </c>
      <c r="H703" s="6" t="s">
        <v>13</v>
      </c>
      <c r="I703" s="9">
        <f>IF(ISNA(VLOOKUP(A703,'[1]Craig Eval'!A:C,3,FALSE)),"",(VLOOKUP(A703,'[1]Craig Eval'!A:C,3,FALSE))*1000)</f>
        <v>3612.62710828523</v>
      </c>
      <c r="J703" s="10">
        <f>IF(ISNA(VLOOKUP(A703,'[1]Craig Eval'!A:M,13,FALSE)),"",VLOOKUP(A703,'[1]Craig Eval'!A:M,13,FALSE))</f>
        <v>10.891151676491299</v>
      </c>
      <c r="K703" s="17">
        <v>1</v>
      </c>
    </row>
    <row r="704" spans="1:11" ht="30" x14ac:dyDescent="0.25">
      <c r="A704" s="3" t="s">
        <v>1428</v>
      </c>
      <c r="B704" s="4" t="s">
        <v>1429</v>
      </c>
      <c r="C704" s="5">
        <v>16001</v>
      </c>
      <c r="D704" s="6" t="s">
        <v>31</v>
      </c>
      <c r="E704" s="6" t="s">
        <v>17</v>
      </c>
      <c r="F704" s="7">
        <v>32531</v>
      </c>
      <c r="G704" s="8">
        <f t="shared" si="10"/>
        <v>32531</v>
      </c>
      <c r="H704" s="6" t="s">
        <v>13</v>
      </c>
      <c r="I704" s="9">
        <f>IF(ISNA(VLOOKUP(A704,'[1]Craig Eval'!A:C,3,FALSE)),"",(VLOOKUP(A704,'[1]Craig Eval'!A:C,3,FALSE))*1000)</f>
        <v>14090.167115031001</v>
      </c>
      <c r="J704" s="10">
        <f>IF(ISNA(VLOOKUP(A704,'[1]Craig Eval'!A:M,13,FALSE)),"",VLOOKUP(A704,'[1]Craig Eval'!A:M,13,FALSE))</f>
        <v>41.093682124390298</v>
      </c>
      <c r="K704" s="17">
        <v>2</v>
      </c>
    </row>
    <row r="705" spans="1:11" ht="30" x14ac:dyDescent="0.25">
      <c r="A705" s="3" t="s">
        <v>1430</v>
      </c>
      <c r="B705" s="4" t="s">
        <v>1431</v>
      </c>
      <c r="C705" s="5">
        <v>1239</v>
      </c>
      <c r="D705" s="6" t="s">
        <v>34</v>
      </c>
      <c r="E705" s="6" t="s">
        <v>17</v>
      </c>
      <c r="F705" s="7">
        <v>30165</v>
      </c>
      <c r="G705" s="8">
        <f t="shared" si="10"/>
        <v>30165</v>
      </c>
      <c r="H705" s="6" t="s">
        <v>13</v>
      </c>
      <c r="I705" s="9">
        <f>IF(ISNA(VLOOKUP(A705,'[1]Craig Eval'!A:C,3,FALSE)),"",(VLOOKUP(A705,'[1]Craig Eval'!A:C,3,FALSE))*1000)</f>
        <v>4416.6872518974405</v>
      </c>
      <c r="J705" s="10">
        <f>IF(ISNA(VLOOKUP(A705,'[1]Craig Eval'!A:M,13,FALSE)),"",VLOOKUP(A705,'[1]Craig Eval'!A:M,13,FALSE))</f>
        <v>13.2662868355537</v>
      </c>
      <c r="K705" s="17">
        <v>1</v>
      </c>
    </row>
    <row r="706" spans="1:11" ht="30" x14ac:dyDescent="0.25">
      <c r="A706" s="3" t="s">
        <v>1432</v>
      </c>
      <c r="B706" s="4" t="s">
        <v>1433</v>
      </c>
      <c r="C706" s="5">
        <v>11201</v>
      </c>
      <c r="D706" s="6" t="s">
        <v>28</v>
      </c>
      <c r="E706" s="6" t="s">
        <v>17</v>
      </c>
      <c r="F706" s="7">
        <v>37959</v>
      </c>
      <c r="G706" s="8">
        <f t="shared" ref="G706:G769" si="11">F706</f>
        <v>37959</v>
      </c>
      <c r="H706" s="6" t="s">
        <v>13</v>
      </c>
      <c r="I706" s="9">
        <f>IF(ISNA(VLOOKUP(A706,'[1]Craig Eval'!A:C,3,FALSE)),"",(VLOOKUP(A706,'[1]Craig Eval'!A:C,3,FALSE))*1000)</f>
        <v>3908.2065217160502</v>
      </c>
      <c r="J706" s="10">
        <f>IF(ISNA(VLOOKUP(A706,'[1]Craig Eval'!A:M,13,FALSE)),"",VLOOKUP(A706,'[1]Craig Eval'!A:M,13,FALSE))</f>
        <v>11.765781150106401</v>
      </c>
      <c r="K706" s="17">
        <v>1</v>
      </c>
    </row>
    <row r="707" spans="1:11" ht="30" x14ac:dyDescent="0.25">
      <c r="A707" s="3" t="s">
        <v>1434</v>
      </c>
      <c r="B707" s="4" t="s">
        <v>1435</v>
      </c>
      <c r="C707" s="5">
        <v>10574</v>
      </c>
      <c r="D707" s="6" t="s">
        <v>31</v>
      </c>
      <c r="E707" s="6" t="s">
        <v>17</v>
      </c>
      <c r="F707" s="7">
        <v>37047</v>
      </c>
      <c r="G707" s="8">
        <f t="shared" si="11"/>
        <v>37047</v>
      </c>
      <c r="H707" s="6" t="s">
        <v>13</v>
      </c>
      <c r="I707" s="9">
        <f>IF(ISNA(VLOOKUP(A707,'[1]Craig Eval'!A:C,3,FALSE)),"",(VLOOKUP(A707,'[1]Craig Eval'!A:C,3,FALSE))*1000)</f>
        <v>33381.044425490203</v>
      </c>
      <c r="J707" s="10">
        <f>IF(ISNA(VLOOKUP(A707,'[1]Craig Eval'!A:M,13,FALSE)),"",VLOOKUP(A707,'[1]Craig Eval'!A:M,13,FALSE))</f>
        <v>94.075713311237905</v>
      </c>
      <c r="K707" s="17">
        <v>1</v>
      </c>
    </row>
    <row r="708" spans="1:11" ht="30" x14ac:dyDescent="0.25">
      <c r="A708" s="3" t="s">
        <v>1436</v>
      </c>
      <c r="B708" s="4" t="s">
        <v>1437</v>
      </c>
      <c r="C708" s="5">
        <v>52898</v>
      </c>
      <c r="D708" s="6" t="s">
        <v>28</v>
      </c>
      <c r="E708" s="6" t="s">
        <v>17</v>
      </c>
      <c r="F708" s="7">
        <v>39295</v>
      </c>
      <c r="G708" s="8">
        <f t="shared" si="11"/>
        <v>39295</v>
      </c>
      <c r="H708" s="6" t="s">
        <v>13</v>
      </c>
      <c r="I708" s="9">
        <f>IF(ISNA(VLOOKUP(A708,'[1]Craig Eval'!A:C,3,FALSE)),"",(VLOOKUP(A708,'[1]Craig Eval'!A:C,3,FALSE))*1000)</f>
        <v>11464.2953488361</v>
      </c>
      <c r="J708" s="10">
        <f>IF(ISNA(VLOOKUP(A708,'[1]Craig Eval'!A:M,13,FALSE)),"",VLOOKUP(A708,'[1]Craig Eval'!A:M,13,FALSE))</f>
        <v>33.651329767947097</v>
      </c>
      <c r="K708" s="17">
        <v>1</v>
      </c>
    </row>
    <row r="709" spans="1:11" ht="30" x14ac:dyDescent="0.25">
      <c r="A709" s="3" t="s">
        <v>1438</v>
      </c>
      <c r="B709" s="4" t="s">
        <v>1439</v>
      </c>
      <c r="C709" s="5">
        <v>136117</v>
      </c>
      <c r="D709" s="6" t="s">
        <v>34</v>
      </c>
      <c r="E709" s="6" t="s">
        <v>17</v>
      </c>
      <c r="F709" s="7">
        <v>29221</v>
      </c>
      <c r="G709" s="8">
        <f t="shared" si="11"/>
        <v>29221</v>
      </c>
      <c r="H709" s="6" t="s">
        <v>13</v>
      </c>
      <c r="I709" s="9">
        <f>IF(ISNA(VLOOKUP(A709,'[1]Craig Eval'!A:C,3,FALSE)),"",(VLOOKUP(A709,'[1]Craig Eval'!A:C,3,FALSE))*1000)</f>
        <v>8386.4007905572689</v>
      </c>
      <c r="J709" s="10">
        <f>IF(ISNA(VLOOKUP(A709,'[1]Craig Eval'!A:M,13,FALSE)),"",VLOOKUP(A709,'[1]Craig Eval'!A:M,13,FALSE))</f>
        <v>24.831393258908101</v>
      </c>
      <c r="K709" s="17">
        <v>1</v>
      </c>
    </row>
    <row r="710" spans="1:11" ht="30" x14ac:dyDescent="0.25">
      <c r="A710" s="3" t="s">
        <v>1440</v>
      </c>
      <c r="B710" s="4" t="s">
        <v>1441</v>
      </c>
      <c r="C710" s="5">
        <v>54576</v>
      </c>
      <c r="D710" s="6" t="s">
        <v>34</v>
      </c>
      <c r="E710" s="6" t="s">
        <v>17</v>
      </c>
      <c r="F710" s="7">
        <v>38930</v>
      </c>
      <c r="G710" s="8">
        <f t="shared" si="11"/>
        <v>38930</v>
      </c>
      <c r="H710" s="6" t="s">
        <v>13</v>
      </c>
      <c r="I710" s="9">
        <f>IF(ISNA(VLOOKUP(A710,'[1]Craig Eval'!A:C,3,FALSE)),"",(VLOOKUP(A710,'[1]Craig Eval'!A:C,3,FALSE))*1000)</f>
        <v>28769.163746682898</v>
      </c>
      <c r="J710" s="10">
        <f>IF(ISNA(VLOOKUP(A710,'[1]Craig Eval'!A:M,13,FALSE)),"",VLOOKUP(A710,'[1]Craig Eval'!A:M,13,FALSE))</f>
        <v>81.635873278025599</v>
      </c>
      <c r="K710" s="17">
        <v>2</v>
      </c>
    </row>
    <row r="711" spans="1:11" ht="30" x14ac:dyDescent="0.25">
      <c r="A711" s="3" t="s">
        <v>1442</v>
      </c>
      <c r="B711" s="4" t="s">
        <v>1443</v>
      </c>
      <c r="C711" s="5">
        <v>1238</v>
      </c>
      <c r="D711" s="6" t="s">
        <v>34</v>
      </c>
      <c r="E711" s="6" t="s">
        <v>17</v>
      </c>
      <c r="F711" s="7">
        <v>29221</v>
      </c>
      <c r="G711" s="8">
        <f t="shared" si="11"/>
        <v>29221</v>
      </c>
      <c r="H711" s="6" t="s">
        <v>13</v>
      </c>
      <c r="I711" s="9">
        <f>IF(ISNA(VLOOKUP(A711,'[1]Craig Eval'!A:C,3,FALSE)),"",(VLOOKUP(A711,'[1]Craig Eval'!A:C,3,FALSE))*1000)</f>
        <v>5312.4748615174403</v>
      </c>
      <c r="J711" s="10">
        <f>IF(ISNA(VLOOKUP(A711,'[1]Craig Eval'!A:M,13,FALSE)),"",VLOOKUP(A711,'[1]Craig Eval'!A:M,13,FALSE))</f>
        <v>15.897989922447501</v>
      </c>
      <c r="K711" s="17">
        <v>1</v>
      </c>
    </row>
    <row r="712" spans="1:11" ht="30" x14ac:dyDescent="0.25">
      <c r="A712" s="3" t="s">
        <v>1444</v>
      </c>
      <c r="B712" s="4" t="s">
        <v>1445</v>
      </c>
      <c r="C712" s="5">
        <v>30161</v>
      </c>
      <c r="D712" s="6" t="s">
        <v>16</v>
      </c>
      <c r="E712" s="6" t="s">
        <v>17</v>
      </c>
      <c r="F712" s="7">
        <v>38945</v>
      </c>
      <c r="G712" s="8">
        <f t="shared" si="11"/>
        <v>38945</v>
      </c>
      <c r="H712" s="6" t="s">
        <v>13</v>
      </c>
      <c r="I712" s="9" t="str">
        <f>IF(ISNA(VLOOKUP(A712,'[1]Craig Eval'!A:C,3,FALSE)),"",(VLOOKUP(A712,'[1]Craig Eval'!A:C,3,FALSE))*1000)</f>
        <v/>
      </c>
      <c r="J712" s="10" t="str">
        <f>IF(ISNA(VLOOKUP(A712,'[1]Craig Eval'!A:M,13,FALSE)),"",VLOOKUP(A712,'[1]Craig Eval'!A:M,13,FALSE))</f>
        <v/>
      </c>
      <c r="K712" s="17">
        <v>1</v>
      </c>
    </row>
    <row r="713" spans="1:11" ht="30" x14ac:dyDescent="0.25">
      <c r="A713" s="3" t="s">
        <v>1446</v>
      </c>
      <c r="B713" s="4" t="s">
        <v>1447</v>
      </c>
      <c r="C713" s="5">
        <v>54575</v>
      </c>
      <c r="D713" s="6" t="s">
        <v>31</v>
      </c>
      <c r="E713" s="6" t="s">
        <v>17</v>
      </c>
      <c r="F713" s="7">
        <v>38910</v>
      </c>
      <c r="G713" s="8">
        <f t="shared" si="11"/>
        <v>38910</v>
      </c>
      <c r="H713" s="6" t="s">
        <v>13</v>
      </c>
      <c r="I713" s="9">
        <f>IF(ISNA(VLOOKUP(A713,'[1]Craig Eval'!A:C,3,FALSE)),"",(VLOOKUP(A713,'[1]Craig Eval'!A:C,3,FALSE))*1000)</f>
        <v>18412.589496524797</v>
      </c>
      <c r="J713" s="10">
        <f>IF(ISNA(VLOOKUP(A713,'[1]Craig Eval'!A:M,13,FALSE)),"",VLOOKUP(A713,'[1]Craig Eval'!A:M,13,FALSE))</f>
        <v>53.203609703980703</v>
      </c>
      <c r="K713" s="17">
        <v>1</v>
      </c>
    </row>
    <row r="714" spans="1:11" ht="30" x14ac:dyDescent="0.25">
      <c r="A714" s="3" t="s">
        <v>1448</v>
      </c>
      <c r="B714" s="4" t="s">
        <v>1449</v>
      </c>
      <c r="C714" s="5">
        <v>12482</v>
      </c>
      <c r="D714" s="6" t="s">
        <v>16</v>
      </c>
      <c r="E714" s="6" t="s">
        <v>17</v>
      </c>
      <c r="F714" s="7">
        <v>37145</v>
      </c>
      <c r="G714" s="8">
        <f t="shared" si="11"/>
        <v>37145</v>
      </c>
      <c r="H714" s="6" t="s">
        <v>13</v>
      </c>
      <c r="I714" s="9">
        <f>IF(ISNA(VLOOKUP(A714,'[1]Craig Eval'!A:C,3,FALSE)),"",(VLOOKUP(A714,'[1]Craig Eval'!A:C,3,FALSE))*1000)</f>
        <v>36563.8733656564</v>
      </c>
      <c r="J714" s="10">
        <f>IF(ISNA(VLOOKUP(A714,'[1]Craig Eval'!A:M,13,FALSE)),"",VLOOKUP(A714,'[1]Craig Eval'!A:M,13,FALSE))</f>
        <v>102.59174227766999</v>
      </c>
      <c r="K714" s="17">
        <v>1</v>
      </c>
    </row>
    <row r="715" spans="1:11" ht="30" x14ac:dyDescent="0.25">
      <c r="A715" s="3" t="s">
        <v>1450</v>
      </c>
      <c r="B715" s="4" t="s">
        <v>1451</v>
      </c>
      <c r="C715" s="5">
        <v>1758</v>
      </c>
      <c r="D715" s="6" t="s">
        <v>31</v>
      </c>
      <c r="E715" s="6" t="s">
        <v>17</v>
      </c>
      <c r="F715" s="7">
        <v>29221</v>
      </c>
      <c r="G715" s="8">
        <f t="shared" si="11"/>
        <v>29221</v>
      </c>
      <c r="H715" s="6" t="s">
        <v>13</v>
      </c>
      <c r="I715" s="9">
        <f>IF(ISNA(VLOOKUP(A715,'[1]Craig Eval'!A:C,3,FALSE)),"",(VLOOKUP(A715,'[1]Craig Eval'!A:C,3,FALSE))*1000)</f>
        <v>5531.7244300379607</v>
      </c>
      <c r="J715" s="10">
        <f>IF(ISNA(VLOOKUP(A715,'[1]Craig Eval'!A:M,13,FALSE)),"",VLOOKUP(A715,'[1]Craig Eval'!A:M,13,FALSE))</f>
        <v>16.5399789481562</v>
      </c>
      <c r="K715" s="17">
        <v>1</v>
      </c>
    </row>
    <row r="716" spans="1:11" ht="30" x14ac:dyDescent="0.25">
      <c r="A716" s="3" t="s">
        <v>1452</v>
      </c>
      <c r="B716" s="4" t="s">
        <v>1453</v>
      </c>
      <c r="C716" s="5">
        <v>19209</v>
      </c>
      <c r="D716" s="6" t="s">
        <v>31</v>
      </c>
      <c r="E716" s="6" t="s">
        <v>17</v>
      </c>
      <c r="F716" s="7">
        <v>36528</v>
      </c>
      <c r="G716" s="8">
        <f t="shared" si="11"/>
        <v>36528</v>
      </c>
      <c r="H716" s="6" t="s">
        <v>13</v>
      </c>
      <c r="I716" s="9">
        <f>IF(ISNA(VLOOKUP(A716,'[1]Craig Eval'!A:C,3,FALSE)),"",(VLOOKUP(A716,'[1]Craig Eval'!A:C,3,FALSE))*1000)</f>
        <v>91584.5956403327</v>
      </c>
      <c r="J716" s="10">
        <f>IF(ISNA(VLOOKUP(A716,'[1]Craig Eval'!A:M,13,FALSE)),"",VLOOKUP(A716,'[1]Craig Eval'!A:M,13,FALSE))</f>
        <v>243.226412546695</v>
      </c>
      <c r="K716" s="17">
        <v>2</v>
      </c>
    </row>
    <row r="717" spans="1:11" ht="30" x14ac:dyDescent="0.25">
      <c r="A717" s="3" t="s">
        <v>1454</v>
      </c>
      <c r="B717" s="4" t="s">
        <v>1455</v>
      </c>
      <c r="C717" s="5">
        <v>16964</v>
      </c>
      <c r="D717" s="6" t="s">
        <v>31</v>
      </c>
      <c r="E717" s="6" t="s">
        <v>17</v>
      </c>
      <c r="F717" s="7">
        <v>25583</v>
      </c>
      <c r="G717" s="8">
        <f t="shared" si="11"/>
        <v>25583</v>
      </c>
      <c r="H717" s="6" t="s">
        <v>13</v>
      </c>
      <c r="I717" s="9">
        <f>IF(ISNA(VLOOKUP(A717,'[1]Craig Eval'!A:C,3,FALSE)),"",(VLOOKUP(A717,'[1]Craig Eval'!A:C,3,FALSE))*1000)</f>
        <v>100164.601963957</v>
      </c>
      <c r="J717" s="10">
        <f>IF(ISNA(VLOOKUP(A717,'[1]Craig Eval'!A:M,13,FALSE)),"",VLOOKUP(A717,'[1]Craig Eval'!A:M,13,FALSE))</f>
        <v>264.29121501596597</v>
      </c>
      <c r="K717" s="17">
        <v>1</v>
      </c>
    </row>
    <row r="718" spans="1:11" ht="30" x14ac:dyDescent="0.25">
      <c r="A718" s="3" t="s">
        <v>1456</v>
      </c>
      <c r="B718" s="4" t="s">
        <v>1457</v>
      </c>
      <c r="C718" s="5">
        <v>25921</v>
      </c>
      <c r="D718" s="6" t="s">
        <v>31</v>
      </c>
      <c r="E718" s="6" t="s">
        <v>17</v>
      </c>
      <c r="F718" s="7">
        <v>31685</v>
      </c>
      <c r="G718" s="8">
        <f t="shared" si="11"/>
        <v>31685</v>
      </c>
      <c r="H718" s="6" t="s">
        <v>13</v>
      </c>
      <c r="I718" s="9">
        <f>IF(ISNA(VLOOKUP(A718,'[1]Craig Eval'!A:C,3,FALSE)),"",(VLOOKUP(A718,'[1]Craig Eval'!A:C,3,FALSE))*1000)</f>
        <v>13787.1436685021</v>
      </c>
      <c r="J718" s="10">
        <f>IF(ISNA(VLOOKUP(A718,'[1]Craig Eval'!A:M,13,FALSE)),"",VLOOKUP(A718,'[1]Craig Eval'!A:M,13,FALSE))</f>
        <v>40.238362198099701</v>
      </c>
      <c r="K718" s="17">
        <v>1</v>
      </c>
    </row>
    <row r="719" spans="1:11" ht="30" x14ac:dyDescent="0.25">
      <c r="A719" s="3" t="s">
        <v>1458</v>
      </c>
      <c r="B719" s="4" t="s">
        <v>1459</v>
      </c>
      <c r="C719" s="14">
        <v>18895</v>
      </c>
      <c r="D719" s="6" t="s">
        <v>31</v>
      </c>
      <c r="E719" s="6" t="s">
        <v>17</v>
      </c>
      <c r="F719" s="7">
        <v>28564</v>
      </c>
      <c r="G719" s="8">
        <f t="shared" si="11"/>
        <v>28564</v>
      </c>
      <c r="H719" s="6" t="s">
        <v>13</v>
      </c>
      <c r="I719" s="9">
        <f>IF(ISNA(VLOOKUP(A719,'[1]Craig Eval'!A:C,3,FALSE)),"",(VLOOKUP(A719,'[1]Craig Eval'!A:C,3,FALSE))*1000)</f>
        <v>55989.790209518396</v>
      </c>
      <c r="J719" s="10">
        <f>IF(ISNA(VLOOKUP(A719,'[1]Craig Eval'!A:M,13,FALSE)),"",VLOOKUP(A719,'[1]Craig Eval'!A:M,13,FALSE))</f>
        <v>153.52270072547699</v>
      </c>
      <c r="K719" s="17">
        <v>2</v>
      </c>
    </row>
    <row r="720" spans="1:11" ht="30" x14ac:dyDescent="0.25">
      <c r="A720" s="3" t="s">
        <v>1460</v>
      </c>
      <c r="B720" s="4" t="s">
        <v>1461</v>
      </c>
      <c r="C720" s="5">
        <v>15363</v>
      </c>
      <c r="D720" s="6" t="s">
        <v>31</v>
      </c>
      <c r="E720" s="6" t="s">
        <v>17</v>
      </c>
      <c r="F720" s="7">
        <v>31331</v>
      </c>
      <c r="G720" s="8">
        <f t="shared" si="11"/>
        <v>31331</v>
      </c>
      <c r="H720" s="6" t="s">
        <v>13</v>
      </c>
      <c r="I720" s="9">
        <f>IF(ISNA(VLOOKUP(A720,'[1]Craig Eval'!A:C,3,FALSE)),"",(VLOOKUP(A720,'[1]Craig Eval'!A:C,3,FALSE))*1000)</f>
        <v>35885.350279134102</v>
      </c>
      <c r="J720" s="10">
        <f>IF(ISNA(VLOOKUP(A720,'[1]Craig Eval'!A:M,13,FALSE)),"",VLOOKUP(A720,'[1]Craig Eval'!A:M,13,FALSE))</f>
        <v>100.780792107243</v>
      </c>
      <c r="K720" s="17">
        <v>1</v>
      </c>
    </row>
    <row r="721" spans="1:11" ht="30" x14ac:dyDescent="0.25">
      <c r="A721" s="3" t="s">
        <v>1462</v>
      </c>
      <c r="B721" s="4" t="s">
        <v>1463</v>
      </c>
      <c r="C721" s="5">
        <v>15045</v>
      </c>
      <c r="D721" s="6" t="s">
        <v>31</v>
      </c>
      <c r="E721" s="6" t="s">
        <v>17</v>
      </c>
      <c r="F721" s="7">
        <v>30573</v>
      </c>
      <c r="G721" s="8">
        <f t="shared" si="11"/>
        <v>30573</v>
      </c>
      <c r="H721" s="6" t="s">
        <v>13</v>
      </c>
      <c r="I721" s="9">
        <f>IF(ISNA(VLOOKUP(A721,'[1]Craig Eval'!A:C,3,FALSE)),"",(VLOOKUP(A721,'[1]Craig Eval'!A:C,3,FALSE))*1000)</f>
        <v>7351.92840225482</v>
      </c>
      <c r="J721" s="10">
        <f>IF(ISNA(VLOOKUP(A721,'[1]Craig Eval'!A:M,13,FALSE)),"",VLOOKUP(A721,'[1]Craig Eval'!A:M,13,FALSE))</f>
        <v>21.840384135631201</v>
      </c>
      <c r="K721" s="17">
        <v>1</v>
      </c>
    </row>
    <row r="722" spans="1:11" ht="30" x14ac:dyDescent="0.25">
      <c r="A722" s="3" t="s">
        <v>1464</v>
      </c>
      <c r="B722" s="4" t="s">
        <v>1465</v>
      </c>
      <c r="C722" s="5">
        <v>14728</v>
      </c>
      <c r="D722" s="6" t="s">
        <v>31</v>
      </c>
      <c r="E722" s="6" t="s">
        <v>17</v>
      </c>
      <c r="F722" s="7">
        <v>32143</v>
      </c>
      <c r="G722" s="8">
        <f t="shared" si="11"/>
        <v>32143</v>
      </c>
      <c r="H722" s="6" t="s">
        <v>13</v>
      </c>
      <c r="I722" s="9">
        <f>IF(ISNA(VLOOKUP(A722,'[1]Craig Eval'!A:C,3,FALSE)),"",(VLOOKUP(A722,'[1]Craig Eval'!A:C,3,FALSE))*1000)</f>
        <v>12066.848628588299</v>
      </c>
      <c r="J722" s="10">
        <f>IF(ISNA(VLOOKUP(A722,'[1]Craig Eval'!A:M,13,FALSE)),"",VLOOKUP(A722,'[1]Craig Eval'!A:M,13,FALSE))</f>
        <v>35.365378123969698</v>
      </c>
      <c r="K722" s="17">
        <v>1</v>
      </c>
    </row>
    <row r="723" spans="1:11" ht="30" x14ac:dyDescent="0.25">
      <c r="A723" s="3" t="s">
        <v>1466</v>
      </c>
      <c r="B723" s="4" t="s">
        <v>1467</v>
      </c>
      <c r="C723" s="5">
        <v>1908</v>
      </c>
      <c r="D723" s="6" t="s">
        <v>34</v>
      </c>
      <c r="E723" s="6" t="s">
        <v>17</v>
      </c>
      <c r="F723" s="7">
        <v>29221</v>
      </c>
      <c r="G723" s="8">
        <f t="shared" si="11"/>
        <v>29221</v>
      </c>
      <c r="H723" s="6" t="s">
        <v>13</v>
      </c>
      <c r="I723" s="9" t="str">
        <f>IF(ISNA(VLOOKUP(A723,'[1]Craig Eval'!A:C,3,FALSE)),"",(VLOOKUP(A723,'[1]Craig Eval'!A:C,3,FALSE))*1000)</f>
        <v/>
      </c>
      <c r="J723" s="10" t="str">
        <f>IF(ISNA(VLOOKUP(A723,'[1]Craig Eval'!A:M,13,FALSE)),"",VLOOKUP(A723,'[1]Craig Eval'!A:M,13,FALSE))</f>
        <v/>
      </c>
      <c r="K723" s="17">
        <v>1</v>
      </c>
    </row>
    <row r="724" spans="1:11" ht="30" x14ac:dyDescent="0.25">
      <c r="A724" s="3" t="s">
        <v>1468</v>
      </c>
      <c r="B724" s="4" t="s">
        <v>1469</v>
      </c>
      <c r="C724" s="5">
        <v>1114</v>
      </c>
      <c r="D724" s="6" t="s">
        <v>28</v>
      </c>
      <c r="E724" s="6" t="s">
        <v>17</v>
      </c>
      <c r="F724" s="7">
        <v>38677</v>
      </c>
      <c r="G724" s="8">
        <f t="shared" si="11"/>
        <v>38677</v>
      </c>
      <c r="H724" s="6" t="s">
        <v>13</v>
      </c>
      <c r="I724" s="9">
        <f>IF(ISNA(VLOOKUP(A724,'[1]Craig Eval'!A:C,3,FALSE)),"",(VLOOKUP(A724,'[1]Craig Eval'!A:C,3,FALSE))*1000)</f>
        <v>6259.54999897982</v>
      </c>
      <c r="J724" s="10">
        <f>IF(ISNA(VLOOKUP(A724,'[1]Craig Eval'!A:M,13,FALSE)),"",VLOOKUP(A724,'[1]Craig Eval'!A:M,13,FALSE))</f>
        <v>18.665498496794701</v>
      </c>
      <c r="K724" s="17">
        <v>1</v>
      </c>
    </row>
    <row r="725" spans="1:11" ht="30" x14ac:dyDescent="0.25">
      <c r="A725" s="3" t="s">
        <v>1470</v>
      </c>
      <c r="B725" s="4" t="s">
        <v>1471</v>
      </c>
      <c r="C725" s="5">
        <v>25922</v>
      </c>
      <c r="D725" s="6" t="s">
        <v>28</v>
      </c>
      <c r="E725" s="6" t="s">
        <v>17</v>
      </c>
      <c r="F725" s="7">
        <v>20891</v>
      </c>
      <c r="G725" s="8">
        <f t="shared" si="11"/>
        <v>20891</v>
      </c>
      <c r="H725" s="6" t="s">
        <v>13</v>
      </c>
      <c r="I725" s="9">
        <f>IF(ISNA(VLOOKUP(A725,'[1]Craig Eval'!A:C,3,FALSE)),"",(VLOOKUP(A725,'[1]Craig Eval'!A:C,3,FALSE))*1000)</f>
        <v>19860.489657267</v>
      </c>
      <c r="J725" s="10">
        <f>IF(ISNA(VLOOKUP(A725,'[1]Craig Eval'!A:M,13,FALSE)),"",VLOOKUP(A725,'[1]Craig Eval'!A:M,13,FALSE))</f>
        <v>57.225035942568397</v>
      </c>
      <c r="K725" s="17">
        <v>1</v>
      </c>
    </row>
    <row r="726" spans="1:11" ht="30" x14ac:dyDescent="0.25">
      <c r="A726" s="26" t="s">
        <v>1472</v>
      </c>
      <c r="B726" s="27" t="s">
        <v>1473</v>
      </c>
      <c r="C726" s="5">
        <v>1397</v>
      </c>
      <c r="D726" s="28" t="s">
        <v>34</v>
      </c>
      <c r="E726" s="28" t="s">
        <v>17</v>
      </c>
      <c r="F726" s="29">
        <v>18264</v>
      </c>
      <c r="G726" s="30">
        <f t="shared" si="11"/>
        <v>18264</v>
      </c>
      <c r="H726" s="28" t="s">
        <v>13</v>
      </c>
      <c r="I726" s="31">
        <f>IF(ISNA(VLOOKUP(A726,'[1]Craig Eval'!A:C,3,FALSE)),"",(VLOOKUP(A726,'[1]Craig Eval'!A:C,3,FALSE))*1000)</f>
        <v>3480.1059135178698</v>
      </c>
      <c r="J726" s="32">
        <f>IF(ISNA(VLOOKUP(A726,'[1]Craig Eval'!A:M,13,FALSE)),"",VLOOKUP(A726,'[1]Craig Eval'!A:M,13,FALSE))</f>
        <v>10.498420755451299</v>
      </c>
      <c r="K726" s="33">
        <v>1</v>
      </c>
    </row>
    <row r="727" spans="1:11" ht="30" x14ac:dyDescent="0.25">
      <c r="A727" s="3" t="s">
        <v>1474</v>
      </c>
      <c r="B727" s="4" t="s">
        <v>1475</v>
      </c>
      <c r="C727" s="5">
        <v>59969</v>
      </c>
      <c r="D727" s="6" t="s">
        <v>28</v>
      </c>
      <c r="E727" s="6" t="s">
        <v>17</v>
      </c>
      <c r="F727" s="7">
        <v>39234</v>
      </c>
      <c r="G727" s="8">
        <f t="shared" si="11"/>
        <v>39234</v>
      </c>
      <c r="H727" s="6" t="s">
        <v>13</v>
      </c>
      <c r="I727" s="9">
        <f>IF(ISNA(VLOOKUP(A727,'[1]Craig Eval'!A:C,3,FALSE)),"",(VLOOKUP(A727,'[1]Craig Eval'!A:C,3,FALSE))*1000)</f>
        <v>3130.1061424321001</v>
      </c>
      <c r="J727" s="10">
        <f>IF(ISNA(VLOOKUP(A727,'[1]Craig Eval'!A:M,13,FALSE)),"",VLOOKUP(A727,'[1]Craig Eval'!A:M,13,FALSE))</f>
        <v>9.4593354378677308</v>
      </c>
      <c r="K727" s="17">
        <v>1</v>
      </c>
    </row>
    <row r="728" spans="1:11" ht="30" x14ac:dyDescent="0.25">
      <c r="A728" s="3" t="s">
        <v>1476</v>
      </c>
      <c r="B728" s="4" t="s">
        <v>1477</v>
      </c>
      <c r="C728" s="5">
        <v>19844</v>
      </c>
      <c r="D728" s="6" t="s">
        <v>28</v>
      </c>
      <c r="E728" s="6" t="s">
        <v>17</v>
      </c>
      <c r="F728" s="7">
        <v>38468</v>
      </c>
      <c r="G728" s="8">
        <f t="shared" si="11"/>
        <v>38468</v>
      </c>
      <c r="H728" s="6" t="s">
        <v>13</v>
      </c>
      <c r="I728" s="9">
        <f>IF(ISNA(VLOOKUP(A728,'[1]Craig Eval'!A:C,3,FALSE)),"",(VLOOKUP(A728,'[1]Craig Eval'!A:C,3,FALSE))*1000)</f>
        <v>13553.394440565</v>
      </c>
      <c r="J728" s="10">
        <f>IF(ISNA(VLOOKUP(A728,'[1]Craig Eval'!A:M,13,FALSE)),"",VLOOKUP(A728,'[1]Craig Eval'!A:M,13,FALSE))</f>
        <v>39.577969426928902</v>
      </c>
      <c r="K728" s="17">
        <v>1</v>
      </c>
    </row>
    <row r="729" spans="1:11" ht="30" x14ac:dyDescent="0.25">
      <c r="A729" s="3" t="s">
        <v>1478</v>
      </c>
      <c r="B729" s="4" t="s">
        <v>1479</v>
      </c>
      <c r="C729" s="14">
        <v>12808</v>
      </c>
      <c r="D729" s="6" t="s">
        <v>28</v>
      </c>
      <c r="E729" s="6" t="s">
        <v>17</v>
      </c>
      <c r="F729" s="7">
        <v>39569</v>
      </c>
      <c r="G729" s="8">
        <f t="shared" si="11"/>
        <v>39569</v>
      </c>
      <c r="H729" s="6" t="s">
        <v>13</v>
      </c>
      <c r="I729" s="9">
        <f>IF(ISNA(VLOOKUP(A729,'[1]Craig Eval'!A:C,3,FALSE)),"",(VLOOKUP(A729,'[1]Craig Eval'!A:C,3,FALSE))*1000)</f>
        <v>61551.784478912901</v>
      </c>
      <c r="J729" s="10">
        <f>IF(ISNA(VLOOKUP(A729,'[1]Craig Eval'!A:M,13,FALSE)),"",VLOOKUP(A729,'[1]Craig Eval'!A:M,13,FALSE))</f>
        <v>167.81774896743701</v>
      </c>
      <c r="K729" s="17">
        <v>2</v>
      </c>
    </row>
    <row r="730" spans="1:11" ht="30" x14ac:dyDescent="0.25">
      <c r="A730" s="3" t="s">
        <v>1480</v>
      </c>
      <c r="B730" s="4" t="s">
        <v>1481</v>
      </c>
      <c r="C730" s="14">
        <v>1653</v>
      </c>
      <c r="D730" s="6" t="s">
        <v>28</v>
      </c>
      <c r="E730" s="6" t="s">
        <v>17</v>
      </c>
      <c r="F730" s="7">
        <v>29952</v>
      </c>
      <c r="G730" s="8">
        <f t="shared" si="11"/>
        <v>29952</v>
      </c>
      <c r="H730" s="6" t="s">
        <v>13</v>
      </c>
      <c r="I730" s="9">
        <f>IF(ISNA(VLOOKUP(A730,'[1]Craig Eval'!A:C,3,FALSE)),"",(VLOOKUP(A730,'[1]Craig Eval'!A:C,3,FALSE))*1000)</f>
        <v>20185.188706746201</v>
      </c>
      <c r="J730" s="10">
        <f>IF(ISNA(VLOOKUP(A730,'[1]Craig Eval'!A:M,13,FALSE)),"",VLOOKUP(A730,'[1]Craig Eval'!A:M,13,FALSE))</f>
        <v>58.124610881025397</v>
      </c>
      <c r="K730" s="17">
        <v>2</v>
      </c>
    </row>
    <row r="731" spans="1:11" ht="30" x14ac:dyDescent="0.25">
      <c r="A731" s="3" t="s">
        <v>1482</v>
      </c>
      <c r="B731" s="4" t="s">
        <v>1483</v>
      </c>
      <c r="C731" s="14">
        <v>54577</v>
      </c>
      <c r="D731" s="6" t="s">
        <v>34</v>
      </c>
      <c r="E731" s="6" t="s">
        <v>17</v>
      </c>
      <c r="F731" s="7">
        <v>36847</v>
      </c>
      <c r="G731" s="8">
        <f t="shared" si="11"/>
        <v>36847</v>
      </c>
      <c r="H731" s="6" t="s">
        <v>13</v>
      </c>
      <c r="I731" s="9" t="str">
        <f>IF(ISNA(VLOOKUP(A731,'[1]Craig Eval'!A:C,3,FALSE)),"",(VLOOKUP(A731,'[1]Craig Eval'!A:C,3,FALSE))*1000)</f>
        <v/>
      </c>
      <c r="J731" s="10" t="str">
        <f>IF(ISNA(VLOOKUP(A731,'[1]Craig Eval'!A:M,13,FALSE)),"",VLOOKUP(A731,'[1]Craig Eval'!A:M,13,FALSE))</f>
        <v/>
      </c>
      <c r="K731" s="17">
        <v>1</v>
      </c>
    </row>
    <row r="732" spans="1:11" ht="30" x14ac:dyDescent="0.25">
      <c r="A732" s="3" t="s">
        <v>1484</v>
      </c>
      <c r="B732" s="4" t="s">
        <v>1485</v>
      </c>
      <c r="C732" s="14">
        <v>1522</v>
      </c>
      <c r="D732" s="6" t="s">
        <v>16</v>
      </c>
      <c r="E732" s="6" t="s">
        <v>17</v>
      </c>
      <c r="F732" s="7">
        <v>24108</v>
      </c>
      <c r="G732" s="8">
        <f t="shared" si="11"/>
        <v>24108</v>
      </c>
      <c r="H732" s="6" t="s">
        <v>13</v>
      </c>
      <c r="I732" s="9" t="str">
        <f>IF(ISNA(VLOOKUP(A732,'[1]Craig Eval'!A:C,3,FALSE)),"",(VLOOKUP(A732,'[1]Craig Eval'!A:C,3,FALSE))*1000)</f>
        <v/>
      </c>
      <c r="J732" s="10" t="str">
        <f>IF(ISNA(VLOOKUP(A732,'[1]Craig Eval'!A:M,13,FALSE)),"",VLOOKUP(A732,'[1]Craig Eval'!A:M,13,FALSE))</f>
        <v/>
      </c>
      <c r="K732" s="17">
        <v>2</v>
      </c>
    </row>
    <row r="733" spans="1:11" ht="30" x14ac:dyDescent="0.25">
      <c r="A733" s="3" t="s">
        <v>1486</v>
      </c>
      <c r="B733" s="4" t="s">
        <v>1487</v>
      </c>
      <c r="C733" s="5">
        <v>14736</v>
      </c>
      <c r="D733" s="6" t="s">
        <v>31</v>
      </c>
      <c r="E733" s="6" t="s">
        <v>17</v>
      </c>
      <c r="F733" s="7">
        <v>31253</v>
      </c>
      <c r="G733" s="8">
        <f t="shared" si="11"/>
        <v>31253</v>
      </c>
      <c r="H733" s="6" t="s">
        <v>13</v>
      </c>
      <c r="I733" s="9" t="str">
        <f>IF(ISNA(VLOOKUP(A733,'[1]Craig Eval'!A:C,3,FALSE)),"",(VLOOKUP(A733,'[1]Craig Eval'!A:C,3,FALSE))*1000)</f>
        <v/>
      </c>
      <c r="J733" s="10" t="str">
        <f>IF(ISNA(VLOOKUP(A733,'[1]Craig Eval'!A:M,13,FALSE)),"",VLOOKUP(A733,'[1]Craig Eval'!A:M,13,FALSE))</f>
        <v/>
      </c>
      <c r="K733" s="17">
        <v>1</v>
      </c>
    </row>
    <row r="734" spans="1:11" ht="30" x14ac:dyDescent="0.25">
      <c r="A734" s="3" t="s">
        <v>1488</v>
      </c>
      <c r="B734" s="4" t="s">
        <v>1489</v>
      </c>
      <c r="C734" s="5">
        <v>1425</v>
      </c>
      <c r="D734" s="6" t="s">
        <v>31</v>
      </c>
      <c r="E734" s="6" t="s">
        <v>17</v>
      </c>
      <c r="F734" s="7">
        <v>31048</v>
      </c>
      <c r="G734" s="8">
        <f t="shared" si="11"/>
        <v>31048</v>
      </c>
      <c r="H734" s="6" t="s">
        <v>13</v>
      </c>
      <c r="I734" s="9">
        <f>IF(ISNA(VLOOKUP(A734,'[1]Craig Eval'!A:C,3,FALSE)),"",(VLOOKUP(A734,'[1]Craig Eval'!A:C,3,FALSE))*1000)</f>
        <v>16888.712837974101</v>
      </c>
      <c r="J734" s="10">
        <f>IF(ISNA(VLOOKUP(A734,'[1]Craig Eval'!A:M,13,FALSE)),"",VLOOKUP(A734,'[1]Craig Eval'!A:M,13,FALSE))</f>
        <v>48.952791784326699</v>
      </c>
      <c r="K734" s="17">
        <v>1</v>
      </c>
    </row>
    <row r="735" spans="1:11" ht="30" x14ac:dyDescent="0.25">
      <c r="A735" s="3" t="s">
        <v>1490</v>
      </c>
      <c r="B735" s="4" t="s">
        <v>1491</v>
      </c>
      <c r="C735" s="5">
        <v>15369</v>
      </c>
      <c r="D735" s="6" t="s">
        <v>31</v>
      </c>
      <c r="E735" s="6" t="s">
        <v>17</v>
      </c>
      <c r="F735" s="7">
        <v>32531</v>
      </c>
      <c r="G735" s="8">
        <f t="shared" si="11"/>
        <v>32531</v>
      </c>
      <c r="H735" s="6" t="s">
        <v>13</v>
      </c>
      <c r="I735" s="9">
        <f>IF(ISNA(VLOOKUP(A735,'[1]Craig Eval'!A:C,3,FALSE)),"",(VLOOKUP(A735,'[1]Craig Eval'!A:C,3,FALSE))*1000)</f>
        <v>49040.872894001797</v>
      </c>
      <c r="J735" s="10">
        <f>IF(ISNA(VLOOKUP(A735,'[1]Craig Eval'!A:M,13,FALSE)),"",VLOOKUP(A735,'[1]Craig Eval'!A:M,13,FALSE))</f>
        <v>135.49374807105801</v>
      </c>
      <c r="K735" s="17">
        <v>1</v>
      </c>
    </row>
    <row r="736" spans="1:11" ht="30" x14ac:dyDescent="0.25">
      <c r="A736" s="3" t="s">
        <v>1492</v>
      </c>
      <c r="B736" s="4" t="s">
        <v>1493</v>
      </c>
      <c r="C736" s="14">
        <v>52882</v>
      </c>
      <c r="D736" s="6" t="s">
        <v>34</v>
      </c>
      <c r="E736" s="6" t="s">
        <v>17</v>
      </c>
      <c r="F736" s="7">
        <v>36892</v>
      </c>
      <c r="G736" s="8">
        <f t="shared" si="11"/>
        <v>36892</v>
      </c>
      <c r="H736" s="6" t="s">
        <v>13</v>
      </c>
      <c r="I736" s="9">
        <f>IF(ISNA(VLOOKUP(A736,'[1]Craig Eval'!A:C,3,FALSE)),"",(VLOOKUP(A736,'[1]Craig Eval'!A:C,3,FALSE))*1000)</f>
        <v>487309.33220568398</v>
      </c>
      <c r="J736" s="10">
        <f>IF(ISNA(VLOOKUP(A736,'[1]Craig Eval'!A:M,13,FALSE)),"",VLOOKUP(A736,'[1]Craig Eval'!A:M,13,FALSE))</f>
        <v>1101.6349064815599</v>
      </c>
      <c r="K736" s="17">
        <v>3</v>
      </c>
    </row>
    <row r="737" spans="1:11" ht="30" x14ac:dyDescent="0.25">
      <c r="A737" s="3" t="s">
        <v>1494</v>
      </c>
      <c r="B737" s="4" t="s">
        <v>1495</v>
      </c>
      <c r="C737" s="5">
        <v>36769</v>
      </c>
      <c r="D737" s="6" t="s">
        <v>37</v>
      </c>
      <c r="E737" s="6" t="s">
        <v>38</v>
      </c>
      <c r="F737" s="7">
        <v>36640</v>
      </c>
      <c r="G737" s="8">
        <f t="shared" si="11"/>
        <v>36640</v>
      </c>
      <c r="H737" s="6" t="s">
        <v>39</v>
      </c>
      <c r="I737" s="9" t="str">
        <f>IF(ISNA(VLOOKUP(A737,'[1]Craig Eval'!A:C,3,FALSE)),"",(VLOOKUP(A737,'[1]Craig Eval'!A:C,3,FALSE))*1000)</f>
        <v/>
      </c>
      <c r="J737" s="10" t="str">
        <f>IF(ISNA(VLOOKUP(A737,'[1]Craig Eval'!A:M,13,FALSE)),"",VLOOKUP(A737,'[1]Craig Eval'!A:M,13,FALSE))</f>
        <v/>
      </c>
      <c r="K737" s="17">
        <v>1</v>
      </c>
    </row>
    <row r="738" spans="1:11" ht="30" x14ac:dyDescent="0.25">
      <c r="A738" s="3" t="s">
        <v>1496</v>
      </c>
      <c r="B738" s="4" t="s">
        <v>1497</v>
      </c>
      <c r="C738" s="5">
        <v>54578</v>
      </c>
      <c r="D738" s="6" t="s">
        <v>34</v>
      </c>
      <c r="E738" s="6" t="s">
        <v>17</v>
      </c>
      <c r="F738" s="7">
        <v>37134</v>
      </c>
      <c r="G738" s="8">
        <f t="shared" si="11"/>
        <v>37134</v>
      </c>
      <c r="H738" s="6" t="s">
        <v>13</v>
      </c>
      <c r="I738" s="9" t="str">
        <f>IF(ISNA(VLOOKUP(A738,'[1]Craig Eval'!A:C,3,FALSE)),"",(VLOOKUP(A738,'[1]Craig Eval'!A:C,3,FALSE))*1000)</f>
        <v/>
      </c>
      <c r="J738" s="10" t="str">
        <f>IF(ISNA(VLOOKUP(A738,'[1]Craig Eval'!A:M,13,FALSE)),"",VLOOKUP(A738,'[1]Craig Eval'!A:M,13,FALSE))</f>
        <v/>
      </c>
      <c r="K738" s="17">
        <v>1</v>
      </c>
    </row>
    <row r="739" spans="1:11" ht="30" x14ac:dyDescent="0.25">
      <c r="A739" s="3" t="s">
        <v>1498</v>
      </c>
      <c r="B739" s="4" t="s">
        <v>1499</v>
      </c>
      <c r="C739" s="5">
        <v>1175</v>
      </c>
      <c r="D739" s="6" t="s">
        <v>16</v>
      </c>
      <c r="E739" s="6" t="s">
        <v>17</v>
      </c>
      <c r="F739" s="7">
        <v>38529</v>
      </c>
      <c r="G739" s="8">
        <f t="shared" si="11"/>
        <v>38529</v>
      </c>
      <c r="H739" s="6" t="s">
        <v>13</v>
      </c>
      <c r="I739" s="9">
        <f>IF(ISNA(VLOOKUP(A739,'[1]Craig Eval'!A:C,3,FALSE)),"",(VLOOKUP(A739,'[1]Craig Eval'!A:C,3,FALSE))*1000)</f>
        <v>69897.128860683297</v>
      </c>
      <c r="J739" s="10">
        <f>IF(ISNA(VLOOKUP(A739,'[1]Craig Eval'!A:M,13,FALSE)),"",VLOOKUP(A739,'[1]Craig Eval'!A:M,13,FALSE))</f>
        <v>189.058509092995</v>
      </c>
      <c r="K739" s="17">
        <v>1</v>
      </c>
    </row>
    <row r="740" spans="1:11" ht="30" x14ac:dyDescent="0.25">
      <c r="A740" s="18" t="s">
        <v>1500</v>
      </c>
      <c r="B740" s="19" t="s">
        <v>1501</v>
      </c>
      <c r="C740" s="5">
        <v>1417</v>
      </c>
      <c r="D740" s="21" t="s">
        <v>28</v>
      </c>
      <c r="E740" s="21" t="s">
        <v>17</v>
      </c>
      <c r="F740" s="22">
        <v>24473</v>
      </c>
      <c r="G740" s="23">
        <f t="shared" si="11"/>
        <v>24473</v>
      </c>
      <c r="H740" s="21" t="s">
        <v>13</v>
      </c>
      <c r="I740" s="9">
        <f>IF(ISNA(VLOOKUP(A740,'[1]Craig Eval'!A:C,3,FALSE)),"",(VLOOKUP(A740,'[1]Craig Eval'!A:C,3,FALSE))*1000)</f>
        <v>90607.984404112605</v>
      </c>
      <c r="J740" s="24">
        <f>IF(ISNA(VLOOKUP(A740,'[1]Craig Eval'!A:M,13,FALSE)),"",VLOOKUP(A740,'[1]Craig Eval'!A:M,13,FALSE))</f>
        <v>240.81637618907001</v>
      </c>
      <c r="K740" s="25">
        <v>1</v>
      </c>
    </row>
    <row r="741" spans="1:11" ht="30" x14ac:dyDescent="0.25">
      <c r="A741" s="3" t="s">
        <v>1502</v>
      </c>
      <c r="B741" s="4" t="s">
        <v>1503</v>
      </c>
      <c r="C741" s="5">
        <v>1297</v>
      </c>
      <c r="D741" s="6" t="s">
        <v>31</v>
      </c>
      <c r="E741" s="6" t="s">
        <v>17</v>
      </c>
      <c r="F741" s="7">
        <v>29952</v>
      </c>
      <c r="G741" s="8">
        <f t="shared" si="11"/>
        <v>29952</v>
      </c>
      <c r="H741" s="6" t="s">
        <v>13</v>
      </c>
      <c r="I741" s="9">
        <f>IF(ISNA(VLOOKUP(A741,'[1]Craig Eval'!A:C,3,FALSE)),"",(VLOOKUP(A741,'[1]Craig Eval'!A:C,3,FALSE))*1000)</f>
        <v>37061.9940012917</v>
      </c>
      <c r="J741" s="10">
        <f>IF(ISNA(VLOOKUP(A741,'[1]Craig Eval'!A:M,13,FALSE)),"",VLOOKUP(A741,'[1]Craig Eval'!A:M,13,FALSE))</f>
        <v>103.91968325134</v>
      </c>
      <c r="K741" s="17">
        <v>1</v>
      </c>
    </row>
    <row r="742" spans="1:11" ht="30" x14ac:dyDescent="0.25">
      <c r="A742" s="3" t="s">
        <v>1504</v>
      </c>
      <c r="B742" s="4" t="s">
        <v>1505</v>
      </c>
      <c r="C742" s="14">
        <v>10886</v>
      </c>
      <c r="D742" s="6" t="s">
        <v>34</v>
      </c>
      <c r="E742" s="6" t="s">
        <v>17</v>
      </c>
      <c r="F742" s="7">
        <v>37719</v>
      </c>
      <c r="G742" s="8">
        <f t="shared" si="11"/>
        <v>37719</v>
      </c>
      <c r="H742" s="6" t="s">
        <v>13</v>
      </c>
      <c r="I742" s="9" t="str">
        <f>IF(ISNA(VLOOKUP(A742,'[1]Craig Eval'!A:C,3,FALSE)),"",(VLOOKUP(A742,'[1]Craig Eval'!A:C,3,FALSE))*1000)</f>
        <v/>
      </c>
      <c r="J742" s="10" t="str">
        <f>IF(ISNA(VLOOKUP(A742,'[1]Craig Eval'!A:M,13,FALSE)),"",VLOOKUP(A742,'[1]Craig Eval'!A:M,13,FALSE))</f>
        <v/>
      </c>
      <c r="K742" s="17">
        <v>1</v>
      </c>
    </row>
    <row r="743" spans="1:11" ht="30" x14ac:dyDescent="0.25">
      <c r="A743" s="3" t="s">
        <v>1506</v>
      </c>
      <c r="B743" s="4" t="s">
        <v>1507</v>
      </c>
      <c r="C743" s="5">
        <v>2059</v>
      </c>
      <c r="D743" s="6" t="s">
        <v>34</v>
      </c>
      <c r="E743" s="6" t="s">
        <v>17</v>
      </c>
      <c r="F743" s="7">
        <v>32509</v>
      </c>
      <c r="G743" s="8">
        <f t="shared" si="11"/>
        <v>32509</v>
      </c>
      <c r="H743" s="6" t="s">
        <v>13</v>
      </c>
      <c r="I743" s="9" t="str">
        <f>IF(ISNA(VLOOKUP(A743,'[1]Craig Eval'!A:C,3,FALSE)),"",(VLOOKUP(A743,'[1]Craig Eval'!A:C,3,FALSE))*1000)</f>
        <v/>
      </c>
      <c r="J743" s="10" t="str">
        <f>IF(ISNA(VLOOKUP(A743,'[1]Craig Eval'!A:M,13,FALSE)),"",VLOOKUP(A743,'[1]Craig Eval'!A:M,13,FALSE))</f>
        <v/>
      </c>
      <c r="K743" s="17">
        <v>2</v>
      </c>
    </row>
    <row r="744" spans="1:11" ht="30" x14ac:dyDescent="0.25">
      <c r="A744" s="3" t="s">
        <v>1508</v>
      </c>
      <c r="B744" s="4" t="s">
        <v>1509</v>
      </c>
      <c r="C744" s="14">
        <v>21442</v>
      </c>
      <c r="D744" s="6" t="s">
        <v>28</v>
      </c>
      <c r="E744" s="6" t="s">
        <v>17</v>
      </c>
      <c r="F744" s="7">
        <v>38036</v>
      </c>
      <c r="G744" s="8">
        <f t="shared" si="11"/>
        <v>38036</v>
      </c>
      <c r="H744" s="6" t="s">
        <v>13</v>
      </c>
      <c r="I744" s="9">
        <f>IF(ISNA(VLOOKUP(A744,'[1]Craig Eval'!A:C,3,FALSE)),"",(VLOOKUP(A744,'[1]Craig Eval'!A:C,3,FALSE))*1000)</f>
        <v>4151.0361649796596</v>
      </c>
      <c r="J744" s="10">
        <f>IF(ISNA(VLOOKUP(A744,'[1]Craig Eval'!A:M,13,FALSE)),"",VLOOKUP(A744,'[1]Craig Eval'!A:M,13,FALSE))</f>
        <v>12.482993052287901</v>
      </c>
      <c r="K744" s="17">
        <v>2</v>
      </c>
    </row>
    <row r="745" spans="1:11" ht="30" x14ac:dyDescent="0.25">
      <c r="A745" s="3" t="s">
        <v>1510</v>
      </c>
      <c r="B745" s="4" t="s">
        <v>1511</v>
      </c>
      <c r="C745" s="14">
        <v>33873</v>
      </c>
      <c r="D745" s="6" t="s">
        <v>28</v>
      </c>
      <c r="E745" s="6" t="s">
        <v>17</v>
      </c>
      <c r="F745" s="7">
        <v>39188</v>
      </c>
      <c r="G745" s="8">
        <f t="shared" si="11"/>
        <v>39188</v>
      </c>
      <c r="H745" s="6" t="s">
        <v>13</v>
      </c>
      <c r="I745" s="9">
        <f>IF(ISNA(VLOOKUP(A745,'[1]Craig Eval'!A:C,3,FALSE)),"",(VLOOKUP(A745,'[1]Craig Eval'!A:C,3,FALSE))*1000)</f>
        <v>1042.9803505142099</v>
      </c>
      <c r="J745" s="10">
        <f>IF(ISNA(VLOOKUP(A745,'[1]Craig Eval'!A:M,13,FALSE)),"",VLOOKUP(A745,'[1]Craig Eval'!A:M,13,FALSE))</f>
        <v>3.1962017756005401</v>
      </c>
      <c r="K745" s="17">
        <v>2</v>
      </c>
    </row>
    <row r="746" spans="1:11" ht="30" x14ac:dyDescent="0.25">
      <c r="A746" s="3" t="s">
        <v>1512</v>
      </c>
      <c r="B746" s="4" t="s">
        <v>1513</v>
      </c>
      <c r="C746" s="5">
        <v>105750</v>
      </c>
      <c r="D746" s="6" t="s">
        <v>34</v>
      </c>
      <c r="E746" s="6" t="s">
        <v>17</v>
      </c>
      <c r="F746" s="7">
        <v>36526</v>
      </c>
      <c r="G746" s="8">
        <f t="shared" si="11"/>
        <v>36526</v>
      </c>
      <c r="H746" s="6" t="s">
        <v>13</v>
      </c>
      <c r="I746" s="9" t="str">
        <f>IF(ISNA(VLOOKUP(A746,'[1]Craig Eval'!A:C,3,FALSE)),"",(VLOOKUP(A746,'[1]Craig Eval'!A:C,3,FALSE))*1000)</f>
        <v/>
      </c>
      <c r="J746" s="10" t="str">
        <f>IF(ISNA(VLOOKUP(A746,'[1]Craig Eval'!A:M,13,FALSE)),"",VLOOKUP(A746,'[1]Craig Eval'!A:M,13,FALSE))</f>
        <v/>
      </c>
      <c r="K746" s="17">
        <v>1</v>
      </c>
    </row>
    <row r="747" spans="1:11" ht="30" x14ac:dyDescent="0.25">
      <c r="A747" s="3" t="s">
        <v>1514</v>
      </c>
      <c r="B747" s="4" t="s">
        <v>1515</v>
      </c>
      <c r="C747" s="5">
        <v>54581</v>
      </c>
      <c r="D747" s="6" t="s">
        <v>34</v>
      </c>
      <c r="E747" s="6" t="s">
        <v>17</v>
      </c>
      <c r="F747" s="7">
        <v>40311</v>
      </c>
      <c r="G747" s="8">
        <f t="shared" si="11"/>
        <v>40311</v>
      </c>
      <c r="H747" s="6" t="s">
        <v>13</v>
      </c>
      <c r="I747" s="9" t="str">
        <f>IF(ISNA(VLOOKUP(A747,'[1]Craig Eval'!A:C,3,FALSE)),"",(VLOOKUP(A747,'[1]Craig Eval'!A:C,3,FALSE))*1000)</f>
        <v/>
      </c>
      <c r="J747" s="10" t="str">
        <f>IF(ISNA(VLOOKUP(A747,'[1]Craig Eval'!A:M,13,FALSE)),"",VLOOKUP(A747,'[1]Craig Eval'!A:M,13,FALSE))</f>
        <v/>
      </c>
      <c r="K747" s="17">
        <v>1</v>
      </c>
    </row>
    <row r="748" spans="1:11" ht="30" x14ac:dyDescent="0.25">
      <c r="A748" s="3" t="s">
        <v>1516</v>
      </c>
      <c r="B748" s="4" t="s">
        <v>1517</v>
      </c>
      <c r="C748" s="5">
        <v>54582</v>
      </c>
      <c r="D748" s="6" t="s">
        <v>34</v>
      </c>
      <c r="E748" s="6" t="s">
        <v>17</v>
      </c>
      <c r="F748" s="7">
        <v>38718</v>
      </c>
      <c r="G748" s="8">
        <f t="shared" si="11"/>
        <v>38718</v>
      </c>
      <c r="H748" s="6" t="s">
        <v>13</v>
      </c>
      <c r="I748" s="9" t="str">
        <f>IF(ISNA(VLOOKUP(A748,'[1]Craig Eval'!A:C,3,FALSE)),"",(VLOOKUP(A748,'[1]Craig Eval'!A:C,3,FALSE))*1000)</f>
        <v/>
      </c>
      <c r="J748" s="10" t="str">
        <f>IF(ISNA(VLOOKUP(A748,'[1]Craig Eval'!A:M,13,FALSE)),"",VLOOKUP(A748,'[1]Craig Eval'!A:M,13,FALSE))</f>
        <v/>
      </c>
      <c r="K748" s="17">
        <v>1</v>
      </c>
    </row>
    <row r="749" spans="1:11" ht="30" x14ac:dyDescent="0.25">
      <c r="A749" s="3" t="s">
        <v>1518</v>
      </c>
      <c r="B749" s="4" t="s">
        <v>1519</v>
      </c>
      <c r="C749" s="5">
        <v>54583</v>
      </c>
      <c r="D749" s="6" t="s">
        <v>34</v>
      </c>
      <c r="E749" s="6" t="s">
        <v>17</v>
      </c>
      <c r="F749" s="7">
        <v>38718</v>
      </c>
      <c r="G749" s="8">
        <f t="shared" si="11"/>
        <v>38718</v>
      </c>
      <c r="H749" s="6" t="s">
        <v>13</v>
      </c>
      <c r="I749" s="9" t="str">
        <f>IF(ISNA(VLOOKUP(A749,'[1]Craig Eval'!A:C,3,FALSE)),"",(VLOOKUP(A749,'[1]Craig Eval'!A:C,3,FALSE))*1000)</f>
        <v/>
      </c>
      <c r="J749" s="10" t="str">
        <f>IF(ISNA(VLOOKUP(A749,'[1]Craig Eval'!A:M,13,FALSE)),"",VLOOKUP(A749,'[1]Craig Eval'!A:M,13,FALSE))</f>
        <v/>
      </c>
      <c r="K749" s="17">
        <v>1</v>
      </c>
    </row>
    <row r="750" spans="1:11" ht="30" x14ac:dyDescent="0.25">
      <c r="A750" s="3" t="s">
        <v>1520</v>
      </c>
      <c r="B750" s="4" t="s">
        <v>1521</v>
      </c>
      <c r="C750" s="5">
        <v>1157</v>
      </c>
      <c r="D750" s="6" t="s">
        <v>28</v>
      </c>
      <c r="E750" s="6" t="s">
        <v>17</v>
      </c>
      <c r="F750" s="7">
        <v>41699</v>
      </c>
      <c r="G750" s="8">
        <f t="shared" si="11"/>
        <v>41699</v>
      </c>
      <c r="H750" s="6" t="s">
        <v>13</v>
      </c>
      <c r="I750" s="9">
        <f>IF(ISNA(VLOOKUP(A750,'[1]Craig Eval'!A:C,3,FALSE)),"",(VLOOKUP(A750,'[1]Craig Eval'!A:C,3,FALSE))*1000)</f>
        <v>28127.325295837298</v>
      </c>
      <c r="J750" s="10">
        <f>IF(ISNA(VLOOKUP(A750,'[1]Craig Eval'!A:M,13,FALSE)),"",VLOOKUP(A750,'[1]Craig Eval'!A:M,13,FALSE))</f>
        <v>79.894643857510999</v>
      </c>
      <c r="K750" s="17">
        <v>1</v>
      </c>
    </row>
    <row r="751" spans="1:11" ht="30" x14ac:dyDescent="0.25">
      <c r="A751" s="3" t="s">
        <v>1522</v>
      </c>
      <c r="B751" s="4" t="s">
        <v>1523</v>
      </c>
      <c r="C751" s="14">
        <v>52279</v>
      </c>
      <c r="D751" s="6" t="s">
        <v>37</v>
      </c>
      <c r="E751" s="6" t="s">
        <v>38</v>
      </c>
      <c r="F751" s="7">
        <v>37173</v>
      </c>
      <c r="G751" s="8">
        <f t="shared" si="11"/>
        <v>37173</v>
      </c>
      <c r="H751" s="6" t="s">
        <v>39</v>
      </c>
      <c r="I751" s="9" t="str">
        <f>IF(ISNA(VLOOKUP(A751,'[1]Craig Eval'!A:C,3,FALSE)),"",(VLOOKUP(A751,'[1]Craig Eval'!A:C,3,FALSE))*1000)</f>
        <v/>
      </c>
      <c r="J751" s="10" t="str">
        <f>IF(ISNA(VLOOKUP(A751,'[1]Craig Eval'!A:M,13,FALSE)),"",VLOOKUP(A751,'[1]Craig Eval'!A:M,13,FALSE))</f>
        <v/>
      </c>
      <c r="K751" s="17">
        <v>2</v>
      </c>
    </row>
    <row r="752" spans="1:11" ht="30" x14ac:dyDescent="0.25">
      <c r="A752" s="3" t="s">
        <v>1524</v>
      </c>
      <c r="B752" s="4" t="s">
        <v>1525</v>
      </c>
      <c r="C752" s="5">
        <v>1416</v>
      </c>
      <c r="D752" s="6" t="s">
        <v>28</v>
      </c>
      <c r="E752" s="6" t="s">
        <v>17</v>
      </c>
      <c r="F752" s="7">
        <v>19725</v>
      </c>
      <c r="G752" s="8">
        <f t="shared" si="11"/>
        <v>19725</v>
      </c>
      <c r="H752" s="6" t="s">
        <v>13</v>
      </c>
      <c r="I752" s="9">
        <f>IF(ISNA(VLOOKUP(A752,'[1]Craig Eval'!A:C,3,FALSE)),"",(VLOOKUP(A752,'[1]Craig Eval'!A:C,3,FALSE))*1000)</f>
        <v>2629.6759943866</v>
      </c>
      <c r="J752" s="10">
        <f>IF(ISNA(VLOOKUP(A752,'[1]Craig Eval'!A:M,13,FALSE)),"",VLOOKUP(A752,'[1]Craig Eval'!A:M,13,FALSE))</f>
        <v>7.9687142557921904</v>
      </c>
      <c r="K752" s="17">
        <v>2</v>
      </c>
    </row>
    <row r="753" spans="1:11" ht="30" x14ac:dyDescent="0.25">
      <c r="A753" s="3" t="s">
        <v>1526</v>
      </c>
      <c r="B753" s="4" t="s">
        <v>1527</v>
      </c>
      <c r="C753" s="5">
        <v>1682</v>
      </c>
      <c r="D753" s="6" t="s">
        <v>28</v>
      </c>
      <c r="E753" s="6" t="s">
        <v>17</v>
      </c>
      <c r="F753" s="7">
        <v>29952</v>
      </c>
      <c r="G753" s="8">
        <f t="shared" si="11"/>
        <v>29952</v>
      </c>
      <c r="H753" s="6" t="s">
        <v>13</v>
      </c>
      <c r="I753" s="9">
        <f>IF(ISNA(VLOOKUP(A753,'[1]Craig Eval'!A:C,3,FALSE)),"",(VLOOKUP(A753,'[1]Craig Eval'!A:C,3,FALSE))*1000)</f>
        <v>24136.7376092985</v>
      </c>
      <c r="J753" s="10">
        <f>IF(ISNA(VLOOKUP(A753,'[1]Craig Eval'!A:M,13,FALSE)),"",VLOOKUP(A753,'[1]Craig Eval'!A:M,13,FALSE))</f>
        <v>69.010007736576597</v>
      </c>
      <c r="K753" s="17">
        <v>2</v>
      </c>
    </row>
    <row r="754" spans="1:11" ht="30" x14ac:dyDescent="0.25">
      <c r="A754" s="3" t="s">
        <v>1528</v>
      </c>
      <c r="B754" s="4" t="s">
        <v>1529</v>
      </c>
      <c r="C754" s="5">
        <v>1644</v>
      </c>
      <c r="D754" s="6" t="s">
        <v>28</v>
      </c>
      <c r="E754" s="6" t="s">
        <v>17</v>
      </c>
      <c r="F754" s="7">
        <v>35796</v>
      </c>
      <c r="G754" s="8">
        <f t="shared" si="11"/>
        <v>35796</v>
      </c>
      <c r="H754" s="6" t="s">
        <v>13</v>
      </c>
      <c r="I754" s="9">
        <f>IF(ISNA(VLOOKUP(A754,'[1]Craig Eval'!A:C,3,FALSE)),"",(VLOOKUP(A754,'[1]Craig Eval'!A:C,3,FALSE))*1000)</f>
        <v>1217.8739307252199</v>
      </c>
      <c r="J754" s="10">
        <f>IF(ISNA(VLOOKUP(A754,'[1]Craig Eval'!A:M,13,FALSE)),"",VLOOKUP(A754,'[1]Craig Eval'!A:M,13,FALSE))</f>
        <v>3.7263812276727202</v>
      </c>
      <c r="K754" s="17">
        <v>1</v>
      </c>
    </row>
    <row r="755" spans="1:11" ht="30" x14ac:dyDescent="0.25">
      <c r="A755" s="3" t="s">
        <v>1530</v>
      </c>
      <c r="B755" s="4" t="s">
        <v>1531</v>
      </c>
      <c r="C755" s="5">
        <v>1643</v>
      </c>
      <c r="D755" s="6" t="s">
        <v>28</v>
      </c>
      <c r="E755" s="6" t="s">
        <v>17</v>
      </c>
      <c r="F755" s="7">
        <v>34335</v>
      </c>
      <c r="G755" s="8">
        <f t="shared" si="11"/>
        <v>34335</v>
      </c>
      <c r="H755" s="6" t="s">
        <v>13</v>
      </c>
      <c r="I755" s="9">
        <f>IF(ISNA(VLOOKUP(A755,'[1]Craig Eval'!A:C,3,FALSE)),"",(VLOOKUP(A755,'[1]Craig Eval'!A:C,3,FALSE))*1000)</f>
        <v>3286.2103853254498</v>
      </c>
      <c r="J755" s="10">
        <f>IF(ISNA(VLOOKUP(A755,'[1]Craig Eval'!A:M,13,FALSE)),"",VLOOKUP(A755,'[1]Craig Eval'!A:M,13,FALSE))</f>
        <v>9.9231178589551394</v>
      </c>
      <c r="K755" s="17">
        <v>1</v>
      </c>
    </row>
    <row r="756" spans="1:11" ht="30" x14ac:dyDescent="0.25">
      <c r="A756" s="3" t="s">
        <v>1532</v>
      </c>
      <c r="B756" s="4" t="s">
        <v>1533</v>
      </c>
      <c r="C756" s="5">
        <v>1541</v>
      </c>
      <c r="D756" s="6" t="s">
        <v>28</v>
      </c>
      <c r="E756" s="6" t="s">
        <v>17</v>
      </c>
      <c r="F756" s="7">
        <v>36374</v>
      </c>
      <c r="G756" s="8">
        <f t="shared" si="11"/>
        <v>36374</v>
      </c>
      <c r="H756" s="6" t="s">
        <v>13</v>
      </c>
      <c r="I756" s="9">
        <f>IF(ISNA(VLOOKUP(A756,'[1]Craig Eval'!A:C,3,FALSE)),"",(VLOOKUP(A756,'[1]Craig Eval'!A:C,3,FALSE))*1000)</f>
        <v>13937.000540889001</v>
      </c>
      <c r="J756" s="10">
        <f>IF(ISNA(VLOOKUP(A756,'[1]Craig Eval'!A:M,13,FALSE)),"",VLOOKUP(A756,'[1]Craig Eval'!A:M,13,FALSE))</f>
        <v>40.661461673131598</v>
      </c>
      <c r="K756" s="17">
        <v>1</v>
      </c>
    </row>
    <row r="757" spans="1:11" ht="30" x14ac:dyDescent="0.25">
      <c r="A757" s="3" t="s">
        <v>1534</v>
      </c>
      <c r="B757" s="4" t="s">
        <v>1535</v>
      </c>
      <c r="C757" s="5">
        <v>72118</v>
      </c>
      <c r="D757" s="6" t="s">
        <v>28</v>
      </c>
      <c r="E757" s="6" t="s">
        <v>17</v>
      </c>
      <c r="F757" s="7">
        <v>39238</v>
      </c>
      <c r="G757" s="8">
        <f t="shared" si="11"/>
        <v>39238</v>
      </c>
      <c r="H757" s="6" t="s">
        <v>13</v>
      </c>
      <c r="I757" s="9" t="str">
        <f>IF(ISNA(VLOOKUP(A757,'[1]Craig Eval'!A:C,3,FALSE)),"",(VLOOKUP(A757,'[1]Craig Eval'!A:C,3,FALSE))*1000)</f>
        <v/>
      </c>
      <c r="J757" s="10" t="str">
        <f>IF(ISNA(VLOOKUP(A757,'[1]Craig Eval'!A:M,13,FALSE)),"",VLOOKUP(A757,'[1]Craig Eval'!A:M,13,FALSE))</f>
        <v/>
      </c>
      <c r="K757" s="17">
        <v>1</v>
      </c>
    </row>
    <row r="758" spans="1:11" ht="30" x14ac:dyDescent="0.25">
      <c r="A758" s="3" t="s">
        <v>1536</v>
      </c>
      <c r="B758" s="4" t="s">
        <v>1537</v>
      </c>
      <c r="C758" s="5">
        <v>27922</v>
      </c>
      <c r="D758" s="6" t="s">
        <v>28</v>
      </c>
      <c r="E758" s="6" t="s">
        <v>17</v>
      </c>
      <c r="F758" s="7">
        <v>29074</v>
      </c>
      <c r="G758" s="8">
        <f t="shared" si="11"/>
        <v>29074</v>
      </c>
      <c r="H758" s="6" t="s">
        <v>13</v>
      </c>
      <c r="I758" s="9">
        <f>IF(ISNA(VLOOKUP(A758,'[1]Craig Eval'!A:C,3,FALSE)),"",(VLOOKUP(A758,'[1]Craig Eval'!A:C,3,FALSE))*1000)</f>
        <v>66297.223481535097</v>
      </c>
      <c r="J758" s="10">
        <f>IF(ISNA(VLOOKUP(A758,'[1]Craig Eval'!A:M,13,FALSE)),"",VLOOKUP(A758,'[1]Craig Eval'!A:M,13,FALSE))</f>
        <v>179.92536430709399</v>
      </c>
      <c r="K758" s="17">
        <v>2</v>
      </c>
    </row>
    <row r="759" spans="1:11" ht="30" x14ac:dyDescent="0.25">
      <c r="A759" s="3" t="s">
        <v>1538</v>
      </c>
      <c r="B759" s="4" t="s">
        <v>1539</v>
      </c>
      <c r="C759" s="14">
        <v>52897</v>
      </c>
      <c r="D759" s="6" t="s">
        <v>11</v>
      </c>
      <c r="E759" s="6" t="s">
        <v>17</v>
      </c>
      <c r="F759" s="7">
        <v>39125</v>
      </c>
      <c r="G759" s="8">
        <f t="shared" si="11"/>
        <v>39125</v>
      </c>
      <c r="H759" s="6" t="s">
        <v>13</v>
      </c>
      <c r="I759" s="9" t="str">
        <f>IF(ISNA(VLOOKUP(A759,'[1]Craig Eval'!A:C,3,FALSE)),"",(VLOOKUP(A759,'[1]Craig Eval'!A:C,3,FALSE))*1000)</f>
        <v/>
      </c>
      <c r="J759" s="10" t="str">
        <f>IF(ISNA(VLOOKUP(A759,'[1]Craig Eval'!A:M,13,FALSE)),"",VLOOKUP(A759,'[1]Craig Eval'!A:M,13,FALSE))</f>
        <v/>
      </c>
      <c r="K759" s="17">
        <v>2</v>
      </c>
    </row>
    <row r="760" spans="1:11" ht="30" x14ac:dyDescent="0.25">
      <c r="A760" s="3" t="s">
        <v>1540</v>
      </c>
      <c r="B760" s="4" t="s">
        <v>1541</v>
      </c>
      <c r="C760" s="5">
        <v>72117</v>
      </c>
      <c r="D760" s="6" t="s">
        <v>11</v>
      </c>
      <c r="E760" s="6" t="s">
        <v>17</v>
      </c>
      <c r="F760" s="7">
        <v>39175</v>
      </c>
      <c r="G760" s="8">
        <f t="shared" si="11"/>
        <v>39175</v>
      </c>
      <c r="H760" s="6" t="s">
        <v>13</v>
      </c>
      <c r="I760" s="9" t="str">
        <f>IF(ISNA(VLOOKUP(A760,'[1]Craig Eval'!A:C,3,FALSE)),"",(VLOOKUP(A760,'[1]Craig Eval'!A:C,3,FALSE))*1000)</f>
        <v/>
      </c>
      <c r="J760" s="10" t="str">
        <f>IF(ISNA(VLOOKUP(A760,'[1]Craig Eval'!A:M,13,FALSE)),"",VLOOKUP(A760,'[1]Craig Eval'!A:M,13,FALSE))</f>
        <v/>
      </c>
      <c r="K760" s="17">
        <v>1</v>
      </c>
    </row>
    <row r="761" spans="1:11" ht="30" x14ac:dyDescent="0.25">
      <c r="A761" s="3" t="s">
        <v>1542</v>
      </c>
      <c r="B761" s="4" t="s">
        <v>1543</v>
      </c>
      <c r="C761" s="5">
        <v>1967</v>
      </c>
      <c r="D761" s="6" t="s">
        <v>16</v>
      </c>
      <c r="E761" s="6" t="s">
        <v>17</v>
      </c>
      <c r="F761" s="7">
        <v>18264</v>
      </c>
      <c r="G761" s="8">
        <f t="shared" si="11"/>
        <v>18264</v>
      </c>
      <c r="H761" s="6" t="s">
        <v>13</v>
      </c>
      <c r="I761" s="9" t="str">
        <f>IF(ISNA(VLOOKUP(A761,'[1]Craig Eval'!A:C,3,FALSE)),"",(VLOOKUP(A761,'[1]Craig Eval'!A:C,3,FALSE))*1000)</f>
        <v/>
      </c>
      <c r="J761" s="10" t="str">
        <f>IF(ISNA(VLOOKUP(A761,'[1]Craig Eval'!A:M,13,FALSE)),"",VLOOKUP(A761,'[1]Craig Eval'!A:M,13,FALSE))</f>
        <v/>
      </c>
      <c r="K761" s="17">
        <v>1</v>
      </c>
    </row>
    <row r="762" spans="1:11" ht="30" x14ac:dyDescent="0.25">
      <c r="A762" s="3" t="s">
        <v>1544</v>
      </c>
      <c r="B762" s="4" t="s">
        <v>1545</v>
      </c>
      <c r="C762" s="5">
        <v>1981</v>
      </c>
      <c r="D762" s="6" t="s">
        <v>34</v>
      </c>
      <c r="E762" s="6" t="s">
        <v>17</v>
      </c>
      <c r="F762" s="7">
        <v>18264</v>
      </c>
      <c r="G762" s="8">
        <f t="shared" si="11"/>
        <v>18264</v>
      </c>
      <c r="H762" s="6" t="s">
        <v>13</v>
      </c>
      <c r="I762" s="9">
        <f>IF(ISNA(VLOOKUP(A762,'[1]Craig Eval'!A:C,3,FALSE)),"",(VLOOKUP(A762,'[1]Craig Eval'!A:C,3,FALSE))*1000)</f>
        <v>905.44832495398896</v>
      </c>
      <c r="J762" s="10">
        <f>IF(ISNA(VLOOKUP(A762,'[1]Craig Eval'!A:M,13,FALSE)),"",VLOOKUP(A762,'[1]Craig Eval'!A:M,13,FALSE))</f>
        <v>2.7783895499162599</v>
      </c>
      <c r="K762" s="17">
        <v>1</v>
      </c>
    </row>
    <row r="763" spans="1:11" ht="30" x14ac:dyDescent="0.25">
      <c r="A763" s="3" t="s">
        <v>1546</v>
      </c>
      <c r="B763" s="4" t="s">
        <v>1547</v>
      </c>
      <c r="C763" s="14">
        <v>1602</v>
      </c>
      <c r="D763" s="6" t="s">
        <v>34</v>
      </c>
      <c r="E763" s="6" t="s">
        <v>17</v>
      </c>
      <c r="F763" s="7">
        <v>31048</v>
      </c>
      <c r="G763" s="8">
        <f t="shared" si="11"/>
        <v>31048</v>
      </c>
      <c r="H763" s="6" t="s">
        <v>13</v>
      </c>
      <c r="I763" s="9">
        <f>IF(ISNA(VLOOKUP(A763,'[1]Craig Eval'!A:C,3,FALSE)),"",(VLOOKUP(A763,'[1]Craig Eval'!A:C,3,FALSE))*1000)</f>
        <v>130078.181241427</v>
      </c>
      <c r="J763" s="10">
        <f>IF(ISNA(VLOOKUP(A763,'[1]Craig Eval'!A:M,13,FALSE)),"",VLOOKUP(A763,'[1]Craig Eval'!A:M,13,FALSE))</f>
        <v>336.34792511420801</v>
      </c>
      <c r="K763" s="17">
        <v>4</v>
      </c>
    </row>
    <row r="764" spans="1:11" ht="30" x14ac:dyDescent="0.25">
      <c r="A764" s="3" t="s">
        <v>1548</v>
      </c>
      <c r="B764" s="4" t="s">
        <v>1549</v>
      </c>
      <c r="C764" s="5">
        <v>63777</v>
      </c>
      <c r="D764" s="6" t="s">
        <v>11</v>
      </c>
      <c r="E764" s="6" t="s">
        <v>12</v>
      </c>
      <c r="F764" s="7">
        <v>38871</v>
      </c>
      <c r="G764" s="8">
        <f t="shared" si="11"/>
        <v>38871</v>
      </c>
      <c r="H764" s="6" t="s">
        <v>39</v>
      </c>
      <c r="I764" s="9" t="str">
        <f>IF(ISNA(VLOOKUP(A764,'[1]Craig Eval'!A:C,3,FALSE)),"",(VLOOKUP(A764,'[1]Craig Eval'!A:C,3,FALSE))*1000)</f>
        <v/>
      </c>
      <c r="J764" s="10" t="str">
        <f>IF(ISNA(VLOOKUP(A764,'[1]Craig Eval'!A:M,13,FALSE)),"",VLOOKUP(A764,'[1]Craig Eval'!A:M,13,FALSE))</f>
        <v/>
      </c>
      <c r="K764" s="17">
        <v>1</v>
      </c>
    </row>
    <row r="765" spans="1:11" ht="30" x14ac:dyDescent="0.25">
      <c r="A765" s="3" t="s">
        <v>1550</v>
      </c>
      <c r="B765" s="4" t="s">
        <v>1551</v>
      </c>
      <c r="C765" s="14">
        <v>1924</v>
      </c>
      <c r="D765" s="6" t="s">
        <v>31</v>
      </c>
      <c r="E765" s="6" t="s">
        <v>17</v>
      </c>
      <c r="F765" s="7">
        <v>35728</v>
      </c>
      <c r="G765" s="8">
        <f t="shared" si="11"/>
        <v>35728</v>
      </c>
      <c r="H765" s="6" t="s">
        <v>13</v>
      </c>
      <c r="I765" s="9">
        <f>IF(ISNA(VLOOKUP(A765,'[1]Craig Eval'!A:C,3,FALSE)),"",(VLOOKUP(A765,'[1]Craig Eval'!A:C,3,FALSE))*1000)</f>
        <v>24962.9460401904</v>
      </c>
      <c r="J765" s="10">
        <f>IF(ISNA(VLOOKUP(A765,'[1]Craig Eval'!A:M,13,FALSE)),"",VLOOKUP(A765,'[1]Craig Eval'!A:M,13,FALSE))</f>
        <v>71.272112934732505</v>
      </c>
      <c r="K765" s="17">
        <v>1</v>
      </c>
    </row>
    <row r="766" spans="1:11" ht="30" x14ac:dyDescent="0.25">
      <c r="A766" s="3" t="s">
        <v>1552</v>
      </c>
      <c r="B766" s="4" t="s">
        <v>1553</v>
      </c>
      <c r="C766" s="5">
        <v>14729</v>
      </c>
      <c r="D766" s="6" t="s">
        <v>31</v>
      </c>
      <c r="E766" s="6" t="s">
        <v>17</v>
      </c>
      <c r="F766" s="7">
        <v>28823</v>
      </c>
      <c r="G766" s="8">
        <f t="shared" si="11"/>
        <v>28823</v>
      </c>
      <c r="H766" s="6" t="s">
        <v>13</v>
      </c>
      <c r="I766" s="9">
        <f>IF(ISNA(VLOOKUP(A766,'[1]Craig Eval'!A:C,3,FALSE)),"",(VLOOKUP(A766,'[1]Craig Eval'!A:C,3,FALSE))*1000)</f>
        <v>29916.761090681499</v>
      </c>
      <c r="J766" s="10">
        <f>IF(ISNA(VLOOKUP(A766,'[1]Craig Eval'!A:M,13,FALSE)),"",VLOOKUP(A766,'[1]Craig Eval'!A:M,13,FALSE))</f>
        <v>84.742939936844806</v>
      </c>
      <c r="K766" s="17">
        <v>1</v>
      </c>
    </row>
    <row r="767" spans="1:11" ht="30" x14ac:dyDescent="0.25">
      <c r="A767" s="3" t="s">
        <v>1554</v>
      </c>
      <c r="B767" s="4" t="s">
        <v>1555</v>
      </c>
      <c r="C767" s="5">
        <v>23361</v>
      </c>
      <c r="D767" s="6" t="s">
        <v>34</v>
      </c>
      <c r="E767" s="6" t="s">
        <v>17</v>
      </c>
      <c r="F767" s="7">
        <v>38670</v>
      </c>
      <c r="G767" s="8">
        <f t="shared" si="11"/>
        <v>38670</v>
      </c>
      <c r="H767" s="6" t="s">
        <v>13</v>
      </c>
      <c r="I767" s="9" t="str">
        <f>IF(ISNA(VLOOKUP(A767,'[1]Craig Eval'!A:C,3,FALSE)),"",(VLOOKUP(A767,'[1]Craig Eval'!A:C,3,FALSE))*1000)</f>
        <v/>
      </c>
      <c r="J767" s="10" t="str">
        <f>IF(ISNA(VLOOKUP(A767,'[1]Craig Eval'!A:M,13,FALSE)),"",VLOOKUP(A767,'[1]Craig Eval'!A:M,13,FALSE))</f>
        <v/>
      </c>
      <c r="K767" s="17">
        <v>1</v>
      </c>
    </row>
    <row r="768" spans="1:11" ht="30" x14ac:dyDescent="0.25">
      <c r="A768" s="3" t="s">
        <v>1556</v>
      </c>
      <c r="B768" s="4" t="s">
        <v>1557</v>
      </c>
      <c r="C768" s="5">
        <v>16655</v>
      </c>
      <c r="D768" s="6" t="s">
        <v>31</v>
      </c>
      <c r="E768" s="6" t="s">
        <v>17</v>
      </c>
      <c r="F768" s="7">
        <v>30503</v>
      </c>
      <c r="G768" s="8">
        <f t="shared" si="11"/>
        <v>30503</v>
      </c>
      <c r="H768" s="6" t="s">
        <v>13</v>
      </c>
      <c r="I768" s="9">
        <f>IF(ISNA(VLOOKUP(A768,'[1]Craig Eval'!A:C,3,FALSE)),"",(VLOOKUP(A768,'[1]Craig Eval'!A:C,3,FALSE))*1000)</f>
        <v>11441.633180155999</v>
      </c>
      <c r="J768" s="10">
        <f>IF(ISNA(VLOOKUP(A768,'[1]Craig Eval'!A:M,13,FALSE)),"",VLOOKUP(A768,'[1]Craig Eval'!A:M,13,FALSE))</f>
        <v>33.586787943955997</v>
      </c>
      <c r="K768" s="17">
        <v>1</v>
      </c>
    </row>
    <row r="769" spans="1:11" ht="30" x14ac:dyDescent="0.25">
      <c r="A769" s="3" t="s">
        <v>1558</v>
      </c>
      <c r="B769" s="4" t="s">
        <v>1559</v>
      </c>
      <c r="C769" s="5">
        <v>52915</v>
      </c>
      <c r="D769" s="6" t="s">
        <v>28</v>
      </c>
      <c r="E769" s="6" t="s">
        <v>508</v>
      </c>
      <c r="F769" s="7">
        <v>39003</v>
      </c>
      <c r="G769" s="8">
        <f t="shared" si="11"/>
        <v>39003</v>
      </c>
      <c r="H769" s="6" t="s">
        <v>509</v>
      </c>
      <c r="I769" s="9">
        <f>IF(ISNA(VLOOKUP(A769,'[1]Craig Eval'!A:C,3,FALSE)),"",(VLOOKUP(A769,'[1]Craig Eval'!A:C,3,FALSE))*1000)</f>
        <v>21622.460046619301</v>
      </c>
      <c r="J769" s="10">
        <f>IF(ISNA(VLOOKUP(A769,'[1]Craig Eval'!A:M,13,FALSE)),"",VLOOKUP(A769,'[1]Craig Eval'!A:M,13,FALSE))</f>
        <v>62.0969817542206</v>
      </c>
      <c r="K769" s="17">
        <v>2</v>
      </c>
    </row>
    <row r="770" spans="1:11" ht="30" x14ac:dyDescent="0.25">
      <c r="A770" s="3" t="s">
        <v>1560</v>
      </c>
      <c r="B770" s="4" t="s">
        <v>1561</v>
      </c>
      <c r="C770" s="5">
        <v>30615</v>
      </c>
      <c r="D770" s="6" t="s">
        <v>28</v>
      </c>
      <c r="E770" s="6" t="s">
        <v>508</v>
      </c>
      <c r="F770" s="7">
        <v>38460</v>
      </c>
      <c r="G770" s="8">
        <f t="shared" ref="G770:G833" si="12">F770</f>
        <v>38460</v>
      </c>
      <c r="H770" s="6" t="s">
        <v>509</v>
      </c>
      <c r="I770" s="9">
        <f>IF(ISNA(VLOOKUP(A770,'[1]Craig Eval'!A:C,3,FALSE)),"",(VLOOKUP(A770,'[1]Craig Eval'!A:C,3,FALSE))*1000)</f>
        <v>24782.6941371676</v>
      </c>
      <c r="J770" s="10">
        <f>IF(ISNA(VLOOKUP(A770,'[1]Craig Eval'!A:M,13,FALSE)),"",VLOOKUP(A770,'[1]Craig Eval'!A:M,13,FALSE))</f>
        <v>70.778986892868701</v>
      </c>
      <c r="K770" s="17">
        <v>1</v>
      </c>
    </row>
    <row r="771" spans="1:11" ht="30" x14ac:dyDescent="0.25">
      <c r="A771" s="3" t="s">
        <v>1562</v>
      </c>
      <c r="B771" s="4" t="s">
        <v>1563</v>
      </c>
      <c r="C771" s="14">
        <v>30616</v>
      </c>
      <c r="D771" s="6" t="s">
        <v>28</v>
      </c>
      <c r="E771" s="6" t="s">
        <v>508</v>
      </c>
      <c r="F771" s="7">
        <v>40443</v>
      </c>
      <c r="G771" s="8">
        <f t="shared" si="12"/>
        <v>40443</v>
      </c>
      <c r="H771" s="6" t="s">
        <v>509</v>
      </c>
      <c r="I771" s="9">
        <f>IF(ISNA(VLOOKUP(A771,'[1]Craig Eval'!A:C,3,FALSE)),"",(VLOOKUP(A771,'[1]Craig Eval'!A:C,3,FALSE))*1000)</f>
        <v>8977.1863175400504</v>
      </c>
      <c r="J771" s="10">
        <f>IF(ISNA(VLOOKUP(A771,'[1]Craig Eval'!A:M,13,FALSE)),"",VLOOKUP(A771,'[1]Craig Eval'!A:M,13,FALSE))</f>
        <v>26.533209136019199</v>
      </c>
      <c r="K771" s="17">
        <v>1</v>
      </c>
    </row>
    <row r="772" spans="1:11" ht="30" x14ac:dyDescent="0.25">
      <c r="A772" s="18" t="s">
        <v>1564</v>
      </c>
      <c r="B772" s="19" t="s">
        <v>1565</v>
      </c>
      <c r="C772" s="20">
        <v>54584</v>
      </c>
      <c r="D772" s="21" t="s">
        <v>11</v>
      </c>
      <c r="E772" s="21" t="s">
        <v>12</v>
      </c>
      <c r="F772" s="22">
        <v>39518</v>
      </c>
      <c r="G772" s="23">
        <f t="shared" si="12"/>
        <v>39518</v>
      </c>
      <c r="H772" s="21" t="s">
        <v>39</v>
      </c>
      <c r="I772" s="9" t="str">
        <f>IF(ISNA(VLOOKUP(A772,'[1]Craig Eval'!A:C,3,FALSE)),"",(VLOOKUP(A772,'[1]Craig Eval'!A:C,3,FALSE))*1000)</f>
        <v/>
      </c>
      <c r="J772" s="24" t="str">
        <f>IF(ISNA(VLOOKUP(A772,'[1]Craig Eval'!A:M,13,FALSE)),"",VLOOKUP(A772,'[1]Craig Eval'!A:M,13,FALSE))</f>
        <v/>
      </c>
      <c r="K772" s="25">
        <v>1</v>
      </c>
    </row>
    <row r="773" spans="1:11" ht="30" x14ac:dyDescent="0.25">
      <c r="A773" s="3" t="s">
        <v>1566</v>
      </c>
      <c r="B773" s="4" t="s">
        <v>1567</v>
      </c>
      <c r="C773" s="5">
        <v>55137</v>
      </c>
      <c r="D773" s="6" t="s">
        <v>11</v>
      </c>
      <c r="E773" s="6" t="s">
        <v>12</v>
      </c>
      <c r="F773" s="7">
        <v>39085</v>
      </c>
      <c r="G773" s="8">
        <f t="shared" si="12"/>
        <v>39085</v>
      </c>
      <c r="H773" s="6" t="s">
        <v>39</v>
      </c>
      <c r="I773" s="9" t="str">
        <f>IF(ISNA(VLOOKUP(A773,'[1]Craig Eval'!A:C,3,FALSE)),"",(VLOOKUP(A773,'[1]Craig Eval'!A:C,3,FALSE))*1000)</f>
        <v/>
      </c>
      <c r="J773" s="10" t="str">
        <f>IF(ISNA(VLOOKUP(A773,'[1]Craig Eval'!A:M,13,FALSE)),"",VLOOKUP(A773,'[1]Craig Eval'!A:M,13,FALSE))</f>
        <v/>
      </c>
      <c r="K773" s="17">
        <v>1</v>
      </c>
    </row>
    <row r="774" spans="1:11" ht="30" x14ac:dyDescent="0.25">
      <c r="A774" s="3" t="s">
        <v>1568</v>
      </c>
      <c r="B774" s="4" t="s">
        <v>1569</v>
      </c>
      <c r="C774" s="5">
        <v>54609</v>
      </c>
      <c r="D774" s="6" t="s">
        <v>28</v>
      </c>
      <c r="E774" s="6" t="s">
        <v>17</v>
      </c>
      <c r="F774" s="7">
        <v>38959</v>
      </c>
      <c r="G774" s="8">
        <f t="shared" si="12"/>
        <v>38959</v>
      </c>
      <c r="H774" s="6" t="s">
        <v>13</v>
      </c>
      <c r="I774" s="9">
        <f>IF(ISNA(VLOOKUP(A774,'[1]Craig Eval'!A:C,3,FALSE)),"",(VLOOKUP(A774,'[1]Craig Eval'!A:C,3,FALSE))*1000)</f>
        <v>10191.2585336052</v>
      </c>
      <c r="J774" s="10">
        <f>IF(ISNA(VLOOKUP(A774,'[1]Craig Eval'!A:M,13,FALSE)),"",VLOOKUP(A774,'[1]Craig Eval'!A:M,13,FALSE))</f>
        <v>30.016885905096</v>
      </c>
      <c r="K774" s="17">
        <v>1</v>
      </c>
    </row>
    <row r="775" spans="1:11" ht="30" x14ac:dyDescent="0.25">
      <c r="A775" s="3" t="s">
        <v>1570</v>
      </c>
      <c r="B775" s="4" t="s">
        <v>1571</v>
      </c>
      <c r="C775" s="5">
        <v>1536</v>
      </c>
      <c r="D775" s="6" t="s">
        <v>34</v>
      </c>
      <c r="E775" s="6" t="s">
        <v>17</v>
      </c>
      <c r="F775" s="7">
        <v>33970</v>
      </c>
      <c r="G775" s="8">
        <f t="shared" si="12"/>
        <v>33970</v>
      </c>
      <c r="H775" s="6" t="s">
        <v>13</v>
      </c>
      <c r="I775" s="9">
        <f>IF(ISNA(VLOOKUP(A775,'[1]Craig Eval'!A:C,3,FALSE)),"",(VLOOKUP(A775,'[1]Craig Eval'!A:C,3,FALSE))*1000)</f>
        <v>714.19547482573603</v>
      </c>
      <c r="J775" s="10">
        <f>IF(ISNA(VLOOKUP(A775,'[1]Craig Eval'!A:M,13,FALSE)),"",VLOOKUP(A775,'[1]Craig Eval'!A:M,13,FALSE))</f>
        <v>2.19594458941729</v>
      </c>
      <c r="K775" s="17">
        <v>1</v>
      </c>
    </row>
    <row r="776" spans="1:11" ht="30" x14ac:dyDescent="0.25">
      <c r="A776" s="3" t="s">
        <v>1572</v>
      </c>
      <c r="B776" s="4" t="s">
        <v>1573</v>
      </c>
      <c r="C776" s="5">
        <v>1837</v>
      </c>
      <c r="D776" s="6" t="s">
        <v>16</v>
      </c>
      <c r="E776" s="6" t="s">
        <v>17</v>
      </c>
      <c r="F776" s="7">
        <v>27760</v>
      </c>
      <c r="G776" s="8">
        <f t="shared" si="12"/>
        <v>27760</v>
      </c>
      <c r="H776" s="6" t="s">
        <v>13</v>
      </c>
      <c r="I776" s="9">
        <f>IF(ISNA(VLOOKUP(A776,'[1]Craig Eval'!A:C,3,FALSE)),"",(VLOOKUP(A776,'[1]Craig Eval'!A:C,3,FALSE))*1000)</f>
        <v>14884.207550830701</v>
      </c>
      <c r="J776" s="10">
        <f>IF(ISNA(VLOOKUP(A776,'[1]Craig Eval'!A:M,13,FALSE)),"",VLOOKUP(A776,'[1]Craig Eval'!A:M,13,FALSE))</f>
        <v>43.330818330868098</v>
      </c>
      <c r="K776" s="17">
        <v>2</v>
      </c>
    </row>
    <row r="777" spans="1:11" ht="30" x14ac:dyDescent="0.25">
      <c r="A777" s="3" t="s">
        <v>1574</v>
      </c>
      <c r="B777" s="4" t="s">
        <v>1575</v>
      </c>
      <c r="C777" s="5">
        <v>18884</v>
      </c>
      <c r="D777" s="6" t="s">
        <v>16</v>
      </c>
      <c r="E777" s="6" t="s">
        <v>17</v>
      </c>
      <c r="F777" s="7">
        <v>29073</v>
      </c>
      <c r="G777" s="8">
        <f t="shared" si="12"/>
        <v>29073</v>
      </c>
      <c r="H777" s="6" t="s">
        <v>13</v>
      </c>
      <c r="I777" s="9">
        <f>IF(ISNA(VLOOKUP(A777,'[1]Craig Eval'!A:C,3,FALSE)),"",(VLOOKUP(A777,'[1]Craig Eval'!A:C,3,FALSE))*1000)</f>
        <v>39671.881071039403</v>
      </c>
      <c r="J777" s="10">
        <f>IF(ISNA(VLOOKUP(A777,'[1]Craig Eval'!A:M,13,FALSE)),"",VLOOKUP(A777,'[1]Craig Eval'!A:M,13,FALSE))</f>
        <v>110.85679100167999</v>
      </c>
      <c r="K777" s="17">
        <v>1</v>
      </c>
    </row>
    <row r="778" spans="1:11" ht="30" x14ac:dyDescent="0.25">
      <c r="A778" s="3" t="s">
        <v>1576</v>
      </c>
      <c r="B778" s="4" t="s">
        <v>1577</v>
      </c>
      <c r="C778" s="5">
        <v>54610</v>
      </c>
      <c r="D778" s="6" t="s">
        <v>16</v>
      </c>
      <c r="E778" s="6" t="s">
        <v>17</v>
      </c>
      <c r="F778" s="7">
        <v>36199</v>
      </c>
      <c r="G778" s="8">
        <f t="shared" si="12"/>
        <v>36199</v>
      </c>
      <c r="H778" s="6" t="s">
        <v>13</v>
      </c>
      <c r="I778" s="9" t="str">
        <f>IF(ISNA(VLOOKUP(A778,'[1]Craig Eval'!A:C,3,FALSE)),"",(VLOOKUP(A778,'[1]Craig Eval'!A:C,3,FALSE))*1000)</f>
        <v/>
      </c>
      <c r="J778" s="10" t="str">
        <f>IF(ISNA(VLOOKUP(A778,'[1]Craig Eval'!A:M,13,FALSE)),"",VLOOKUP(A778,'[1]Craig Eval'!A:M,13,FALSE))</f>
        <v/>
      </c>
      <c r="K778" s="17">
        <v>1</v>
      </c>
    </row>
    <row r="779" spans="1:11" ht="30" x14ac:dyDescent="0.25">
      <c r="A779" s="3" t="s">
        <v>1578</v>
      </c>
      <c r="B779" s="4" t="s">
        <v>1579</v>
      </c>
      <c r="C779" s="5">
        <v>1622</v>
      </c>
      <c r="D779" s="6" t="s">
        <v>16</v>
      </c>
      <c r="E779" s="6" t="s">
        <v>17</v>
      </c>
      <c r="F779" s="7">
        <v>36199</v>
      </c>
      <c r="G779" s="8">
        <f t="shared" si="12"/>
        <v>36199</v>
      </c>
      <c r="H779" s="6" t="s">
        <v>13</v>
      </c>
      <c r="I779" s="9" t="str">
        <f>IF(ISNA(VLOOKUP(A779,'[1]Craig Eval'!A:C,3,FALSE)),"",(VLOOKUP(A779,'[1]Craig Eval'!A:C,3,FALSE))*1000)</f>
        <v/>
      </c>
      <c r="J779" s="10" t="str">
        <f>IF(ISNA(VLOOKUP(A779,'[1]Craig Eval'!A:M,13,FALSE)),"",VLOOKUP(A779,'[1]Craig Eval'!A:M,13,FALSE))</f>
        <v/>
      </c>
      <c r="K779" s="17">
        <v>1</v>
      </c>
    </row>
    <row r="780" spans="1:11" ht="30" x14ac:dyDescent="0.25">
      <c r="A780" s="3" t="s">
        <v>1580</v>
      </c>
      <c r="B780" s="4" t="s">
        <v>1581</v>
      </c>
      <c r="C780" s="14">
        <v>2023</v>
      </c>
      <c r="D780" s="6" t="s">
        <v>16</v>
      </c>
      <c r="E780" s="6" t="s">
        <v>17</v>
      </c>
      <c r="F780" s="7">
        <v>29221</v>
      </c>
      <c r="G780" s="8">
        <f t="shared" si="12"/>
        <v>29221</v>
      </c>
      <c r="H780" s="6" t="s">
        <v>13</v>
      </c>
      <c r="I780" s="9" t="str">
        <f>IF(ISNA(VLOOKUP(A780,'[1]Craig Eval'!A:C,3,FALSE)),"",(VLOOKUP(A780,'[1]Craig Eval'!A:C,3,FALSE))*1000)</f>
        <v/>
      </c>
      <c r="J780" s="10" t="str">
        <f>IF(ISNA(VLOOKUP(A780,'[1]Craig Eval'!A:M,13,FALSE)),"",VLOOKUP(A780,'[1]Craig Eval'!A:M,13,FALSE))</f>
        <v/>
      </c>
      <c r="K780" s="17">
        <v>1</v>
      </c>
    </row>
    <row r="781" spans="1:11" ht="30" x14ac:dyDescent="0.25">
      <c r="A781" s="3" t="s">
        <v>1582</v>
      </c>
      <c r="B781" s="4" t="s">
        <v>1583</v>
      </c>
      <c r="C781" s="5">
        <v>10889</v>
      </c>
      <c r="D781" s="6" t="s">
        <v>28</v>
      </c>
      <c r="E781" s="6" t="s">
        <v>17</v>
      </c>
      <c r="F781" s="7">
        <v>37889</v>
      </c>
      <c r="G781" s="8">
        <f t="shared" si="12"/>
        <v>37889</v>
      </c>
      <c r="H781" s="6" t="s">
        <v>13</v>
      </c>
      <c r="I781" s="9">
        <f>IF(ISNA(VLOOKUP(A781,'[1]Craig Eval'!A:C,3,FALSE)),"",(VLOOKUP(A781,'[1]Craig Eval'!A:C,3,FALSE))*1000)</f>
        <v>14214.2875512265</v>
      </c>
      <c r="J781" s="10">
        <f>IF(ISNA(VLOOKUP(A781,'[1]Craig Eval'!A:M,13,FALSE)),"",VLOOKUP(A781,'[1]Craig Eval'!A:M,13,FALSE))</f>
        <v>41.443772637697997</v>
      </c>
      <c r="K781" s="17">
        <v>2</v>
      </c>
    </row>
    <row r="782" spans="1:11" ht="30" x14ac:dyDescent="0.25">
      <c r="A782" s="3" t="s">
        <v>1584</v>
      </c>
      <c r="B782" s="4" t="s">
        <v>1585</v>
      </c>
      <c r="C782" s="5">
        <v>67617</v>
      </c>
      <c r="D782" s="6" t="s">
        <v>28</v>
      </c>
      <c r="E782" s="6" t="s">
        <v>17</v>
      </c>
      <c r="F782" s="7">
        <v>39685</v>
      </c>
      <c r="G782" s="8">
        <f t="shared" si="12"/>
        <v>39685</v>
      </c>
      <c r="H782" s="6" t="s">
        <v>13</v>
      </c>
      <c r="I782" s="9">
        <f>IF(ISNA(VLOOKUP(A782,'[1]Craig Eval'!A:C,3,FALSE)),"",(VLOOKUP(A782,'[1]Craig Eval'!A:C,3,FALSE))*1000)</f>
        <v>13366.0856796518</v>
      </c>
      <c r="J782" s="10">
        <f>IF(ISNA(VLOOKUP(A782,'[1]Craig Eval'!A:M,13,FALSE)),"",VLOOKUP(A782,'[1]Craig Eval'!A:M,13,FALSE))</f>
        <v>39.048395075346697</v>
      </c>
      <c r="K782" s="17">
        <v>1</v>
      </c>
    </row>
    <row r="783" spans="1:11" ht="30" x14ac:dyDescent="0.25">
      <c r="A783" s="3" t="s">
        <v>1586</v>
      </c>
      <c r="B783" s="4" t="s">
        <v>1587</v>
      </c>
      <c r="C783" s="5">
        <v>9923</v>
      </c>
      <c r="D783" s="6" t="s">
        <v>16</v>
      </c>
      <c r="E783" s="6" t="s">
        <v>17</v>
      </c>
      <c r="F783" s="7">
        <v>37209</v>
      </c>
      <c r="G783" s="8">
        <f t="shared" si="12"/>
        <v>37209</v>
      </c>
      <c r="H783" s="6" t="s">
        <v>13</v>
      </c>
      <c r="I783" s="9" t="str">
        <f>IF(ISNA(VLOOKUP(A783,'[1]Craig Eval'!A:C,3,FALSE)),"",(VLOOKUP(A783,'[1]Craig Eval'!A:C,3,FALSE))*1000)</f>
        <v/>
      </c>
      <c r="J783" s="10" t="str">
        <f>IF(ISNA(VLOOKUP(A783,'[1]Craig Eval'!A:M,13,FALSE)),"",VLOOKUP(A783,'[1]Craig Eval'!A:M,13,FALSE))</f>
        <v/>
      </c>
      <c r="K783" s="17">
        <v>1</v>
      </c>
    </row>
    <row r="784" spans="1:11" ht="30" x14ac:dyDescent="0.25">
      <c r="A784" s="3" t="s">
        <v>1588</v>
      </c>
      <c r="B784" s="4" t="s">
        <v>1589</v>
      </c>
      <c r="C784" s="5">
        <v>1311</v>
      </c>
      <c r="D784" s="6" t="s">
        <v>16</v>
      </c>
      <c r="E784" s="6" t="s">
        <v>17</v>
      </c>
      <c r="F784" s="7">
        <v>27395</v>
      </c>
      <c r="G784" s="8">
        <f t="shared" si="12"/>
        <v>27395</v>
      </c>
      <c r="H784" s="6" t="s">
        <v>13</v>
      </c>
      <c r="I784" s="9" t="str">
        <f>IF(ISNA(VLOOKUP(A784,'[1]Craig Eval'!A:C,3,FALSE)),"",(VLOOKUP(A784,'[1]Craig Eval'!A:C,3,FALSE))*1000)</f>
        <v/>
      </c>
      <c r="J784" s="10" t="str">
        <f>IF(ISNA(VLOOKUP(A784,'[1]Craig Eval'!A:M,13,FALSE)),"",VLOOKUP(A784,'[1]Craig Eval'!A:M,13,FALSE))</f>
        <v/>
      </c>
      <c r="K784" s="17">
        <v>2</v>
      </c>
    </row>
    <row r="785" spans="1:11" ht="30" x14ac:dyDescent="0.25">
      <c r="A785" s="3" t="s">
        <v>1590</v>
      </c>
      <c r="B785" s="4" t="s">
        <v>1591</v>
      </c>
      <c r="C785" s="5">
        <v>207527</v>
      </c>
      <c r="D785" s="6" t="s">
        <v>16</v>
      </c>
      <c r="E785" s="6" t="s">
        <v>17</v>
      </c>
      <c r="F785" s="7">
        <v>32143</v>
      </c>
      <c r="G785" s="8">
        <f t="shared" si="12"/>
        <v>32143</v>
      </c>
      <c r="H785" s="6" t="s">
        <v>13</v>
      </c>
      <c r="I785" s="9" t="str">
        <f>IF(ISNA(VLOOKUP(A785,'[1]Craig Eval'!A:C,3,FALSE)),"",(VLOOKUP(A785,'[1]Craig Eval'!A:C,3,FALSE))*1000)</f>
        <v/>
      </c>
      <c r="J785" s="10" t="str">
        <f>IF(ISNA(VLOOKUP(A785,'[1]Craig Eval'!A:M,13,FALSE)),"",VLOOKUP(A785,'[1]Craig Eval'!A:M,13,FALSE))</f>
        <v/>
      </c>
      <c r="K785" s="17">
        <v>1</v>
      </c>
    </row>
    <row r="786" spans="1:11" ht="30" x14ac:dyDescent="0.25">
      <c r="A786" s="3" t="s">
        <v>1592</v>
      </c>
      <c r="B786" s="4" t="s">
        <v>1593</v>
      </c>
      <c r="C786" s="5">
        <v>1127</v>
      </c>
      <c r="D786" s="6" t="s">
        <v>16</v>
      </c>
      <c r="E786" s="6" t="s">
        <v>17</v>
      </c>
      <c r="F786" s="7">
        <v>25569</v>
      </c>
      <c r="G786" s="8">
        <f t="shared" si="12"/>
        <v>25569</v>
      </c>
      <c r="H786" s="6" t="s">
        <v>13</v>
      </c>
      <c r="I786" s="9" t="str">
        <f>IF(ISNA(VLOOKUP(A786,'[1]Craig Eval'!A:C,3,FALSE)),"",(VLOOKUP(A786,'[1]Craig Eval'!A:C,3,FALSE))*1000)</f>
        <v/>
      </c>
      <c r="J786" s="10" t="str">
        <f>IF(ISNA(VLOOKUP(A786,'[1]Craig Eval'!A:M,13,FALSE)),"",VLOOKUP(A786,'[1]Craig Eval'!A:M,13,FALSE))</f>
        <v/>
      </c>
      <c r="K786" s="17">
        <v>1</v>
      </c>
    </row>
    <row r="787" spans="1:11" ht="30" x14ac:dyDescent="0.25">
      <c r="A787" s="3" t="s">
        <v>1594</v>
      </c>
      <c r="B787" s="4" t="s">
        <v>1595</v>
      </c>
      <c r="C787" s="14">
        <v>1123</v>
      </c>
      <c r="D787" s="6" t="s">
        <v>16</v>
      </c>
      <c r="E787" s="6" t="s">
        <v>17</v>
      </c>
      <c r="F787" s="7">
        <v>31048</v>
      </c>
      <c r="G787" s="8">
        <f t="shared" si="12"/>
        <v>31048</v>
      </c>
      <c r="H787" s="6" t="s">
        <v>13</v>
      </c>
      <c r="I787" s="9" t="str">
        <f>IF(ISNA(VLOOKUP(A787,'[1]Craig Eval'!A:C,3,FALSE)),"",(VLOOKUP(A787,'[1]Craig Eval'!A:C,3,FALSE))*1000)</f>
        <v/>
      </c>
      <c r="J787" s="10" t="str">
        <f>IF(ISNA(VLOOKUP(A787,'[1]Craig Eval'!A:M,13,FALSE)),"",VLOOKUP(A787,'[1]Craig Eval'!A:M,13,FALSE))</f>
        <v/>
      </c>
      <c r="K787" s="17">
        <v>3</v>
      </c>
    </row>
    <row r="788" spans="1:11" ht="30" x14ac:dyDescent="0.25">
      <c r="A788" s="3" t="s">
        <v>1596</v>
      </c>
      <c r="B788" s="4" t="s">
        <v>1597</v>
      </c>
      <c r="C788" s="5">
        <v>9282</v>
      </c>
      <c r="D788" s="6" t="s">
        <v>28</v>
      </c>
      <c r="E788" s="6" t="s">
        <v>17</v>
      </c>
      <c r="F788" s="7">
        <v>37455</v>
      </c>
      <c r="G788" s="8">
        <f t="shared" si="12"/>
        <v>37455</v>
      </c>
      <c r="H788" s="6" t="s">
        <v>13</v>
      </c>
      <c r="I788" s="9">
        <f>IF(ISNA(VLOOKUP(A788,'[1]Craig Eval'!A:C,3,FALSE)),"",(VLOOKUP(A788,'[1]Craig Eval'!A:C,3,FALSE))*1000)</f>
        <v>5120.5462048600002</v>
      </c>
      <c r="J788" s="10">
        <f>IF(ISNA(VLOOKUP(A788,'[1]Craig Eval'!A:M,13,FALSE)),"",VLOOKUP(A788,'[1]Craig Eval'!A:M,13,FALSE))</f>
        <v>15.3353282338048</v>
      </c>
      <c r="K788" s="17">
        <v>1</v>
      </c>
    </row>
    <row r="789" spans="1:11" ht="30" x14ac:dyDescent="0.25">
      <c r="A789" s="3" t="s">
        <v>1598</v>
      </c>
      <c r="B789" s="4" t="s">
        <v>1599</v>
      </c>
      <c r="C789" s="5">
        <v>9283</v>
      </c>
      <c r="D789" s="6" t="s">
        <v>28</v>
      </c>
      <c r="E789" s="6" t="s">
        <v>17</v>
      </c>
      <c r="F789" s="7">
        <v>37180</v>
      </c>
      <c r="G789" s="8">
        <f t="shared" si="12"/>
        <v>37180</v>
      </c>
      <c r="H789" s="6" t="s">
        <v>13</v>
      </c>
      <c r="I789" s="9">
        <f>IF(ISNA(VLOOKUP(A789,'[1]Craig Eval'!A:C,3,FALSE)),"",(VLOOKUP(A789,'[1]Craig Eval'!A:C,3,FALSE))*1000)</f>
        <v>9392.2256048745803</v>
      </c>
      <c r="J789" s="10">
        <f>IF(ISNA(VLOOKUP(A789,'[1]Craig Eval'!A:M,13,FALSE)),"",VLOOKUP(A789,'[1]Craig Eval'!A:M,13,FALSE))</f>
        <v>27.726139747347901</v>
      </c>
      <c r="K789" s="17">
        <v>1</v>
      </c>
    </row>
    <row r="790" spans="1:11" ht="30" x14ac:dyDescent="0.25">
      <c r="A790" s="3" t="s">
        <v>1600</v>
      </c>
      <c r="B790" s="4" t="s">
        <v>1601</v>
      </c>
      <c r="C790" s="5">
        <v>1685</v>
      </c>
      <c r="D790" s="6" t="s">
        <v>28</v>
      </c>
      <c r="E790" s="6" t="s">
        <v>17</v>
      </c>
      <c r="F790" s="7">
        <v>29221</v>
      </c>
      <c r="G790" s="8">
        <f t="shared" si="12"/>
        <v>29221</v>
      </c>
      <c r="H790" s="6" t="s">
        <v>13</v>
      </c>
      <c r="I790" s="9">
        <f>IF(ISNA(VLOOKUP(A790,'[1]Craig Eval'!A:C,3,FALSE)),"",(VLOOKUP(A790,'[1]Craig Eval'!A:C,3,FALSE))*1000)</f>
        <v>291.405328209706</v>
      </c>
      <c r="J790" s="10">
        <f>IF(ISNA(VLOOKUP(A790,'[1]Craig Eval'!A:M,13,FALSE)),"",VLOOKUP(A790,'[1]Craig Eval'!A:M,13,FALSE))</f>
        <v>0.90121038513557306</v>
      </c>
      <c r="K790" s="17">
        <v>1</v>
      </c>
    </row>
    <row r="791" spans="1:11" ht="30" x14ac:dyDescent="0.25">
      <c r="A791" s="3" t="s">
        <v>1602</v>
      </c>
      <c r="B791" s="4" t="s">
        <v>1603</v>
      </c>
      <c r="C791" s="5">
        <v>1254</v>
      </c>
      <c r="D791" s="6" t="s">
        <v>28</v>
      </c>
      <c r="E791" s="6" t="s">
        <v>17</v>
      </c>
      <c r="F791" s="7">
        <v>29952</v>
      </c>
      <c r="G791" s="8">
        <f t="shared" si="12"/>
        <v>29952</v>
      </c>
      <c r="H791" s="6" t="s">
        <v>13</v>
      </c>
      <c r="I791" s="9">
        <f>IF(ISNA(VLOOKUP(A791,'[1]Craig Eval'!A:C,3,FALSE)),"",(VLOOKUP(A791,'[1]Craig Eval'!A:C,3,FALSE))*1000)</f>
        <v>21255.751465153899</v>
      </c>
      <c r="J791" s="10">
        <f>IF(ISNA(VLOOKUP(A791,'[1]Craig Eval'!A:M,13,FALSE)),"",VLOOKUP(A791,'[1]Craig Eval'!A:M,13,FALSE))</f>
        <v>61.084925228981</v>
      </c>
      <c r="K791" s="17">
        <v>1</v>
      </c>
    </row>
    <row r="792" spans="1:11" ht="30" x14ac:dyDescent="0.25">
      <c r="A792" s="3" t="s">
        <v>1604</v>
      </c>
      <c r="B792" s="4" t="s">
        <v>1605</v>
      </c>
      <c r="C792" s="14">
        <v>30180</v>
      </c>
      <c r="D792" s="6" t="s">
        <v>28</v>
      </c>
      <c r="E792" s="6" t="s">
        <v>17</v>
      </c>
      <c r="F792" s="7">
        <v>35760</v>
      </c>
      <c r="G792" s="8">
        <f t="shared" si="12"/>
        <v>35760</v>
      </c>
      <c r="H792" s="6" t="s">
        <v>13</v>
      </c>
      <c r="I792" s="9">
        <f>IF(ISNA(VLOOKUP(A792,'[1]Craig Eval'!A:C,3,FALSE)),"",(VLOOKUP(A792,'[1]Craig Eval'!A:C,3,FALSE))*1000)</f>
        <v>32979.861426937299</v>
      </c>
      <c r="J792" s="10">
        <f>IF(ISNA(VLOOKUP(A792,'[1]Craig Eval'!A:M,13,FALSE)),"",VLOOKUP(A792,'[1]Craig Eval'!A:M,13,FALSE))</f>
        <v>92.998406943875295</v>
      </c>
      <c r="K792" s="17">
        <v>1</v>
      </c>
    </row>
    <row r="793" spans="1:11" ht="30" x14ac:dyDescent="0.25">
      <c r="A793" s="3" t="s">
        <v>1606</v>
      </c>
      <c r="B793" s="4" t="s">
        <v>1607</v>
      </c>
      <c r="C793" s="5">
        <v>1651</v>
      </c>
      <c r="D793" s="6" t="s">
        <v>28</v>
      </c>
      <c r="E793" s="6" t="s">
        <v>17</v>
      </c>
      <c r="F793" s="7">
        <v>29221</v>
      </c>
      <c r="G793" s="8">
        <f t="shared" si="12"/>
        <v>29221</v>
      </c>
      <c r="H793" s="6" t="s">
        <v>13</v>
      </c>
      <c r="I793" s="9">
        <f>IF(ISNA(VLOOKUP(A793,'[1]Craig Eval'!A:C,3,FALSE)),"",(VLOOKUP(A793,'[1]Craig Eval'!A:C,3,FALSE))*1000)</f>
        <v>3052.8571082635899</v>
      </c>
      <c r="J793" s="10">
        <f>IF(ISNA(VLOOKUP(A793,'[1]Craig Eval'!A:M,13,FALSE)),"",VLOOKUP(A793,'[1]Craig Eval'!A:M,13,FALSE))</f>
        <v>9.2296242174806906</v>
      </c>
      <c r="K793" s="17">
        <v>1</v>
      </c>
    </row>
    <row r="794" spans="1:11" ht="30" x14ac:dyDescent="0.25">
      <c r="A794" s="3" t="s">
        <v>1608</v>
      </c>
      <c r="B794" s="4" t="s">
        <v>1609</v>
      </c>
      <c r="C794" s="14">
        <v>2011</v>
      </c>
      <c r="D794" s="6" t="s">
        <v>16</v>
      </c>
      <c r="E794" s="6" t="s">
        <v>17</v>
      </c>
      <c r="F794" s="7">
        <v>29221</v>
      </c>
      <c r="G794" s="8">
        <f t="shared" si="12"/>
        <v>29221</v>
      </c>
      <c r="H794" s="6" t="s">
        <v>13</v>
      </c>
      <c r="I794" s="9">
        <f>IF(ISNA(VLOOKUP(A794,'[1]Craig Eval'!A:C,3,FALSE)),"",(VLOOKUP(A794,'[1]Craig Eval'!A:C,3,FALSE))*1000)</f>
        <v>52105.353499242599</v>
      </c>
      <c r="J794" s="10">
        <f>IF(ISNA(VLOOKUP(A794,'[1]Craig Eval'!A:M,13,FALSE)),"",VLOOKUP(A794,'[1]Craig Eval'!A:M,13,FALSE))</f>
        <v>143.46867613597399</v>
      </c>
      <c r="K794" s="17">
        <v>2</v>
      </c>
    </row>
    <row r="795" spans="1:11" ht="30" x14ac:dyDescent="0.25">
      <c r="A795" s="3" t="s">
        <v>1610</v>
      </c>
      <c r="B795" s="4" t="s">
        <v>1611</v>
      </c>
      <c r="C795" s="14">
        <v>31937</v>
      </c>
      <c r="D795" s="6" t="s">
        <v>37</v>
      </c>
      <c r="E795" s="6" t="s">
        <v>38</v>
      </c>
      <c r="F795" s="7">
        <v>32176</v>
      </c>
      <c r="G795" s="8">
        <f t="shared" si="12"/>
        <v>32176</v>
      </c>
      <c r="H795" s="6" t="s">
        <v>39</v>
      </c>
      <c r="I795" s="9" t="str">
        <f>IF(ISNA(VLOOKUP(A795,'[1]Craig Eval'!A:C,3,FALSE)),"",(VLOOKUP(A795,'[1]Craig Eval'!A:C,3,FALSE))*1000)</f>
        <v/>
      </c>
      <c r="J795" s="10" t="str">
        <f>IF(ISNA(VLOOKUP(A795,'[1]Craig Eval'!A:M,13,FALSE)),"",VLOOKUP(A795,'[1]Craig Eval'!A:M,13,FALSE))</f>
        <v/>
      </c>
      <c r="K795" s="17">
        <v>1</v>
      </c>
    </row>
    <row r="796" spans="1:11" ht="30" x14ac:dyDescent="0.25">
      <c r="A796" s="18" t="s">
        <v>1612</v>
      </c>
      <c r="B796" s="19" t="s">
        <v>1613</v>
      </c>
      <c r="C796" s="5">
        <v>1960</v>
      </c>
      <c r="D796" s="21" t="s">
        <v>28</v>
      </c>
      <c r="E796" s="21" t="s">
        <v>17</v>
      </c>
      <c r="F796" s="22">
        <v>25569</v>
      </c>
      <c r="G796" s="23">
        <f t="shared" si="12"/>
        <v>25569</v>
      </c>
      <c r="H796" s="21" t="s">
        <v>13</v>
      </c>
      <c r="I796" s="9">
        <f>IF(ISNA(VLOOKUP(A796,'[1]Craig Eval'!A:C,3,FALSE)),"",(VLOOKUP(A796,'[1]Craig Eval'!A:C,3,FALSE))*1000)</f>
        <v>41154.642948837798</v>
      </c>
      <c r="J796" s="24">
        <f>IF(ISNA(VLOOKUP(A796,'[1]Craig Eval'!A:M,13,FALSE)),"",VLOOKUP(A796,'[1]Craig Eval'!A:M,13,FALSE))</f>
        <v>114.78298699391701</v>
      </c>
      <c r="K796" s="25">
        <v>1</v>
      </c>
    </row>
    <row r="797" spans="1:11" ht="30" x14ac:dyDescent="0.25">
      <c r="A797" s="3" t="s">
        <v>1614</v>
      </c>
      <c r="B797" s="4" t="s">
        <v>1615</v>
      </c>
      <c r="C797" s="5">
        <v>54508</v>
      </c>
      <c r="D797" s="6" t="s">
        <v>31</v>
      </c>
      <c r="E797" s="6" t="s">
        <v>17</v>
      </c>
      <c r="F797" s="7">
        <v>38538</v>
      </c>
      <c r="G797" s="8">
        <f t="shared" si="12"/>
        <v>38538</v>
      </c>
      <c r="H797" s="6" t="s">
        <v>13</v>
      </c>
      <c r="I797" s="9">
        <f>IF(ISNA(VLOOKUP(A797,'[1]Craig Eval'!A:C,3,FALSE)),"",(VLOOKUP(A797,'[1]Craig Eval'!A:C,3,FALSE))*1000)</f>
        <v>13895.826374649401</v>
      </c>
      <c r="J797" s="10">
        <f>IF(ISNA(VLOOKUP(A797,'[1]Craig Eval'!A:M,13,FALSE)),"",VLOOKUP(A797,'[1]Craig Eval'!A:M,13,FALSE))</f>
        <v>40.545233905337099</v>
      </c>
      <c r="K797" s="17">
        <v>1</v>
      </c>
    </row>
    <row r="798" spans="1:11" ht="30" x14ac:dyDescent="0.25">
      <c r="A798" s="3" t="s">
        <v>1616</v>
      </c>
      <c r="B798" s="4" t="s">
        <v>1617</v>
      </c>
      <c r="C798" s="14">
        <v>38193</v>
      </c>
      <c r="D798" s="6" t="s">
        <v>11</v>
      </c>
      <c r="E798" s="6" t="s">
        <v>12</v>
      </c>
      <c r="F798" s="7">
        <v>39297</v>
      </c>
      <c r="G798" s="8">
        <f t="shared" si="12"/>
        <v>39297</v>
      </c>
      <c r="H798" s="6" t="s">
        <v>776</v>
      </c>
      <c r="I798" s="9" t="str">
        <f>IF(ISNA(VLOOKUP(A798,'[1]Craig Eval'!A:C,3,FALSE)),"",(VLOOKUP(A798,'[1]Craig Eval'!A:C,3,FALSE))*1000)</f>
        <v/>
      </c>
      <c r="J798" s="10" t="str">
        <f>IF(ISNA(VLOOKUP(A798,'[1]Craig Eval'!A:M,13,FALSE)),"",VLOOKUP(A798,'[1]Craig Eval'!A:M,13,FALSE))</f>
        <v/>
      </c>
      <c r="K798" s="17">
        <v>2</v>
      </c>
    </row>
    <row r="799" spans="1:11" ht="30" x14ac:dyDescent="0.25">
      <c r="A799" s="3" t="s">
        <v>1618</v>
      </c>
      <c r="B799" s="4" t="s">
        <v>1619</v>
      </c>
      <c r="C799" s="5">
        <v>2002</v>
      </c>
      <c r="D799" s="6" t="s">
        <v>31</v>
      </c>
      <c r="E799" s="6" t="s">
        <v>17</v>
      </c>
      <c r="F799" s="7">
        <v>31048</v>
      </c>
      <c r="G799" s="8">
        <f t="shared" si="12"/>
        <v>31048</v>
      </c>
      <c r="H799" s="6" t="s">
        <v>13</v>
      </c>
      <c r="I799" s="9">
        <f>IF(ISNA(VLOOKUP(A799,'[1]Craig Eval'!A:C,3,FALSE)),"",(VLOOKUP(A799,'[1]Craig Eval'!A:C,3,FALSE))*1000)</f>
        <v>5488.5961298505699</v>
      </c>
      <c r="J799" s="10">
        <f>IF(ISNA(VLOOKUP(A799,'[1]Craig Eval'!A:M,13,FALSE)),"",VLOOKUP(A799,'[1]Craig Eval'!A:M,13,FALSE))</f>
        <v>16.413757909830299</v>
      </c>
      <c r="K799" s="17">
        <v>1</v>
      </c>
    </row>
    <row r="800" spans="1:11" ht="30" x14ac:dyDescent="0.25">
      <c r="A800" s="3" t="s">
        <v>1620</v>
      </c>
      <c r="B800" s="4" t="s">
        <v>1621</v>
      </c>
      <c r="C800" s="5">
        <v>1267</v>
      </c>
      <c r="D800" s="6" t="s">
        <v>16</v>
      </c>
      <c r="E800" s="6" t="s">
        <v>17</v>
      </c>
      <c r="F800" s="7">
        <v>29221</v>
      </c>
      <c r="G800" s="8">
        <f t="shared" si="12"/>
        <v>29221</v>
      </c>
      <c r="H800" s="6" t="s">
        <v>13</v>
      </c>
      <c r="I800" s="9" t="str">
        <f>IF(ISNA(VLOOKUP(A800,'[1]Craig Eval'!A:C,3,FALSE)),"",(VLOOKUP(A800,'[1]Craig Eval'!A:C,3,FALSE))*1000)</f>
        <v/>
      </c>
      <c r="J800" s="10" t="str">
        <f>IF(ISNA(VLOOKUP(A800,'[1]Craig Eval'!A:M,13,FALSE)),"",VLOOKUP(A800,'[1]Craig Eval'!A:M,13,FALSE))</f>
        <v/>
      </c>
      <c r="K800" s="17">
        <v>1</v>
      </c>
    </row>
    <row r="801" spans="1:11" ht="30" x14ac:dyDescent="0.25">
      <c r="A801" s="18" t="s">
        <v>1622</v>
      </c>
      <c r="B801" s="19" t="s">
        <v>1623</v>
      </c>
      <c r="C801" s="20">
        <v>1432</v>
      </c>
      <c r="D801" s="21" t="s">
        <v>16</v>
      </c>
      <c r="E801" s="21" t="s">
        <v>17</v>
      </c>
      <c r="F801" s="22">
        <v>31048</v>
      </c>
      <c r="G801" s="23">
        <f t="shared" si="12"/>
        <v>31048</v>
      </c>
      <c r="H801" s="21" t="s">
        <v>13</v>
      </c>
      <c r="I801" s="9" t="str">
        <f>IF(ISNA(VLOOKUP(A801,'[1]Craig Eval'!A:C,3,FALSE)),"",(VLOOKUP(A801,'[1]Craig Eval'!A:C,3,FALSE))*1000)</f>
        <v/>
      </c>
      <c r="J801" s="24" t="str">
        <f>IF(ISNA(VLOOKUP(A801,'[1]Craig Eval'!A:M,13,FALSE)),"",VLOOKUP(A801,'[1]Craig Eval'!A:M,13,FALSE))</f>
        <v/>
      </c>
      <c r="K801" s="25">
        <v>2</v>
      </c>
    </row>
    <row r="802" spans="1:11" ht="30" x14ac:dyDescent="0.25">
      <c r="A802" s="3" t="s">
        <v>1624</v>
      </c>
      <c r="B802" s="4" t="s">
        <v>1625</v>
      </c>
      <c r="C802" s="14">
        <v>1828</v>
      </c>
      <c r="D802" s="6" t="s">
        <v>31</v>
      </c>
      <c r="E802" s="6" t="s">
        <v>17</v>
      </c>
      <c r="F802" s="7">
        <v>29221</v>
      </c>
      <c r="G802" s="8">
        <f t="shared" si="12"/>
        <v>29221</v>
      </c>
      <c r="H802" s="6" t="s">
        <v>13</v>
      </c>
      <c r="I802" s="9">
        <f>IF(ISNA(VLOOKUP(A802,'[1]Craig Eval'!A:C,3,FALSE)),"",(VLOOKUP(A802,'[1]Craig Eval'!A:C,3,FALSE))*1000)</f>
        <v>56598.097622603294</v>
      </c>
      <c r="J802" s="10">
        <f>IF(ISNA(VLOOKUP(A802,'[1]Craig Eval'!A:M,13,FALSE)),"",VLOOKUP(A802,'[1]Craig Eval'!A:M,13,FALSE))</f>
        <v>155.09181221456799</v>
      </c>
      <c r="K802" s="17">
        <v>2</v>
      </c>
    </row>
    <row r="803" spans="1:11" ht="30" x14ac:dyDescent="0.25">
      <c r="A803" s="3" t="s">
        <v>1626</v>
      </c>
      <c r="B803" s="4" t="s">
        <v>1627</v>
      </c>
      <c r="C803" s="5">
        <v>15047</v>
      </c>
      <c r="D803" s="6" t="s">
        <v>31</v>
      </c>
      <c r="E803" s="6" t="s">
        <v>17</v>
      </c>
      <c r="F803" s="7">
        <v>28557</v>
      </c>
      <c r="G803" s="8">
        <f t="shared" si="12"/>
        <v>28557</v>
      </c>
      <c r="H803" s="6" t="s">
        <v>13</v>
      </c>
      <c r="I803" s="9">
        <f>IF(ISNA(VLOOKUP(A803,'[1]Craig Eval'!A:C,3,FALSE)),"",(VLOOKUP(A803,'[1]Craig Eval'!A:C,3,FALSE))*1000)</f>
        <v>49742.013723722004</v>
      </c>
      <c r="J803" s="10">
        <f>IF(ISNA(VLOOKUP(A803,'[1]Craig Eval'!A:M,13,FALSE)),"",VLOOKUP(A803,'[1]Craig Eval'!A:M,13,FALSE))</f>
        <v>137.321835391403</v>
      </c>
      <c r="K803" s="17">
        <v>1</v>
      </c>
    </row>
    <row r="804" spans="1:11" ht="30" x14ac:dyDescent="0.25">
      <c r="A804" s="3" t="s">
        <v>1628</v>
      </c>
      <c r="B804" s="4" t="s">
        <v>1629</v>
      </c>
      <c r="C804" s="5">
        <v>12485</v>
      </c>
      <c r="D804" s="6" t="s">
        <v>28</v>
      </c>
      <c r="E804" s="6" t="s">
        <v>17</v>
      </c>
      <c r="F804" s="7">
        <v>37915</v>
      </c>
      <c r="G804" s="8">
        <f t="shared" si="12"/>
        <v>37915</v>
      </c>
      <c r="H804" s="6" t="s">
        <v>13</v>
      </c>
      <c r="I804" s="9">
        <f>IF(ISNA(VLOOKUP(A804,'[1]Craig Eval'!A:C,3,FALSE)),"",(VLOOKUP(A804,'[1]Craig Eval'!A:C,3,FALSE))*1000)</f>
        <v>11923.379272381499</v>
      </c>
      <c r="J804" s="10">
        <f>IF(ISNA(VLOOKUP(A804,'[1]Craig Eval'!A:M,13,FALSE)),"",VLOOKUP(A804,'[1]Craig Eval'!A:M,13,FALSE))</f>
        <v>34.957609858415701</v>
      </c>
      <c r="K804" s="17">
        <v>2</v>
      </c>
    </row>
    <row r="805" spans="1:11" ht="30" x14ac:dyDescent="0.25">
      <c r="A805" s="3" t="s">
        <v>1630</v>
      </c>
      <c r="B805" s="4" t="s">
        <v>1631</v>
      </c>
      <c r="C805" s="5">
        <v>14082</v>
      </c>
      <c r="D805" s="6" t="s">
        <v>37</v>
      </c>
      <c r="E805" s="6" t="s">
        <v>38</v>
      </c>
      <c r="F805" s="7">
        <v>36987</v>
      </c>
      <c r="G805" s="8">
        <f t="shared" si="12"/>
        <v>36987</v>
      </c>
      <c r="H805" s="6" t="s">
        <v>39</v>
      </c>
      <c r="I805" s="9" t="str">
        <f>IF(ISNA(VLOOKUP(A805,'[1]Craig Eval'!A:C,3,FALSE)),"",(VLOOKUP(A805,'[1]Craig Eval'!A:C,3,FALSE))*1000)</f>
        <v/>
      </c>
      <c r="J805" s="10" t="str">
        <f>IF(ISNA(VLOOKUP(A805,'[1]Craig Eval'!A:M,13,FALSE)),"",VLOOKUP(A805,'[1]Craig Eval'!A:M,13,FALSE))</f>
        <v/>
      </c>
      <c r="K805" s="17">
        <v>1</v>
      </c>
    </row>
    <row r="806" spans="1:11" ht="30" x14ac:dyDescent="0.25">
      <c r="A806" s="3" t="s">
        <v>1632</v>
      </c>
      <c r="B806" s="4" t="s">
        <v>1633</v>
      </c>
      <c r="C806" s="5">
        <v>21446</v>
      </c>
      <c r="D806" s="6" t="s">
        <v>28</v>
      </c>
      <c r="E806" s="6" t="s">
        <v>17</v>
      </c>
      <c r="F806" s="7">
        <v>38506</v>
      </c>
      <c r="G806" s="8">
        <f t="shared" si="12"/>
        <v>38506</v>
      </c>
      <c r="H806" s="6" t="s">
        <v>13</v>
      </c>
      <c r="I806" s="9">
        <f>IF(ISNA(VLOOKUP(A806,'[1]Craig Eval'!A:C,3,FALSE)),"",(VLOOKUP(A806,'[1]Craig Eval'!A:C,3,FALSE))*1000)</f>
        <v>10129.7628230469</v>
      </c>
      <c r="J806" s="10">
        <f>IF(ISNA(VLOOKUP(A806,'[1]Craig Eval'!A:M,13,FALSE)),"",VLOOKUP(A806,'[1]Craig Eval'!A:M,13,FALSE))</f>
        <v>29.8408525061663</v>
      </c>
      <c r="K806" s="17">
        <v>1</v>
      </c>
    </row>
    <row r="807" spans="1:11" ht="30" x14ac:dyDescent="0.25">
      <c r="A807" s="3" t="s">
        <v>1634</v>
      </c>
      <c r="B807" s="4" t="s">
        <v>1635</v>
      </c>
      <c r="C807" s="14">
        <v>16644</v>
      </c>
      <c r="D807" s="6" t="s">
        <v>28</v>
      </c>
      <c r="E807" s="6" t="s">
        <v>17</v>
      </c>
      <c r="F807" s="7">
        <v>37964</v>
      </c>
      <c r="G807" s="8">
        <f t="shared" si="12"/>
        <v>37964</v>
      </c>
      <c r="H807" s="6" t="s">
        <v>13</v>
      </c>
      <c r="I807" s="9">
        <f>IF(ISNA(VLOOKUP(A807,'[1]Craig Eval'!A:C,3,FALSE)),"",(VLOOKUP(A807,'[1]Craig Eval'!A:C,3,FALSE))*1000)</f>
        <v>91320.0451275714</v>
      </c>
      <c r="J807" s="10">
        <f>IF(ISNA(VLOOKUP(A807,'[1]Craig Eval'!A:M,13,FALSE)),"",VLOOKUP(A807,'[1]Craig Eval'!A:M,13,FALSE))</f>
        <v>242.57382228089099</v>
      </c>
      <c r="K807" s="17">
        <v>4</v>
      </c>
    </row>
    <row r="808" spans="1:11" ht="30" x14ac:dyDescent="0.25">
      <c r="A808" s="3" t="s">
        <v>1636</v>
      </c>
      <c r="B808" s="4" t="s">
        <v>1637</v>
      </c>
      <c r="C808" s="5">
        <v>37090</v>
      </c>
      <c r="D808" s="6" t="s">
        <v>31</v>
      </c>
      <c r="E808" s="6" t="s">
        <v>17</v>
      </c>
      <c r="F808" s="7">
        <v>25876</v>
      </c>
      <c r="G808" s="8">
        <f t="shared" si="12"/>
        <v>25876</v>
      </c>
      <c r="H808" s="6" t="s">
        <v>13</v>
      </c>
      <c r="I808" s="9" t="str">
        <f>IF(ISNA(VLOOKUP(A808,'[1]Craig Eval'!A:C,3,FALSE)),"",(VLOOKUP(A808,'[1]Craig Eval'!A:C,3,FALSE))*1000)</f>
        <v/>
      </c>
      <c r="J808" s="10" t="str">
        <f>IF(ISNA(VLOOKUP(A808,'[1]Craig Eval'!A:M,13,FALSE)),"",VLOOKUP(A808,'[1]Craig Eval'!A:M,13,FALSE))</f>
        <v/>
      </c>
      <c r="K808" s="17">
        <v>1</v>
      </c>
    </row>
    <row r="809" spans="1:11" ht="30" x14ac:dyDescent="0.25">
      <c r="A809" s="3" t="s">
        <v>1638</v>
      </c>
      <c r="B809" s="4" t="s">
        <v>1639</v>
      </c>
      <c r="C809" s="5">
        <v>1942</v>
      </c>
      <c r="D809" s="6" t="s">
        <v>28</v>
      </c>
      <c r="E809" s="6" t="s">
        <v>17</v>
      </c>
      <c r="F809" s="7">
        <v>29952</v>
      </c>
      <c r="G809" s="8">
        <f t="shared" si="12"/>
        <v>29952</v>
      </c>
      <c r="H809" s="6" t="s">
        <v>13</v>
      </c>
      <c r="I809" s="9">
        <f>IF(ISNA(VLOOKUP(A809,'[1]Craig Eval'!A:C,3,FALSE)),"",(VLOOKUP(A809,'[1]Craig Eval'!A:C,3,FALSE))*1000)</f>
        <v>15360.2308696563</v>
      </c>
      <c r="J809" s="10">
        <f>IF(ISNA(VLOOKUP(A809,'[1]Craig Eval'!A:M,13,FALSE)),"",VLOOKUP(A809,'[1]Craig Eval'!A:M,13,FALSE))</f>
        <v>44.669161633048297</v>
      </c>
      <c r="K809" s="17">
        <v>2</v>
      </c>
    </row>
    <row r="810" spans="1:11" ht="30" x14ac:dyDescent="0.25">
      <c r="A810" s="3" t="s">
        <v>1640</v>
      </c>
      <c r="B810" s="4" t="s">
        <v>1641</v>
      </c>
      <c r="C810" s="5">
        <v>1040</v>
      </c>
      <c r="D810" s="6" t="s">
        <v>31</v>
      </c>
      <c r="E810" s="6" t="s">
        <v>17</v>
      </c>
      <c r="F810" s="7">
        <v>38323</v>
      </c>
      <c r="G810" s="8">
        <f t="shared" si="12"/>
        <v>38323</v>
      </c>
      <c r="H810" s="6" t="s">
        <v>13</v>
      </c>
      <c r="I810" s="9">
        <f>IF(ISNA(VLOOKUP(A810,'[1]Craig Eval'!A:C,3,FALSE)),"",(VLOOKUP(A810,'[1]Craig Eval'!A:C,3,FALSE))*1000)</f>
        <v>4530.5188416279507</v>
      </c>
      <c r="J810" s="10">
        <f>IF(ISNA(VLOOKUP(A810,'[1]Craig Eval'!A:M,13,FALSE)),"",VLOOKUP(A810,'[1]Craig Eval'!A:M,13,FALSE))</f>
        <v>13.6015170769678</v>
      </c>
      <c r="K810" s="17">
        <v>1</v>
      </c>
    </row>
    <row r="811" spans="1:11" ht="30" x14ac:dyDescent="0.25">
      <c r="A811" s="3" t="s">
        <v>1642</v>
      </c>
      <c r="B811" s="4" t="s">
        <v>1643</v>
      </c>
      <c r="C811" s="5">
        <v>1965</v>
      </c>
      <c r="D811" s="6" t="s">
        <v>11</v>
      </c>
      <c r="E811" s="6" t="s">
        <v>17</v>
      </c>
      <c r="F811" s="7">
        <v>36549</v>
      </c>
      <c r="G811" s="8">
        <f t="shared" si="12"/>
        <v>36549</v>
      </c>
      <c r="H811" s="6" t="s">
        <v>13</v>
      </c>
      <c r="I811" s="9" t="str">
        <f>IF(ISNA(VLOOKUP(A811,'[1]Craig Eval'!A:C,3,FALSE)),"",(VLOOKUP(A811,'[1]Craig Eval'!A:C,3,FALSE))*1000)</f>
        <v/>
      </c>
      <c r="J811" s="10" t="str">
        <f>IF(ISNA(VLOOKUP(A811,'[1]Craig Eval'!A:M,13,FALSE)),"",VLOOKUP(A811,'[1]Craig Eval'!A:M,13,FALSE))</f>
        <v/>
      </c>
      <c r="K811" s="17">
        <v>1</v>
      </c>
    </row>
    <row r="812" spans="1:11" ht="30" x14ac:dyDescent="0.25">
      <c r="A812" s="3" t="s">
        <v>1644</v>
      </c>
      <c r="B812" s="4" t="s">
        <v>1645</v>
      </c>
      <c r="C812" s="14">
        <v>31633</v>
      </c>
      <c r="D812" s="6" t="s">
        <v>28</v>
      </c>
      <c r="E812" s="6" t="s">
        <v>508</v>
      </c>
      <c r="F812" s="7">
        <v>37739</v>
      </c>
      <c r="G812" s="8">
        <f t="shared" si="12"/>
        <v>37739</v>
      </c>
      <c r="H812" s="6" t="s">
        <v>509</v>
      </c>
      <c r="I812" s="9" t="str">
        <f>IF(ISNA(VLOOKUP(A812,'[1]Craig Eval'!A:C,3,FALSE)),"",(VLOOKUP(A812,'[1]Craig Eval'!A:C,3,FALSE))*1000)</f>
        <v/>
      </c>
      <c r="J812" s="10" t="str">
        <f>IF(ISNA(VLOOKUP(A812,'[1]Craig Eval'!A:M,13,FALSE)),"",VLOOKUP(A812,'[1]Craig Eval'!A:M,13,FALSE))</f>
        <v/>
      </c>
      <c r="K812" s="17">
        <v>2</v>
      </c>
    </row>
    <row r="813" spans="1:11" ht="30" x14ac:dyDescent="0.25">
      <c r="A813" s="3" t="s">
        <v>1646</v>
      </c>
      <c r="B813" s="4" t="s">
        <v>1647</v>
      </c>
      <c r="C813" s="5">
        <v>13444</v>
      </c>
      <c r="D813" s="6" t="s">
        <v>34</v>
      </c>
      <c r="E813" s="6" t="s">
        <v>17</v>
      </c>
      <c r="F813" s="7">
        <v>37743</v>
      </c>
      <c r="G813" s="8">
        <f t="shared" si="12"/>
        <v>37743</v>
      </c>
      <c r="H813" s="6" t="s">
        <v>13</v>
      </c>
      <c r="I813" s="9" t="str">
        <f>IF(ISNA(VLOOKUP(A813,'[1]Craig Eval'!A:C,3,FALSE)),"",(VLOOKUP(A813,'[1]Craig Eval'!A:C,3,FALSE))*1000)</f>
        <v/>
      </c>
      <c r="J813" s="10" t="str">
        <f>IF(ISNA(VLOOKUP(A813,'[1]Craig Eval'!A:M,13,FALSE)),"",VLOOKUP(A813,'[1]Craig Eval'!A:M,13,FALSE))</f>
        <v/>
      </c>
      <c r="K813" s="17">
        <v>1</v>
      </c>
    </row>
    <row r="814" spans="1:11" ht="30" x14ac:dyDescent="0.25">
      <c r="A814" s="3" t="s">
        <v>1648</v>
      </c>
      <c r="B814" s="4" t="s">
        <v>1649</v>
      </c>
      <c r="C814" s="5">
        <v>1234</v>
      </c>
      <c r="D814" s="6" t="s">
        <v>34</v>
      </c>
      <c r="E814" s="6" t="s">
        <v>17</v>
      </c>
      <c r="F814" s="7">
        <v>33345</v>
      </c>
      <c r="G814" s="8">
        <f t="shared" si="12"/>
        <v>33345</v>
      </c>
      <c r="H814" s="6" t="s">
        <v>13</v>
      </c>
      <c r="I814" s="9" t="str">
        <f>IF(ISNA(VLOOKUP(A814,'[1]Craig Eval'!A:C,3,FALSE)),"",(VLOOKUP(A814,'[1]Craig Eval'!A:C,3,FALSE))*1000)</f>
        <v/>
      </c>
      <c r="J814" s="10" t="str">
        <f>IF(ISNA(VLOOKUP(A814,'[1]Craig Eval'!A:M,13,FALSE)),"",VLOOKUP(A814,'[1]Craig Eval'!A:M,13,FALSE))</f>
        <v/>
      </c>
      <c r="K814" s="17">
        <v>1</v>
      </c>
    </row>
    <row r="815" spans="1:11" ht="30" x14ac:dyDescent="0.25">
      <c r="A815" s="3" t="s">
        <v>1650</v>
      </c>
      <c r="B815" s="4" t="s">
        <v>1651</v>
      </c>
      <c r="C815" s="5">
        <v>1237</v>
      </c>
      <c r="D815" s="6" t="s">
        <v>34</v>
      </c>
      <c r="E815" s="6" t="s">
        <v>17</v>
      </c>
      <c r="F815" s="7">
        <v>36490</v>
      </c>
      <c r="G815" s="8">
        <f t="shared" si="12"/>
        <v>36490</v>
      </c>
      <c r="H815" s="6" t="s">
        <v>13</v>
      </c>
      <c r="I815" s="9" t="str">
        <f>IF(ISNA(VLOOKUP(A815,'[1]Craig Eval'!A:C,3,FALSE)),"",(VLOOKUP(A815,'[1]Craig Eval'!A:C,3,FALSE))*1000)</f>
        <v/>
      </c>
      <c r="J815" s="10" t="str">
        <f>IF(ISNA(VLOOKUP(A815,'[1]Craig Eval'!A:M,13,FALSE)),"",VLOOKUP(A815,'[1]Craig Eval'!A:M,13,FALSE))</f>
        <v/>
      </c>
      <c r="K815" s="17">
        <v>1</v>
      </c>
    </row>
    <row r="816" spans="1:11" ht="30" x14ac:dyDescent="0.25">
      <c r="A816" s="3" t="s">
        <v>1652</v>
      </c>
      <c r="B816" s="4" t="s">
        <v>1653</v>
      </c>
      <c r="C816" s="5">
        <v>2247</v>
      </c>
      <c r="D816" s="6" t="s">
        <v>34</v>
      </c>
      <c r="E816" s="6" t="s">
        <v>17</v>
      </c>
      <c r="F816" s="7">
        <v>37257</v>
      </c>
      <c r="G816" s="8">
        <f t="shared" si="12"/>
        <v>37257</v>
      </c>
      <c r="H816" s="6" t="s">
        <v>13</v>
      </c>
      <c r="I816" s="9" t="str">
        <f>IF(ISNA(VLOOKUP(A816,'[1]Craig Eval'!A:C,3,FALSE)),"",(VLOOKUP(A816,'[1]Craig Eval'!A:C,3,FALSE))*1000)</f>
        <v/>
      </c>
      <c r="J816" s="10" t="str">
        <f>IF(ISNA(VLOOKUP(A816,'[1]Craig Eval'!A:M,13,FALSE)),"",VLOOKUP(A816,'[1]Craig Eval'!A:M,13,FALSE))</f>
        <v/>
      </c>
      <c r="K816" s="17">
        <v>1</v>
      </c>
    </row>
    <row r="817" spans="1:11" ht="30" x14ac:dyDescent="0.25">
      <c r="A817" s="3" t="s">
        <v>1654</v>
      </c>
      <c r="B817" s="4" t="s">
        <v>1655</v>
      </c>
      <c r="C817" s="5">
        <v>20803</v>
      </c>
      <c r="D817" s="6" t="s">
        <v>31</v>
      </c>
      <c r="E817" s="6" t="s">
        <v>17</v>
      </c>
      <c r="F817" s="7">
        <v>27866</v>
      </c>
      <c r="G817" s="8">
        <f t="shared" si="12"/>
        <v>27866</v>
      </c>
      <c r="H817" s="6" t="s">
        <v>13</v>
      </c>
      <c r="I817" s="9" t="str">
        <f>IF(ISNA(VLOOKUP(A817,'[1]Craig Eval'!A:C,3,FALSE)),"",(VLOOKUP(A817,'[1]Craig Eval'!A:C,3,FALSE))*1000)</f>
        <v/>
      </c>
      <c r="J817" s="10" t="str">
        <f>IF(ISNA(VLOOKUP(A817,'[1]Craig Eval'!A:M,13,FALSE)),"",VLOOKUP(A817,'[1]Craig Eval'!A:M,13,FALSE))</f>
        <v/>
      </c>
      <c r="K817" s="17">
        <v>1</v>
      </c>
    </row>
    <row r="818" spans="1:11" ht="30" x14ac:dyDescent="0.25">
      <c r="A818" s="3" t="s">
        <v>1656</v>
      </c>
      <c r="B818" s="4" t="s">
        <v>1657</v>
      </c>
      <c r="C818" s="5">
        <v>10570</v>
      </c>
      <c r="D818" s="6" t="s">
        <v>11</v>
      </c>
      <c r="E818" s="6" t="s">
        <v>17</v>
      </c>
      <c r="F818" s="7">
        <v>37595</v>
      </c>
      <c r="G818" s="8">
        <f t="shared" si="12"/>
        <v>37595</v>
      </c>
      <c r="H818" s="6" t="s">
        <v>13</v>
      </c>
      <c r="I818" s="9" t="str">
        <f>IF(ISNA(VLOOKUP(A818,'[1]Craig Eval'!A:C,3,FALSE)),"",(VLOOKUP(A818,'[1]Craig Eval'!A:C,3,FALSE))*1000)</f>
        <v/>
      </c>
      <c r="J818" s="10" t="str">
        <f>IF(ISNA(VLOOKUP(A818,'[1]Craig Eval'!A:M,13,FALSE)),"",VLOOKUP(A818,'[1]Craig Eval'!A:M,13,FALSE))</f>
        <v/>
      </c>
      <c r="K818" s="17">
        <v>1</v>
      </c>
    </row>
    <row r="819" spans="1:11" ht="30" x14ac:dyDescent="0.25">
      <c r="A819" s="3" t="s">
        <v>1658</v>
      </c>
      <c r="B819" s="4" t="s">
        <v>1659</v>
      </c>
      <c r="C819" s="5">
        <v>1160</v>
      </c>
      <c r="D819" s="6" t="s">
        <v>31</v>
      </c>
      <c r="E819" s="6" t="s">
        <v>17</v>
      </c>
      <c r="F819" s="7">
        <v>25569</v>
      </c>
      <c r="G819" s="8">
        <f t="shared" si="12"/>
        <v>25569</v>
      </c>
      <c r="H819" s="6" t="s">
        <v>13</v>
      </c>
      <c r="I819" s="9">
        <f>IF(ISNA(VLOOKUP(A819,'[1]Craig Eval'!A:C,3,FALSE)),"",(VLOOKUP(A819,'[1]Craig Eval'!A:C,3,FALSE))*1000)</f>
        <v>25429.8089820518</v>
      </c>
      <c r="J819" s="10">
        <f>IF(ISNA(VLOOKUP(A819,'[1]Craig Eval'!A:M,13,FALSE)),"",VLOOKUP(A819,'[1]Craig Eval'!A:M,13,FALSE))</f>
        <v>72.548332373742994</v>
      </c>
      <c r="K819" s="17">
        <v>1</v>
      </c>
    </row>
    <row r="820" spans="1:11" ht="30" x14ac:dyDescent="0.25">
      <c r="A820" s="3" t="s">
        <v>1660</v>
      </c>
      <c r="B820" s="4" t="s">
        <v>1661</v>
      </c>
      <c r="C820" s="5">
        <v>1053</v>
      </c>
      <c r="D820" s="6" t="s">
        <v>16</v>
      </c>
      <c r="E820" s="6" t="s">
        <v>17</v>
      </c>
      <c r="F820" s="7">
        <v>29221</v>
      </c>
      <c r="G820" s="8">
        <f t="shared" si="12"/>
        <v>29221</v>
      </c>
      <c r="H820" s="6" t="s">
        <v>13</v>
      </c>
      <c r="I820" s="9">
        <f>IF(ISNA(VLOOKUP(A820,'[1]Craig Eval'!A:C,3,FALSE)),"",(VLOOKUP(A820,'[1]Craig Eval'!A:C,3,FALSE))*1000)</f>
        <v>27061.539233324398</v>
      </c>
      <c r="J820" s="10">
        <f>IF(ISNA(VLOOKUP(A820,'[1]Craig Eval'!A:M,13,FALSE)),"",VLOOKUP(A820,'[1]Craig Eval'!A:M,13,FALSE))</f>
        <v>76.9976572149275</v>
      </c>
      <c r="K820" s="17">
        <v>1</v>
      </c>
    </row>
    <row r="821" spans="1:11" ht="30" x14ac:dyDescent="0.25">
      <c r="A821" s="3" t="s">
        <v>1662</v>
      </c>
      <c r="B821" s="4" t="s">
        <v>1663</v>
      </c>
      <c r="C821" s="5">
        <v>1507</v>
      </c>
      <c r="D821" s="6" t="s">
        <v>28</v>
      </c>
      <c r="E821" s="6" t="s">
        <v>17</v>
      </c>
      <c r="F821" s="7">
        <v>19725</v>
      </c>
      <c r="G821" s="8">
        <f t="shared" si="12"/>
        <v>19725</v>
      </c>
      <c r="H821" s="6" t="s">
        <v>13</v>
      </c>
      <c r="I821" s="9">
        <f>IF(ISNA(VLOOKUP(A821,'[1]Craig Eval'!A:C,3,FALSE)),"",(VLOOKUP(A821,'[1]Craig Eval'!A:C,3,FALSE))*1000)</f>
        <v>19630.0807039791</v>
      </c>
      <c r="J821" s="10">
        <f>IF(ISNA(VLOOKUP(A821,'[1]Craig Eval'!A:M,13,FALSE)),"",VLOOKUP(A821,'[1]Craig Eval'!A:M,13,FALSE))</f>
        <v>56.5861970567558</v>
      </c>
      <c r="K821" s="17">
        <v>1</v>
      </c>
    </row>
    <row r="822" spans="1:11" ht="30" x14ac:dyDescent="0.25">
      <c r="A822" s="3" t="s">
        <v>1664</v>
      </c>
      <c r="B822" s="4" t="s">
        <v>1665</v>
      </c>
      <c r="C822" s="5">
        <v>1403</v>
      </c>
      <c r="D822" s="6" t="s">
        <v>34</v>
      </c>
      <c r="E822" s="6" t="s">
        <v>17</v>
      </c>
      <c r="F822" s="7">
        <v>24108</v>
      </c>
      <c r="G822" s="8">
        <f t="shared" si="12"/>
        <v>24108</v>
      </c>
      <c r="H822" s="6" t="s">
        <v>13</v>
      </c>
      <c r="I822" s="9">
        <f>IF(ISNA(VLOOKUP(A822,'[1]Craig Eval'!A:C,3,FALSE)),"",(VLOOKUP(A822,'[1]Craig Eval'!A:C,3,FALSE))*1000)</f>
        <v>10304.387008673499</v>
      </c>
      <c r="J822" s="10">
        <f>IF(ISNA(VLOOKUP(A822,'[1]Craig Eval'!A:M,13,FALSE)),"",VLOOKUP(A822,'[1]Craig Eval'!A:M,13,FALSE))</f>
        <v>30.340604851808902</v>
      </c>
      <c r="K822" s="17">
        <v>1</v>
      </c>
    </row>
    <row r="823" spans="1:11" ht="30" x14ac:dyDescent="0.25">
      <c r="A823" s="3" t="s">
        <v>1666</v>
      </c>
      <c r="B823" s="4" t="s">
        <v>1667</v>
      </c>
      <c r="C823" s="5">
        <v>19842</v>
      </c>
      <c r="D823" s="6" t="s">
        <v>16</v>
      </c>
      <c r="E823" s="6" t="s">
        <v>17</v>
      </c>
      <c r="F823" s="7">
        <v>33276</v>
      </c>
      <c r="G823" s="8">
        <f t="shared" si="12"/>
        <v>33276</v>
      </c>
      <c r="H823" s="6" t="s">
        <v>13</v>
      </c>
      <c r="I823" s="9">
        <f>IF(ISNA(VLOOKUP(A823,'[1]Craig Eval'!A:C,3,FALSE)),"",(VLOOKUP(A823,'[1]Craig Eval'!A:C,3,FALSE))*1000)</f>
        <v>29356.4117864894</v>
      </c>
      <c r="J823" s="10">
        <f>IF(ISNA(VLOOKUP(A823,'[1]Craig Eval'!A:M,13,FALSE)),"",VLOOKUP(A823,'[1]Craig Eval'!A:M,13,FALSE))</f>
        <v>83.226808422728496</v>
      </c>
      <c r="K823" s="17">
        <v>1</v>
      </c>
    </row>
    <row r="824" spans="1:11" ht="30" x14ac:dyDescent="0.25">
      <c r="A824" s="3" t="s">
        <v>1668</v>
      </c>
      <c r="B824" s="4" t="s">
        <v>1669</v>
      </c>
      <c r="C824" s="5">
        <v>1474</v>
      </c>
      <c r="D824" s="6" t="s">
        <v>31</v>
      </c>
      <c r="E824" s="6" t="s">
        <v>17</v>
      </c>
      <c r="F824" s="7">
        <v>19725</v>
      </c>
      <c r="G824" s="8">
        <f t="shared" si="12"/>
        <v>19725</v>
      </c>
      <c r="H824" s="6" t="s">
        <v>13</v>
      </c>
      <c r="I824" s="9">
        <f>IF(ISNA(VLOOKUP(A824,'[1]Craig Eval'!A:C,3,FALSE)),"",(VLOOKUP(A824,'[1]Craig Eval'!A:C,3,FALSE))*1000)</f>
        <v>11283.247942280201</v>
      </c>
      <c r="J824" s="10">
        <f>IF(ISNA(VLOOKUP(A824,'[1]Craig Eval'!A:M,13,FALSE)),"",VLOOKUP(A824,'[1]Craig Eval'!A:M,13,FALSE))</f>
        <v>33.135550954500602</v>
      </c>
      <c r="K824" s="17">
        <v>2</v>
      </c>
    </row>
    <row r="825" spans="1:11" ht="30" x14ac:dyDescent="0.25">
      <c r="A825" s="3" t="s">
        <v>1670</v>
      </c>
      <c r="B825" s="4" t="s">
        <v>1671</v>
      </c>
      <c r="C825" s="5">
        <v>1897</v>
      </c>
      <c r="D825" s="6" t="s">
        <v>31</v>
      </c>
      <c r="E825" s="6" t="s">
        <v>17</v>
      </c>
      <c r="F825" s="7">
        <v>32874</v>
      </c>
      <c r="G825" s="8">
        <f t="shared" si="12"/>
        <v>32874</v>
      </c>
      <c r="H825" s="6" t="s">
        <v>13</v>
      </c>
      <c r="I825" s="9">
        <f>IF(ISNA(VLOOKUP(A825,'[1]Craig Eval'!A:C,3,FALSE)),"",(VLOOKUP(A825,'[1]Craig Eval'!A:C,3,FALSE))*1000)</f>
        <v>5882.9843591768094</v>
      </c>
      <c r="J825" s="10">
        <f>IF(ISNA(VLOOKUP(A825,'[1]Craig Eval'!A:M,13,FALSE)),"",VLOOKUP(A825,'[1]Craig Eval'!A:M,13,FALSE))</f>
        <v>17.5668496492721</v>
      </c>
      <c r="K825" s="17">
        <v>1</v>
      </c>
    </row>
    <row r="826" spans="1:11" ht="30" x14ac:dyDescent="0.25">
      <c r="A826" s="3" t="s">
        <v>1672</v>
      </c>
      <c r="B826" s="4" t="s">
        <v>1673</v>
      </c>
      <c r="C826" s="5">
        <v>1066</v>
      </c>
      <c r="D826" s="6" t="s">
        <v>16</v>
      </c>
      <c r="E826" s="6" t="s">
        <v>17</v>
      </c>
      <c r="F826" s="7">
        <v>32874</v>
      </c>
      <c r="G826" s="8">
        <f t="shared" si="12"/>
        <v>32874</v>
      </c>
      <c r="H826" s="6" t="s">
        <v>13</v>
      </c>
      <c r="I826" s="9">
        <f>IF(ISNA(VLOOKUP(A826,'[1]Craig Eval'!A:C,3,FALSE)),"",(VLOOKUP(A826,'[1]Craig Eval'!A:C,3,FALSE))*1000)</f>
        <v>27552.6944556075</v>
      </c>
      <c r="J826" s="10">
        <f>IF(ISNA(VLOOKUP(A826,'[1]Craig Eval'!A:M,13,FALSE)),"",VLOOKUP(A826,'[1]Craig Eval'!A:M,13,FALSE))</f>
        <v>78.333582941746698</v>
      </c>
      <c r="K826" s="17">
        <v>2</v>
      </c>
    </row>
    <row r="827" spans="1:11" ht="30" x14ac:dyDescent="0.25">
      <c r="A827" s="3" t="s">
        <v>1674</v>
      </c>
      <c r="B827" s="4" t="s">
        <v>1675</v>
      </c>
      <c r="C827" s="5">
        <v>1692</v>
      </c>
      <c r="D827" s="6" t="s">
        <v>28</v>
      </c>
      <c r="E827" s="6" t="s">
        <v>17</v>
      </c>
      <c r="F827" s="7">
        <v>19725</v>
      </c>
      <c r="G827" s="8">
        <f t="shared" si="12"/>
        <v>19725</v>
      </c>
      <c r="H827" s="6" t="s">
        <v>13</v>
      </c>
      <c r="I827" s="9">
        <f>IF(ISNA(VLOOKUP(A827,'[1]Craig Eval'!A:C,3,FALSE)),"",(VLOOKUP(A827,'[1]Craig Eval'!A:C,3,FALSE))*1000)</f>
        <v>26786.451803726701</v>
      </c>
      <c r="J827" s="10">
        <f>IF(ISNA(VLOOKUP(A827,'[1]Craig Eval'!A:M,13,FALSE)),"",VLOOKUP(A827,'[1]Craig Eval'!A:M,13,FALSE))</f>
        <v>76.248762246324404</v>
      </c>
      <c r="K827" s="17">
        <v>2</v>
      </c>
    </row>
    <row r="828" spans="1:11" ht="30" x14ac:dyDescent="0.25">
      <c r="A828" s="3" t="s">
        <v>1676</v>
      </c>
      <c r="B828" s="4" t="s">
        <v>1677</v>
      </c>
      <c r="C828" s="5">
        <v>18568</v>
      </c>
      <c r="D828" s="6" t="s">
        <v>34</v>
      </c>
      <c r="E828" s="6" t="s">
        <v>17</v>
      </c>
      <c r="F828" s="7">
        <v>38546</v>
      </c>
      <c r="G828" s="8">
        <f t="shared" si="12"/>
        <v>38546</v>
      </c>
      <c r="H828" s="6" t="s">
        <v>13</v>
      </c>
      <c r="I828" s="9">
        <f>IF(ISNA(VLOOKUP(A828,'[1]Craig Eval'!A:C,3,FALSE)),"",(VLOOKUP(A828,'[1]Craig Eval'!A:C,3,FALSE))*1000)</f>
        <v>8608.6398850690803</v>
      </c>
      <c r="J828" s="10">
        <f>IF(ISNA(VLOOKUP(A828,'[1]Craig Eval'!A:M,13,FALSE)),"",VLOOKUP(A828,'[1]Craig Eval'!A:M,13,FALSE))</f>
        <v>25.472100114654101</v>
      </c>
      <c r="K828" s="17">
        <v>1</v>
      </c>
    </row>
    <row r="829" spans="1:11" ht="30" x14ac:dyDescent="0.25">
      <c r="A829" s="3" t="s">
        <v>1678</v>
      </c>
      <c r="B829" s="4" t="s">
        <v>1679</v>
      </c>
      <c r="C829" s="14">
        <v>1497</v>
      </c>
      <c r="D829" s="6" t="s">
        <v>28</v>
      </c>
      <c r="E829" s="6" t="s">
        <v>17</v>
      </c>
      <c r="F829" s="7">
        <v>29221</v>
      </c>
      <c r="G829" s="8">
        <f t="shared" si="12"/>
        <v>29221</v>
      </c>
      <c r="H829" s="6" t="s">
        <v>13</v>
      </c>
      <c r="I829" s="9">
        <f>IF(ISNA(VLOOKUP(A829,'[1]Craig Eval'!A:C,3,FALSE)),"",(VLOOKUP(A829,'[1]Craig Eval'!A:C,3,FALSE))*1000)</f>
        <v>21458.843341743101</v>
      </c>
      <c r="J829" s="10">
        <f>IF(ISNA(VLOOKUP(A829,'[1]Craig Eval'!A:M,13,FALSE)),"",VLOOKUP(A829,'[1]Craig Eval'!A:M,13,FALSE))</f>
        <v>61.645548293558001</v>
      </c>
      <c r="K829" s="17">
        <v>1</v>
      </c>
    </row>
    <row r="830" spans="1:11" ht="30" x14ac:dyDescent="0.25">
      <c r="A830" s="26" t="s">
        <v>1680</v>
      </c>
      <c r="B830" s="27" t="s">
        <v>1681</v>
      </c>
      <c r="C830" s="5">
        <v>1430</v>
      </c>
      <c r="D830" s="28" t="s">
        <v>16</v>
      </c>
      <c r="E830" s="28" t="s">
        <v>17</v>
      </c>
      <c r="F830" s="29">
        <v>29221</v>
      </c>
      <c r="G830" s="30">
        <f t="shared" si="12"/>
        <v>29221</v>
      </c>
      <c r="H830" s="28" t="s">
        <v>13</v>
      </c>
      <c r="I830" s="31" t="str">
        <f>IF(ISNA(VLOOKUP(A830,'[1]Craig Eval'!A:C,3,FALSE)),"",(VLOOKUP(A830,'[1]Craig Eval'!A:C,3,FALSE))*1000)</f>
        <v/>
      </c>
      <c r="J830" s="32" t="str">
        <f>IF(ISNA(VLOOKUP(A830,'[1]Craig Eval'!A:M,13,FALSE)),"",VLOOKUP(A830,'[1]Craig Eval'!A:M,13,FALSE))</f>
        <v/>
      </c>
      <c r="K830" s="33">
        <v>1</v>
      </c>
    </row>
    <row r="831" spans="1:11" ht="30" x14ac:dyDescent="0.25">
      <c r="A831" s="3" t="s">
        <v>1682</v>
      </c>
      <c r="B831" s="4" t="s">
        <v>1683</v>
      </c>
      <c r="C831" s="5">
        <v>15042</v>
      </c>
      <c r="D831" s="6" t="s">
        <v>37</v>
      </c>
      <c r="E831" s="6" t="s">
        <v>38</v>
      </c>
      <c r="F831" s="7">
        <v>37831</v>
      </c>
      <c r="G831" s="8">
        <f t="shared" si="12"/>
        <v>37831</v>
      </c>
      <c r="H831" s="6" t="s">
        <v>39</v>
      </c>
      <c r="I831" s="9" t="str">
        <f>IF(ISNA(VLOOKUP(A831,'[1]Craig Eval'!A:C,3,FALSE)),"",(VLOOKUP(A831,'[1]Craig Eval'!A:C,3,FALSE))*1000)</f>
        <v/>
      </c>
      <c r="J831" s="10" t="str">
        <f>IF(ISNA(VLOOKUP(A831,'[1]Craig Eval'!A:M,13,FALSE)),"",VLOOKUP(A831,'[1]Craig Eval'!A:M,13,FALSE))</f>
        <v/>
      </c>
      <c r="K831" s="17">
        <v>1</v>
      </c>
    </row>
    <row r="832" spans="1:11" ht="30" x14ac:dyDescent="0.25">
      <c r="A832" s="3" t="s">
        <v>1684</v>
      </c>
      <c r="B832" s="4" t="s">
        <v>1685</v>
      </c>
      <c r="C832" s="5">
        <v>13448</v>
      </c>
      <c r="D832" s="6" t="s">
        <v>16</v>
      </c>
      <c r="E832" s="6" t="s">
        <v>17</v>
      </c>
      <c r="F832" s="7">
        <v>38099</v>
      </c>
      <c r="G832" s="8">
        <f t="shared" si="12"/>
        <v>38099</v>
      </c>
      <c r="H832" s="6" t="s">
        <v>13</v>
      </c>
      <c r="I832" s="9" t="str">
        <f>IF(ISNA(VLOOKUP(A832,'[1]Craig Eval'!A:C,3,FALSE)),"",(VLOOKUP(A832,'[1]Craig Eval'!A:C,3,FALSE))*1000)</f>
        <v/>
      </c>
      <c r="J832" s="10" t="str">
        <f>IF(ISNA(VLOOKUP(A832,'[1]Craig Eval'!A:M,13,FALSE)),"",VLOOKUP(A832,'[1]Craig Eval'!A:M,13,FALSE))</f>
        <v/>
      </c>
      <c r="K832" s="17">
        <v>1</v>
      </c>
    </row>
    <row r="833" spans="1:11" ht="30" x14ac:dyDescent="0.25">
      <c r="A833" s="3" t="s">
        <v>1686</v>
      </c>
      <c r="B833" s="4" t="s">
        <v>1687</v>
      </c>
      <c r="C833" s="5">
        <v>1895</v>
      </c>
      <c r="D833" s="6" t="s">
        <v>31</v>
      </c>
      <c r="E833" s="6" t="s">
        <v>17</v>
      </c>
      <c r="F833" s="7">
        <v>33604</v>
      </c>
      <c r="G833" s="8">
        <f t="shared" si="12"/>
        <v>33604</v>
      </c>
      <c r="H833" s="6" t="s">
        <v>13</v>
      </c>
      <c r="I833" s="9">
        <f>IF(ISNA(VLOOKUP(A833,'[1]Craig Eval'!A:C,3,FALSE)),"",(VLOOKUP(A833,'[1]Craig Eval'!A:C,3,FALSE))*1000)</f>
        <v>19534.361170496501</v>
      </c>
      <c r="J833" s="10">
        <f>IF(ISNA(VLOOKUP(A833,'[1]Craig Eval'!A:M,13,FALSE)),"",VLOOKUP(A833,'[1]Craig Eval'!A:M,13,FALSE))</f>
        <v>56.320680861151203</v>
      </c>
      <c r="K833" s="17">
        <v>1</v>
      </c>
    </row>
    <row r="834" spans="1:11" ht="30" x14ac:dyDescent="0.25">
      <c r="A834" s="3" t="s">
        <v>1688</v>
      </c>
      <c r="B834" s="4" t="s">
        <v>1689</v>
      </c>
      <c r="C834" s="5">
        <v>1082</v>
      </c>
      <c r="D834" s="6" t="s">
        <v>34</v>
      </c>
      <c r="E834" s="6" t="s">
        <v>17</v>
      </c>
      <c r="F834" s="7">
        <v>36976</v>
      </c>
      <c r="G834" s="8">
        <f t="shared" ref="G834:G897" si="13">F834</f>
        <v>36976</v>
      </c>
      <c r="H834" s="6" t="s">
        <v>13</v>
      </c>
      <c r="I834" s="9" t="str">
        <f>IF(ISNA(VLOOKUP(A834,'[1]Craig Eval'!A:C,3,FALSE)),"",(VLOOKUP(A834,'[1]Craig Eval'!A:C,3,FALSE))*1000)</f>
        <v/>
      </c>
      <c r="J834" s="10" t="str">
        <f>IF(ISNA(VLOOKUP(A834,'[1]Craig Eval'!A:M,13,FALSE)),"",VLOOKUP(A834,'[1]Craig Eval'!A:M,13,FALSE))</f>
        <v/>
      </c>
      <c r="K834" s="17">
        <v>1</v>
      </c>
    </row>
    <row r="835" spans="1:11" ht="30" x14ac:dyDescent="0.25">
      <c r="A835" s="3" t="s">
        <v>1690</v>
      </c>
      <c r="B835" s="4" t="s">
        <v>1691</v>
      </c>
      <c r="C835" s="5">
        <v>54612</v>
      </c>
      <c r="D835" s="6" t="s">
        <v>28</v>
      </c>
      <c r="E835" s="6" t="s">
        <v>17</v>
      </c>
      <c r="F835" s="7">
        <v>39099</v>
      </c>
      <c r="G835" s="8">
        <f t="shared" si="13"/>
        <v>39099</v>
      </c>
      <c r="H835" s="6" t="s">
        <v>13</v>
      </c>
      <c r="I835" s="9">
        <f>IF(ISNA(VLOOKUP(A835,'[1]Craig Eval'!A:C,3,FALSE)),"",(VLOOKUP(A835,'[1]Craig Eval'!A:C,3,FALSE))*1000)</f>
        <v>45449.557103386702</v>
      </c>
      <c r="J835" s="10">
        <f>IF(ISNA(VLOOKUP(A835,'[1]Craig Eval'!A:M,13,FALSE)),"",VLOOKUP(A835,'[1]Craig Eval'!A:M,13,FALSE))</f>
        <v>126.09691590070101</v>
      </c>
      <c r="K835" s="17">
        <v>1</v>
      </c>
    </row>
    <row r="836" spans="1:11" ht="30" x14ac:dyDescent="0.25">
      <c r="A836" s="3" t="s">
        <v>1692</v>
      </c>
      <c r="B836" s="4" t="s">
        <v>1693</v>
      </c>
      <c r="C836" s="5">
        <v>54611</v>
      </c>
      <c r="D836" s="6" t="s">
        <v>28</v>
      </c>
      <c r="E836" s="6" t="s">
        <v>508</v>
      </c>
      <c r="F836" s="7">
        <v>38557</v>
      </c>
      <c r="G836" s="8">
        <f t="shared" si="13"/>
        <v>38557</v>
      </c>
      <c r="H836" s="6" t="s">
        <v>509</v>
      </c>
      <c r="I836" s="9">
        <f>IF(ISNA(VLOOKUP(A836,'[1]Craig Eval'!A:C,3,FALSE)),"",(VLOOKUP(A836,'[1]Craig Eval'!A:C,3,FALSE))*1000)</f>
        <v>47740.287128378804</v>
      </c>
      <c r="J836" s="10">
        <f>IF(ISNA(VLOOKUP(A836,'[1]Craig Eval'!A:M,13,FALSE)),"",VLOOKUP(A836,'[1]Craig Eval'!A:M,13,FALSE))</f>
        <v>132.09718400777899</v>
      </c>
      <c r="K836" s="17">
        <v>1</v>
      </c>
    </row>
    <row r="837" spans="1:11" ht="30" x14ac:dyDescent="0.25">
      <c r="A837" s="3" t="s">
        <v>1694</v>
      </c>
      <c r="B837" s="4" t="s">
        <v>1695</v>
      </c>
      <c r="C837" s="5">
        <v>1521</v>
      </c>
      <c r="D837" s="6" t="s">
        <v>16</v>
      </c>
      <c r="E837" s="6" t="s">
        <v>17</v>
      </c>
      <c r="F837" s="7">
        <v>32874</v>
      </c>
      <c r="G837" s="8">
        <f t="shared" si="13"/>
        <v>32874</v>
      </c>
      <c r="H837" s="6" t="s">
        <v>13</v>
      </c>
      <c r="I837" s="9" t="str">
        <f>IF(ISNA(VLOOKUP(A837,'[1]Craig Eval'!A:C,3,FALSE)),"",(VLOOKUP(A837,'[1]Craig Eval'!A:C,3,FALSE))*1000)</f>
        <v/>
      </c>
      <c r="J837" s="10" t="str">
        <f>IF(ISNA(VLOOKUP(A837,'[1]Craig Eval'!A:M,13,FALSE)),"",VLOOKUP(A837,'[1]Craig Eval'!A:M,13,FALSE))</f>
        <v/>
      </c>
      <c r="K837" s="17">
        <v>2</v>
      </c>
    </row>
    <row r="838" spans="1:11" ht="30" x14ac:dyDescent="0.25">
      <c r="A838" s="3" t="s">
        <v>1696</v>
      </c>
      <c r="B838" s="4" t="s">
        <v>1697</v>
      </c>
      <c r="C838" s="5">
        <v>15374</v>
      </c>
      <c r="D838" s="6" t="s">
        <v>16</v>
      </c>
      <c r="E838" s="6" t="s">
        <v>17</v>
      </c>
      <c r="F838" s="7">
        <v>25993</v>
      </c>
      <c r="G838" s="8">
        <f t="shared" si="13"/>
        <v>25993</v>
      </c>
      <c r="H838" s="6" t="s">
        <v>13</v>
      </c>
      <c r="I838" s="9">
        <f>IF(ISNA(VLOOKUP(A838,'[1]Craig Eval'!A:C,3,FALSE)),"",(VLOOKUP(A838,'[1]Craig Eval'!A:C,3,FALSE))*1000)</f>
        <v>41460.265048083398</v>
      </c>
      <c r="J838" s="10">
        <f>IF(ISNA(VLOOKUP(A838,'[1]Craig Eval'!A:M,13,FALSE)),"",VLOOKUP(A838,'[1]Craig Eval'!A:M,13,FALSE))</f>
        <v>115.59092424512301</v>
      </c>
      <c r="K838" s="17">
        <v>1</v>
      </c>
    </row>
    <row r="839" spans="1:11" ht="30" x14ac:dyDescent="0.25">
      <c r="A839" s="3" t="s">
        <v>1698</v>
      </c>
      <c r="B839" s="4" t="s">
        <v>1699</v>
      </c>
      <c r="C839" s="5">
        <v>1654</v>
      </c>
      <c r="D839" s="6" t="s">
        <v>28</v>
      </c>
      <c r="E839" s="6" t="s">
        <v>17</v>
      </c>
      <c r="F839" s="7">
        <v>32509</v>
      </c>
      <c r="G839" s="8">
        <f t="shared" si="13"/>
        <v>32509</v>
      </c>
      <c r="H839" s="6" t="s">
        <v>13</v>
      </c>
      <c r="I839" s="9">
        <f>IF(ISNA(VLOOKUP(A839,'[1]Craig Eval'!A:C,3,FALSE)),"",(VLOOKUP(A839,'[1]Craig Eval'!A:C,3,FALSE))*1000)</f>
        <v>29745.878281354202</v>
      </c>
      <c r="J839" s="10">
        <f>IF(ISNA(VLOOKUP(A839,'[1]Craig Eval'!A:M,13,FALSE)),"",VLOOKUP(A839,'[1]Craig Eval'!A:M,13,FALSE))</f>
        <v>84.280782455280601</v>
      </c>
      <c r="K839" s="17">
        <v>2</v>
      </c>
    </row>
    <row r="840" spans="1:11" ht="30" x14ac:dyDescent="0.25">
      <c r="A840" s="3" t="s">
        <v>1700</v>
      </c>
      <c r="B840" s="4" t="s">
        <v>1701</v>
      </c>
      <c r="C840" s="5">
        <v>1511</v>
      </c>
      <c r="D840" s="6" t="s">
        <v>28</v>
      </c>
      <c r="E840" s="6" t="s">
        <v>17</v>
      </c>
      <c r="F840" s="7">
        <v>32143</v>
      </c>
      <c r="G840" s="8">
        <f t="shared" si="13"/>
        <v>32143</v>
      </c>
      <c r="H840" s="6" t="s">
        <v>13</v>
      </c>
      <c r="I840" s="9">
        <f>IF(ISNA(VLOOKUP(A840,'[1]Craig Eval'!A:C,3,FALSE)),"",(VLOOKUP(A840,'[1]Craig Eval'!A:C,3,FALSE))*1000)</f>
        <v>61542.022419073299</v>
      </c>
      <c r="J840" s="10">
        <f>IF(ISNA(VLOOKUP(A840,'[1]Craig Eval'!A:M,13,FALSE)),"",VLOOKUP(A840,'[1]Craig Eval'!A:M,13,FALSE))</f>
        <v>167.79275939972501</v>
      </c>
      <c r="K840" s="17">
        <v>2</v>
      </c>
    </row>
    <row r="841" spans="1:11" ht="30" x14ac:dyDescent="0.25">
      <c r="A841" s="3" t="s">
        <v>1702</v>
      </c>
      <c r="B841" s="4" t="s">
        <v>1703</v>
      </c>
      <c r="C841" s="5">
        <v>1994</v>
      </c>
      <c r="D841" s="6" t="s">
        <v>28</v>
      </c>
      <c r="E841" s="6" t="s">
        <v>17</v>
      </c>
      <c r="F841" s="7">
        <v>40373</v>
      </c>
      <c r="G841" s="8">
        <f t="shared" si="13"/>
        <v>40373</v>
      </c>
      <c r="H841" s="6" t="s">
        <v>13</v>
      </c>
      <c r="I841" s="9">
        <f>IF(ISNA(VLOOKUP(A841,'[1]Craig Eval'!A:C,3,FALSE)),"",(VLOOKUP(A841,'[1]Craig Eval'!A:C,3,FALSE))*1000)</f>
        <v>15717.9632193777</v>
      </c>
      <c r="J841" s="10">
        <f>IF(ISNA(VLOOKUP(A841,'[1]Craig Eval'!A:M,13,FALSE)),"",VLOOKUP(A841,'[1]Craig Eval'!A:M,13,FALSE))</f>
        <v>45.673573868491999</v>
      </c>
      <c r="K841" s="17">
        <v>1</v>
      </c>
    </row>
    <row r="842" spans="1:11" ht="30" x14ac:dyDescent="0.25">
      <c r="A842" s="3" t="s">
        <v>1704</v>
      </c>
      <c r="B842" s="4" t="s">
        <v>1705</v>
      </c>
      <c r="C842" s="5">
        <v>91985</v>
      </c>
      <c r="D842" s="6" t="s">
        <v>37</v>
      </c>
      <c r="E842" s="6" t="s">
        <v>38</v>
      </c>
      <c r="F842" s="7">
        <v>39913</v>
      </c>
      <c r="G842" s="8">
        <f t="shared" si="13"/>
        <v>39913</v>
      </c>
      <c r="H842" s="6" t="s">
        <v>39</v>
      </c>
      <c r="I842" s="9" t="str">
        <f>IF(ISNA(VLOOKUP(A842,'[1]Craig Eval'!A:C,3,FALSE)),"",(VLOOKUP(A842,'[1]Craig Eval'!A:C,3,FALSE))*1000)</f>
        <v/>
      </c>
      <c r="J842" s="10" t="str">
        <f>IF(ISNA(VLOOKUP(A842,'[1]Craig Eval'!A:M,13,FALSE)),"",VLOOKUP(A842,'[1]Craig Eval'!A:M,13,FALSE))</f>
        <v/>
      </c>
      <c r="K842" s="17">
        <v>1</v>
      </c>
    </row>
    <row r="843" spans="1:11" ht="30" x14ac:dyDescent="0.25">
      <c r="A843" s="3" t="s">
        <v>1706</v>
      </c>
      <c r="B843" s="4" t="s">
        <v>1707</v>
      </c>
      <c r="C843" s="14">
        <v>27537</v>
      </c>
      <c r="D843" s="6" t="s">
        <v>28</v>
      </c>
      <c r="E843" s="6" t="s">
        <v>17</v>
      </c>
      <c r="F843" s="7">
        <v>38001</v>
      </c>
      <c r="G843" s="8">
        <f t="shared" si="13"/>
        <v>38001</v>
      </c>
      <c r="H843" s="6" t="s">
        <v>13</v>
      </c>
      <c r="I843" s="9">
        <f>IF(ISNA(VLOOKUP(A843,'[1]Craig Eval'!A:C,3,FALSE)),"",(VLOOKUP(A843,'[1]Craig Eval'!A:C,3,FALSE))*1000)</f>
        <v>77190.344042436394</v>
      </c>
      <c r="J843" s="10">
        <f>IF(ISNA(VLOOKUP(A843,'[1]Craig Eval'!A:M,13,FALSE)),"",VLOOKUP(A843,'[1]Craig Eval'!A:M,13,FALSE))</f>
        <v>207.43228655881401</v>
      </c>
      <c r="K843" s="17">
        <v>2</v>
      </c>
    </row>
    <row r="844" spans="1:11" ht="30" x14ac:dyDescent="0.25">
      <c r="A844" s="3" t="s">
        <v>1708</v>
      </c>
      <c r="B844" s="4" t="s">
        <v>1709</v>
      </c>
      <c r="C844" s="14">
        <v>1842</v>
      </c>
      <c r="D844" s="6" t="s">
        <v>16</v>
      </c>
      <c r="E844" s="6" t="s">
        <v>17</v>
      </c>
      <c r="F844" s="7">
        <v>36665</v>
      </c>
      <c r="G844" s="8">
        <f t="shared" si="13"/>
        <v>36665</v>
      </c>
      <c r="H844" s="6" t="s">
        <v>13</v>
      </c>
      <c r="I844" s="9">
        <f>IF(ISNA(VLOOKUP(A844,'[1]Craig Eval'!A:C,3,FALSE)),"",(VLOOKUP(A844,'[1]Craig Eval'!A:C,3,FALSE))*1000)</f>
        <v>70167.403140202499</v>
      </c>
      <c r="J844" s="10">
        <f>IF(ISNA(VLOOKUP(A844,'[1]Craig Eval'!A:M,13,FALSE)),"",VLOOKUP(A844,'[1]Craig Eval'!A:M,13,FALSE))</f>
        <v>189.742462872998</v>
      </c>
      <c r="K844" s="17">
        <v>2</v>
      </c>
    </row>
    <row r="845" spans="1:11" ht="30" x14ac:dyDescent="0.25">
      <c r="A845" s="3" t="s">
        <v>1710</v>
      </c>
      <c r="B845" s="4" t="s">
        <v>1711</v>
      </c>
      <c r="C845" s="14">
        <v>1613</v>
      </c>
      <c r="D845" s="6" t="s">
        <v>16</v>
      </c>
      <c r="E845" s="6" t="s">
        <v>17</v>
      </c>
      <c r="F845" s="7">
        <v>36096</v>
      </c>
      <c r="G845" s="8">
        <f t="shared" si="13"/>
        <v>36096</v>
      </c>
      <c r="H845" s="6" t="s">
        <v>13</v>
      </c>
      <c r="I845" s="9">
        <f>IF(ISNA(VLOOKUP(A845,'[1]Craig Eval'!A:C,3,FALSE)),"",(VLOOKUP(A845,'[1]Craig Eval'!A:C,3,FALSE))*1000)</f>
        <v>76668.498213723695</v>
      </c>
      <c r="J845" s="10">
        <f>IF(ISNA(VLOOKUP(A845,'[1]Craig Eval'!A:M,13,FALSE)),"",VLOOKUP(A845,'[1]Craig Eval'!A:M,13,FALSE))</f>
        <v>206.12316308329599</v>
      </c>
      <c r="K845" s="17">
        <v>2</v>
      </c>
    </row>
    <row r="846" spans="1:11" ht="30" x14ac:dyDescent="0.25">
      <c r="A846" s="3" t="s">
        <v>1712</v>
      </c>
      <c r="B846" s="4" t="s">
        <v>1713</v>
      </c>
      <c r="C846" s="5">
        <v>1035</v>
      </c>
      <c r="D846" s="6" t="s">
        <v>31</v>
      </c>
      <c r="E846" s="6" t="s">
        <v>17</v>
      </c>
      <c r="F846" s="7">
        <v>29221</v>
      </c>
      <c r="G846" s="8">
        <f t="shared" si="13"/>
        <v>29221</v>
      </c>
      <c r="H846" s="6" t="s">
        <v>13</v>
      </c>
      <c r="I846" s="9">
        <f>IF(ISNA(VLOOKUP(A846,'[1]Craig Eval'!A:C,3,FALSE)),"",(VLOOKUP(A846,'[1]Craig Eval'!A:C,3,FALSE))*1000)</f>
        <v>20674.1650003834</v>
      </c>
      <c r="J846" s="10">
        <f>IF(ISNA(VLOOKUP(A846,'[1]Craig Eval'!A:M,13,FALSE)),"",VLOOKUP(A846,'[1]Craig Eval'!A:M,13,FALSE))</f>
        <v>59.477795416439399</v>
      </c>
      <c r="K846" s="17">
        <v>1</v>
      </c>
    </row>
    <row r="847" spans="1:11" ht="30" x14ac:dyDescent="0.25">
      <c r="A847" s="3" t="s">
        <v>1714</v>
      </c>
      <c r="B847" s="4" t="s">
        <v>1715</v>
      </c>
      <c r="C847" s="14">
        <v>19843</v>
      </c>
      <c r="D847" s="6" t="s">
        <v>31</v>
      </c>
      <c r="E847" s="6" t="s">
        <v>17</v>
      </c>
      <c r="F847" s="7">
        <v>31246</v>
      </c>
      <c r="G847" s="8">
        <f t="shared" si="13"/>
        <v>31246</v>
      </c>
      <c r="H847" s="6" t="s">
        <v>13</v>
      </c>
      <c r="I847" s="9" t="str">
        <f>IF(ISNA(VLOOKUP(A847,'[1]Craig Eval'!A:C,3,FALSE)),"",(VLOOKUP(A847,'[1]Craig Eval'!A:C,3,FALSE))*1000)</f>
        <v/>
      </c>
      <c r="J847" s="10" t="str">
        <f>IF(ISNA(VLOOKUP(A847,'[1]Craig Eval'!A:M,13,FALSE)),"",VLOOKUP(A847,'[1]Craig Eval'!A:M,13,FALSE))</f>
        <v/>
      </c>
      <c r="K847" s="17">
        <v>3</v>
      </c>
    </row>
    <row r="848" spans="1:11" ht="30" x14ac:dyDescent="0.25">
      <c r="A848" s="3" t="s">
        <v>1716</v>
      </c>
      <c r="B848" s="4" t="s">
        <v>1717</v>
      </c>
      <c r="C848" s="5">
        <v>54613</v>
      </c>
      <c r="D848" s="6" t="s">
        <v>11</v>
      </c>
      <c r="E848" s="6" t="s">
        <v>12</v>
      </c>
      <c r="F848" s="7">
        <v>36528</v>
      </c>
      <c r="G848" s="8">
        <f t="shared" si="13"/>
        <v>36528</v>
      </c>
      <c r="H848" s="6" t="s">
        <v>776</v>
      </c>
      <c r="I848" s="9" t="str">
        <f>IF(ISNA(VLOOKUP(A848,'[1]Craig Eval'!A:C,3,FALSE)),"",(VLOOKUP(A848,'[1]Craig Eval'!A:C,3,FALSE))*1000)</f>
        <v/>
      </c>
      <c r="J848" s="10" t="str">
        <f>IF(ISNA(VLOOKUP(A848,'[1]Craig Eval'!A:M,13,FALSE)),"",VLOOKUP(A848,'[1]Craig Eval'!A:M,13,FALSE))</f>
        <v/>
      </c>
      <c r="K848" s="17">
        <v>2</v>
      </c>
    </row>
    <row r="849" spans="1:11" ht="30" x14ac:dyDescent="0.25">
      <c r="A849" s="3" t="s">
        <v>1718</v>
      </c>
      <c r="B849" s="4" t="s">
        <v>1719</v>
      </c>
      <c r="C849" s="47">
        <v>371644</v>
      </c>
      <c r="D849" s="6" t="s">
        <v>11</v>
      </c>
      <c r="E849" s="6" t="s">
        <v>12</v>
      </c>
      <c r="F849" s="7">
        <v>45495</v>
      </c>
      <c r="G849" s="8">
        <f t="shared" si="13"/>
        <v>45495</v>
      </c>
      <c r="H849" s="6" t="s">
        <v>776</v>
      </c>
      <c r="I849" s="9" t="str">
        <f>IF(ISNA(VLOOKUP(A849,'[1]Craig Eval'!A:C,3,FALSE)),"",(VLOOKUP(A849,'[1]Craig Eval'!A:C,3,FALSE))*1000)</f>
        <v/>
      </c>
      <c r="J849" s="10" t="str">
        <f>IF(ISNA(VLOOKUP(A849,'[1]Craig Eval'!A:M,13,FALSE)),"",VLOOKUP(A849,'[1]Craig Eval'!A:M,13,FALSE))</f>
        <v/>
      </c>
      <c r="K849" s="11">
        <v>1</v>
      </c>
    </row>
    <row r="850" spans="1:11" ht="30" x14ac:dyDescent="0.25">
      <c r="A850" s="3" t="s">
        <v>1720</v>
      </c>
      <c r="B850" s="4" t="s">
        <v>1721</v>
      </c>
      <c r="C850" s="5">
        <v>54615</v>
      </c>
      <c r="D850" s="6" t="s">
        <v>11</v>
      </c>
      <c r="E850" s="6" t="s">
        <v>12</v>
      </c>
      <c r="F850" s="7">
        <v>38210</v>
      </c>
      <c r="G850" s="8">
        <f t="shared" si="13"/>
        <v>38210</v>
      </c>
      <c r="H850" s="6" t="s">
        <v>776</v>
      </c>
      <c r="I850" s="9" t="str">
        <f>IF(ISNA(VLOOKUP(A850,'[1]Craig Eval'!A:C,3,FALSE)),"",(VLOOKUP(A850,'[1]Craig Eval'!A:C,3,FALSE))*1000)</f>
        <v/>
      </c>
      <c r="J850" s="10" t="str">
        <f>IF(ISNA(VLOOKUP(A850,'[1]Craig Eval'!A:M,13,FALSE)),"",VLOOKUP(A850,'[1]Craig Eval'!A:M,13,FALSE))</f>
        <v/>
      </c>
      <c r="K850" s="17">
        <v>2</v>
      </c>
    </row>
    <row r="851" spans="1:11" ht="30" x14ac:dyDescent="0.25">
      <c r="A851" s="3" t="s">
        <v>1722</v>
      </c>
      <c r="B851" s="4" t="s">
        <v>1723</v>
      </c>
      <c r="C851" s="5">
        <v>38449</v>
      </c>
      <c r="D851" s="6" t="s">
        <v>11</v>
      </c>
      <c r="E851" s="6" t="s">
        <v>12</v>
      </c>
      <c r="F851" s="7">
        <v>30678</v>
      </c>
      <c r="G851" s="8">
        <f t="shared" si="13"/>
        <v>30678</v>
      </c>
      <c r="H851" s="6" t="s">
        <v>776</v>
      </c>
      <c r="I851" s="9" t="str">
        <f>IF(ISNA(VLOOKUP(A851,'[1]Craig Eval'!A:C,3,FALSE)),"",(VLOOKUP(A851,'[1]Craig Eval'!A:C,3,FALSE))*1000)</f>
        <v/>
      </c>
      <c r="J851" s="10" t="str">
        <f>IF(ISNA(VLOOKUP(A851,'[1]Craig Eval'!A:M,13,FALSE)),"",VLOOKUP(A851,'[1]Craig Eval'!A:M,13,FALSE))</f>
        <v/>
      </c>
      <c r="K851" s="17">
        <v>1</v>
      </c>
    </row>
    <row r="852" spans="1:11" ht="30" x14ac:dyDescent="0.25">
      <c r="A852" s="3" t="s">
        <v>1724</v>
      </c>
      <c r="B852" s="4" t="s">
        <v>1725</v>
      </c>
      <c r="C852" s="5">
        <v>38177</v>
      </c>
      <c r="D852" s="6" t="s">
        <v>11</v>
      </c>
      <c r="E852" s="6" t="s">
        <v>12</v>
      </c>
      <c r="F852" s="7">
        <v>29928</v>
      </c>
      <c r="G852" s="8">
        <f t="shared" si="13"/>
        <v>29928</v>
      </c>
      <c r="H852" s="6" t="s">
        <v>776</v>
      </c>
      <c r="I852" s="9" t="str">
        <f>IF(ISNA(VLOOKUP(A852,'[1]Craig Eval'!A:C,3,FALSE)),"",(VLOOKUP(A852,'[1]Craig Eval'!A:C,3,FALSE))*1000)</f>
        <v/>
      </c>
      <c r="J852" s="10" t="str">
        <f>IF(ISNA(VLOOKUP(A852,'[1]Craig Eval'!A:M,13,FALSE)),"",VLOOKUP(A852,'[1]Craig Eval'!A:M,13,FALSE))</f>
        <v/>
      </c>
      <c r="K852" s="17">
        <v>1</v>
      </c>
    </row>
    <row r="853" spans="1:11" ht="30" x14ac:dyDescent="0.25">
      <c r="A853" s="3" t="s">
        <v>1726</v>
      </c>
      <c r="B853" s="4" t="s">
        <v>1727</v>
      </c>
      <c r="C853" s="5">
        <v>52306</v>
      </c>
      <c r="D853" s="6" t="s">
        <v>34</v>
      </c>
      <c r="E853" s="6" t="s">
        <v>17</v>
      </c>
      <c r="F853" s="7">
        <v>38576</v>
      </c>
      <c r="G853" s="8">
        <f t="shared" si="13"/>
        <v>38576</v>
      </c>
      <c r="H853" s="6" t="s">
        <v>13</v>
      </c>
      <c r="I853" s="9" t="str">
        <f>IF(ISNA(VLOOKUP(A853,'[1]Craig Eval'!A:C,3,FALSE)),"",(VLOOKUP(A853,'[1]Craig Eval'!A:C,3,FALSE))*1000)</f>
        <v/>
      </c>
      <c r="J853" s="10" t="str">
        <f>IF(ISNA(VLOOKUP(A853,'[1]Craig Eval'!A:M,13,FALSE)),"",VLOOKUP(A853,'[1]Craig Eval'!A:M,13,FALSE))</f>
        <v/>
      </c>
      <c r="K853" s="17">
        <v>2</v>
      </c>
    </row>
    <row r="854" spans="1:11" ht="30" x14ac:dyDescent="0.25">
      <c r="A854" s="3" t="s">
        <v>1728</v>
      </c>
      <c r="B854" s="4" t="s">
        <v>1729</v>
      </c>
      <c r="C854" s="5">
        <v>52305</v>
      </c>
      <c r="D854" s="6" t="s">
        <v>34</v>
      </c>
      <c r="E854" s="6" t="s">
        <v>17</v>
      </c>
      <c r="F854" s="7">
        <v>38576</v>
      </c>
      <c r="G854" s="8">
        <f t="shared" si="13"/>
        <v>38576</v>
      </c>
      <c r="H854" s="6" t="s">
        <v>13</v>
      </c>
      <c r="I854" s="9" t="str">
        <f>IF(ISNA(VLOOKUP(A854,'[1]Craig Eval'!A:C,3,FALSE)),"",(VLOOKUP(A854,'[1]Craig Eval'!A:C,3,FALSE))*1000)</f>
        <v/>
      </c>
      <c r="J854" s="10" t="str">
        <f>IF(ISNA(VLOOKUP(A854,'[1]Craig Eval'!A:M,13,FALSE)),"",VLOOKUP(A854,'[1]Craig Eval'!A:M,13,FALSE))</f>
        <v/>
      </c>
      <c r="K854" s="17">
        <v>1</v>
      </c>
    </row>
    <row r="855" spans="1:11" ht="30" x14ac:dyDescent="0.25">
      <c r="A855" s="3" t="s">
        <v>1730</v>
      </c>
      <c r="B855" s="4" t="s">
        <v>1731</v>
      </c>
      <c r="C855" s="5">
        <v>28881</v>
      </c>
      <c r="D855" s="6" t="s">
        <v>34</v>
      </c>
      <c r="E855" s="6" t="s">
        <v>17</v>
      </c>
      <c r="F855" s="7">
        <v>38595</v>
      </c>
      <c r="G855" s="8">
        <f t="shared" si="13"/>
        <v>38595</v>
      </c>
      <c r="H855" s="6" t="s">
        <v>13</v>
      </c>
      <c r="I855" s="9" t="str">
        <f>IF(ISNA(VLOOKUP(A855,'[1]Craig Eval'!A:C,3,FALSE)),"",(VLOOKUP(A855,'[1]Craig Eval'!A:C,3,FALSE))*1000)</f>
        <v/>
      </c>
      <c r="J855" s="10" t="str">
        <f>IF(ISNA(VLOOKUP(A855,'[1]Craig Eval'!A:M,13,FALSE)),"",VLOOKUP(A855,'[1]Craig Eval'!A:M,13,FALSE))</f>
        <v/>
      </c>
      <c r="K855" s="17">
        <v>1</v>
      </c>
    </row>
    <row r="856" spans="1:11" ht="30" x14ac:dyDescent="0.25">
      <c r="A856" s="3" t="s">
        <v>1732</v>
      </c>
      <c r="B856" s="4" t="s">
        <v>1733</v>
      </c>
      <c r="C856" s="14">
        <v>14725</v>
      </c>
      <c r="D856" s="6" t="s">
        <v>31</v>
      </c>
      <c r="E856" s="6" t="s">
        <v>17</v>
      </c>
      <c r="F856" s="7">
        <v>23182</v>
      </c>
      <c r="G856" s="8">
        <f t="shared" si="13"/>
        <v>23182</v>
      </c>
      <c r="H856" s="6" t="s">
        <v>13</v>
      </c>
      <c r="I856" s="9">
        <f>IF(ISNA(VLOOKUP(A856,'[1]Craig Eval'!A:C,3,FALSE)),"",(VLOOKUP(A856,'[1]Craig Eval'!A:C,3,FALSE))*1000)</f>
        <v>54845.692304414595</v>
      </c>
      <c r="J856" s="10">
        <f>IF(ISNA(VLOOKUP(A856,'[1]Craig Eval'!A:M,13,FALSE)),"",VLOOKUP(A856,'[1]Craig Eval'!A:M,13,FALSE))</f>
        <v>150.56764657859901</v>
      </c>
      <c r="K856" s="17">
        <v>1</v>
      </c>
    </row>
    <row r="857" spans="1:11" ht="30" x14ac:dyDescent="0.25">
      <c r="A857" s="26" t="s">
        <v>1734</v>
      </c>
      <c r="B857" s="27" t="s">
        <v>1735</v>
      </c>
      <c r="C857" s="34">
        <v>2065</v>
      </c>
      <c r="D857" s="28" t="s">
        <v>34</v>
      </c>
      <c r="E857" s="28" t="s">
        <v>17</v>
      </c>
      <c r="F857" s="29">
        <v>18264</v>
      </c>
      <c r="G857" s="30">
        <f t="shared" si="13"/>
        <v>18264</v>
      </c>
      <c r="H857" s="28" t="s">
        <v>13</v>
      </c>
      <c r="I857" s="31">
        <f>IF(ISNA(VLOOKUP(A857,'[1]Craig Eval'!A:C,3,FALSE)),"",(VLOOKUP(A857,'[1]Craig Eval'!A:C,3,FALSE))*1000)</f>
        <v>3025.0667527518199</v>
      </c>
      <c r="J857" s="32">
        <f>IF(ISNA(VLOOKUP(A857,'[1]Craig Eval'!A:M,13,FALSE)),"",VLOOKUP(A857,'[1]Craig Eval'!A:M,13,FALSE))</f>
        <v>9.1469516869074194</v>
      </c>
      <c r="K857" s="33">
        <v>1</v>
      </c>
    </row>
    <row r="858" spans="1:11" ht="30" x14ac:dyDescent="0.25">
      <c r="A858" s="3" t="s">
        <v>1736</v>
      </c>
      <c r="B858" s="4" t="s">
        <v>1737</v>
      </c>
      <c r="C858" s="14">
        <v>1596</v>
      </c>
      <c r="D858" s="6" t="s">
        <v>28</v>
      </c>
      <c r="E858" s="6" t="s">
        <v>17</v>
      </c>
      <c r="F858" s="7">
        <v>38777</v>
      </c>
      <c r="G858" s="8">
        <f t="shared" si="13"/>
        <v>38777</v>
      </c>
      <c r="H858" s="6" t="s">
        <v>13</v>
      </c>
      <c r="I858" s="9">
        <f>IF(ISNA(VLOOKUP(A858,'[1]Craig Eval'!A:C,3,FALSE)),"",(VLOOKUP(A858,'[1]Craig Eval'!A:C,3,FALSE))*1000)</f>
        <v>61380.988826350702</v>
      </c>
      <c r="J858" s="10">
        <f>IF(ISNA(VLOOKUP(A858,'[1]Craig Eval'!A:M,13,FALSE)),"",VLOOKUP(A858,'[1]Craig Eval'!A:M,13,FALSE))</f>
        <v>167.38048517339399</v>
      </c>
      <c r="K858" s="17">
        <v>1</v>
      </c>
    </row>
    <row r="859" spans="1:11" ht="30" x14ac:dyDescent="0.25">
      <c r="A859" s="3" t="s">
        <v>1738</v>
      </c>
      <c r="B859" s="4" t="s">
        <v>1739</v>
      </c>
      <c r="C859" s="14">
        <v>54616</v>
      </c>
      <c r="D859" s="6" t="s">
        <v>16</v>
      </c>
      <c r="E859" s="6" t="s">
        <v>17</v>
      </c>
      <c r="F859" s="7">
        <v>36557</v>
      </c>
      <c r="G859" s="8">
        <f t="shared" si="13"/>
        <v>36557</v>
      </c>
      <c r="H859" s="6" t="s">
        <v>13</v>
      </c>
      <c r="I859" s="9" t="str">
        <f>IF(ISNA(VLOOKUP(A859,'[1]Craig Eval'!A:C,3,FALSE)),"",(VLOOKUP(A859,'[1]Craig Eval'!A:C,3,FALSE))*1000)</f>
        <v/>
      </c>
      <c r="J859" s="10" t="str">
        <f>IF(ISNA(VLOOKUP(A859,'[1]Craig Eval'!A:M,13,FALSE)),"",VLOOKUP(A859,'[1]Craig Eval'!A:M,13,FALSE))</f>
        <v/>
      </c>
      <c r="K859" s="17">
        <v>1</v>
      </c>
    </row>
    <row r="860" spans="1:11" ht="30" x14ac:dyDescent="0.25">
      <c r="A860" s="3" t="s">
        <v>1740</v>
      </c>
      <c r="B860" s="4" t="s">
        <v>1741</v>
      </c>
      <c r="C860" s="5">
        <v>1199</v>
      </c>
      <c r="D860" s="6" t="s">
        <v>16</v>
      </c>
      <c r="E860" s="6" t="s">
        <v>17</v>
      </c>
      <c r="F860" s="7">
        <v>29952</v>
      </c>
      <c r="G860" s="8">
        <f t="shared" si="13"/>
        <v>29952</v>
      </c>
      <c r="H860" s="6" t="s">
        <v>13</v>
      </c>
      <c r="I860" s="9" t="str">
        <f>IF(ISNA(VLOOKUP(A860,'[1]Craig Eval'!A:C,3,FALSE)),"",(VLOOKUP(A860,'[1]Craig Eval'!A:C,3,FALSE))*1000)</f>
        <v/>
      </c>
      <c r="J860" s="10" t="str">
        <f>IF(ISNA(VLOOKUP(A860,'[1]Craig Eval'!A:M,13,FALSE)),"",VLOOKUP(A860,'[1]Craig Eval'!A:M,13,FALSE))</f>
        <v/>
      </c>
      <c r="K860" s="17">
        <v>2</v>
      </c>
    </row>
    <row r="861" spans="1:11" ht="30" x14ac:dyDescent="0.25">
      <c r="A861" s="3" t="s">
        <v>1742</v>
      </c>
      <c r="B861" s="4" t="s">
        <v>1743</v>
      </c>
      <c r="C861" s="5">
        <v>18247</v>
      </c>
      <c r="D861" s="6" t="s">
        <v>16</v>
      </c>
      <c r="E861" s="6" t="s">
        <v>17</v>
      </c>
      <c r="F861" s="7">
        <v>21922</v>
      </c>
      <c r="G861" s="8">
        <f t="shared" si="13"/>
        <v>21922</v>
      </c>
      <c r="H861" s="6" t="s">
        <v>13</v>
      </c>
      <c r="I861" s="9">
        <f>IF(ISNA(VLOOKUP(A861,'[1]Craig Eval'!A:C,3,FALSE)),"",(VLOOKUP(A861,'[1]Craig Eval'!A:C,3,FALSE))*1000)</f>
        <v>8639.8113629135987</v>
      </c>
      <c r="J861" s="10">
        <f>IF(ISNA(VLOOKUP(A861,'[1]Craig Eval'!A:M,13,FALSE)),"",VLOOKUP(A861,'[1]Craig Eval'!A:M,13,FALSE))</f>
        <v>25.561915252615801</v>
      </c>
      <c r="K861" s="17">
        <v>1</v>
      </c>
    </row>
    <row r="862" spans="1:11" ht="30" x14ac:dyDescent="0.25">
      <c r="A862" s="3" t="s">
        <v>1744</v>
      </c>
      <c r="B862" s="4" t="s">
        <v>1745</v>
      </c>
      <c r="C862" s="5">
        <v>54617</v>
      </c>
      <c r="D862" s="6" t="s">
        <v>28</v>
      </c>
      <c r="E862" s="6" t="s">
        <v>17</v>
      </c>
      <c r="F862" s="7">
        <v>37242</v>
      </c>
      <c r="G862" s="8">
        <f t="shared" si="13"/>
        <v>37242</v>
      </c>
      <c r="H862" s="6" t="s">
        <v>13</v>
      </c>
      <c r="I862" s="9">
        <f>IF(ISNA(VLOOKUP(A862,'[1]Craig Eval'!A:C,3,FALSE)),"",(VLOOKUP(A862,'[1]Craig Eval'!A:C,3,FALSE))*1000)</f>
        <v>1588.52861684563</v>
      </c>
      <c r="J862" s="10">
        <f>IF(ISNA(VLOOKUP(A862,'[1]Craig Eval'!A:M,13,FALSE)),"",VLOOKUP(A862,'[1]Craig Eval'!A:M,13,FALSE))</f>
        <v>4.8462108708663703</v>
      </c>
      <c r="K862" s="17">
        <v>1</v>
      </c>
    </row>
    <row r="863" spans="1:11" ht="30" x14ac:dyDescent="0.25">
      <c r="A863" s="3" t="s">
        <v>1746</v>
      </c>
      <c r="B863" s="4" t="s">
        <v>1747</v>
      </c>
      <c r="C863" s="14">
        <v>72114</v>
      </c>
      <c r="D863" s="6" t="s">
        <v>11</v>
      </c>
      <c r="E863" s="6" t="s">
        <v>17</v>
      </c>
      <c r="F863" s="7">
        <v>39174</v>
      </c>
      <c r="G863" s="8">
        <f t="shared" si="13"/>
        <v>39174</v>
      </c>
      <c r="H863" s="6" t="s">
        <v>13</v>
      </c>
      <c r="I863" s="9" t="str">
        <f>IF(ISNA(VLOOKUP(A863,'[1]Craig Eval'!A:C,3,FALSE)),"",(VLOOKUP(A863,'[1]Craig Eval'!A:C,3,FALSE))*1000)</f>
        <v/>
      </c>
      <c r="J863" s="10" t="str">
        <f>IF(ISNA(VLOOKUP(A863,'[1]Craig Eval'!A:M,13,FALSE)),"",VLOOKUP(A863,'[1]Craig Eval'!A:M,13,FALSE))</f>
        <v/>
      </c>
      <c r="K863" s="17">
        <v>2</v>
      </c>
    </row>
    <row r="864" spans="1:11" ht="30" x14ac:dyDescent="0.25">
      <c r="A864" s="3" t="s">
        <v>1748</v>
      </c>
      <c r="B864" s="4" t="s">
        <v>1749</v>
      </c>
      <c r="C864" s="5">
        <v>81697</v>
      </c>
      <c r="D864" s="6" t="s">
        <v>31</v>
      </c>
      <c r="E864" s="6" t="s">
        <v>17</v>
      </c>
      <c r="F864" s="7">
        <v>38987</v>
      </c>
      <c r="G864" s="8">
        <f t="shared" si="13"/>
        <v>38987</v>
      </c>
      <c r="H864" s="6" t="s">
        <v>13</v>
      </c>
      <c r="I864" s="9">
        <f>IF(ISNA(VLOOKUP(A864,'[1]Craig Eval'!A:C,3,FALSE)),"",(VLOOKUP(A864,'[1]Craig Eval'!A:C,3,FALSE))*1000)</f>
        <v>5759.3709158113898</v>
      </c>
      <c r="J864" s="10">
        <f>IF(ISNA(VLOOKUP(A864,'[1]Craig Eval'!A:M,13,FALSE)),"",VLOOKUP(A864,'[1]Craig Eval'!A:M,13,FALSE))</f>
        <v>17.205708651815598</v>
      </c>
      <c r="K864" s="17">
        <v>1</v>
      </c>
    </row>
    <row r="865" spans="1:11" ht="30" x14ac:dyDescent="0.25">
      <c r="A865" s="3" t="s">
        <v>1750</v>
      </c>
      <c r="B865" s="4" t="s">
        <v>1751</v>
      </c>
      <c r="C865" s="5">
        <v>43601</v>
      </c>
      <c r="D865" s="6" t="s">
        <v>31</v>
      </c>
      <c r="E865" s="6" t="s">
        <v>17</v>
      </c>
      <c r="F865" s="7">
        <v>33490</v>
      </c>
      <c r="G865" s="8">
        <f t="shared" si="13"/>
        <v>33490</v>
      </c>
      <c r="H865" s="6" t="s">
        <v>13</v>
      </c>
      <c r="I865" s="9">
        <f>IF(ISNA(VLOOKUP(A865,'[1]Craig Eval'!A:C,3,FALSE)),"",(VLOOKUP(A865,'[1]Craig Eval'!A:C,3,FALSE))*1000)</f>
        <v>18966.660887579601</v>
      </c>
      <c r="J865" s="10">
        <f>IF(ISNA(VLOOKUP(A865,'[1]Craig Eval'!A:M,13,FALSE)),"",VLOOKUP(A865,'[1]Craig Eval'!A:M,13,FALSE))</f>
        <v>54.744460686493198</v>
      </c>
      <c r="K865" s="17">
        <v>1</v>
      </c>
    </row>
    <row r="866" spans="1:11" ht="30" x14ac:dyDescent="0.25">
      <c r="A866" s="3" t="s">
        <v>1752</v>
      </c>
      <c r="B866" s="4" t="s">
        <v>1753</v>
      </c>
      <c r="C866" s="14">
        <v>18246</v>
      </c>
      <c r="D866" s="6" t="s">
        <v>16</v>
      </c>
      <c r="E866" s="6" t="s">
        <v>17</v>
      </c>
      <c r="F866" s="7">
        <v>30468</v>
      </c>
      <c r="G866" s="8">
        <f t="shared" si="13"/>
        <v>30468</v>
      </c>
      <c r="H866" s="6" t="s">
        <v>13</v>
      </c>
      <c r="I866" s="9">
        <f>IF(ISNA(VLOOKUP(A866,'[1]Craig Eval'!A:C,3,FALSE)),"",(VLOOKUP(A866,'[1]Craig Eval'!A:C,3,FALSE))*1000)</f>
        <v>733560.86931484507</v>
      </c>
      <c r="J866" s="10">
        <f>IF(ISNA(VLOOKUP(A866,'[1]Craig Eval'!A:M,13,FALSE)),"",VLOOKUP(A866,'[1]Craig Eval'!A:M,13,FALSE))</f>
        <v>1572.5331883589799</v>
      </c>
      <c r="K866" s="17">
        <v>3</v>
      </c>
    </row>
    <row r="867" spans="1:11" ht="30" x14ac:dyDescent="0.25">
      <c r="A867" s="3" t="s">
        <v>1754</v>
      </c>
      <c r="B867" s="4" t="s">
        <v>1755</v>
      </c>
      <c r="C867" s="14">
        <v>10575</v>
      </c>
      <c r="D867" s="6" t="s">
        <v>28</v>
      </c>
      <c r="E867" s="6" t="s">
        <v>17</v>
      </c>
      <c r="F867" s="7">
        <v>37190</v>
      </c>
      <c r="G867" s="8">
        <f t="shared" si="13"/>
        <v>37190</v>
      </c>
      <c r="H867" s="6" t="s">
        <v>13</v>
      </c>
      <c r="I867" s="9">
        <f>IF(ISNA(VLOOKUP(A867,'[1]Craig Eval'!A:C,3,FALSE)),"",(VLOOKUP(A867,'[1]Craig Eval'!A:C,3,FALSE))*1000)</f>
        <v>271.437086488239</v>
      </c>
      <c r="J867" s="10">
        <f>IF(ISNA(VLOOKUP(A867,'[1]Craig Eval'!A:M,13,FALSE)),"",VLOOKUP(A867,'[1]Craig Eval'!A:M,13,FALSE))</f>
        <v>0.83975829083431996</v>
      </c>
      <c r="K867" s="17">
        <v>1</v>
      </c>
    </row>
    <row r="868" spans="1:11" ht="30" x14ac:dyDescent="0.25">
      <c r="A868" s="3" t="s">
        <v>1756</v>
      </c>
      <c r="B868" s="4" t="s">
        <v>1757</v>
      </c>
      <c r="C868" s="14">
        <v>13445</v>
      </c>
      <c r="D868" s="6" t="s">
        <v>34</v>
      </c>
      <c r="E868" s="6" t="s">
        <v>17</v>
      </c>
      <c r="F868" s="7">
        <v>36678</v>
      </c>
      <c r="G868" s="8">
        <f t="shared" si="13"/>
        <v>36678</v>
      </c>
      <c r="H868" s="6" t="s">
        <v>13</v>
      </c>
      <c r="I868" s="9" t="str">
        <f>IF(ISNA(VLOOKUP(A868,'[1]Craig Eval'!A:C,3,FALSE)),"",(VLOOKUP(A868,'[1]Craig Eval'!A:C,3,FALSE))*1000)</f>
        <v/>
      </c>
      <c r="J868" s="10" t="str">
        <f>IF(ISNA(VLOOKUP(A868,'[1]Craig Eval'!A:M,13,FALSE)),"",VLOOKUP(A868,'[1]Craig Eval'!A:M,13,FALSE))</f>
        <v/>
      </c>
      <c r="K868" s="17">
        <v>1</v>
      </c>
    </row>
    <row r="869" spans="1:11" ht="30" x14ac:dyDescent="0.25">
      <c r="A869" s="3" t="s">
        <v>1758</v>
      </c>
      <c r="B869" s="4" t="s">
        <v>1759</v>
      </c>
      <c r="C869" s="14">
        <v>48754</v>
      </c>
      <c r="D869" s="6" t="s">
        <v>34</v>
      </c>
      <c r="E869" s="6" t="s">
        <v>17</v>
      </c>
      <c r="F869" s="7">
        <v>38078</v>
      </c>
      <c r="G869" s="8">
        <f t="shared" si="13"/>
        <v>38078</v>
      </c>
      <c r="H869" s="6" t="s">
        <v>13</v>
      </c>
      <c r="I869" s="9" t="str">
        <f>IF(ISNA(VLOOKUP(A869,'[1]Craig Eval'!A:C,3,FALSE)),"",(VLOOKUP(A869,'[1]Craig Eval'!A:C,3,FALSE))*1000)</f>
        <v/>
      </c>
      <c r="J869" s="10" t="str">
        <f>IF(ISNA(VLOOKUP(A869,'[1]Craig Eval'!A:M,13,FALSE)),"",VLOOKUP(A869,'[1]Craig Eval'!A:M,13,FALSE))</f>
        <v/>
      </c>
      <c r="K869" s="17">
        <v>4</v>
      </c>
    </row>
    <row r="870" spans="1:11" ht="30" x14ac:dyDescent="0.25">
      <c r="A870" s="3" t="s">
        <v>1760</v>
      </c>
      <c r="B870" s="4" t="s">
        <v>1761</v>
      </c>
      <c r="C870" s="5">
        <v>1500</v>
      </c>
      <c r="D870" s="6" t="s">
        <v>28</v>
      </c>
      <c r="E870" s="6" t="s">
        <v>17</v>
      </c>
      <c r="F870" s="7">
        <v>33379</v>
      </c>
      <c r="G870" s="8">
        <f t="shared" si="13"/>
        <v>33379</v>
      </c>
      <c r="H870" s="6" t="s">
        <v>13</v>
      </c>
      <c r="I870" s="9">
        <f>IF(ISNA(VLOOKUP(A870,'[1]Craig Eval'!A:C,3,FALSE)),"",(VLOOKUP(A870,'[1]Craig Eval'!A:C,3,FALSE))*1000)</f>
        <v>15909.617177824999</v>
      </c>
      <c r="J870" s="10">
        <f>IF(ISNA(VLOOKUP(A870,'[1]Craig Eval'!A:M,13,FALSE)),"",VLOOKUP(A870,'[1]Craig Eval'!A:M,13,FALSE))</f>
        <v>46.211212631738299</v>
      </c>
      <c r="K870" s="17">
        <v>2</v>
      </c>
    </row>
    <row r="871" spans="1:11" ht="30" x14ac:dyDescent="0.25">
      <c r="A871" s="3" t="s">
        <v>1762</v>
      </c>
      <c r="B871" s="4" t="s">
        <v>1763</v>
      </c>
      <c r="C871" s="5">
        <v>72111</v>
      </c>
      <c r="D871" s="6" t="s">
        <v>11</v>
      </c>
      <c r="E871" s="6" t="s">
        <v>17</v>
      </c>
      <c r="F871" s="7">
        <v>39169</v>
      </c>
      <c r="G871" s="8">
        <f t="shared" si="13"/>
        <v>39169</v>
      </c>
      <c r="H871" s="6" t="s">
        <v>13</v>
      </c>
      <c r="I871" s="9" t="str">
        <f>IF(ISNA(VLOOKUP(A871,'[1]Craig Eval'!A:C,3,FALSE)),"",(VLOOKUP(A871,'[1]Craig Eval'!A:C,3,FALSE))*1000)</f>
        <v/>
      </c>
      <c r="J871" s="10" t="str">
        <f>IF(ISNA(VLOOKUP(A871,'[1]Craig Eval'!A:M,13,FALSE)),"",VLOOKUP(A871,'[1]Craig Eval'!A:M,13,FALSE))</f>
        <v/>
      </c>
      <c r="K871" s="17">
        <v>1</v>
      </c>
    </row>
    <row r="872" spans="1:11" ht="30" x14ac:dyDescent="0.25">
      <c r="A872" s="3" t="s">
        <v>1764</v>
      </c>
      <c r="B872" s="4" t="s">
        <v>1765</v>
      </c>
      <c r="C872" s="5">
        <v>1259</v>
      </c>
      <c r="D872" s="6" t="s">
        <v>28</v>
      </c>
      <c r="E872" s="6" t="s">
        <v>17</v>
      </c>
      <c r="F872" s="7">
        <v>29952</v>
      </c>
      <c r="G872" s="8">
        <f t="shared" si="13"/>
        <v>29952</v>
      </c>
      <c r="H872" s="6" t="s">
        <v>13</v>
      </c>
      <c r="I872" s="9">
        <f>IF(ISNA(VLOOKUP(A872,'[1]Craig Eval'!A:C,3,FALSE)),"",(VLOOKUP(A872,'[1]Craig Eval'!A:C,3,FALSE))*1000)</f>
        <v>73404.745682223191</v>
      </c>
      <c r="J872" s="10">
        <f>IF(ISNA(VLOOKUP(A872,'[1]Craig Eval'!A:M,13,FALSE)),"",VLOOKUP(A872,'[1]Craig Eval'!A:M,13,FALSE))</f>
        <v>197.91636168977499</v>
      </c>
      <c r="K872" s="17">
        <v>2</v>
      </c>
    </row>
    <row r="873" spans="1:11" ht="30" x14ac:dyDescent="0.25">
      <c r="A873" s="3" t="s">
        <v>1766</v>
      </c>
      <c r="B873" s="4" t="s">
        <v>1767</v>
      </c>
      <c r="C873" s="5">
        <v>1372</v>
      </c>
      <c r="D873" s="6" t="s">
        <v>28</v>
      </c>
      <c r="E873" s="6" t="s">
        <v>17</v>
      </c>
      <c r="F873" s="7">
        <v>36445</v>
      </c>
      <c r="G873" s="8">
        <f t="shared" si="13"/>
        <v>36445</v>
      </c>
      <c r="H873" s="6" t="s">
        <v>13</v>
      </c>
      <c r="I873" s="9">
        <f>IF(ISNA(VLOOKUP(A873,'[1]Craig Eval'!A:C,3,FALSE)),"",(VLOOKUP(A873,'[1]Craig Eval'!A:C,3,FALSE))*1000)</f>
        <v>35045.644785996497</v>
      </c>
      <c r="J873" s="10">
        <f>IF(ISNA(VLOOKUP(A873,'[1]Craig Eval'!A:M,13,FALSE)),"",VLOOKUP(A873,'[1]Craig Eval'!A:M,13,FALSE))</f>
        <v>98.536299449793106</v>
      </c>
      <c r="K873" s="17">
        <v>1</v>
      </c>
    </row>
    <row r="874" spans="1:11" ht="30" x14ac:dyDescent="0.25">
      <c r="A874" s="3" t="s">
        <v>1768</v>
      </c>
      <c r="B874" s="4" t="s">
        <v>1769</v>
      </c>
      <c r="C874" s="5">
        <v>72113</v>
      </c>
      <c r="D874" s="6" t="s">
        <v>11</v>
      </c>
      <c r="E874" s="6" t="s">
        <v>17</v>
      </c>
      <c r="F874" s="7">
        <v>39174</v>
      </c>
      <c r="G874" s="8">
        <f t="shared" si="13"/>
        <v>39174</v>
      </c>
      <c r="H874" s="6" t="s">
        <v>13</v>
      </c>
      <c r="I874" s="9" t="str">
        <f>IF(ISNA(VLOOKUP(A874,'[1]Craig Eval'!A:C,3,FALSE)),"",(VLOOKUP(A874,'[1]Craig Eval'!A:C,3,FALSE))*1000)</f>
        <v/>
      </c>
      <c r="J874" s="10" t="str">
        <f>IF(ISNA(VLOOKUP(A874,'[1]Craig Eval'!A:M,13,FALSE)),"",VLOOKUP(A874,'[1]Craig Eval'!A:M,13,FALSE))</f>
        <v/>
      </c>
      <c r="K874" s="17">
        <v>1</v>
      </c>
    </row>
    <row r="875" spans="1:11" ht="30" x14ac:dyDescent="0.25">
      <c r="A875" s="3" t="s">
        <v>1770</v>
      </c>
      <c r="B875" s="4" t="s">
        <v>1771</v>
      </c>
      <c r="C875" s="5">
        <v>45553</v>
      </c>
      <c r="D875" s="6" t="s">
        <v>31</v>
      </c>
      <c r="E875" s="6" t="s">
        <v>17</v>
      </c>
      <c r="F875" s="7">
        <v>33490</v>
      </c>
      <c r="G875" s="8">
        <f t="shared" si="13"/>
        <v>33490</v>
      </c>
      <c r="H875" s="6" t="s">
        <v>13</v>
      </c>
      <c r="I875" s="9">
        <f>IF(ISNA(VLOOKUP(A875,'[1]Craig Eval'!A:C,3,FALSE)),"",(VLOOKUP(A875,'[1]Craig Eval'!A:C,3,FALSE))*1000)</f>
        <v>11085.8477164946</v>
      </c>
      <c r="J875" s="10">
        <f>IF(ISNA(VLOOKUP(A875,'[1]Craig Eval'!A:M,13,FALSE)),"",VLOOKUP(A875,'[1]Craig Eval'!A:M,13,FALSE))</f>
        <v>32.572776092537197</v>
      </c>
      <c r="K875" s="17">
        <v>2</v>
      </c>
    </row>
    <row r="876" spans="1:11" ht="30" x14ac:dyDescent="0.25">
      <c r="A876" s="3" t="s">
        <v>1772</v>
      </c>
      <c r="B876" s="4" t="s">
        <v>1773</v>
      </c>
      <c r="C876" s="5">
        <v>45521</v>
      </c>
      <c r="D876" s="6" t="s">
        <v>31</v>
      </c>
      <c r="E876" s="6" t="s">
        <v>17</v>
      </c>
      <c r="F876" s="7">
        <v>33490</v>
      </c>
      <c r="G876" s="8">
        <f t="shared" si="13"/>
        <v>33490</v>
      </c>
      <c r="H876" s="6" t="s">
        <v>13</v>
      </c>
      <c r="I876" s="9">
        <f>IF(ISNA(VLOOKUP(A876,'[1]Craig Eval'!A:C,3,FALSE)),"",(VLOOKUP(A876,'[1]Craig Eval'!A:C,3,FALSE))*1000)</f>
        <v>137458.63502366701</v>
      </c>
      <c r="J876" s="10">
        <f>IF(ISNA(VLOOKUP(A876,'[1]Craig Eval'!A:M,13,FALSE)),"",VLOOKUP(A876,'[1]Craig Eval'!A:M,13,FALSE))</f>
        <v>353.82802170022597</v>
      </c>
      <c r="K876" s="17">
        <v>2</v>
      </c>
    </row>
    <row r="877" spans="1:11" ht="30" x14ac:dyDescent="0.25">
      <c r="A877" s="3" t="s">
        <v>1774</v>
      </c>
      <c r="B877" s="4" t="s">
        <v>1775</v>
      </c>
      <c r="C877" s="5">
        <v>42961</v>
      </c>
      <c r="D877" s="6" t="s">
        <v>31</v>
      </c>
      <c r="E877" s="6" t="s">
        <v>17</v>
      </c>
      <c r="F877" s="7">
        <v>33490</v>
      </c>
      <c r="G877" s="8">
        <f t="shared" si="13"/>
        <v>33490</v>
      </c>
      <c r="H877" s="6" t="s">
        <v>13</v>
      </c>
      <c r="I877" s="9">
        <f>IF(ISNA(VLOOKUP(A877,'[1]Craig Eval'!A:C,3,FALSE)),"",(VLOOKUP(A877,'[1]Craig Eval'!A:C,3,FALSE))*1000)</f>
        <v>9578.6401840988601</v>
      </c>
      <c r="J877" s="10">
        <f>IF(ISNA(VLOOKUP(A877,'[1]Craig Eval'!A:M,13,FALSE)),"",VLOOKUP(A877,'[1]Craig Eval'!A:M,13,FALSE))</f>
        <v>28.2612551569486</v>
      </c>
      <c r="K877" s="17">
        <v>1</v>
      </c>
    </row>
    <row r="878" spans="1:11" ht="30" x14ac:dyDescent="0.25">
      <c r="A878" s="3" t="s">
        <v>1776</v>
      </c>
      <c r="B878" s="4" t="s">
        <v>1777</v>
      </c>
      <c r="C878" s="5">
        <v>42321</v>
      </c>
      <c r="D878" s="6" t="s">
        <v>31</v>
      </c>
      <c r="E878" s="6" t="s">
        <v>17</v>
      </c>
      <c r="F878" s="7">
        <v>35016</v>
      </c>
      <c r="G878" s="8">
        <f t="shared" si="13"/>
        <v>35016</v>
      </c>
      <c r="H878" s="6" t="s">
        <v>13</v>
      </c>
      <c r="I878" s="9">
        <f>IF(ISNA(VLOOKUP(A878,'[1]Craig Eval'!A:C,3,FALSE)),"",(VLOOKUP(A878,'[1]Craig Eval'!A:C,3,FALSE))*1000)</f>
        <v>3613.9989392040502</v>
      </c>
      <c r="J878" s="10">
        <f>IF(ISNA(VLOOKUP(A878,'[1]Craig Eval'!A:M,13,FALSE)),"",VLOOKUP(A878,'[1]Craig Eval'!A:M,13,FALSE))</f>
        <v>10.8952151830769</v>
      </c>
      <c r="K878" s="17">
        <v>1</v>
      </c>
    </row>
    <row r="879" spans="1:11" ht="30" x14ac:dyDescent="0.25">
      <c r="A879" s="3" t="s">
        <v>1778</v>
      </c>
      <c r="B879" s="4" t="s">
        <v>1779</v>
      </c>
      <c r="C879" s="14">
        <v>32897</v>
      </c>
      <c r="D879" s="6" t="s">
        <v>16</v>
      </c>
      <c r="E879" s="6" t="s">
        <v>17</v>
      </c>
      <c r="F879" s="7">
        <v>38376</v>
      </c>
      <c r="G879" s="8">
        <f t="shared" si="13"/>
        <v>38376</v>
      </c>
      <c r="H879" s="6" t="s">
        <v>13</v>
      </c>
      <c r="I879" s="9">
        <f>IF(ISNA(VLOOKUP(A879,'[1]Craig Eval'!A:C,3,FALSE)),"",(VLOOKUP(A879,'[1]Craig Eval'!A:C,3,FALSE))*1000)</f>
        <v>44412.443121608201</v>
      </c>
      <c r="J879" s="10">
        <f>IF(ISNA(VLOOKUP(A879,'[1]Craig Eval'!A:M,13,FALSE)),"",VLOOKUP(A879,'[1]Craig Eval'!A:M,13,FALSE))</f>
        <v>123.372657334528</v>
      </c>
      <c r="K879" s="17">
        <v>2</v>
      </c>
    </row>
    <row r="880" spans="1:11" ht="30" x14ac:dyDescent="0.25">
      <c r="A880" s="3" t="s">
        <v>1780</v>
      </c>
      <c r="B880" s="4" t="s">
        <v>1781</v>
      </c>
      <c r="C880" s="5">
        <v>7043</v>
      </c>
      <c r="D880" s="6" t="s">
        <v>34</v>
      </c>
      <c r="E880" s="6" t="s">
        <v>17</v>
      </c>
      <c r="F880" s="7">
        <v>37209</v>
      </c>
      <c r="G880" s="8">
        <f t="shared" si="13"/>
        <v>37209</v>
      </c>
      <c r="H880" s="6" t="s">
        <v>13</v>
      </c>
      <c r="I880" s="9">
        <f>IF(ISNA(VLOOKUP(A880,'[1]Craig Eval'!A:C,3,FALSE)),"",(VLOOKUP(A880,'[1]Craig Eval'!A:C,3,FALSE))*1000)</f>
        <v>4673.76196368402</v>
      </c>
      <c r="J880" s="10">
        <f>IF(ISNA(VLOOKUP(A880,'[1]Craig Eval'!A:M,13,FALSE)),"",VLOOKUP(A880,'[1]Craig Eval'!A:M,13,FALSE))</f>
        <v>14.0230202842443</v>
      </c>
      <c r="K880" s="17">
        <v>1</v>
      </c>
    </row>
    <row r="881" spans="1:11" ht="30" x14ac:dyDescent="0.25">
      <c r="A881" s="3" t="s">
        <v>1782</v>
      </c>
      <c r="B881" s="4" t="s">
        <v>1783</v>
      </c>
      <c r="C881" s="5">
        <v>10241</v>
      </c>
      <c r="D881" s="6" t="s">
        <v>11</v>
      </c>
      <c r="E881" s="6" t="s">
        <v>17</v>
      </c>
      <c r="F881" s="7">
        <v>37228</v>
      </c>
      <c r="G881" s="8">
        <f t="shared" si="13"/>
        <v>37228</v>
      </c>
      <c r="H881" s="6" t="s">
        <v>13</v>
      </c>
      <c r="I881" s="9" t="str">
        <f>IF(ISNA(VLOOKUP(A881,'[1]Craig Eval'!A:C,3,FALSE)),"",(VLOOKUP(A881,'[1]Craig Eval'!A:C,3,FALSE))*1000)</f>
        <v/>
      </c>
      <c r="J881" s="10" t="str">
        <f>IF(ISNA(VLOOKUP(A881,'[1]Craig Eval'!A:M,13,FALSE)),"",VLOOKUP(A881,'[1]Craig Eval'!A:M,13,FALSE))</f>
        <v/>
      </c>
      <c r="K881" s="17">
        <v>1</v>
      </c>
    </row>
    <row r="882" spans="1:11" ht="30" x14ac:dyDescent="0.25">
      <c r="A882" s="3" t="s">
        <v>1784</v>
      </c>
      <c r="B882" s="4" t="s">
        <v>1785</v>
      </c>
      <c r="C882" s="5">
        <v>47442</v>
      </c>
      <c r="D882" s="6" t="s">
        <v>28</v>
      </c>
      <c r="E882" s="6" t="s">
        <v>17</v>
      </c>
      <c r="F882" s="7">
        <v>39415</v>
      </c>
      <c r="G882" s="8">
        <f t="shared" si="13"/>
        <v>39415</v>
      </c>
      <c r="H882" s="6" t="s">
        <v>13</v>
      </c>
      <c r="I882" s="9">
        <f>IF(ISNA(VLOOKUP(A882,'[1]Craig Eval'!A:C,3,FALSE)),"",(VLOOKUP(A882,'[1]Craig Eval'!A:C,3,FALSE))*1000)</f>
        <v>28313.0225646447</v>
      </c>
      <c r="J882" s="10">
        <f>IF(ISNA(VLOOKUP(A882,'[1]Craig Eval'!A:M,13,FALSE)),"",VLOOKUP(A882,'[1]Craig Eval'!A:M,13,FALSE))</f>
        <v>80.398677799186103</v>
      </c>
      <c r="K882" s="17">
        <v>1</v>
      </c>
    </row>
    <row r="883" spans="1:11" ht="30" x14ac:dyDescent="0.25">
      <c r="A883" s="3" t="s">
        <v>1786</v>
      </c>
      <c r="B883" s="4" t="s">
        <v>1787</v>
      </c>
      <c r="C883" s="5">
        <v>54619</v>
      </c>
      <c r="D883" s="6" t="s">
        <v>28</v>
      </c>
      <c r="E883" s="6" t="s">
        <v>17</v>
      </c>
      <c r="F883" s="7">
        <v>36420</v>
      </c>
      <c r="G883" s="8">
        <f t="shared" si="13"/>
        <v>36420</v>
      </c>
      <c r="H883" s="6" t="s">
        <v>13</v>
      </c>
      <c r="I883" s="9">
        <f>IF(ISNA(VLOOKUP(A883,'[1]Craig Eval'!A:C,3,FALSE)),"",(VLOOKUP(A883,'[1]Craig Eval'!A:C,3,FALSE))*1000)</f>
        <v>7824.6208275577592</v>
      </c>
      <c r="J883" s="10">
        <f>IF(ISNA(VLOOKUP(A883,'[1]Craig Eval'!A:M,13,FALSE)),"",VLOOKUP(A883,'[1]Craig Eval'!A:M,13,FALSE))</f>
        <v>23.208901481848901</v>
      </c>
      <c r="K883" s="17">
        <v>1</v>
      </c>
    </row>
    <row r="884" spans="1:11" ht="30" x14ac:dyDescent="0.25">
      <c r="A884" s="3" t="s">
        <v>1788</v>
      </c>
      <c r="B884" s="4" t="s">
        <v>1789</v>
      </c>
      <c r="C884" s="5">
        <v>1791</v>
      </c>
      <c r="D884" s="6" t="s">
        <v>28</v>
      </c>
      <c r="E884" s="6" t="s">
        <v>17</v>
      </c>
      <c r="F884" s="7">
        <v>40198</v>
      </c>
      <c r="G884" s="8">
        <f t="shared" si="13"/>
        <v>40198</v>
      </c>
      <c r="H884" s="6" t="s">
        <v>13</v>
      </c>
      <c r="I884" s="9">
        <f>IF(ISNA(VLOOKUP(A884,'[1]Craig Eval'!A:C,3,FALSE)),"",(VLOOKUP(A884,'[1]Craig Eval'!A:C,3,FALSE))*1000)</f>
        <v>8378.0491597863511</v>
      </c>
      <c r="J884" s="10">
        <f>IF(ISNA(VLOOKUP(A884,'[1]Craig Eval'!A:M,13,FALSE)),"",VLOOKUP(A884,'[1]Craig Eval'!A:M,13,FALSE))</f>
        <v>24.807303304342</v>
      </c>
      <c r="K884" s="17">
        <v>1</v>
      </c>
    </row>
    <row r="885" spans="1:11" ht="30" x14ac:dyDescent="0.25">
      <c r="A885" s="3" t="s">
        <v>1790</v>
      </c>
      <c r="B885" s="4" t="s">
        <v>1791</v>
      </c>
      <c r="C885" s="5">
        <v>1726</v>
      </c>
      <c r="D885" s="6" t="s">
        <v>16</v>
      </c>
      <c r="E885" s="6" t="s">
        <v>17</v>
      </c>
      <c r="F885" s="7">
        <v>27187</v>
      </c>
      <c r="G885" s="8">
        <f t="shared" si="13"/>
        <v>27187</v>
      </c>
      <c r="H885" s="6" t="s">
        <v>13</v>
      </c>
      <c r="I885" s="9">
        <f>IF(ISNA(VLOOKUP(A885,'[1]Craig Eval'!A:C,3,FALSE)),"",(VLOOKUP(A885,'[1]Craig Eval'!A:C,3,FALSE))*1000)</f>
        <v>35870.954857176002</v>
      </c>
      <c r="J885" s="10">
        <f>IF(ISNA(VLOOKUP(A885,'[1]Craig Eval'!A:M,13,FALSE)),"",VLOOKUP(A885,'[1]Craig Eval'!A:M,13,FALSE))</f>
        <v>100.74234521727701</v>
      </c>
      <c r="K885" s="17">
        <v>1</v>
      </c>
    </row>
    <row r="886" spans="1:11" ht="30" x14ac:dyDescent="0.25">
      <c r="A886" s="3" t="s">
        <v>1792</v>
      </c>
      <c r="B886" s="4" t="s">
        <v>1793</v>
      </c>
      <c r="C886" s="14">
        <v>1877</v>
      </c>
      <c r="D886" s="6" t="s">
        <v>34</v>
      </c>
      <c r="E886" s="6" t="s">
        <v>17</v>
      </c>
      <c r="F886" s="7">
        <v>29221</v>
      </c>
      <c r="G886" s="8">
        <f t="shared" si="13"/>
        <v>29221</v>
      </c>
      <c r="H886" s="6" t="s">
        <v>13</v>
      </c>
      <c r="I886" s="9" t="str">
        <f>IF(ISNA(VLOOKUP(A886,'[1]Craig Eval'!A:C,3,FALSE)),"",(VLOOKUP(A886,'[1]Craig Eval'!A:C,3,FALSE))*1000)</f>
        <v/>
      </c>
      <c r="J886" s="10" t="str">
        <f>IF(ISNA(VLOOKUP(A886,'[1]Craig Eval'!A:M,13,FALSE)),"",VLOOKUP(A886,'[1]Craig Eval'!A:M,13,FALSE))</f>
        <v/>
      </c>
      <c r="K886" s="11">
        <v>2</v>
      </c>
    </row>
    <row r="887" spans="1:11" ht="30" x14ac:dyDescent="0.25">
      <c r="A887" s="3" t="s">
        <v>1794</v>
      </c>
      <c r="B887" s="4" t="s">
        <v>1795</v>
      </c>
      <c r="C887" s="14">
        <v>1571</v>
      </c>
      <c r="D887" s="6" t="s">
        <v>16</v>
      </c>
      <c r="E887" s="6" t="s">
        <v>17</v>
      </c>
      <c r="F887" s="7">
        <v>29952</v>
      </c>
      <c r="G887" s="8">
        <f t="shared" si="13"/>
        <v>29952</v>
      </c>
      <c r="H887" s="6" t="s">
        <v>13</v>
      </c>
      <c r="I887" s="9" t="str">
        <f>IF(ISNA(VLOOKUP(A887,'[1]Craig Eval'!A:C,3,FALSE)),"",(VLOOKUP(A887,'[1]Craig Eval'!A:C,3,FALSE))*1000)</f>
        <v/>
      </c>
      <c r="J887" s="10" t="str">
        <f>IF(ISNA(VLOOKUP(A887,'[1]Craig Eval'!A:M,13,FALSE)),"",VLOOKUP(A887,'[1]Craig Eval'!A:M,13,FALSE))</f>
        <v/>
      </c>
      <c r="K887" s="17">
        <v>2</v>
      </c>
    </row>
    <row r="888" spans="1:11" ht="30" x14ac:dyDescent="0.25">
      <c r="A888" s="3" t="s">
        <v>1796</v>
      </c>
      <c r="B888" s="4" t="s">
        <v>1797</v>
      </c>
      <c r="C888" s="5">
        <v>1783</v>
      </c>
      <c r="D888" s="6" t="s">
        <v>28</v>
      </c>
      <c r="E888" s="6" t="s">
        <v>17</v>
      </c>
      <c r="F888" s="7">
        <v>36213</v>
      </c>
      <c r="G888" s="8">
        <f t="shared" si="13"/>
        <v>36213</v>
      </c>
      <c r="H888" s="6" t="s">
        <v>13</v>
      </c>
      <c r="I888" s="9">
        <f>IF(ISNA(VLOOKUP(A888,'[1]Craig Eval'!A:C,3,FALSE)),"",(VLOOKUP(A888,'[1]Craig Eval'!A:C,3,FALSE))*1000)</f>
        <v>29149.179158274699</v>
      </c>
      <c r="J888" s="10">
        <f>IF(ISNA(VLOOKUP(A888,'[1]Craig Eval'!A:M,13,FALSE)),"",VLOOKUP(A888,'[1]Craig Eval'!A:M,13,FALSE))</f>
        <v>82.665624802510706</v>
      </c>
      <c r="K888" s="17">
        <v>1</v>
      </c>
    </row>
    <row r="889" spans="1:11" ht="30" x14ac:dyDescent="0.25">
      <c r="A889" s="3" t="s">
        <v>1798</v>
      </c>
      <c r="B889" s="4" t="s">
        <v>1799</v>
      </c>
      <c r="C889" s="14">
        <v>54620</v>
      </c>
      <c r="D889" s="6" t="s">
        <v>28</v>
      </c>
      <c r="E889" s="6" t="s">
        <v>17</v>
      </c>
      <c r="F889" s="7">
        <v>28481</v>
      </c>
      <c r="G889" s="8">
        <f t="shared" si="13"/>
        <v>28481</v>
      </c>
      <c r="H889" s="6" t="s">
        <v>13</v>
      </c>
      <c r="I889" s="9">
        <f>IF(ISNA(VLOOKUP(A889,'[1]Craig Eval'!A:C,3,FALSE)),"",(VLOOKUP(A889,'[1]Craig Eval'!A:C,3,FALSE))*1000)</f>
        <v>136001.89265615898</v>
      </c>
      <c r="J889" s="10">
        <f>IF(ISNA(VLOOKUP(A889,'[1]Craig Eval'!A:M,13,FALSE)),"",VLOOKUP(A889,'[1]Craig Eval'!A:M,13,FALSE))</f>
        <v>350.38649058134098</v>
      </c>
      <c r="K889" s="17">
        <v>1</v>
      </c>
    </row>
    <row r="890" spans="1:11" ht="30" x14ac:dyDescent="0.25">
      <c r="A890" s="3" t="s">
        <v>1800</v>
      </c>
      <c r="B890" s="4" t="s">
        <v>1801</v>
      </c>
      <c r="C890" s="14">
        <v>2026</v>
      </c>
      <c r="D890" s="6" t="s">
        <v>16</v>
      </c>
      <c r="E890" s="6" t="s">
        <v>17</v>
      </c>
      <c r="F890" s="7">
        <v>35905</v>
      </c>
      <c r="G890" s="8">
        <f t="shared" si="13"/>
        <v>35905</v>
      </c>
      <c r="H890" s="6" t="s">
        <v>13</v>
      </c>
      <c r="I890" s="9">
        <f>IF(ISNA(VLOOKUP(A890,'[1]Craig Eval'!A:C,3,FALSE)),"",(VLOOKUP(A890,'[1]Craig Eval'!A:C,3,FALSE))*1000)</f>
        <v>50169.9149369527</v>
      </c>
      <c r="J890" s="10">
        <f>IF(ISNA(VLOOKUP(A890,'[1]Craig Eval'!A:M,13,FALSE)),"",VLOOKUP(A890,'[1]Craig Eval'!A:M,13,FALSE))</f>
        <v>138.43648734265301</v>
      </c>
      <c r="K890" s="17">
        <v>4</v>
      </c>
    </row>
    <row r="891" spans="1:11" ht="30" x14ac:dyDescent="0.25">
      <c r="A891" s="3" t="s">
        <v>1802</v>
      </c>
      <c r="B891" s="4" t="s">
        <v>1803</v>
      </c>
      <c r="C891" s="5">
        <v>1074</v>
      </c>
      <c r="D891" s="6" t="s">
        <v>31</v>
      </c>
      <c r="E891" s="6" t="s">
        <v>17</v>
      </c>
      <c r="F891" s="7">
        <v>33834</v>
      </c>
      <c r="G891" s="8">
        <f t="shared" si="13"/>
        <v>33834</v>
      </c>
      <c r="H891" s="6" t="s">
        <v>13</v>
      </c>
      <c r="I891" s="9">
        <f>IF(ISNA(VLOOKUP(A891,'[1]Craig Eval'!A:C,3,FALSE)),"",(VLOOKUP(A891,'[1]Craig Eval'!A:C,3,FALSE))*1000)</f>
        <v>16216.087967794199</v>
      </c>
      <c r="J891" s="10">
        <f>IF(ISNA(VLOOKUP(A891,'[1]Craig Eval'!A:M,13,FALSE)),"",VLOOKUP(A891,'[1]Craig Eval'!A:M,13,FALSE))</f>
        <v>47.070265667903698</v>
      </c>
      <c r="K891" s="17">
        <v>1</v>
      </c>
    </row>
    <row r="892" spans="1:11" ht="30" x14ac:dyDescent="0.25">
      <c r="A892" s="3" t="s">
        <v>1804</v>
      </c>
      <c r="B892" s="4" t="s">
        <v>1805</v>
      </c>
      <c r="C892" s="5">
        <v>1922</v>
      </c>
      <c r="D892" s="6" t="s">
        <v>31</v>
      </c>
      <c r="E892" s="6" t="s">
        <v>17</v>
      </c>
      <c r="F892" s="7">
        <v>35537</v>
      </c>
      <c r="G892" s="8">
        <f t="shared" si="13"/>
        <v>35537</v>
      </c>
      <c r="H892" s="6" t="s">
        <v>13</v>
      </c>
      <c r="I892" s="9">
        <f>IF(ISNA(VLOOKUP(A892,'[1]Craig Eval'!A:C,3,FALSE)),"",(VLOOKUP(A892,'[1]Craig Eval'!A:C,3,FALSE))*1000)</f>
        <v>33016.641051589402</v>
      </c>
      <c r="J892" s="10">
        <f>IF(ISNA(VLOOKUP(A892,'[1]Craig Eval'!A:M,13,FALSE)),"",VLOOKUP(A892,'[1]Craig Eval'!A:M,13,FALSE))</f>
        <v>93.097209307526398</v>
      </c>
      <c r="K892" s="17">
        <v>1</v>
      </c>
    </row>
    <row r="893" spans="1:11" ht="30" x14ac:dyDescent="0.25">
      <c r="A893" s="3" t="s">
        <v>1806</v>
      </c>
      <c r="B893" s="4" t="s">
        <v>1807</v>
      </c>
      <c r="C893" s="5">
        <v>1873</v>
      </c>
      <c r="D893" s="6" t="s">
        <v>31</v>
      </c>
      <c r="E893" s="6" t="s">
        <v>17</v>
      </c>
      <c r="F893" s="7">
        <v>25569</v>
      </c>
      <c r="G893" s="8">
        <f t="shared" si="13"/>
        <v>25569</v>
      </c>
      <c r="H893" s="6" t="s">
        <v>13</v>
      </c>
      <c r="I893" s="9">
        <f>IF(ISNA(VLOOKUP(A893,'[1]Craig Eval'!A:C,3,FALSE)),"",(VLOOKUP(A893,'[1]Craig Eval'!A:C,3,FALSE))*1000)</f>
        <v>8024.0270851701589</v>
      </c>
      <c r="J893" s="10">
        <f>IF(ISNA(VLOOKUP(A893,'[1]Craig Eval'!A:M,13,FALSE)),"",VLOOKUP(A893,'[1]Craig Eval'!A:M,13,FALSE))</f>
        <v>23.785294746126802</v>
      </c>
      <c r="K893" s="17">
        <v>1</v>
      </c>
    </row>
    <row r="894" spans="1:11" ht="30" x14ac:dyDescent="0.25">
      <c r="A894" s="3" t="s">
        <v>1808</v>
      </c>
      <c r="B894" s="4" t="s">
        <v>1809</v>
      </c>
      <c r="C894" s="14">
        <v>1915</v>
      </c>
      <c r="D894" s="6" t="s">
        <v>34</v>
      </c>
      <c r="E894" s="6" t="s">
        <v>17</v>
      </c>
      <c r="F894" s="7">
        <v>29221</v>
      </c>
      <c r="G894" s="8">
        <f t="shared" si="13"/>
        <v>29221</v>
      </c>
      <c r="H894" s="6" t="s">
        <v>13</v>
      </c>
      <c r="I894" s="9" t="str">
        <f>IF(ISNA(VLOOKUP(A894,'[1]Craig Eval'!A:C,3,FALSE)),"",(VLOOKUP(A894,'[1]Craig Eval'!A:C,3,FALSE))*1000)</f>
        <v/>
      </c>
      <c r="J894" s="10" t="str">
        <f>IF(ISNA(VLOOKUP(A894,'[1]Craig Eval'!A:M,13,FALSE)),"",VLOOKUP(A894,'[1]Craig Eval'!A:M,13,FALSE))</f>
        <v/>
      </c>
      <c r="K894" s="17">
        <v>3</v>
      </c>
    </row>
    <row r="895" spans="1:11" ht="30" x14ac:dyDescent="0.25">
      <c r="A895" s="3" t="s">
        <v>1810</v>
      </c>
      <c r="B895" s="4" t="s">
        <v>1811</v>
      </c>
      <c r="C895" s="5">
        <v>1675</v>
      </c>
      <c r="D895" s="6" t="s">
        <v>34</v>
      </c>
      <c r="E895" s="6" t="s">
        <v>17</v>
      </c>
      <c r="F895" s="7">
        <v>36719</v>
      </c>
      <c r="G895" s="8">
        <f t="shared" si="13"/>
        <v>36719</v>
      </c>
      <c r="H895" s="6" t="s">
        <v>13</v>
      </c>
      <c r="I895" s="9">
        <f>IF(ISNA(VLOOKUP(A895,'[1]Craig Eval'!A:C,3,FALSE)),"",(VLOOKUP(A895,'[1]Craig Eval'!A:C,3,FALSE))*1000)</f>
        <v>23640.614876747499</v>
      </c>
      <c r="J895" s="10">
        <f>IF(ISNA(VLOOKUP(A895,'[1]Craig Eval'!A:M,13,FALSE)),"",VLOOKUP(A895,'[1]Craig Eval'!A:M,13,FALSE))</f>
        <v>67.649424741005504</v>
      </c>
      <c r="K895" s="17">
        <v>1</v>
      </c>
    </row>
    <row r="896" spans="1:11" ht="30" x14ac:dyDescent="0.25">
      <c r="A896" s="3" t="s">
        <v>1812</v>
      </c>
      <c r="B896" s="4" t="s">
        <v>1813</v>
      </c>
      <c r="C896" s="5">
        <v>54621</v>
      </c>
      <c r="D896" s="6" t="s">
        <v>34</v>
      </c>
      <c r="E896" s="6" t="s">
        <v>17</v>
      </c>
      <c r="F896" s="7">
        <v>39519</v>
      </c>
      <c r="G896" s="8">
        <f t="shared" si="13"/>
        <v>39519</v>
      </c>
      <c r="H896" s="6" t="s">
        <v>13</v>
      </c>
      <c r="I896" s="9">
        <f>IF(ISNA(VLOOKUP(A896,'[1]Craig Eval'!A:C,3,FALSE)),"",(VLOOKUP(A896,'[1]Craig Eval'!A:C,3,FALSE))*1000)</f>
        <v>6523.31201871543</v>
      </c>
      <c r="J896" s="10">
        <f>IF(ISNA(VLOOKUP(A896,'[1]Craig Eval'!A:M,13,FALSE)),"",VLOOKUP(A896,'[1]Craig Eval'!A:M,13,FALSE))</f>
        <v>19.433723400107201</v>
      </c>
      <c r="K896" s="17">
        <v>1</v>
      </c>
    </row>
    <row r="897" spans="1:11" ht="30" x14ac:dyDescent="0.25">
      <c r="A897" s="3" t="s">
        <v>1814</v>
      </c>
      <c r="B897" s="4" t="s">
        <v>1815</v>
      </c>
      <c r="C897" s="5">
        <v>1365</v>
      </c>
      <c r="D897" s="6" t="s">
        <v>34</v>
      </c>
      <c r="E897" s="6" t="s">
        <v>17</v>
      </c>
      <c r="F897" s="7">
        <v>18264</v>
      </c>
      <c r="G897" s="8">
        <f t="shared" si="13"/>
        <v>18264</v>
      </c>
      <c r="H897" s="6" t="s">
        <v>13</v>
      </c>
      <c r="I897" s="9">
        <f>IF(ISNA(VLOOKUP(A897,'[1]Craig Eval'!A:C,3,FALSE)),"",(VLOOKUP(A897,'[1]Craig Eval'!A:C,3,FALSE))*1000)</f>
        <v>7369.3050865391497</v>
      </c>
      <c r="J897" s="10">
        <f>IF(ISNA(VLOOKUP(A897,'[1]Craig Eval'!A:M,13,FALSE)),"",VLOOKUP(A897,'[1]Craig Eval'!A:M,13,FALSE))</f>
        <v>21.8907474520527</v>
      </c>
      <c r="K897" s="17">
        <v>1</v>
      </c>
    </row>
    <row r="898" spans="1:11" ht="30" x14ac:dyDescent="0.25">
      <c r="A898" s="3" t="s">
        <v>1816</v>
      </c>
      <c r="B898" s="4" t="s">
        <v>1817</v>
      </c>
      <c r="C898" s="14">
        <v>55121</v>
      </c>
      <c r="D898" s="6" t="s">
        <v>34</v>
      </c>
      <c r="E898" s="6" t="s">
        <v>17</v>
      </c>
      <c r="F898" s="7">
        <v>34700</v>
      </c>
      <c r="G898" s="8">
        <f t="shared" ref="G898:G961" si="14">F898</f>
        <v>34700</v>
      </c>
      <c r="H898" s="6" t="s">
        <v>13</v>
      </c>
      <c r="I898" s="9">
        <f>IF(ISNA(VLOOKUP(A898,'[1]Craig Eval'!A:C,3,FALSE)),"",(VLOOKUP(A898,'[1]Craig Eval'!A:C,3,FALSE))*1000)</f>
        <v>10078.0829491981</v>
      </c>
      <c r="J898" s="10">
        <f>IF(ISNA(VLOOKUP(A898,'[1]Craig Eval'!A:M,13,FALSE)),"",VLOOKUP(A898,'[1]Craig Eval'!A:M,13,FALSE))</f>
        <v>29.692883089911099</v>
      </c>
      <c r="K898" s="17">
        <v>1</v>
      </c>
    </row>
    <row r="899" spans="1:11" ht="30" x14ac:dyDescent="0.25">
      <c r="A899" s="3" t="s">
        <v>1818</v>
      </c>
      <c r="B899" s="4" t="s">
        <v>1819</v>
      </c>
      <c r="C899" s="14">
        <v>1674</v>
      </c>
      <c r="D899" s="6" t="s">
        <v>34</v>
      </c>
      <c r="E899" s="6" t="s">
        <v>17</v>
      </c>
      <c r="F899" s="7">
        <v>28126</v>
      </c>
      <c r="G899" s="8">
        <f t="shared" si="14"/>
        <v>28126</v>
      </c>
      <c r="H899" s="6" t="s">
        <v>13</v>
      </c>
      <c r="I899" s="9">
        <f>IF(ISNA(VLOOKUP(A899,'[1]Craig Eval'!A:C,3,FALSE)),"",(VLOOKUP(A899,'[1]Craig Eval'!A:C,3,FALSE))*1000)</f>
        <v>198759.441011805</v>
      </c>
      <c r="J899" s="10">
        <f>IF(ISNA(VLOOKUP(A899,'[1]Craig Eval'!A:M,13,FALSE)),"",VLOOKUP(A899,'[1]Craig Eval'!A:M,13,FALSE))</f>
        <v>495.22655772266</v>
      </c>
      <c r="K899" s="17">
        <v>3</v>
      </c>
    </row>
    <row r="900" spans="1:11" ht="30" x14ac:dyDescent="0.25">
      <c r="A900" s="3" t="s">
        <v>1820</v>
      </c>
      <c r="B900" s="4" t="s">
        <v>1821</v>
      </c>
      <c r="C900" s="14">
        <v>1041</v>
      </c>
      <c r="D900" s="6" t="s">
        <v>31</v>
      </c>
      <c r="E900" s="6" t="s">
        <v>17</v>
      </c>
      <c r="F900" s="7">
        <v>19725</v>
      </c>
      <c r="G900" s="8">
        <f t="shared" si="14"/>
        <v>19725</v>
      </c>
      <c r="H900" s="6" t="s">
        <v>13</v>
      </c>
      <c r="I900" s="9">
        <f>IF(ISNA(VLOOKUP(A900,'[1]Craig Eval'!A:C,3,FALSE)),"",(VLOOKUP(A900,'[1]Craig Eval'!A:C,3,FALSE))*1000)</f>
        <v>23249.8442806026</v>
      </c>
      <c r="J900" s="10">
        <f>IF(ISNA(VLOOKUP(A900,'[1]Craig Eval'!A:M,13,FALSE)),"",VLOOKUP(A900,'[1]Craig Eval'!A:M,13,FALSE))</f>
        <v>66.576566027823503</v>
      </c>
      <c r="K900" s="17">
        <v>2</v>
      </c>
    </row>
    <row r="901" spans="1:11" ht="30" x14ac:dyDescent="0.25">
      <c r="A901" s="3" t="s">
        <v>1822</v>
      </c>
      <c r="B901" s="4" t="s">
        <v>1823</v>
      </c>
      <c r="C901" s="5">
        <v>1364</v>
      </c>
      <c r="D901" s="6" t="s">
        <v>34</v>
      </c>
      <c r="E901" s="6" t="s">
        <v>17</v>
      </c>
      <c r="F901" s="7">
        <v>25817</v>
      </c>
      <c r="G901" s="8">
        <f t="shared" si="14"/>
        <v>25817</v>
      </c>
      <c r="H901" s="6" t="s">
        <v>13</v>
      </c>
      <c r="I901" s="9">
        <f>IF(ISNA(VLOOKUP(A901,'[1]Craig Eval'!A:C,3,FALSE)),"",(VLOOKUP(A901,'[1]Craig Eval'!A:C,3,FALSE))*1000)</f>
        <v>141.67768749356998</v>
      </c>
      <c r="J901" s="10">
        <f>IF(ISNA(VLOOKUP(A901,'[1]Craig Eval'!A:M,13,FALSE)),"",VLOOKUP(A901,'[1]Craig Eval'!A:M,13,FALSE))</f>
        <v>0.43953258785661398</v>
      </c>
      <c r="K901" s="17">
        <v>2</v>
      </c>
    </row>
    <row r="902" spans="1:11" ht="30" x14ac:dyDescent="0.25">
      <c r="A902" s="3" t="s">
        <v>1824</v>
      </c>
      <c r="B902" s="4" t="s">
        <v>1825</v>
      </c>
      <c r="C902" s="5">
        <v>10569</v>
      </c>
      <c r="D902" s="6" t="s">
        <v>34</v>
      </c>
      <c r="E902" s="6" t="s">
        <v>17</v>
      </c>
      <c r="F902" s="7">
        <v>37460</v>
      </c>
      <c r="G902" s="8">
        <f t="shared" si="14"/>
        <v>37460</v>
      </c>
      <c r="H902" s="6" t="s">
        <v>13</v>
      </c>
      <c r="I902" s="9" t="str">
        <f>IF(ISNA(VLOOKUP(A902,'[1]Craig Eval'!A:C,3,FALSE)),"",(VLOOKUP(A902,'[1]Craig Eval'!A:C,3,FALSE))*1000)</f>
        <v/>
      </c>
      <c r="J902" s="10" t="str">
        <f>IF(ISNA(VLOOKUP(A902,'[1]Craig Eval'!A:M,13,FALSE)),"",VLOOKUP(A902,'[1]Craig Eval'!A:M,13,FALSE))</f>
        <v/>
      </c>
      <c r="K902" s="17">
        <v>2</v>
      </c>
    </row>
    <row r="903" spans="1:11" ht="30" x14ac:dyDescent="0.25">
      <c r="A903" s="3" t="s">
        <v>1826</v>
      </c>
      <c r="B903" s="4" t="s">
        <v>1827</v>
      </c>
      <c r="C903" s="14">
        <v>1844</v>
      </c>
      <c r="D903" s="6" t="s">
        <v>31</v>
      </c>
      <c r="E903" s="6" t="s">
        <v>17</v>
      </c>
      <c r="F903" s="7">
        <v>29952</v>
      </c>
      <c r="G903" s="8">
        <f t="shared" si="14"/>
        <v>29952</v>
      </c>
      <c r="H903" s="6" t="s">
        <v>13</v>
      </c>
      <c r="I903" s="9">
        <f>IF(ISNA(VLOOKUP(A903,'[1]Craig Eval'!A:C,3,FALSE)),"",(VLOOKUP(A903,'[1]Craig Eval'!A:C,3,FALSE))*1000)</f>
        <v>149820.790341769</v>
      </c>
      <c r="J903" s="10">
        <f>IF(ISNA(VLOOKUP(A903,'[1]Craig Eval'!A:M,13,FALSE)),"",VLOOKUP(A903,'[1]Craig Eval'!A:M,13,FALSE))</f>
        <v>382.86828432186599</v>
      </c>
      <c r="K903" s="17">
        <v>2</v>
      </c>
    </row>
    <row r="904" spans="1:11" ht="30" x14ac:dyDescent="0.25">
      <c r="A904" s="3" t="s">
        <v>1828</v>
      </c>
      <c r="B904" s="4" t="s">
        <v>1829</v>
      </c>
      <c r="C904" s="5">
        <v>16649</v>
      </c>
      <c r="D904" s="6" t="s">
        <v>28</v>
      </c>
      <c r="E904" s="6" t="s">
        <v>17</v>
      </c>
      <c r="F904" s="7">
        <v>33337</v>
      </c>
      <c r="G904" s="8">
        <f t="shared" si="14"/>
        <v>33337</v>
      </c>
      <c r="H904" s="6" t="s">
        <v>13</v>
      </c>
      <c r="I904" s="9">
        <f>IF(ISNA(VLOOKUP(A904,'[1]Craig Eval'!A:C,3,FALSE)),"",(VLOOKUP(A904,'[1]Craig Eval'!A:C,3,FALSE))*1000)</f>
        <v>10000.6156242707</v>
      </c>
      <c r="J904" s="10">
        <f>IF(ISNA(VLOOKUP(A904,'[1]Craig Eval'!A:M,13,FALSE)),"",VLOOKUP(A904,'[1]Craig Eval'!A:M,13,FALSE))</f>
        <v>29.4710205951524</v>
      </c>
      <c r="K904" s="17">
        <v>2</v>
      </c>
    </row>
    <row r="905" spans="1:11" ht="30" x14ac:dyDescent="0.25">
      <c r="A905" s="3" t="s">
        <v>1830</v>
      </c>
      <c r="B905" s="4" t="s">
        <v>1831</v>
      </c>
      <c r="C905" s="5">
        <v>25297</v>
      </c>
      <c r="D905" s="6" t="s">
        <v>28</v>
      </c>
      <c r="E905" s="6" t="s">
        <v>17</v>
      </c>
      <c r="F905" s="7">
        <v>31809</v>
      </c>
      <c r="G905" s="8">
        <f t="shared" si="14"/>
        <v>31809</v>
      </c>
      <c r="H905" s="6" t="s">
        <v>13</v>
      </c>
      <c r="I905" s="9">
        <f>IF(ISNA(VLOOKUP(A905,'[1]Craig Eval'!A:C,3,FALSE)),"",(VLOOKUP(A905,'[1]Craig Eval'!A:C,3,FALSE))*1000)</f>
        <v>18484.7945479337</v>
      </c>
      <c r="J905" s="10">
        <f>IF(ISNA(VLOOKUP(A905,'[1]Craig Eval'!A:M,13,FALSE)),"",VLOOKUP(A905,'[1]Craig Eval'!A:M,13,FALSE))</f>
        <v>53.404549113869898</v>
      </c>
      <c r="K905" s="17">
        <v>2</v>
      </c>
    </row>
    <row r="906" spans="1:11" ht="30" x14ac:dyDescent="0.25">
      <c r="A906" s="3" t="s">
        <v>1832</v>
      </c>
      <c r="B906" s="4" t="s">
        <v>1833</v>
      </c>
      <c r="C906" s="5">
        <v>8005</v>
      </c>
      <c r="D906" s="6" t="s">
        <v>28</v>
      </c>
      <c r="E906" s="6" t="s">
        <v>17</v>
      </c>
      <c r="F906" s="7">
        <v>36937</v>
      </c>
      <c r="G906" s="8">
        <f t="shared" si="14"/>
        <v>36937</v>
      </c>
      <c r="H906" s="6" t="s">
        <v>13</v>
      </c>
      <c r="I906" s="9">
        <f>IF(ISNA(VLOOKUP(A906,'[1]Craig Eval'!A:C,3,FALSE)),"",(VLOOKUP(A906,'[1]Craig Eval'!A:C,3,FALSE))*1000)</f>
        <v>2270.5772905265599</v>
      </c>
      <c r="J906" s="10">
        <f>IF(ISNA(VLOOKUP(A906,'[1]Craig Eval'!A:M,13,FALSE)),"",VLOOKUP(A906,'[1]Craig Eval'!A:M,13,FALSE))</f>
        <v>6.8952036025136501</v>
      </c>
      <c r="K906" s="17">
        <v>2</v>
      </c>
    </row>
    <row r="907" spans="1:11" ht="30" x14ac:dyDescent="0.25">
      <c r="A907" s="3" t="s">
        <v>1834</v>
      </c>
      <c r="B907" s="4" t="s">
        <v>1835</v>
      </c>
      <c r="C907" s="5">
        <v>1839</v>
      </c>
      <c r="D907" s="6" t="s">
        <v>16</v>
      </c>
      <c r="E907" s="6" t="s">
        <v>17</v>
      </c>
      <c r="F907" s="7">
        <v>29221</v>
      </c>
      <c r="G907" s="8">
        <f t="shared" si="14"/>
        <v>29221</v>
      </c>
      <c r="H907" s="6" t="s">
        <v>13</v>
      </c>
      <c r="I907" s="9">
        <f>IF(ISNA(VLOOKUP(A907,'[1]Craig Eval'!A:C,3,FALSE)),"",(VLOOKUP(A907,'[1]Craig Eval'!A:C,3,FALSE))*1000)</f>
        <v>13582.7595729164</v>
      </c>
      <c r="J907" s="10">
        <f>IF(ISNA(VLOOKUP(A907,'[1]Craig Eval'!A:M,13,FALSE)),"",VLOOKUP(A907,'[1]Craig Eval'!A:M,13,FALSE))</f>
        <v>39.660961642313801</v>
      </c>
      <c r="K907" s="17">
        <v>1</v>
      </c>
    </row>
    <row r="908" spans="1:11" ht="30" x14ac:dyDescent="0.25">
      <c r="A908" s="3" t="s">
        <v>1836</v>
      </c>
      <c r="B908" s="4" t="s">
        <v>1837</v>
      </c>
      <c r="C908" s="5">
        <v>3526</v>
      </c>
      <c r="D908" s="6" t="s">
        <v>28</v>
      </c>
      <c r="E908" s="6" t="s">
        <v>17</v>
      </c>
      <c r="F908" s="7">
        <v>37201</v>
      </c>
      <c r="G908" s="8">
        <f t="shared" si="14"/>
        <v>37201</v>
      </c>
      <c r="H908" s="6" t="s">
        <v>13</v>
      </c>
      <c r="I908" s="9">
        <f>IF(ISNA(VLOOKUP(A908,'[1]Craig Eval'!A:C,3,FALSE)),"",(VLOOKUP(A908,'[1]Craig Eval'!A:C,3,FALSE))*1000)</f>
        <v>22569.795101311702</v>
      </c>
      <c r="J908" s="10">
        <f>IF(ISNA(VLOOKUP(A908,'[1]Craig Eval'!A:M,13,FALSE)),"",VLOOKUP(A908,'[1]Craig Eval'!A:M,13,FALSE))</f>
        <v>64.706943341537595</v>
      </c>
      <c r="K908" s="17">
        <v>2</v>
      </c>
    </row>
    <row r="909" spans="1:11" ht="30" x14ac:dyDescent="0.25">
      <c r="A909" s="3" t="s">
        <v>1838</v>
      </c>
      <c r="B909" s="4" t="s">
        <v>1839</v>
      </c>
      <c r="C909" s="5">
        <v>72130</v>
      </c>
      <c r="D909" s="6" t="s">
        <v>34</v>
      </c>
      <c r="E909" s="6" t="s">
        <v>17</v>
      </c>
      <c r="F909" s="7">
        <v>38819</v>
      </c>
      <c r="G909" s="8">
        <f t="shared" si="14"/>
        <v>38819</v>
      </c>
      <c r="H909" s="6" t="s">
        <v>13</v>
      </c>
      <c r="I909" s="9" t="str">
        <f>IF(ISNA(VLOOKUP(A909,'[1]Craig Eval'!A:C,3,FALSE)),"",(VLOOKUP(A909,'[1]Craig Eval'!A:C,3,FALSE))*1000)</f>
        <v/>
      </c>
      <c r="J909" s="10" t="str">
        <f>IF(ISNA(VLOOKUP(A909,'[1]Craig Eval'!A:M,13,FALSE)),"",VLOOKUP(A909,'[1]Craig Eval'!A:M,13,FALSE))</f>
        <v/>
      </c>
      <c r="K909" s="17">
        <v>1</v>
      </c>
    </row>
    <row r="910" spans="1:11" ht="30" x14ac:dyDescent="0.25">
      <c r="A910" s="3" t="s">
        <v>1840</v>
      </c>
      <c r="B910" s="4" t="s">
        <v>1841</v>
      </c>
      <c r="C910" s="5">
        <v>72170</v>
      </c>
      <c r="D910" s="6" t="s">
        <v>37</v>
      </c>
      <c r="E910" s="6" t="s">
        <v>38</v>
      </c>
      <c r="F910" s="7">
        <v>39184</v>
      </c>
      <c r="G910" s="8">
        <f t="shared" si="14"/>
        <v>39184</v>
      </c>
      <c r="H910" s="6" t="s">
        <v>39</v>
      </c>
      <c r="I910" s="9" t="str">
        <f>IF(ISNA(VLOOKUP(A910,'[1]Craig Eval'!A:C,3,FALSE)),"",(VLOOKUP(A910,'[1]Craig Eval'!A:C,3,FALSE))*1000)</f>
        <v/>
      </c>
      <c r="J910" s="10" t="str">
        <f>IF(ISNA(VLOOKUP(A910,'[1]Craig Eval'!A:M,13,FALSE)),"",VLOOKUP(A910,'[1]Craig Eval'!A:M,13,FALSE))</f>
        <v/>
      </c>
      <c r="K910" s="17">
        <v>2</v>
      </c>
    </row>
    <row r="911" spans="1:11" ht="30" x14ac:dyDescent="0.25">
      <c r="A911" s="3" t="s">
        <v>1842</v>
      </c>
      <c r="B911" s="4" t="s">
        <v>1843</v>
      </c>
      <c r="C911" s="14">
        <v>72148</v>
      </c>
      <c r="D911" s="6" t="s">
        <v>11</v>
      </c>
      <c r="E911" s="6" t="s">
        <v>12</v>
      </c>
      <c r="F911" s="7">
        <v>39274</v>
      </c>
      <c r="G911" s="8">
        <f t="shared" si="14"/>
        <v>39274</v>
      </c>
      <c r="H911" s="6" t="s">
        <v>39</v>
      </c>
      <c r="I911" s="9" t="str">
        <f>IF(ISNA(VLOOKUP(A911,'[1]Craig Eval'!A:C,3,FALSE)),"",(VLOOKUP(A911,'[1]Craig Eval'!A:C,3,FALSE))*1000)</f>
        <v/>
      </c>
      <c r="J911" s="10" t="str">
        <f>IF(ISNA(VLOOKUP(A911,'[1]Craig Eval'!A:M,13,FALSE)),"",VLOOKUP(A911,'[1]Craig Eval'!A:M,13,FALSE))</f>
        <v/>
      </c>
      <c r="K911" s="17">
        <v>3</v>
      </c>
    </row>
    <row r="912" spans="1:11" ht="30" x14ac:dyDescent="0.25">
      <c r="A912" s="3" t="s">
        <v>1844</v>
      </c>
      <c r="B912" s="4" t="s">
        <v>1845</v>
      </c>
      <c r="C912" s="5">
        <v>72149</v>
      </c>
      <c r="D912" s="6" t="s">
        <v>11</v>
      </c>
      <c r="E912" s="6" t="s">
        <v>12</v>
      </c>
      <c r="F912" s="7">
        <v>39274</v>
      </c>
      <c r="G912" s="8">
        <f t="shared" si="14"/>
        <v>39274</v>
      </c>
      <c r="H912" s="6" t="s">
        <v>39</v>
      </c>
      <c r="I912" s="9" t="str">
        <f>IF(ISNA(VLOOKUP(A912,'[1]Craig Eval'!A:C,3,FALSE)),"",(VLOOKUP(A912,'[1]Craig Eval'!A:C,3,FALSE))*1000)</f>
        <v/>
      </c>
      <c r="J912" s="10" t="str">
        <f>IF(ISNA(VLOOKUP(A912,'[1]Craig Eval'!A:M,13,FALSE)),"",VLOOKUP(A912,'[1]Craig Eval'!A:M,13,FALSE))</f>
        <v/>
      </c>
      <c r="K912" s="17">
        <v>1</v>
      </c>
    </row>
    <row r="913" spans="1:11" ht="30" x14ac:dyDescent="0.25">
      <c r="A913" s="3" t="s">
        <v>1846</v>
      </c>
      <c r="B913" s="4" t="s">
        <v>1847</v>
      </c>
      <c r="C913" s="5">
        <v>15683</v>
      </c>
      <c r="D913" s="6" t="s">
        <v>31</v>
      </c>
      <c r="E913" s="6" t="s">
        <v>17</v>
      </c>
      <c r="F913" s="7">
        <v>28564</v>
      </c>
      <c r="G913" s="8">
        <f t="shared" si="14"/>
        <v>28564</v>
      </c>
      <c r="H913" s="6" t="s">
        <v>13</v>
      </c>
      <c r="I913" s="9">
        <f>IF(ISNA(VLOOKUP(A913,'[1]Craig Eval'!A:C,3,FALSE)),"",(VLOOKUP(A913,'[1]Craig Eval'!A:C,3,FALSE))*1000)</f>
        <v>42168.647926266698</v>
      </c>
      <c r="J913" s="10">
        <f>IF(ISNA(VLOOKUP(A913,'[1]Craig Eval'!A:M,13,FALSE)),"",VLOOKUP(A913,'[1]Craig Eval'!A:M,13,FALSE))</f>
        <v>117.461885021345</v>
      </c>
      <c r="K913" s="17">
        <v>1</v>
      </c>
    </row>
    <row r="914" spans="1:11" ht="30" x14ac:dyDescent="0.25">
      <c r="A914" s="3" t="s">
        <v>1848</v>
      </c>
      <c r="B914" s="4" t="s">
        <v>1849</v>
      </c>
      <c r="C914" s="5">
        <v>1122</v>
      </c>
      <c r="D914" s="6" t="s">
        <v>16</v>
      </c>
      <c r="E914" s="6" t="s">
        <v>17</v>
      </c>
      <c r="F914" s="7">
        <v>29221</v>
      </c>
      <c r="G914" s="8">
        <f t="shared" si="14"/>
        <v>29221</v>
      </c>
      <c r="H914" s="6" t="s">
        <v>13</v>
      </c>
      <c r="I914" s="9" t="str">
        <f>IF(ISNA(VLOOKUP(A914,'[1]Craig Eval'!A:C,3,FALSE)),"",(VLOOKUP(A914,'[1]Craig Eval'!A:C,3,FALSE))*1000)</f>
        <v/>
      </c>
      <c r="J914" s="10" t="str">
        <f>IF(ISNA(VLOOKUP(A914,'[1]Craig Eval'!A:M,13,FALSE)),"",VLOOKUP(A914,'[1]Craig Eval'!A:M,13,FALSE))</f>
        <v/>
      </c>
      <c r="K914" s="17">
        <v>1</v>
      </c>
    </row>
    <row r="915" spans="1:11" ht="30" x14ac:dyDescent="0.25">
      <c r="A915" s="3" t="s">
        <v>1850</v>
      </c>
      <c r="B915" s="4" t="s">
        <v>1851</v>
      </c>
      <c r="C915" s="5">
        <v>52930</v>
      </c>
      <c r="D915" s="6" t="s">
        <v>34</v>
      </c>
      <c r="E915" s="6" t="s">
        <v>17</v>
      </c>
      <c r="F915" s="7">
        <v>39154</v>
      </c>
      <c r="G915" s="8">
        <f t="shared" si="14"/>
        <v>39154</v>
      </c>
      <c r="H915" s="6" t="s">
        <v>13</v>
      </c>
      <c r="I915" s="9" t="str">
        <f>IF(ISNA(VLOOKUP(A915,'[1]Craig Eval'!A:C,3,FALSE)),"",(VLOOKUP(A915,'[1]Craig Eval'!A:C,3,FALSE))*1000)</f>
        <v/>
      </c>
      <c r="J915" s="10" t="str">
        <f>IF(ISNA(VLOOKUP(A915,'[1]Craig Eval'!A:M,13,FALSE)),"",VLOOKUP(A915,'[1]Craig Eval'!A:M,13,FALSE))</f>
        <v/>
      </c>
      <c r="K915" s="17">
        <v>1</v>
      </c>
    </row>
    <row r="916" spans="1:11" ht="30" x14ac:dyDescent="0.25">
      <c r="A916" s="3" t="s">
        <v>1852</v>
      </c>
      <c r="B916" s="4" t="s">
        <v>1853</v>
      </c>
      <c r="C916" s="14">
        <v>43924</v>
      </c>
      <c r="D916" s="6" t="s">
        <v>31</v>
      </c>
      <c r="E916" s="6" t="s">
        <v>17</v>
      </c>
      <c r="F916" s="7">
        <v>39428</v>
      </c>
      <c r="G916" s="8">
        <f t="shared" si="14"/>
        <v>39428</v>
      </c>
      <c r="H916" s="6" t="s">
        <v>13</v>
      </c>
      <c r="I916" s="9">
        <f>IF(ISNA(VLOOKUP(A916,'[1]Craig Eval'!A:C,3,FALSE)),"",(VLOOKUP(A916,'[1]Craig Eval'!A:C,3,FALSE))*1000)</f>
        <v>52002.196826704901</v>
      </c>
      <c r="J916" s="10">
        <f>IF(ISNA(VLOOKUP(A916,'[1]Craig Eval'!A:M,13,FALSE)),"",VLOOKUP(A916,'[1]Craig Eval'!A:M,13,FALSE))</f>
        <v>143.20085430733499</v>
      </c>
      <c r="K916" s="17">
        <v>2</v>
      </c>
    </row>
    <row r="917" spans="1:11" ht="30" x14ac:dyDescent="0.25">
      <c r="A917" s="3" t="s">
        <v>1854</v>
      </c>
      <c r="B917" s="4" t="s">
        <v>1855</v>
      </c>
      <c r="C917" s="5">
        <v>12495</v>
      </c>
      <c r="D917" s="6" t="s">
        <v>37</v>
      </c>
      <c r="E917" s="6" t="s">
        <v>38</v>
      </c>
      <c r="F917" s="7">
        <v>36431</v>
      </c>
      <c r="G917" s="8">
        <f t="shared" si="14"/>
        <v>36431</v>
      </c>
      <c r="H917" s="6" t="s">
        <v>39</v>
      </c>
      <c r="I917" s="9" t="str">
        <f>IF(ISNA(VLOOKUP(A917,'[1]Craig Eval'!A:C,3,FALSE)),"",(VLOOKUP(A917,'[1]Craig Eval'!A:C,3,FALSE))*1000)</f>
        <v/>
      </c>
      <c r="J917" s="10" t="str">
        <f>IF(ISNA(VLOOKUP(A917,'[1]Craig Eval'!A:M,13,FALSE)),"",VLOOKUP(A917,'[1]Craig Eval'!A:M,13,FALSE))</f>
        <v/>
      </c>
      <c r="K917" s="17">
        <v>1</v>
      </c>
    </row>
    <row r="918" spans="1:11" ht="30" x14ac:dyDescent="0.25">
      <c r="A918" s="3" t="s">
        <v>1856</v>
      </c>
      <c r="B918" s="4" t="s">
        <v>1857</v>
      </c>
      <c r="C918" s="14">
        <v>15366</v>
      </c>
      <c r="D918" s="6" t="s">
        <v>34</v>
      </c>
      <c r="E918" s="6" t="s">
        <v>17</v>
      </c>
      <c r="F918" s="7">
        <v>38387</v>
      </c>
      <c r="G918" s="8">
        <f t="shared" si="14"/>
        <v>38387</v>
      </c>
      <c r="H918" s="6" t="s">
        <v>13</v>
      </c>
      <c r="I918" s="9" t="str">
        <f>IF(ISNA(VLOOKUP(A918,'[1]Craig Eval'!A:C,3,FALSE)),"",(VLOOKUP(A918,'[1]Craig Eval'!A:C,3,FALSE))*1000)</f>
        <v/>
      </c>
      <c r="J918" s="10" t="str">
        <f>IF(ISNA(VLOOKUP(A918,'[1]Craig Eval'!A:M,13,FALSE)),"",VLOOKUP(A918,'[1]Craig Eval'!A:M,13,FALSE))</f>
        <v/>
      </c>
      <c r="K918" s="17">
        <v>4</v>
      </c>
    </row>
    <row r="919" spans="1:11" ht="30" x14ac:dyDescent="0.25">
      <c r="A919" s="3" t="s">
        <v>1858</v>
      </c>
      <c r="B919" s="4" t="s">
        <v>1859</v>
      </c>
      <c r="C919" s="14">
        <v>29845</v>
      </c>
      <c r="D919" s="6" t="s">
        <v>34</v>
      </c>
      <c r="E919" s="6" t="s">
        <v>17</v>
      </c>
      <c r="F919" s="7">
        <v>37561</v>
      </c>
      <c r="G919" s="8">
        <f t="shared" si="14"/>
        <v>37561</v>
      </c>
      <c r="H919" s="6" t="s">
        <v>13</v>
      </c>
      <c r="I919" s="9" t="str">
        <f>IF(ISNA(VLOOKUP(A919,'[1]Craig Eval'!A:C,3,FALSE)),"",(VLOOKUP(A919,'[1]Craig Eval'!A:C,3,FALSE))*1000)</f>
        <v/>
      </c>
      <c r="J919" s="10" t="str">
        <f>IF(ISNA(VLOOKUP(A919,'[1]Craig Eval'!A:M,13,FALSE)),"",VLOOKUP(A919,'[1]Craig Eval'!A:M,13,FALSE))</f>
        <v/>
      </c>
      <c r="K919" s="17">
        <v>2</v>
      </c>
    </row>
    <row r="920" spans="1:11" ht="30" x14ac:dyDescent="0.25">
      <c r="A920" s="26" t="s">
        <v>1860</v>
      </c>
      <c r="B920" s="27" t="s">
        <v>1861</v>
      </c>
      <c r="C920" s="5">
        <v>2053</v>
      </c>
      <c r="D920" s="28" t="s">
        <v>31</v>
      </c>
      <c r="E920" s="28" t="s">
        <v>17</v>
      </c>
      <c r="F920" s="29">
        <v>34145</v>
      </c>
      <c r="G920" s="30">
        <f t="shared" si="14"/>
        <v>34145</v>
      </c>
      <c r="H920" s="28" t="s">
        <v>13</v>
      </c>
      <c r="I920" s="31">
        <f>IF(ISNA(VLOOKUP(A920,'[1]Craig Eval'!A:C,3,FALSE)),"",(VLOOKUP(A920,'[1]Craig Eval'!A:C,3,FALSE))*1000)</f>
        <v>73270.313120848194</v>
      </c>
      <c r="J920" s="32">
        <f>IF(ISNA(VLOOKUP(A920,'[1]Craig Eval'!A:M,13,FALSE)),"",VLOOKUP(A920,'[1]Craig Eval'!A:M,13,FALSE))</f>
        <v>197.57760729701499</v>
      </c>
      <c r="K920" s="33">
        <v>2</v>
      </c>
    </row>
    <row r="921" spans="1:11" ht="30" x14ac:dyDescent="0.25">
      <c r="A921" s="3" t="s">
        <v>1862</v>
      </c>
      <c r="B921" s="4" t="s">
        <v>1863</v>
      </c>
      <c r="C921" s="5">
        <v>21772</v>
      </c>
      <c r="D921" s="6" t="s">
        <v>11</v>
      </c>
      <c r="E921" s="6" t="s">
        <v>12</v>
      </c>
      <c r="F921" s="7">
        <v>34913</v>
      </c>
      <c r="G921" s="8">
        <f t="shared" si="14"/>
        <v>34913</v>
      </c>
      <c r="H921" s="6" t="s">
        <v>39</v>
      </c>
      <c r="I921" s="9" t="str">
        <f>IF(ISNA(VLOOKUP(A921,'[1]Craig Eval'!A:C,3,FALSE)),"",(VLOOKUP(A921,'[1]Craig Eval'!A:C,3,FALSE))*1000)</f>
        <v/>
      </c>
      <c r="J921" s="10" t="str">
        <f>IF(ISNA(VLOOKUP(A921,'[1]Craig Eval'!A:M,13,FALSE)),"",VLOOKUP(A921,'[1]Craig Eval'!A:M,13,FALSE))</f>
        <v/>
      </c>
      <c r="K921" s="11">
        <v>1</v>
      </c>
    </row>
    <row r="922" spans="1:11" ht="30" x14ac:dyDescent="0.25">
      <c r="A922" s="3" t="s">
        <v>1864</v>
      </c>
      <c r="B922" s="4" t="s">
        <v>1865</v>
      </c>
      <c r="C922" s="5">
        <v>1813</v>
      </c>
      <c r="D922" s="6" t="s">
        <v>28</v>
      </c>
      <c r="E922" s="6" t="s">
        <v>17</v>
      </c>
      <c r="F922" s="7">
        <v>29221</v>
      </c>
      <c r="G922" s="8">
        <f t="shared" si="14"/>
        <v>29221</v>
      </c>
      <c r="H922" s="6" t="s">
        <v>13</v>
      </c>
      <c r="I922" s="9">
        <f>IF(ISNA(VLOOKUP(A922,'[1]Craig Eval'!A:C,3,FALSE)),"",(VLOOKUP(A922,'[1]Craig Eval'!A:C,3,FALSE))*1000)</f>
        <v>9740.6640686185692</v>
      </c>
      <c r="J922" s="10">
        <f>IF(ISNA(VLOOKUP(A922,'[1]Craig Eval'!A:M,13,FALSE)),"",VLOOKUP(A922,'[1]Craig Eval'!A:M,13,FALSE))</f>
        <v>28.7260143297271</v>
      </c>
      <c r="K922" s="11">
        <v>1</v>
      </c>
    </row>
    <row r="923" spans="1:11" ht="30" x14ac:dyDescent="0.25">
      <c r="A923" s="3" t="s">
        <v>1866</v>
      </c>
      <c r="B923" s="4" t="s">
        <v>1867</v>
      </c>
      <c r="C923" s="5">
        <v>31345</v>
      </c>
      <c r="D923" s="6" t="s">
        <v>31</v>
      </c>
      <c r="E923" s="6" t="s">
        <v>17</v>
      </c>
      <c r="F923" s="7">
        <v>33350</v>
      </c>
      <c r="G923" s="8">
        <f t="shared" si="14"/>
        <v>33350</v>
      </c>
      <c r="H923" s="6" t="s">
        <v>13</v>
      </c>
      <c r="I923" s="9" t="str">
        <f>IF(ISNA(VLOOKUP(A923,'[1]Craig Eval'!A:C,3,FALSE)),"",(VLOOKUP(A923,'[1]Craig Eval'!A:C,3,FALSE))*1000)</f>
        <v/>
      </c>
      <c r="J923" s="10" t="str">
        <f>IF(ISNA(VLOOKUP(A923,'[1]Craig Eval'!A:M,13,FALSE)),"",VLOOKUP(A923,'[1]Craig Eval'!A:M,13,FALSE))</f>
        <v/>
      </c>
      <c r="K923" s="17">
        <v>1</v>
      </c>
    </row>
    <row r="924" spans="1:11" ht="30" x14ac:dyDescent="0.25">
      <c r="A924" s="3" t="s">
        <v>1868</v>
      </c>
      <c r="B924" s="4" t="s">
        <v>1869</v>
      </c>
      <c r="C924" s="5">
        <v>30980</v>
      </c>
      <c r="D924" s="6" t="s">
        <v>31</v>
      </c>
      <c r="E924" s="6" t="s">
        <v>17</v>
      </c>
      <c r="F924" s="7">
        <v>31324</v>
      </c>
      <c r="G924" s="8">
        <f t="shared" si="14"/>
        <v>31324</v>
      </c>
      <c r="H924" s="6" t="s">
        <v>13</v>
      </c>
      <c r="I924" s="9" t="str">
        <f>IF(ISNA(VLOOKUP(A924,'[1]Craig Eval'!A:C,3,FALSE)),"",(VLOOKUP(A924,'[1]Craig Eval'!A:C,3,FALSE))*1000)</f>
        <v/>
      </c>
      <c r="J924" s="10" t="str">
        <f>IF(ISNA(VLOOKUP(A924,'[1]Craig Eval'!A:M,13,FALSE)),"",VLOOKUP(A924,'[1]Craig Eval'!A:M,13,FALSE))</f>
        <v/>
      </c>
      <c r="K924" s="17">
        <v>2</v>
      </c>
    </row>
    <row r="925" spans="1:11" ht="30" x14ac:dyDescent="0.25">
      <c r="A925" s="3" t="s">
        <v>1870</v>
      </c>
      <c r="B925" s="4" t="s">
        <v>1871</v>
      </c>
      <c r="C925" s="5">
        <v>1834</v>
      </c>
      <c r="D925" s="6" t="s">
        <v>31</v>
      </c>
      <c r="E925" s="6" t="s">
        <v>17</v>
      </c>
      <c r="F925" s="7">
        <v>35065</v>
      </c>
      <c r="G925" s="8">
        <f t="shared" si="14"/>
        <v>35065</v>
      </c>
      <c r="H925" s="6" t="s">
        <v>13</v>
      </c>
      <c r="I925" s="9">
        <f>IF(ISNA(VLOOKUP(A925,'[1]Craig Eval'!A:C,3,FALSE)),"",(VLOOKUP(A925,'[1]Craig Eval'!A:C,3,FALSE))*1000)</f>
        <v>5713.1883817668095</v>
      </c>
      <c r="J925" s="10">
        <f>IF(ISNA(VLOOKUP(A925,'[1]Craig Eval'!A:M,13,FALSE)),"",VLOOKUP(A925,'[1]Craig Eval'!A:M,13,FALSE))</f>
        <v>17.070721161619499</v>
      </c>
      <c r="K925" s="17">
        <v>1</v>
      </c>
    </row>
    <row r="926" spans="1:11" ht="30" x14ac:dyDescent="0.25">
      <c r="A926" s="3" t="s">
        <v>1872</v>
      </c>
      <c r="B926" s="4" t="s">
        <v>1873</v>
      </c>
      <c r="C926" s="5">
        <v>1770</v>
      </c>
      <c r="D926" s="6" t="s">
        <v>34</v>
      </c>
      <c r="E926" s="6" t="s">
        <v>17</v>
      </c>
      <c r="F926" s="7">
        <v>36445</v>
      </c>
      <c r="G926" s="8">
        <f t="shared" si="14"/>
        <v>36445</v>
      </c>
      <c r="H926" s="6" t="s">
        <v>13</v>
      </c>
      <c r="I926" s="9" t="str">
        <f>IF(ISNA(VLOOKUP(A926,'[1]Craig Eval'!A:C,3,FALSE)),"",(VLOOKUP(A926,'[1]Craig Eval'!A:C,3,FALSE))*1000)</f>
        <v/>
      </c>
      <c r="J926" s="10" t="str">
        <f>IF(ISNA(VLOOKUP(A926,'[1]Craig Eval'!A:M,13,FALSE)),"",VLOOKUP(A926,'[1]Craig Eval'!A:M,13,FALSE))</f>
        <v/>
      </c>
      <c r="K926" s="17">
        <v>2</v>
      </c>
    </row>
    <row r="927" spans="1:11" ht="30" x14ac:dyDescent="0.25">
      <c r="A927" s="3" t="s">
        <v>1874</v>
      </c>
      <c r="B927" s="4" t="s">
        <v>1875</v>
      </c>
      <c r="C927" s="5">
        <v>14401</v>
      </c>
      <c r="D927" s="6" t="s">
        <v>28</v>
      </c>
      <c r="E927" s="6" t="s">
        <v>17</v>
      </c>
      <c r="F927" s="7">
        <v>38127</v>
      </c>
      <c r="G927" s="8">
        <f t="shared" si="14"/>
        <v>38127</v>
      </c>
      <c r="H927" s="6" t="s">
        <v>13</v>
      </c>
      <c r="I927" s="9">
        <f>IF(ISNA(VLOOKUP(A927,'[1]Craig Eval'!A:C,3,FALSE)),"",(VLOOKUP(A927,'[1]Craig Eval'!A:C,3,FALSE))*1000)</f>
        <v>5185.3410846558099</v>
      </c>
      <c r="J927" s="10">
        <f>IF(ISNA(VLOOKUP(A927,'[1]Craig Eval'!A:M,13,FALSE)),"",VLOOKUP(A927,'[1]Craig Eval'!A:M,13,FALSE))</f>
        <v>15.525353111768901</v>
      </c>
      <c r="K927" s="17">
        <v>1</v>
      </c>
    </row>
    <row r="928" spans="1:11" ht="30" x14ac:dyDescent="0.25">
      <c r="A928" s="3" t="s">
        <v>1876</v>
      </c>
      <c r="B928" s="4" t="s">
        <v>1877</v>
      </c>
      <c r="C928" s="5">
        <v>72150</v>
      </c>
      <c r="D928" s="6" t="s">
        <v>37</v>
      </c>
      <c r="E928" s="6" t="s">
        <v>38</v>
      </c>
      <c r="F928" s="7">
        <v>38800</v>
      </c>
      <c r="G928" s="8">
        <f t="shared" si="14"/>
        <v>38800</v>
      </c>
      <c r="H928" s="6" t="s">
        <v>39</v>
      </c>
      <c r="I928" s="9" t="str">
        <f>IF(ISNA(VLOOKUP(A928,'[1]Craig Eval'!A:C,3,FALSE)),"",(VLOOKUP(A928,'[1]Craig Eval'!A:C,3,FALSE))*1000)</f>
        <v/>
      </c>
      <c r="J928" s="10" t="str">
        <f>IF(ISNA(VLOOKUP(A928,'[1]Craig Eval'!A:M,13,FALSE)),"",VLOOKUP(A928,'[1]Craig Eval'!A:M,13,FALSE))</f>
        <v/>
      </c>
      <c r="K928" s="17">
        <v>2</v>
      </c>
    </row>
    <row r="929" spans="1:11" ht="30" x14ac:dyDescent="0.25">
      <c r="A929" s="3" t="s">
        <v>1878</v>
      </c>
      <c r="B929" s="4" t="s">
        <v>1879</v>
      </c>
      <c r="C929" s="5">
        <v>1790</v>
      </c>
      <c r="D929" s="6" t="s">
        <v>28</v>
      </c>
      <c r="E929" s="6" t="s">
        <v>17</v>
      </c>
      <c r="F929" s="7">
        <v>25569</v>
      </c>
      <c r="G929" s="8">
        <f t="shared" si="14"/>
        <v>25569</v>
      </c>
      <c r="H929" s="6" t="s">
        <v>13</v>
      </c>
      <c r="I929" s="9">
        <f>IF(ISNA(VLOOKUP(A929,'[1]Craig Eval'!A:C,3,FALSE)),"",(VLOOKUP(A929,'[1]Craig Eval'!A:C,3,FALSE))*1000)</f>
        <v>564.16599385791801</v>
      </c>
      <c r="J929" s="10">
        <f>IF(ISNA(VLOOKUP(A929,'[1]Craig Eval'!A:M,13,FALSE)),"",VLOOKUP(A929,'[1]Craig Eval'!A:M,13,FALSE))</f>
        <v>1.73774458606866</v>
      </c>
      <c r="K929" s="17">
        <v>1</v>
      </c>
    </row>
    <row r="930" spans="1:11" ht="30" x14ac:dyDescent="0.25">
      <c r="A930" s="3" t="s">
        <v>1880</v>
      </c>
      <c r="B930" s="4" t="s">
        <v>1881</v>
      </c>
      <c r="C930" s="5">
        <v>1949</v>
      </c>
      <c r="D930" s="6" t="s">
        <v>28</v>
      </c>
      <c r="E930" s="6" t="s">
        <v>17</v>
      </c>
      <c r="F930" s="7">
        <v>32509</v>
      </c>
      <c r="G930" s="8">
        <f t="shared" si="14"/>
        <v>32509</v>
      </c>
      <c r="H930" s="6" t="s">
        <v>13</v>
      </c>
      <c r="I930" s="9">
        <f>IF(ISNA(VLOOKUP(A930,'[1]Craig Eval'!A:C,3,FALSE)),"",(VLOOKUP(A930,'[1]Craig Eval'!A:C,3,FALSE))*1000)</f>
        <v>57511.5358944572</v>
      </c>
      <c r="J930" s="10">
        <f>IF(ISNA(VLOOKUP(A930,'[1]Craig Eval'!A:M,13,FALSE)),"",VLOOKUP(A930,'[1]Craig Eval'!A:M,13,FALSE))</f>
        <v>157.44533543279999</v>
      </c>
      <c r="K930" s="17">
        <v>2</v>
      </c>
    </row>
    <row r="931" spans="1:11" ht="30" x14ac:dyDescent="0.25">
      <c r="A931" s="3" t="s">
        <v>1882</v>
      </c>
      <c r="B931" s="4" t="s">
        <v>1883</v>
      </c>
      <c r="C931" s="5">
        <v>52918</v>
      </c>
      <c r="D931" s="6" t="s">
        <v>28</v>
      </c>
      <c r="E931" s="6" t="s">
        <v>17</v>
      </c>
      <c r="F931" s="7">
        <v>39129</v>
      </c>
      <c r="G931" s="8">
        <f t="shared" si="14"/>
        <v>39129</v>
      </c>
      <c r="H931" s="6" t="s">
        <v>13</v>
      </c>
      <c r="I931" s="9">
        <f>IF(ISNA(VLOOKUP(A931,'[1]Craig Eval'!A:C,3,FALSE)),"",(VLOOKUP(A931,'[1]Craig Eval'!A:C,3,FALSE))*1000)</f>
        <v>17460.256812847001</v>
      </c>
      <c r="J931" s="10">
        <f>IF(ISNA(VLOOKUP(A931,'[1]Craig Eval'!A:M,13,FALSE)),"",VLOOKUP(A931,'[1]Craig Eval'!A:M,13,FALSE))</f>
        <v>50.549370059652901</v>
      </c>
      <c r="K931" s="17">
        <v>1</v>
      </c>
    </row>
    <row r="932" spans="1:11" ht="30" x14ac:dyDescent="0.25">
      <c r="A932" s="3" t="s">
        <v>1884</v>
      </c>
      <c r="B932" s="4" t="s">
        <v>1885</v>
      </c>
      <c r="C932" s="14">
        <v>6406</v>
      </c>
      <c r="D932" s="6" t="s">
        <v>31</v>
      </c>
      <c r="E932" s="6" t="s">
        <v>17</v>
      </c>
      <c r="F932" s="7">
        <v>37021</v>
      </c>
      <c r="G932" s="8">
        <f t="shared" si="14"/>
        <v>37021</v>
      </c>
      <c r="H932" s="6" t="s">
        <v>13</v>
      </c>
      <c r="I932" s="9" t="str">
        <f>IF(ISNA(VLOOKUP(A932,'[1]Craig Eval'!A:C,3,FALSE)),"",(VLOOKUP(A932,'[1]Craig Eval'!A:C,3,FALSE))*1000)</f>
        <v/>
      </c>
      <c r="J932" s="10" t="str">
        <f>IF(ISNA(VLOOKUP(A932,'[1]Craig Eval'!A:M,13,FALSE)),"",VLOOKUP(A932,'[1]Craig Eval'!A:M,13,FALSE))</f>
        <v/>
      </c>
      <c r="K932" s="17">
        <v>2</v>
      </c>
    </row>
    <row r="933" spans="1:11" ht="30" x14ac:dyDescent="0.25">
      <c r="A933" s="18" t="s">
        <v>1886</v>
      </c>
      <c r="B933" s="19" t="s">
        <v>1887</v>
      </c>
      <c r="C933" s="20">
        <v>1380</v>
      </c>
      <c r="D933" s="21" t="s">
        <v>16</v>
      </c>
      <c r="E933" s="21" t="s">
        <v>17</v>
      </c>
      <c r="F933" s="22">
        <v>29221</v>
      </c>
      <c r="G933" s="23">
        <f t="shared" si="14"/>
        <v>29221</v>
      </c>
      <c r="H933" s="21" t="s">
        <v>13</v>
      </c>
      <c r="I933" s="9" t="str">
        <f>IF(ISNA(VLOOKUP(A933,'[1]Craig Eval'!A:C,3,FALSE)),"",(VLOOKUP(A933,'[1]Craig Eval'!A:C,3,FALSE))*1000)</f>
        <v/>
      </c>
      <c r="J933" s="24" t="str">
        <f>IF(ISNA(VLOOKUP(A933,'[1]Craig Eval'!A:M,13,FALSE)),"",VLOOKUP(A933,'[1]Craig Eval'!A:M,13,FALSE))</f>
        <v/>
      </c>
      <c r="K933" s="25">
        <v>2</v>
      </c>
    </row>
    <row r="934" spans="1:11" ht="30" x14ac:dyDescent="0.25">
      <c r="A934" s="3" t="s">
        <v>1888</v>
      </c>
      <c r="B934" s="4" t="s">
        <v>1889</v>
      </c>
      <c r="C934" s="5">
        <v>1161</v>
      </c>
      <c r="D934" s="6" t="s">
        <v>31</v>
      </c>
      <c r="E934" s="6" t="s">
        <v>17</v>
      </c>
      <c r="F934" s="7">
        <v>29221</v>
      </c>
      <c r="G934" s="8">
        <f t="shared" si="14"/>
        <v>29221</v>
      </c>
      <c r="H934" s="6" t="s">
        <v>13</v>
      </c>
      <c r="I934" s="9">
        <f>IF(ISNA(VLOOKUP(A934,'[1]Craig Eval'!A:C,3,FALSE)),"",(VLOOKUP(A934,'[1]Craig Eval'!A:C,3,FALSE))*1000)</f>
        <v>9546.3390562290406</v>
      </c>
      <c r="J934" s="10">
        <f>IF(ISNA(VLOOKUP(A934,'[1]Craig Eval'!A:M,13,FALSE)),"",VLOOKUP(A934,'[1]Craig Eval'!A:M,13,FALSE))</f>
        <v>28.168562828708001</v>
      </c>
      <c r="K934" s="17">
        <v>1</v>
      </c>
    </row>
    <row r="935" spans="1:11" ht="30" x14ac:dyDescent="0.25">
      <c r="A935" s="3" t="s">
        <v>1890</v>
      </c>
      <c r="B935" s="4" t="s">
        <v>1891</v>
      </c>
      <c r="C935" s="5">
        <v>1702</v>
      </c>
      <c r="D935" s="6" t="s">
        <v>31</v>
      </c>
      <c r="E935" s="6" t="s">
        <v>17</v>
      </c>
      <c r="F935" s="7">
        <v>32141</v>
      </c>
      <c r="G935" s="8">
        <f t="shared" si="14"/>
        <v>32141</v>
      </c>
      <c r="H935" s="6" t="s">
        <v>13</v>
      </c>
      <c r="I935" s="9">
        <f>IF(ISNA(VLOOKUP(A935,'[1]Craig Eval'!A:C,3,FALSE)),"",(VLOOKUP(A935,'[1]Craig Eval'!A:C,3,FALSE))*1000)</f>
        <v>30371.973754909199</v>
      </c>
      <c r="J935" s="10">
        <f>IF(ISNA(VLOOKUP(A935,'[1]Craig Eval'!A:M,13,FALSE)),"",VLOOKUP(A935,'[1]Craig Eval'!A:M,13,FALSE))</f>
        <v>85.973232277252194</v>
      </c>
      <c r="K935" s="17">
        <v>1</v>
      </c>
    </row>
    <row r="936" spans="1:11" ht="30" x14ac:dyDescent="0.25">
      <c r="A936" s="3" t="s">
        <v>1892</v>
      </c>
      <c r="B936" s="4" t="s">
        <v>1893</v>
      </c>
      <c r="C936" s="5">
        <v>1892</v>
      </c>
      <c r="D936" s="6" t="s">
        <v>31</v>
      </c>
      <c r="E936" s="6" t="s">
        <v>17</v>
      </c>
      <c r="F936" s="7">
        <v>38407</v>
      </c>
      <c r="G936" s="8">
        <f t="shared" si="14"/>
        <v>38407</v>
      </c>
      <c r="H936" s="6" t="s">
        <v>13</v>
      </c>
      <c r="I936" s="9">
        <f>IF(ISNA(VLOOKUP(A936,'[1]Craig Eval'!A:C,3,FALSE)),"",(VLOOKUP(A936,'[1]Craig Eval'!A:C,3,FALSE))*1000)</f>
        <v>40895.186488043502</v>
      </c>
      <c r="J936" s="10">
        <f>IF(ISNA(VLOOKUP(A936,'[1]Craig Eval'!A:M,13,FALSE)),"",VLOOKUP(A936,'[1]Craig Eval'!A:M,13,FALSE))</f>
        <v>114.09674138512</v>
      </c>
      <c r="K936" s="17">
        <v>2</v>
      </c>
    </row>
    <row r="937" spans="1:11" ht="30" x14ac:dyDescent="0.25">
      <c r="A937" s="18" t="s">
        <v>1894</v>
      </c>
      <c r="B937" s="19" t="s">
        <v>1895</v>
      </c>
      <c r="C937" s="5">
        <v>1389</v>
      </c>
      <c r="D937" s="21" t="s">
        <v>31</v>
      </c>
      <c r="E937" s="21" t="s">
        <v>17</v>
      </c>
      <c r="F937" s="22">
        <v>33604</v>
      </c>
      <c r="G937" s="23">
        <f t="shared" si="14"/>
        <v>33604</v>
      </c>
      <c r="H937" s="21" t="s">
        <v>13</v>
      </c>
      <c r="I937" s="9">
        <f>IF(ISNA(VLOOKUP(A937,'[1]Craig Eval'!A:C,3,FALSE)),"",(VLOOKUP(A937,'[1]Craig Eval'!A:C,3,FALSE))*1000)</f>
        <v>194776.401866411</v>
      </c>
      <c r="J937" s="24">
        <f>IF(ISNA(VLOOKUP(A937,'[1]Craig Eval'!A:M,13,FALSE)),"",VLOOKUP(A937,'[1]Craig Eval'!A:M,13,FALSE))</f>
        <v>486.223532032935</v>
      </c>
      <c r="K937" s="25">
        <v>4</v>
      </c>
    </row>
    <row r="938" spans="1:11" ht="30" x14ac:dyDescent="0.25">
      <c r="A938" s="3" t="s">
        <v>1896</v>
      </c>
      <c r="B938" s="4" t="s">
        <v>1897</v>
      </c>
      <c r="C938" s="5">
        <v>1065</v>
      </c>
      <c r="D938" s="6" t="s">
        <v>16</v>
      </c>
      <c r="E938" s="6" t="s">
        <v>17</v>
      </c>
      <c r="F938" s="7">
        <v>29221</v>
      </c>
      <c r="G938" s="8">
        <f t="shared" si="14"/>
        <v>29221</v>
      </c>
      <c r="H938" s="6" t="s">
        <v>13</v>
      </c>
      <c r="I938" s="9">
        <f>IF(ISNA(VLOOKUP(A938,'[1]Craig Eval'!A:C,3,FALSE)),"",(VLOOKUP(A938,'[1]Craig Eval'!A:C,3,FALSE))*1000)</f>
        <v>24259.481564431499</v>
      </c>
      <c r="J938" s="10">
        <f>IF(ISNA(VLOOKUP(A938,'[1]Craig Eval'!A:M,13,FALSE)),"",VLOOKUP(A938,'[1]Craig Eval'!A:M,13,FALSE))</f>
        <v>69.346364776757198</v>
      </c>
      <c r="K938" s="17">
        <v>1</v>
      </c>
    </row>
    <row r="939" spans="1:11" ht="30" x14ac:dyDescent="0.25">
      <c r="A939" s="26" t="s">
        <v>1898</v>
      </c>
      <c r="B939" s="27" t="s">
        <v>1899</v>
      </c>
      <c r="C939" s="5">
        <v>15044</v>
      </c>
      <c r="D939" s="28" t="s">
        <v>31</v>
      </c>
      <c r="E939" s="28" t="s">
        <v>17</v>
      </c>
      <c r="F939" s="29">
        <v>31562</v>
      </c>
      <c r="G939" s="30">
        <f t="shared" si="14"/>
        <v>31562</v>
      </c>
      <c r="H939" s="28" t="s">
        <v>13</v>
      </c>
      <c r="I939" s="31">
        <f>IF(ISNA(VLOOKUP(A939,'[1]Craig Eval'!A:C,3,FALSE)),"",(VLOOKUP(A939,'[1]Craig Eval'!A:C,3,FALSE))*1000)</f>
        <v>72473.183540315396</v>
      </c>
      <c r="J939" s="32">
        <f>IF(ISNA(VLOOKUP(A939,'[1]Craig Eval'!A:M,13,FALSE)),"",VLOOKUP(A939,'[1]Craig Eval'!A:M,13,FALSE))</f>
        <v>195.56774734278699</v>
      </c>
      <c r="K939" s="33">
        <v>2</v>
      </c>
    </row>
    <row r="940" spans="1:11" ht="30" x14ac:dyDescent="0.25">
      <c r="A940" s="3" t="s">
        <v>1900</v>
      </c>
      <c r="B940" s="4" t="s">
        <v>1901</v>
      </c>
      <c r="C940" s="5">
        <v>53218</v>
      </c>
      <c r="D940" s="6" t="s">
        <v>28</v>
      </c>
      <c r="E940" s="6" t="s">
        <v>17</v>
      </c>
      <c r="F940" s="7">
        <v>39083</v>
      </c>
      <c r="G940" s="8">
        <f t="shared" si="14"/>
        <v>39083</v>
      </c>
      <c r="H940" s="6" t="s">
        <v>13</v>
      </c>
      <c r="I940" s="9">
        <f>IF(ISNA(VLOOKUP(A940,'[1]Craig Eval'!A:C,3,FALSE)),"",(VLOOKUP(A940,'[1]Craig Eval'!A:C,3,FALSE))*1000)</f>
        <v>2650.2037932278099</v>
      </c>
      <c r="J940" s="10">
        <f>IF(ISNA(VLOOKUP(A940,'[1]Craig Eval'!A:M,13,FALSE)),"",VLOOKUP(A940,'[1]Craig Eval'!A:M,13,FALSE))</f>
        <v>8.0299802860791498</v>
      </c>
      <c r="K940" s="17">
        <v>1</v>
      </c>
    </row>
    <row r="941" spans="1:11" ht="30" x14ac:dyDescent="0.25">
      <c r="A941" s="3" t="s">
        <v>1902</v>
      </c>
      <c r="B941" s="4" t="s">
        <v>1903</v>
      </c>
      <c r="C941" s="5">
        <v>1302</v>
      </c>
      <c r="D941" s="6" t="s">
        <v>16</v>
      </c>
      <c r="E941" s="6" t="s">
        <v>17</v>
      </c>
      <c r="F941" s="7">
        <v>32509</v>
      </c>
      <c r="G941" s="8">
        <f t="shared" si="14"/>
        <v>32509</v>
      </c>
      <c r="H941" s="6" t="s">
        <v>13</v>
      </c>
      <c r="I941" s="9">
        <f>IF(ISNA(VLOOKUP(A941,'[1]Craig Eval'!A:C,3,FALSE)),"",(VLOOKUP(A941,'[1]Craig Eval'!A:C,3,FALSE))*1000)</f>
        <v>7774.2060476863508</v>
      </c>
      <c r="J941" s="10">
        <f>IF(ISNA(VLOOKUP(A941,'[1]Craig Eval'!A:M,13,FALSE)),"",VLOOKUP(A941,'[1]Craig Eval'!A:M,13,FALSE))</f>
        <v>23.063089762617199</v>
      </c>
      <c r="K941" s="17">
        <v>1</v>
      </c>
    </row>
    <row r="942" spans="1:11" ht="30" x14ac:dyDescent="0.25">
      <c r="A942" s="3" t="s">
        <v>1904</v>
      </c>
      <c r="B942" s="4" t="s">
        <v>1905</v>
      </c>
      <c r="C942" s="5">
        <v>1045</v>
      </c>
      <c r="D942" s="6" t="s">
        <v>16</v>
      </c>
      <c r="E942" s="6" t="s">
        <v>17</v>
      </c>
      <c r="F942" s="7">
        <v>29221</v>
      </c>
      <c r="G942" s="8">
        <f t="shared" si="14"/>
        <v>29221</v>
      </c>
      <c r="H942" s="6" t="s">
        <v>13</v>
      </c>
      <c r="I942" s="9">
        <f>IF(ISNA(VLOOKUP(A942,'[1]Craig Eval'!A:C,3,FALSE)),"",(VLOOKUP(A942,'[1]Craig Eval'!A:C,3,FALSE))*1000)</f>
        <v>123113.50671582299</v>
      </c>
      <c r="J942" s="10">
        <f>IF(ISNA(VLOOKUP(A942,'[1]Craig Eval'!A:M,13,FALSE)),"",VLOOKUP(A942,'[1]Craig Eval'!A:M,13,FALSE))</f>
        <v>319.74964153740302</v>
      </c>
      <c r="K942" s="17">
        <v>2</v>
      </c>
    </row>
    <row r="943" spans="1:11" ht="30" x14ac:dyDescent="0.25">
      <c r="A943" s="3" t="s">
        <v>1906</v>
      </c>
      <c r="B943" s="4" t="s">
        <v>1907</v>
      </c>
      <c r="C943" s="5">
        <v>72126</v>
      </c>
      <c r="D943" s="6" t="s">
        <v>28</v>
      </c>
      <c r="E943" s="6" t="s">
        <v>17</v>
      </c>
      <c r="F943" s="7">
        <v>39258</v>
      </c>
      <c r="G943" s="8">
        <f t="shared" si="14"/>
        <v>39258</v>
      </c>
      <c r="H943" s="6" t="s">
        <v>13</v>
      </c>
      <c r="I943" s="9">
        <f>IF(ISNA(VLOOKUP(A943,'[1]Craig Eval'!A:C,3,FALSE)),"",(VLOOKUP(A943,'[1]Craig Eval'!A:C,3,FALSE))*1000)</f>
        <v>1530.12128725661</v>
      </c>
      <c r="J943" s="10">
        <f>IF(ISNA(VLOOKUP(A943,'[1]Craig Eval'!A:M,13,FALSE)),"",VLOOKUP(A943,'[1]Craig Eval'!A:M,13,FALSE))</f>
        <v>4.6700692865509499</v>
      </c>
      <c r="K943" s="17">
        <v>2</v>
      </c>
    </row>
    <row r="944" spans="1:11" ht="30" x14ac:dyDescent="0.25">
      <c r="A944" s="3" t="s">
        <v>1908</v>
      </c>
      <c r="B944" s="4" t="s">
        <v>1909</v>
      </c>
      <c r="C944" s="5">
        <v>1866</v>
      </c>
      <c r="D944" s="6" t="s">
        <v>31</v>
      </c>
      <c r="E944" s="6" t="s">
        <v>17</v>
      </c>
      <c r="F944" s="7">
        <v>29221</v>
      </c>
      <c r="G944" s="8">
        <f t="shared" si="14"/>
        <v>29221</v>
      </c>
      <c r="H944" s="6" t="s">
        <v>13</v>
      </c>
      <c r="I944" s="9">
        <f>IF(ISNA(VLOOKUP(A944,'[1]Craig Eval'!A:C,3,FALSE)),"",(VLOOKUP(A944,'[1]Craig Eval'!A:C,3,FALSE))*1000)</f>
        <v>50749.024746638395</v>
      </c>
      <c r="J944" s="10">
        <f>IF(ISNA(VLOOKUP(A944,'[1]Craig Eval'!A:M,13,FALSE)),"",VLOOKUP(A944,'[1]Craig Eval'!A:M,13,FALSE))</f>
        <v>139.943809411307</v>
      </c>
      <c r="K944" s="17">
        <v>1</v>
      </c>
    </row>
    <row r="945" spans="1:11" ht="30" x14ac:dyDescent="0.25">
      <c r="A945" s="3" t="s">
        <v>1910</v>
      </c>
      <c r="B945" s="4" t="s">
        <v>19</v>
      </c>
      <c r="C945" s="5">
        <v>207526</v>
      </c>
      <c r="D945" s="6" t="s">
        <v>16</v>
      </c>
      <c r="E945" s="6" t="s">
        <v>17</v>
      </c>
      <c r="F945" s="7">
        <v>31846</v>
      </c>
      <c r="G945" s="8">
        <f t="shared" si="14"/>
        <v>31846</v>
      </c>
      <c r="H945" s="6" t="s">
        <v>13</v>
      </c>
      <c r="I945" s="9">
        <f>IF(ISNA(VLOOKUP(A945,'[1]Craig Eval'!A:C,3,FALSE)),"",(VLOOKUP(A945,'[1]Craig Eval'!A:C,3,FALSE))*1000)</f>
        <v>37318.470778472998</v>
      </c>
      <c r="J945" s="10">
        <f>IF(ISNA(VLOOKUP(A945,'[1]Craig Eval'!A:M,13,FALSE)),"",VLOOKUP(A945,'[1]Craig Eval'!A:M,13,FALSE))</f>
        <v>104.60292695072501</v>
      </c>
      <c r="K945" s="17">
        <v>2</v>
      </c>
    </row>
    <row r="946" spans="1:11" ht="30" x14ac:dyDescent="0.25">
      <c r="A946" s="3" t="s">
        <v>1911</v>
      </c>
      <c r="B946" s="4" t="s">
        <v>1912</v>
      </c>
      <c r="C946" s="5">
        <v>17295</v>
      </c>
      <c r="D946" s="6" t="s">
        <v>16</v>
      </c>
      <c r="E946" s="6" t="s">
        <v>17</v>
      </c>
      <c r="F946" s="7">
        <v>34135</v>
      </c>
      <c r="G946" s="8">
        <f t="shared" si="14"/>
        <v>34135</v>
      </c>
      <c r="H946" s="6" t="s">
        <v>13</v>
      </c>
      <c r="I946" s="9">
        <f>IF(ISNA(VLOOKUP(A946,'[1]Craig Eval'!A:C,3,FALSE)),"",(VLOOKUP(A946,'[1]Craig Eval'!A:C,3,FALSE))*1000)</f>
        <v>89225.367437189008</v>
      </c>
      <c r="J946" s="10">
        <f>IF(ISNA(VLOOKUP(A946,'[1]Craig Eval'!A:M,13,FALSE)),"",VLOOKUP(A946,'[1]Craig Eval'!A:M,13,FALSE))</f>
        <v>237.399970387618</v>
      </c>
      <c r="K946" s="17">
        <v>1</v>
      </c>
    </row>
    <row r="947" spans="1:11" ht="30" x14ac:dyDescent="0.25">
      <c r="A947" s="3" t="s">
        <v>1913</v>
      </c>
      <c r="B947" s="4" t="s">
        <v>1914</v>
      </c>
      <c r="C947" s="14">
        <v>17293</v>
      </c>
      <c r="D947" s="6" t="s">
        <v>16</v>
      </c>
      <c r="E947" s="6" t="s">
        <v>17</v>
      </c>
      <c r="F947" s="7">
        <v>33350</v>
      </c>
      <c r="G947" s="8">
        <f t="shared" si="14"/>
        <v>33350</v>
      </c>
      <c r="H947" s="6" t="s">
        <v>13</v>
      </c>
      <c r="I947" s="9">
        <f>IF(ISNA(VLOOKUP(A947,'[1]Craig Eval'!A:C,3,FALSE)),"",(VLOOKUP(A947,'[1]Craig Eval'!A:C,3,FALSE))*1000)</f>
        <v>88308.013393475703</v>
      </c>
      <c r="J947" s="10">
        <f>IF(ISNA(VLOOKUP(A947,'[1]Craig Eval'!A:M,13,FALSE)),"",VLOOKUP(A947,'[1]Craig Eval'!A:M,13,FALSE))</f>
        <v>235.13031268377</v>
      </c>
      <c r="K947" s="17">
        <v>1</v>
      </c>
    </row>
    <row r="948" spans="1:11" ht="30" x14ac:dyDescent="0.25">
      <c r="A948" s="3" t="s">
        <v>1915</v>
      </c>
      <c r="B948" s="4" t="s">
        <v>1916</v>
      </c>
      <c r="C948" s="5">
        <v>1061</v>
      </c>
      <c r="D948" s="6" t="s">
        <v>16</v>
      </c>
      <c r="E948" s="6" t="s">
        <v>17</v>
      </c>
      <c r="F948" s="7">
        <v>36354</v>
      </c>
      <c r="G948" s="8">
        <f t="shared" si="14"/>
        <v>36354</v>
      </c>
      <c r="H948" s="6" t="s">
        <v>13</v>
      </c>
      <c r="I948" s="9" t="str">
        <f>IF(ISNA(VLOOKUP(A948,'[1]Craig Eval'!A:C,3,FALSE)),"",(VLOOKUP(A948,'[1]Craig Eval'!A:C,3,FALSE))*1000)</f>
        <v/>
      </c>
      <c r="J948" s="10" t="str">
        <f>IF(ISNA(VLOOKUP(A948,'[1]Craig Eval'!A:M,13,FALSE)),"",VLOOKUP(A948,'[1]Craig Eval'!A:M,13,FALSE))</f>
        <v/>
      </c>
      <c r="K948" s="17">
        <v>1</v>
      </c>
    </row>
    <row r="949" spans="1:11" ht="30" x14ac:dyDescent="0.25">
      <c r="A949" s="3" t="s">
        <v>1917</v>
      </c>
      <c r="B949" s="4" t="s">
        <v>1918</v>
      </c>
      <c r="C949" s="14">
        <v>1318</v>
      </c>
      <c r="D949" s="6" t="s">
        <v>16</v>
      </c>
      <c r="E949" s="6" t="s">
        <v>17</v>
      </c>
      <c r="F949" s="7">
        <v>41451</v>
      </c>
      <c r="G949" s="8">
        <f t="shared" si="14"/>
        <v>41451</v>
      </c>
      <c r="H949" s="6" t="s">
        <v>13</v>
      </c>
      <c r="I949" s="9" t="str">
        <f>IF(ISNA(VLOOKUP(A949,'[1]Craig Eval'!A:C,3,FALSE)),"",(VLOOKUP(A949,'[1]Craig Eval'!A:C,3,FALSE))*1000)</f>
        <v/>
      </c>
      <c r="J949" s="10" t="str">
        <f>IF(ISNA(VLOOKUP(A949,'[1]Craig Eval'!A:M,13,FALSE)),"",VLOOKUP(A949,'[1]Craig Eval'!A:M,13,FALSE))</f>
        <v/>
      </c>
      <c r="K949" s="17">
        <v>2</v>
      </c>
    </row>
    <row r="950" spans="1:11" ht="30" x14ac:dyDescent="0.25">
      <c r="A950" s="3" t="s">
        <v>1919</v>
      </c>
      <c r="B950" s="4" t="s">
        <v>1920</v>
      </c>
      <c r="C950" s="5">
        <v>1186</v>
      </c>
      <c r="D950" s="6" t="s">
        <v>16</v>
      </c>
      <c r="E950" s="6" t="s">
        <v>17</v>
      </c>
      <c r="F950" s="7">
        <v>25569</v>
      </c>
      <c r="G950" s="8">
        <f t="shared" si="14"/>
        <v>25569</v>
      </c>
      <c r="H950" s="6" t="s">
        <v>13</v>
      </c>
      <c r="I950" s="9" t="str">
        <f>IF(ISNA(VLOOKUP(A950,'[1]Craig Eval'!A:C,3,FALSE)),"",(VLOOKUP(A950,'[1]Craig Eval'!A:C,3,FALSE))*1000)</f>
        <v/>
      </c>
      <c r="J950" s="10" t="str">
        <f>IF(ISNA(VLOOKUP(A950,'[1]Craig Eval'!A:M,13,FALSE)),"",VLOOKUP(A950,'[1]Craig Eval'!A:M,13,FALSE))</f>
        <v/>
      </c>
      <c r="K950" s="17">
        <v>1</v>
      </c>
    </row>
    <row r="951" spans="1:11" ht="30" x14ac:dyDescent="0.25">
      <c r="A951" s="3" t="s">
        <v>1921</v>
      </c>
      <c r="B951" s="4" t="s">
        <v>1922</v>
      </c>
      <c r="C951" s="5">
        <v>1381</v>
      </c>
      <c r="D951" s="6" t="s">
        <v>16</v>
      </c>
      <c r="E951" s="6" t="s">
        <v>17</v>
      </c>
      <c r="F951" s="7">
        <v>36362</v>
      </c>
      <c r="G951" s="8">
        <f t="shared" si="14"/>
        <v>36362</v>
      </c>
      <c r="H951" s="6" t="s">
        <v>13</v>
      </c>
      <c r="I951" s="9" t="str">
        <f>IF(ISNA(VLOOKUP(A951,'[1]Craig Eval'!A:C,3,FALSE)),"",(VLOOKUP(A951,'[1]Craig Eval'!A:C,3,FALSE))*1000)</f>
        <v/>
      </c>
      <c r="J951" s="10" t="str">
        <f>IF(ISNA(VLOOKUP(A951,'[1]Craig Eval'!A:M,13,FALSE)),"",VLOOKUP(A951,'[1]Craig Eval'!A:M,13,FALSE))</f>
        <v/>
      </c>
      <c r="K951" s="17">
        <v>1</v>
      </c>
    </row>
    <row r="952" spans="1:11" ht="30" x14ac:dyDescent="0.25">
      <c r="A952" s="3" t="s">
        <v>1923</v>
      </c>
      <c r="B952" s="4" t="s">
        <v>1924</v>
      </c>
      <c r="C952" s="5">
        <v>1124</v>
      </c>
      <c r="D952" s="6" t="s">
        <v>16</v>
      </c>
      <c r="E952" s="6" t="s">
        <v>17</v>
      </c>
      <c r="F952" s="7">
        <v>29952</v>
      </c>
      <c r="G952" s="8">
        <f t="shared" si="14"/>
        <v>29952</v>
      </c>
      <c r="H952" s="6" t="s">
        <v>13</v>
      </c>
      <c r="I952" s="9" t="str">
        <f>IF(ISNA(VLOOKUP(A952,'[1]Craig Eval'!A:C,3,FALSE)),"",(VLOOKUP(A952,'[1]Craig Eval'!A:C,3,FALSE))*1000)</f>
        <v/>
      </c>
      <c r="J952" s="10" t="str">
        <f>IF(ISNA(VLOOKUP(A952,'[1]Craig Eval'!A:M,13,FALSE)),"",VLOOKUP(A952,'[1]Craig Eval'!A:M,13,FALSE))</f>
        <v/>
      </c>
      <c r="K952" s="17">
        <v>1</v>
      </c>
    </row>
    <row r="953" spans="1:11" ht="30" x14ac:dyDescent="0.25">
      <c r="A953" s="3" t="s">
        <v>1925</v>
      </c>
      <c r="B953" s="4" t="s">
        <v>1926</v>
      </c>
      <c r="C953" s="5">
        <v>1039</v>
      </c>
      <c r="D953" s="6" t="s">
        <v>31</v>
      </c>
      <c r="E953" s="6" t="s">
        <v>17</v>
      </c>
      <c r="F953" s="7">
        <v>41306</v>
      </c>
      <c r="G953" s="8">
        <f t="shared" si="14"/>
        <v>41306</v>
      </c>
      <c r="H953" s="6" t="s">
        <v>13</v>
      </c>
      <c r="I953" s="9">
        <f>IF(ISNA(VLOOKUP(A953,'[1]Craig Eval'!A:C,3,FALSE)),"",(VLOOKUP(A953,'[1]Craig Eval'!A:C,3,FALSE))*1000)</f>
        <v>5132.97737815439</v>
      </c>
      <c r="J953" s="10">
        <f>IF(ISNA(VLOOKUP(A953,'[1]Craig Eval'!A:M,13,FALSE)),"",VLOOKUP(A953,'[1]Craig Eval'!A:M,13,FALSE))</f>
        <v>15.3717909608421</v>
      </c>
      <c r="K953" s="17">
        <v>1</v>
      </c>
    </row>
    <row r="954" spans="1:11" ht="30" x14ac:dyDescent="0.25">
      <c r="A954" s="18" t="s">
        <v>1927</v>
      </c>
      <c r="B954" s="19" t="s">
        <v>1928</v>
      </c>
      <c r="C954" s="5">
        <v>18562</v>
      </c>
      <c r="D954" s="21" t="s">
        <v>16</v>
      </c>
      <c r="E954" s="21" t="s">
        <v>17</v>
      </c>
      <c r="F954" s="22">
        <v>37960</v>
      </c>
      <c r="G954" s="23">
        <f t="shared" si="14"/>
        <v>37960</v>
      </c>
      <c r="H954" s="21" t="s">
        <v>13</v>
      </c>
      <c r="I954" s="9">
        <f>IF(ISNA(VLOOKUP(A954,'[1]Craig Eval'!A:C,3,FALSE)),"",(VLOOKUP(A954,'[1]Craig Eval'!A:C,3,FALSE))*1000)</f>
        <v>6541.0688270938508</v>
      </c>
      <c r="J954" s="24">
        <f>IF(ISNA(VLOOKUP(A954,'[1]Craig Eval'!A:M,13,FALSE)),"",VLOOKUP(A954,'[1]Craig Eval'!A:M,13,FALSE))</f>
        <v>19.4854032093392</v>
      </c>
      <c r="K954" s="25">
        <v>1</v>
      </c>
    </row>
    <row r="955" spans="1:11" ht="30" x14ac:dyDescent="0.25">
      <c r="A955" s="3" t="s">
        <v>1929</v>
      </c>
      <c r="B955" s="4" t="s">
        <v>1930</v>
      </c>
      <c r="C955" s="14">
        <v>1720</v>
      </c>
      <c r="D955" s="6" t="s">
        <v>16</v>
      </c>
      <c r="E955" s="6" t="s">
        <v>17</v>
      </c>
      <c r="F955" s="7">
        <v>35971</v>
      </c>
      <c r="G955" s="8">
        <f t="shared" si="14"/>
        <v>35971</v>
      </c>
      <c r="H955" s="6" t="s">
        <v>13</v>
      </c>
      <c r="I955" s="9" t="str">
        <f>IF(ISNA(VLOOKUP(A955,'[1]Craig Eval'!A:C,3,FALSE)),"",(VLOOKUP(A955,'[1]Craig Eval'!A:C,3,FALSE))*1000)</f>
        <v/>
      </c>
      <c r="J955" s="10" t="str">
        <f>IF(ISNA(VLOOKUP(A955,'[1]Craig Eval'!A:M,13,FALSE)),"",VLOOKUP(A955,'[1]Craig Eval'!A:M,13,FALSE))</f>
        <v/>
      </c>
      <c r="K955" s="17">
        <v>2</v>
      </c>
    </row>
    <row r="956" spans="1:11" ht="30" x14ac:dyDescent="0.25">
      <c r="A956" s="3" t="s">
        <v>1931</v>
      </c>
      <c r="B956" s="4" t="s">
        <v>1932</v>
      </c>
      <c r="C956" s="5">
        <v>1313</v>
      </c>
      <c r="D956" s="6" t="s">
        <v>16</v>
      </c>
      <c r="E956" s="6" t="s">
        <v>17</v>
      </c>
      <c r="F956" s="7">
        <v>27395</v>
      </c>
      <c r="G956" s="8">
        <f t="shared" si="14"/>
        <v>27395</v>
      </c>
      <c r="H956" s="6" t="s">
        <v>13</v>
      </c>
      <c r="I956" s="9" t="str">
        <f>IF(ISNA(VLOOKUP(A956,'[1]Craig Eval'!A:C,3,FALSE)),"",(VLOOKUP(A956,'[1]Craig Eval'!A:C,3,FALSE))*1000)</f>
        <v/>
      </c>
      <c r="J956" s="10" t="str">
        <f>IF(ISNA(VLOOKUP(A956,'[1]Craig Eval'!A:M,13,FALSE)),"",VLOOKUP(A956,'[1]Craig Eval'!A:M,13,FALSE))</f>
        <v/>
      </c>
      <c r="K956" s="17">
        <v>2</v>
      </c>
    </row>
    <row r="957" spans="1:11" ht="30" x14ac:dyDescent="0.25">
      <c r="A957" s="3" t="s">
        <v>1933</v>
      </c>
      <c r="B957" s="4" t="s">
        <v>1934</v>
      </c>
      <c r="C957" s="5">
        <v>37538</v>
      </c>
      <c r="D957" s="6" t="s">
        <v>11</v>
      </c>
      <c r="E957" s="6" t="s">
        <v>12</v>
      </c>
      <c r="F957" s="7">
        <v>39281</v>
      </c>
      <c r="G957" s="8">
        <f t="shared" si="14"/>
        <v>39281</v>
      </c>
      <c r="H957" s="6" t="s">
        <v>776</v>
      </c>
      <c r="I957" s="9" t="str">
        <f>IF(ISNA(VLOOKUP(A957,'[1]Craig Eval'!A:C,3,FALSE)),"",(VLOOKUP(A957,'[1]Craig Eval'!A:C,3,FALSE))*1000)</f>
        <v/>
      </c>
      <c r="J957" s="10" t="str">
        <f>IF(ISNA(VLOOKUP(A957,'[1]Craig Eval'!A:M,13,FALSE)),"",VLOOKUP(A957,'[1]Craig Eval'!A:M,13,FALSE))</f>
        <v/>
      </c>
      <c r="K957" s="11">
        <v>2</v>
      </c>
    </row>
    <row r="958" spans="1:11" ht="30" x14ac:dyDescent="0.25">
      <c r="A958" s="3" t="s">
        <v>1935</v>
      </c>
      <c r="B958" s="4" t="s">
        <v>1936</v>
      </c>
      <c r="C958" s="5">
        <v>1294</v>
      </c>
      <c r="D958" s="6" t="s">
        <v>31</v>
      </c>
      <c r="E958" s="6" t="s">
        <v>17</v>
      </c>
      <c r="F958" s="7">
        <v>35831</v>
      </c>
      <c r="G958" s="8">
        <f t="shared" si="14"/>
        <v>35831</v>
      </c>
      <c r="H958" s="6" t="s">
        <v>13</v>
      </c>
      <c r="I958" s="9">
        <f>IF(ISNA(VLOOKUP(A958,'[1]Craig Eval'!A:C,3,FALSE)),"",(VLOOKUP(A958,'[1]Craig Eval'!A:C,3,FALSE))*1000)</f>
        <v>89497.099906575007</v>
      </c>
      <c r="J958" s="10">
        <f>IF(ISNA(VLOOKUP(A958,'[1]Craig Eval'!A:M,13,FALSE)),"",VLOOKUP(A958,'[1]Craig Eval'!A:M,13,FALSE))</f>
        <v>238.07182725247401</v>
      </c>
      <c r="K958" s="17">
        <v>2</v>
      </c>
    </row>
    <row r="959" spans="1:11" ht="30" x14ac:dyDescent="0.25">
      <c r="A959" s="3" t="s">
        <v>1937</v>
      </c>
      <c r="B959" s="4" t="s">
        <v>1938</v>
      </c>
      <c r="C959" s="5">
        <v>1762</v>
      </c>
      <c r="D959" s="6" t="s">
        <v>31</v>
      </c>
      <c r="E959" s="6" t="s">
        <v>17</v>
      </c>
      <c r="F959" s="7">
        <v>38427</v>
      </c>
      <c r="G959" s="8">
        <f t="shared" si="14"/>
        <v>38427</v>
      </c>
      <c r="H959" s="6" t="s">
        <v>13</v>
      </c>
      <c r="I959" s="9">
        <f>IF(ISNA(VLOOKUP(A959,'[1]Craig Eval'!A:C,3,FALSE)),"",(VLOOKUP(A959,'[1]Craig Eval'!A:C,3,FALSE))*1000)</f>
        <v>118226.70909948999</v>
      </c>
      <c r="J959" s="10">
        <f>IF(ISNA(VLOOKUP(A959,'[1]Craig Eval'!A:M,13,FALSE)),"",VLOOKUP(A959,'[1]Craig Eval'!A:M,13,FALSE))</f>
        <v>308.04129511857701</v>
      </c>
      <c r="K959" s="17">
        <v>2</v>
      </c>
    </row>
    <row r="960" spans="1:11" ht="30" x14ac:dyDescent="0.25">
      <c r="A960" s="3" t="s">
        <v>1939</v>
      </c>
      <c r="B960" s="4" t="s">
        <v>1940</v>
      </c>
      <c r="C960" s="14">
        <v>1090</v>
      </c>
      <c r="D960" s="6" t="s">
        <v>31</v>
      </c>
      <c r="E960" s="6" t="s">
        <v>17</v>
      </c>
      <c r="F960" s="7">
        <v>29221</v>
      </c>
      <c r="G960" s="8">
        <f t="shared" si="14"/>
        <v>29221</v>
      </c>
      <c r="H960" s="6" t="s">
        <v>13</v>
      </c>
      <c r="I960" s="9">
        <f>IF(ISNA(VLOOKUP(A960,'[1]Craig Eval'!A:C,3,FALSE)),"",(VLOOKUP(A960,'[1]Craig Eval'!A:C,3,FALSE))*1000)</f>
        <v>61878.4813491366</v>
      </c>
      <c r="J960" s="10">
        <f>IF(ISNA(VLOOKUP(A960,'[1]Craig Eval'!A:M,13,FALSE)),"",VLOOKUP(A960,'[1]Craig Eval'!A:M,13,FALSE))</f>
        <v>168.65385076535901</v>
      </c>
      <c r="K960" s="17">
        <v>1</v>
      </c>
    </row>
    <row r="961" spans="1:11" ht="30" x14ac:dyDescent="0.25">
      <c r="A961" s="3" t="s">
        <v>1941</v>
      </c>
      <c r="B961" s="4" t="s">
        <v>1942</v>
      </c>
      <c r="C961" s="5">
        <v>1471</v>
      </c>
      <c r="D961" s="6" t="s">
        <v>31</v>
      </c>
      <c r="E961" s="6" t="s">
        <v>17</v>
      </c>
      <c r="F961" s="7">
        <v>29221</v>
      </c>
      <c r="G961" s="8">
        <f t="shared" si="14"/>
        <v>29221</v>
      </c>
      <c r="H961" s="6" t="s">
        <v>13</v>
      </c>
      <c r="I961" s="9">
        <f>IF(ISNA(VLOOKUP(A961,'[1]Craig Eval'!A:C,3,FALSE)),"",(VLOOKUP(A961,'[1]Craig Eval'!A:C,3,FALSE))*1000)</f>
        <v>11132.4330419916</v>
      </c>
      <c r="J961" s="10">
        <f>IF(ISNA(VLOOKUP(A961,'[1]Craig Eval'!A:M,13,FALSE)),"",VLOOKUP(A961,'[1]Craig Eval'!A:M,13,FALSE))</f>
        <v>32.7056264518733</v>
      </c>
      <c r="K961" s="17">
        <v>2</v>
      </c>
    </row>
    <row r="962" spans="1:11" ht="30" x14ac:dyDescent="0.25">
      <c r="A962" s="3" t="s">
        <v>1943</v>
      </c>
      <c r="B962" s="4" t="s">
        <v>1944</v>
      </c>
      <c r="C962" s="5">
        <v>1923</v>
      </c>
      <c r="D962" s="6" t="s">
        <v>31</v>
      </c>
      <c r="E962" s="6" t="s">
        <v>17</v>
      </c>
      <c r="F962" s="7">
        <v>29221</v>
      </c>
      <c r="G962" s="8">
        <f t="shared" ref="G962:G1025" si="15">F962</f>
        <v>29221</v>
      </c>
      <c r="H962" s="6" t="s">
        <v>13</v>
      </c>
      <c r="I962" s="9">
        <f>IF(ISNA(VLOOKUP(A962,'[1]Craig Eval'!A:C,3,FALSE)),"",(VLOOKUP(A962,'[1]Craig Eval'!A:C,3,FALSE))*1000)</f>
        <v>10942.310501100201</v>
      </c>
      <c r="J962" s="10">
        <f>IF(ISNA(VLOOKUP(A962,'[1]Craig Eval'!A:M,13,FALSE)),"",VLOOKUP(A962,'[1]Craig Eval'!A:M,13,FALSE))</f>
        <v>32.163290537273802</v>
      </c>
      <c r="K962" s="17">
        <v>2</v>
      </c>
    </row>
    <row r="963" spans="1:11" ht="30" x14ac:dyDescent="0.25">
      <c r="A963" s="3" t="s">
        <v>1945</v>
      </c>
      <c r="B963" s="4" t="s">
        <v>1946</v>
      </c>
      <c r="C963" s="14">
        <v>21764</v>
      </c>
      <c r="D963" s="6" t="s">
        <v>31</v>
      </c>
      <c r="E963" s="6" t="s">
        <v>17</v>
      </c>
      <c r="F963" s="7">
        <v>35576</v>
      </c>
      <c r="G963" s="8">
        <f t="shared" si="15"/>
        <v>35576</v>
      </c>
      <c r="H963" s="6" t="s">
        <v>13</v>
      </c>
      <c r="I963" s="9">
        <f>IF(ISNA(VLOOKUP(A963,'[1]Craig Eval'!A:C,3,FALSE)),"",(VLOOKUP(A963,'[1]Craig Eval'!A:C,3,FALSE))*1000)</f>
        <v>17779.685167495099</v>
      </c>
      <c r="J963" s="10">
        <f>IF(ISNA(VLOOKUP(A963,'[1]Craig Eval'!A:M,13,FALSE)),"",VLOOKUP(A963,'[1]Craig Eval'!A:M,13,FALSE))</f>
        <v>51.440480773234597</v>
      </c>
      <c r="K963" s="17">
        <v>1</v>
      </c>
    </row>
    <row r="964" spans="1:11" ht="30" x14ac:dyDescent="0.25">
      <c r="A964" s="3" t="s">
        <v>1947</v>
      </c>
      <c r="B964" s="4" t="s">
        <v>1948</v>
      </c>
      <c r="C964" s="5">
        <v>1057</v>
      </c>
      <c r="D964" s="6" t="s">
        <v>31</v>
      </c>
      <c r="E964" s="6" t="s">
        <v>17</v>
      </c>
      <c r="F964" s="7">
        <v>35065</v>
      </c>
      <c r="G964" s="8">
        <f t="shared" si="15"/>
        <v>35065</v>
      </c>
      <c r="H964" s="6" t="s">
        <v>13</v>
      </c>
      <c r="I964" s="9">
        <f>IF(ISNA(VLOOKUP(A964,'[1]Craig Eval'!A:C,3,FALSE)),"",(VLOOKUP(A964,'[1]Craig Eval'!A:C,3,FALSE))*1000)</f>
        <v>47219.228965674898</v>
      </c>
      <c r="J964" s="10">
        <f>IF(ISNA(VLOOKUP(A964,'[1]Craig Eval'!A:M,13,FALSE)),"",VLOOKUP(A964,'[1]Craig Eval'!A:M,13,FALSE))</f>
        <v>130.73436191287999</v>
      </c>
      <c r="K964" s="17">
        <v>3</v>
      </c>
    </row>
    <row r="965" spans="1:11" ht="30" x14ac:dyDescent="0.25">
      <c r="A965" s="3" t="s">
        <v>1949</v>
      </c>
      <c r="B965" s="4" t="s">
        <v>1950</v>
      </c>
      <c r="C965" s="5">
        <v>38145</v>
      </c>
      <c r="D965" s="6" t="s">
        <v>11</v>
      </c>
      <c r="E965" s="6" t="s">
        <v>12</v>
      </c>
      <c r="F965" s="7">
        <v>39290</v>
      </c>
      <c r="G965" s="8">
        <f t="shared" si="15"/>
        <v>39290</v>
      </c>
      <c r="H965" s="6" t="s">
        <v>776</v>
      </c>
      <c r="I965" s="9" t="str">
        <f>IF(ISNA(VLOOKUP(A965,'[1]Craig Eval'!A:C,3,FALSE)),"",(VLOOKUP(A965,'[1]Craig Eval'!A:C,3,FALSE))*1000)</f>
        <v/>
      </c>
      <c r="J965" s="10" t="str">
        <f>IF(ISNA(VLOOKUP(A965,'[1]Craig Eval'!A:M,13,FALSE)),"",VLOOKUP(A965,'[1]Craig Eval'!A:M,13,FALSE))</f>
        <v/>
      </c>
      <c r="K965" s="17">
        <v>1</v>
      </c>
    </row>
    <row r="966" spans="1:11" ht="30" x14ac:dyDescent="0.25">
      <c r="A966" s="3" t="s">
        <v>1951</v>
      </c>
      <c r="B966" s="4" t="s">
        <v>1952</v>
      </c>
      <c r="C966" s="14">
        <v>1203</v>
      </c>
      <c r="D966" s="6" t="s">
        <v>31</v>
      </c>
      <c r="E966" s="6" t="s">
        <v>17</v>
      </c>
      <c r="F966" s="7">
        <v>27395</v>
      </c>
      <c r="G966" s="8">
        <f t="shared" si="15"/>
        <v>27395</v>
      </c>
      <c r="H966" s="6" t="s">
        <v>13</v>
      </c>
      <c r="I966" s="9">
        <f>IF(ISNA(VLOOKUP(A966,'[1]Craig Eval'!A:C,3,FALSE)),"",(VLOOKUP(A966,'[1]Craig Eval'!A:C,3,FALSE))*1000)</f>
        <v>182891.805683805</v>
      </c>
      <c r="J966" s="10">
        <f>IF(ISNA(VLOOKUP(A966,'[1]Craig Eval'!A:M,13,FALSE)),"",VLOOKUP(A966,'[1]Craig Eval'!A:M,13,FALSE))</f>
        <v>459.21862605636397</v>
      </c>
      <c r="K966" s="17">
        <v>2</v>
      </c>
    </row>
    <row r="967" spans="1:11" ht="30" x14ac:dyDescent="0.25">
      <c r="A967" s="3" t="s">
        <v>1953</v>
      </c>
      <c r="B967" s="4" t="s">
        <v>1954</v>
      </c>
      <c r="C967" s="5">
        <v>1140</v>
      </c>
      <c r="D967" s="6" t="s">
        <v>31</v>
      </c>
      <c r="E967" s="6" t="s">
        <v>17</v>
      </c>
      <c r="F967" s="7">
        <v>25569</v>
      </c>
      <c r="G967" s="8">
        <f t="shared" si="15"/>
        <v>25569</v>
      </c>
      <c r="H967" s="6" t="s">
        <v>13</v>
      </c>
      <c r="I967" s="9">
        <f>IF(ISNA(VLOOKUP(A967,'[1]Craig Eval'!A:C,3,FALSE)),"",(VLOOKUP(A967,'[1]Craig Eval'!A:C,3,FALSE))*1000)</f>
        <v>26117.895809420901</v>
      </c>
      <c r="J967" s="10">
        <f>IF(ISNA(VLOOKUP(A967,'[1]Craig Eval'!A:M,13,FALSE)),"",VLOOKUP(A967,'[1]Craig Eval'!A:M,13,FALSE))</f>
        <v>74.426675045965894</v>
      </c>
      <c r="K967" s="17">
        <v>1</v>
      </c>
    </row>
    <row r="968" spans="1:11" ht="30" x14ac:dyDescent="0.25">
      <c r="A968" s="3" t="s">
        <v>1955</v>
      </c>
      <c r="B968" s="4" t="s">
        <v>1956</v>
      </c>
      <c r="C968" s="5">
        <v>54624</v>
      </c>
      <c r="D968" s="6" t="s">
        <v>28</v>
      </c>
      <c r="E968" s="6" t="s">
        <v>17</v>
      </c>
      <c r="F968" s="7">
        <v>38199</v>
      </c>
      <c r="G968" s="8">
        <f t="shared" si="15"/>
        <v>38199</v>
      </c>
      <c r="H968" s="6" t="s">
        <v>13</v>
      </c>
      <c r="I968" s="9">
        <f>IF(ISNA(VLOOKUP(A968,'[1]Craig Eval'!A:C,3,FALSE)),"",(VLOOKUP(A968,'[1]Craig Eval'!A:C,3,FALSE))*1000)</f>
        <v>4519.0598915622995</v>
      </c>
      <c r="J968" s="10">
        <f>IF(ISNA(VLOOKUP(A968,'[1]Craig Eval'!A:M,13,FALSE)),"",VLOOKUP(A968,'[1]Craig Eval'!A:M,13,FALSE))</f>
        <v>13.5677818483754</v>
      </c>
      <c r="K968" s="17">
        <v>1</v>
      </c>
    </row>
    <row r="969" spans="1:11" ht="30" x14ac:dyDescent="0.25">
      <c r="A969" s="3" t="s">
        <v>1957</v>
      </c>
      <c r="B969" s="4" t="s">
        <v>1958</v>
      </c>
      <c r="C969" s="5">
        <v>1583</v>
      </c>
      <c r="D969" s="6" t="s">
        <v>31</v>
      </c>
      <c r="E969" s="6" t="s">
        <v>17</v>
      </c>
      <c r="F969" s="7">
        <v>25569</v>
      </c>
      <c r="G969" s="8">
        <f t="shared" si="15"/>
        <v>25569</v>
      </c>
      <c r="H969" s="6" t="s">
        <v>13</v>
      </c>
      <c r="I969" s="9">
        <f>IF(ISNA(VLOOKUP(A969,'[1]Craig Eval'!A:C,3,FALSE)),"",(VLOOKUP(A969,'[1]Craig Eval'!A:C,3,FALSE))*1000)</f>
        <v>18268.396054613302</v>
      </c>
      <c r="J969" s="10">
        <f>IF(ISNA(VLOOKUP(A969,'[1]Craig Eval'!A:M,13,FALSE)),"",VLOOKUP(A969,'[1]Craig Eval'!A:M,13,FALSE))</f>
        <v>52.802207307097497</v>
      </c>
      <c r="K969" s="17">
        <v>1</v>
      </c>
    </row>
    <row r="970" spans="1:11" ht="30" x14ac:dyDescent="0.25">
      <c r="A970" s="3" t="s">
        <v>1959</v>
      </c>
      <c r="B970" s="4" t="s">
        <v>1960</v>
      </c>
      <c r="C970" s="14">
        <v>54623</v>
      </c>
      <c r="D970" s="6" t="s">
        <v>11</v>
      </c>
      <c r="E970" s="6" t="s">
        <v>12</v>
      </c>
      <c r="F970" s="7">
        <v>39107</v>
      </c>
      <c r="G970" s="8">
        <f t="shared" si="15"/>
        <v>39107</v>
      </c>
      <c r="H970" s="6" t="s">
        <v>39</v>
      </c>
      <c r="I970" s="9" t="str">
        <f>IF(ISNA(VLOOKUP(A970,'[1]Craig Eval'!A:C,3,FALSE)),"",(VLOOKUP(A970,'[1]Craig Eval'!A:C,3,FALSE))*1000)</f>
        <v/>
      </c>
      <c r="J970" s="10" t="str">
        <f>IF(ISNA(VLOOKUP(A970,'[1]Craig Eval'!A:M,13,FALSE)),"",VLOOKUP(A970,'[1]Craig Eval'!A:M,13,FALSE))</f>
        <v/>
      </c>
      <c r="K970" s="17">
        <v>2</v>
      </c>
    </row>
    <row r="971" spans="1:11" ht="30" x14ac:dyDescent="0.25">
      <c r="A971" s="3" t="s">
        <v>1961</v>
      </c>
      <c r="B971" s="4" t="s">
        <v>1962</v>
      </c>
      <c r="C971" s="5">
        <v>17603</v>
      </c>
      <c r="D971" s="6" t="s">
        <v>31</v>
      </c>
      <c r="E971" s="6" t="s">
        <v>17</v>
      </c>
      <c r="F971" s="7">
        <v>30608</v>
      </c>
      <c r="G971" s="8">
        <f t="shared" si="15"/>
        <v>30608</v>
      </c>
      <c r="H971" s="6" t="s">
        <v>13</v>
      </c>
      <c r="I971" s="9" t="str">
        <f>IF(ISNA(VLOOKUP(A971,'[1]Craig Eval'!A:C,3,FALSE)),"",(VLOOKUP(A971,'[1]Craig Eval'!A:C,3,FALSE))*1000)</f>
        <v/>
      </c>
      <c r="J971" s="10" t="str">
        <f>IF(ISNA(VLOOKUP(A971,'[1]Craig Eval'!A:M,13,FALSE)),"",VLOOKUP(A971,'[1]Craig Eval'!A:M,13,FALSE))</f>
        <v/>
      </c>
      <c r="K971" s="17">
        <v>1</v>
      </c>
    </row>
    <row r="972" spans="1:11" ht="30" x14ac:dyDescent="0.25">
      <c r="A972" s="3" t="s">
        <v>1963</v>
      </c>
      <c r="B972" s="4" t="s">
        <v>1964</v>
      </c>
      <c r="C972" s="5">
        <v>1508</v>
      </c>
      <c r="D972" s="6" t="s">
        <v>28</v>
      </c>
      <c r="E972" s="6" t="s">
        <v>17</v>
      </c>
      <c r="F972" s="7">
        <v>29221</v>
      </c>
      <c r="G972" s="8">
        <f t="shared" si="15"/>
        <v>29221</v>
      </c>
      <c r="H972" s="6" t="s">
        <v>13</v>
      </c>
      <c r="I972" s="9">
        <f>IF(ISNA(VLOOKUP(A972,'[1]Craig Eval'!A:C,3,FALSE)),"",(VLOOKUP(A972,'[1]Craig Eval'!A:C,3,FALSE))*1000)</f>
        <v>4811.2580717982491</v>
      </c>
      <c r="J972" s="10">
        <f>IF(ISNA(VLOOKUP(A972,'[1]Craig Eval'!A:M,13,FALSE)),"",VLOOKUP(A972,'[1]Craig Eval'!A:M,13,FALSE))</f>
        <v>14.427258703001399</v>
      </c>
      <c r="K972" s="17">
        <v>1</v>
      </c>
    </row>
    <row r="973" spans="1:11" ht="30" x14ac:dyDescent="0.25">
      <c r="A973" s="3" t="s">
        <v>1965</v>
      </c>
      <c r="B973" s="4" t="s">
        <v>1966</v>
      </c>
      <c r="C973" s="5">
        <v>1335</v>
      </c>
      <c r="D973" s="6" t="s">
        <v>31</v>
      </c>
      <c r="E973" s="6" t="s">
        <v>17</v>
      </c>
      <c r="F973" s="7">
        <v>25569</v>
      </c>
      <c r="G973" s="8">
        <f t="shared" si="15"/>
        <v>25569</v>
      </c>
      <c r="H973" s="6" t="s">
        <v>13</v>
      </c>
      <c r="I973" s="9">
        <f>IF(ISNA(VLOOKUP(A973,'[1]Craig Eval'!A:C,3,FALSE)),"",(VLOOKUP(A973,'[1]Craig Eval'!A:C,3,FALSE))*1000)</f>
        <v>13988.8235348485</v>
      </c>
      <c r="J973" s="10">
        <f>IF(ISNA(VLOOKUP(A973,'[1]Craig Eval'!A:M,13,FALSE)),"",VLOOKUP(A973,'[1]Craig Eval'!A:M,13,FALSE))</f>
        <v>40.807726091893699</v>
      </c>
      <c r="K973" s="17">
        <v>1</v>
      </c>
    </row>
    <row r="974" spans="1:11" ht="30" x14ac:dyDescent="0.25">
      <c r="A974" s="3" t="s">
        <v>1967</v>
      </c>
      <c r="B974" s="4" t="s">
        <v>1968</v>
      </c>
      <c r="C974" s="5">
        <v>1558</v>
      </c>
      <c r="D974" s="6" t="s">
        <v>28</v>
      </c>
      <c r="E974" s="6" t="s">
        <v>17</v>
      </c>
      <c r="F974" s="7">
        <v>18264</v>
      </c>
      <c r="G974" s="8">
        <f t="shared" si="15"/>
        <v>18264</v>
      </c>
      <c r="H974" s="6" t="s">
        <v>13</v>
      </c>
      <c r="I974" s="9">
        <f>IF(ISNA(VLOOKUP(A974,'[1]Craig Eval'!A:C,3,FALSE)),"",(VLOOKUP(A974,'[1]Craig Eval'!A:C,3,FALSE))*1000)</f>
        <v>4967.5007653898601</v>
      </c>
      <c r="J974" s="10">
        <f>IF(ISNA(VLOOKUP(A974,'[1]Craig Eval'!A:M,13,FALSE)),"",VLOOKUP(A974,'[1]Craig Eval'!A:M,13,FALSE))</f>
        <v>14.886198704456801</v>
      </c>
      <c r="K974" s="17">
        <v>1</v>
      </c>
    </row>
    <row r="975" spans="1:11" ht="30" x14ac:dyDescent="0.25">
      <c r="A975" s="3" t="s">
        <v>1969</v>
      </c>
      <c r="B975" s="4" t="s">
        <v>1970</v>
      </c>
      <c r="C975" s="5">
        <v>10561</v>
      </c>
      <c r="D975" s="6" t="s">
        <v>34</v>
      </c>
      <c r="E975" s="6" t="s">
        <v>17</v>
      </c>
      <c r="F975" s="7">
        <v>37510</v>
      </c>
      <c r="G975" s="8">
        <f t="shared" si="15"/>
        <v>37510</v>
      </c>
      <c r="H975" s="6" t="s">
        <v>13</v>
      </c>
      <c r="I975" s="9" t="str">
        <f>IF(ISNA(VLOOKUP(A975,'[1]Craig Eval'!A:C,3,FALSE)),"",(VLOOKUP(A975,'[1]Craig Eval'!A:C,3,FALSE))*1000)</f>
        <v/>
      </c>
      <c r="J975" s="10" t="str">
        <f>IF(ISNA(VLOOKUP(A975,'[1]Craig Eval'!A:M,13,FALSE)),"",VLOOKUP(A975,'[1]Craig Eval'!A:M,13,FALSE))</f>
        <v/>
      </c>
      <c r="K975" s="17">
        <v>1</v>
      </c>
    </row>
    <row r="976" spans="1:11" ht="30" x14ac:dyDescent="0.25">
      <c r="A976" s="3" t="s">
        <v>1971</v>
      </c>
      <c r="B976" s="4" t="s">
        <v>1972</v>
      </c>
      <c r="C976" s="5">
        <v>10567</v>
      </c>
      <c r="D976" s="6" t="s">
        <v>31</v>
      </c>
      <c r="E976" s="6" t="s">
        <v>17</v>
      </c>
      <c r="F976" s="7">
        <v>37537</v>
      </c>
      <c r="G976" s="8">
        <f t="shared" si="15"/>
        <v>37537</v>
      </c>
      <c r="H976" s="6" t="s">
        <v>13</v>
      </c>
      <c r="I976" s="9">
        <f>IF(ISNA(VLOOKUP(A976,'[1]Craig Eval'!A:C,3,FALSE)),"",(VLOOKUP(A976,'[1]Craig Eval'!A:C,3,FALSE))*1000)</f>
        <v>8866.9200954605094</v>
      </c>
      <c r="J976" s="10">
        <f>IF(ISNA(VLOOKUP(A976,'[1]Craig Eval'!A:M,13,FALSE)),"",VLOOKUP(A976,'[1]Craig Eval'!A:M,13,FALSE))</f>
        <v>26.215914243833701</v>
      </c>
      <c r="K976" s="17">
        <v>1</v>
      </c>
    </row>
    <row r="977" spans="1:11" ht="30" x14ac:dyDescent="0.25">
      <c r="A977" s="18" t="s">
        <v>1973</v>
      </c>
      <c r="B977" s="19" t="s">
        <v>1974</v>
      </c>
      <c r="C977" s="20">
        <v>1721</v>
      </c>
      <c r="D977" s="21" t="s">
        <v>16</v>
      </c>
      <c r="E977" s="21" t="s">
        <v>17</v>
      </c>
      <c r="F977" s="22">
        <v>29221</v>
      </c>
      <c r="G977" s="23">
        <f t="shared" si="15"/>
        <v>29221</v>
      </c>
      <c r="H977" s="21" t="s">
        <v>13</v>
      </c>
      <c r="I977" s="9" t="str">
        <f>IF(ISNA(VLOOKUP(A977,'[1]Craig Eval'!A:C,3,FALSE)),"",(VLOOKUP(A977,'[1]Craig Eval'!A:C,3,FALSE))*1000)</f>
        <v/>
      </c>
      <c r="J977" s="24" t="str">
        <f>IF(ISNA(VLOOKUP(A977,'[1]Craig Eval'!A:M,13,FALSE)),"",VLOOKUP(A977,'[1]Craig Eval'!A:M,13,FALSE))</f>
        <v/>
      </c>
      <c r="K977" s="25">
        <v>1</v>
      </c>
    </row>
    <row r="978" spans="1:11" ht="30" x14ac:dyDescent="0.25">
      <c r="A978" s="3" t="s">
        <v>1975</v>
      </c>
      <c r="B978" s="4" t="s">
        <v>1976</v>
      </c>
      <c r="C978" s="5">
        <v>1433</v>
      </c>
      <c r="D978" s="6" t="s">
        <v>16</v>
      </c>
      <c r="E978" s="6" t="s">
        <v>17</v>
      </c>
      <c r="F978" s="7">
        <v>25569</v>
      </c>
      <c r="G978" s="8">
        <f t="shared" si="15"/>
        <v>25569</v>
      </c>
      <c r="H978" s="6" t="s">
        <v>13</v>
      </c>
      <c r="I978" s="9" t="str">
        <f>IF(ISNA(VLOOKUP(A978,'[1]Craig Eval'!A:C,3,FALSE)),"",(VLOOKUP(A978,'[1]Craig Eval'!A:C,3,FALSE))*1000)</f>
        <v/>
      </c>
      <c r="J978" s="10" t="str">
        <f>IF(ISNA(VLOOKUP(A978,'[1]Craig Eval'!A:M,13,FALSE)),"",VLOOKUP(A978,'[1]Craig Eval'!A:M,13,FALSE))</f>
        <v/>
      </c>
      <c r="K978" s="17">
        <v>1</v>
      </c>
    </row>
    <row r="979" spans="1:11" ht="30" x14ac:dyDescent="0.25">
      <c r="A979" s="3" t="s">
        <v>1977</v>
      </c>
      <c r="B979" s="4" t="s">
        <v>1978</v>
      </c>
      <c r="C979" s="5">
        <v>1283</v>
      </c>
      <c r="D979" s="6" t="s">
        <v>34</v>
      </c>
      <c r="E979" s="6" t="s">
        <v>17</v>
      </c>
      <c r="F979" s="7">
        <v>25569</v>
      </c>
      <c r="G979" s="8">
        <f t="shared" si="15"/>
        <v>25569</v>
      </c>
      <c r="H979" s="6" t="s">
        <v>13</v>
      </c>
      <c r="I979" s="9">
        <f>IF(ISNA(VLOOKUP(A979,'[1]Craig Eval'!A:C,3,FALSE)),"",(VLOOKUP(A979,'[1]Craig Eval'!A:C,3,FALSE))*1000)</f>
        <v>7155.0618712093901</v>
      </c>
      <c r="J979" s="10">
        <f>IF(ISNA(VLOOKUP(A979,'[1]Craig Eval'!A:M,13,FALSE)),"",VLOOKUP(A979,'[1]Craig Eval'!A:M,13,FALSE))</f>
        <v>21.269501368357599</v>
      </c>
      <c r="K979" s="17">
        <v>1</v>
      </c>
    </row>
    <row r="980" spans="1:11" ht="30" x14ac:dyDescent="0.25">
      <c r="A980" s="3" t="s">
        <v>1979</v>
      </c>
      <c r="B980" s="4" t="s">
        <v>1980</v>
      </c>
      <c r="C980" s="5">
        <v>37185</v>
      </c>
      <c r="D980" s="6" t="s">
        <v>11</v>
      </c>
      <c r="E980" s="6" t="s">
        <v>12</v>
      </c>
      <c r="F980" s="7">
        <v>35199</v>
      </c>
      <c r="G980" s="8">
        <f t="shared" si="15"/>
        <v>35199</v>
      </c>
      <c r="H980" s="6" t="s">
        <v>776</v>
      </c>
      <c r="I980" s="9" t="str">
        <f>IF(ISNA(VLOOKUP(A980,'[1]Craig Eval'!A:C,3,FALSE)),"",(VLOOKUP(A980,'[1]Craig Eval'!A:C,3,FALSE))*1000)</f>
        <v/>
      </c>
      <c r="J980" s="10" t="str">
        <f>IF(ISNA(VLOOKUP(A980,'[1]Craig Eval'!A:M,13,FALSE)),"",VLOOKUP(A980,'[1]Craig Eval'!A:M,13,FALSE))</f>
        <v/>
      </c>
      <c r="K980" s="17">
        <v>1</v>
      </c>
    </row>
    <row r="981" spans="1:11" ht="30" x14ac:dyDescent="0.25">
      <c r="A981" s="3" t="s">
        <v>1981</v>
      </c>
      <c r="B981" s="4" t="s">
        <v>1982</v>
      </c>
      <c r="C981" s="5">
        <v>1291</v>
      </c>
      <c r="D981" s="6" t="s">
        <v>28</v>
      </c>
      <c r="E981" s="6" t="s">
        <v>17</v>
      </c>
      <c r="F981" s="7">
        <v>18264</v>
      </c>
      <c r="G981" s="8">
        <f t="shared" si="15"/>
        <v>18264</v>
      </c>
      <c r="H981" s="6" t="s">
        <v>13</v>
      </c>
      <c r="I981" s="9">
        <f>IF(ISNA(VLOOKUP(A981,'[1]Craig Eval'!A:C,3,FALSE)),"",(VLOOKUP(A981,'[1]Craig Eval'!A:C,3,FALSE))*1000)</f>
        <v>4359.2839962314902</v>
      </c>
      <c r="J981" s="10">
        <f>IF(ISNA(VLOOKUP(A981,'[1]Craig Eval'!A:M,13,FALSE)),"",VLOOKUP(A981,'[1]Craig Eval'!A:M,13,FALSE))</f>
        <v>13.097143380298499</v>
      </c>
      <c r="K981" s="17">
        <v>1</v>
      </c>
    </row>
    <row r="982" spans="1:11" ht="30" x14ac:dyDescent="0.25">
      <c r="A982" s="26" t="s">
        <v>1983</v>
      </c>
      <c r="B982" s="27" t="s">
        <v>1984</v>
      </c>
      <c r="C982" s="34">
        <v>1838</v>
      </c>
      <c r="D982" s="28" t="s">
        <v>16</v>
      </c>
      <c r="E982" s="28" t="s">
        <v>17</v>
      </c>
      <c r="F982" s="29">
        <v>29221</v>
      </c>
      <c r="G982" s="30">
        <f t="shared" si="15"/>
        <v>29221</v>
      </c>
      <c r="H982" s="28" t="s">
        <v>13</v>
      </c>
      <c r="I982" s="31">
        <f>IF(ISNA(VLOOKUP(A982,'[1]Craig Eval'!A:C,3,FALSE)),"",(VLOOKUP(A982,'[1]Craig Eval'!A:C,3,FALSE))*1000)</f>
        <v>23327.652620662699</v>
      </c>
      <c r="J982" s="32">
        <f>IF(ISNA(VLOOKUP(A982,'[1]Craig Eval'!A:M,13,FALSE)),"",VLOOKUP(A982,'[1]Craig Eval'!A:M,13,FALSE))</f>
        <v>66.790273146751602</v>
      </c>
      <c r="K982" s="33">
        <v>1</v>
      </c>
    </row>
    <row r="983" spans="1:11" ht="30" x14ac:dyDescent="0.25">
      <c r="A983" s="3" t="s">
        <v>1985</v>
      </c>
      <c r="B983" s="4" t="s">
        <v>1986</v>
      </c>
      <c r="C983" s="5">
        <v>1913</v>
      </c>
      <c r="D983" s="6" t="s">
        <v>34</v>
      </c>
      <c r="E983" s="6" t="s">
        <v>17</v>
      </c>
      <c r="F983" s="7">
        <v>33212</v>
      </c>
      <c r="G983" s="8">
        <f t="shared" si="15"/>
        <v>33212</v>
      </c>
      <c r="H983" s="6" t="s">
        <v>13</v>
      </c>
      <c r="I983" s="9" t="str">
        <f>IF(ISNA(VLOOKUP(A983,'[1]Craig Eval'!A:C,3,FALSE)),"",(VLOOKUP(A983,'[1]Craig Eval'!A:C,3,FALSE))*1000)</f>
        <v/>
      </c>
      <c r="J983" s="10" t="str">
        <f>IF(ISNA(VLOOKUP(A983,'[1]Craig Eval'!A:M,13,FALSE)),"",VLOOKUP(A983,'[1]Craig Eval'!A:M,13,FALSE))</f>
        <v/>
      </c>
      <c r="K983" s="17">
        <v>1</v>
      </c>
    </row>
    <row r="984" spans="1:11" ht="30" x14ac:dyDescent="0.25">
      <c r="A984" s="18" t="s">
        <v>1987</v>
      </c>
      <c r="B984" s="19" t="s">
        <v>1988</v>
      </c>
      <c r="C984" s="20">
        <v>17605</v>
      </c>
      <c r="D984" s="21" t="s">
        <v>16</v>
      </c>
      <c r="E984" s="21" t="s">
        <v>17</v>
      </c>
      <c r="F984" s="22">
        <v>32666</v>
      </c>
      <c r="G984" s="23">
        <f t="shared" si="15"/>
        <v>32666</v>
      </c>
      <c r="H984" s="21" t="s">
        <v>13</v>
      </c>
      <c r="I984" s="9">
        <f>IF(ISNA(VLOOKUP(A984,'[1]Craig Eval'!A:C,3,FALSE)),"",(VLOOKUP(A984,'[1]Craig Eval'!A:C,3,FALSE))*1000)</f>
        <v>37866.872804321094</v>
      </c>
      <c r="J984" s="24">
        <f>IF(ISNA(VLOOKUP(A984,'[1]Craig Eval'!A:M,13,FALSE)),"",VLOOKUP(A984,'[1]Craig Eval'!A:M,13,FALSE))</f>
        <v>106.062719979192</v>
      </c>
      <c r="K984" s="25">
        <v>1</v>
      </c>
    </row>
    <row r="985" spans="1:11" ht="30" x14ac:dyDescent="0.25">
      <c r="A985" s="3" t="s">
        <v>1989</v>
      </c>
      <c r="B985" s="4" t="s">
        <v>1990</v>
      </c>
      <c r="C985" s="5">
        <v>1100</v>
      </c>
      <c r="D985" s="6" t="s">
        <v>28</v>
      </c>
      <c r="E985" s="6" t="s">
        <v>17</v>
      </c>
      <c r="F985" s="7">
        <v>25569</v>
      </c>
      <c r="G985" s="8">
        <f t="shared" si="15"/>
        <v>25569</v>
      </c>
      <c r="H985" s="6" t="s">
        <v>13</v>
      </c>
      <c r="I985" s="9">
        <f>IF(ISNA(VLOOKUP(A985,'[1]Craig Eval'!A:C,3,FALSE)),"",(VLOOKUP(A985,'[1]Craig Eval'!A:C,3,FALSE))*1000)</f>
        <v>5794.2737315289896</v>
      </c>
      <c r="J985" s="10">
        <f>IF(ISNA(VLOOKUP(A985,'[1]Craig Eval'!A:M,13,FALSE)),"",VLOOKUP(A985,'[1]Craig Eval'!A:M,13,FALSE))</f>
        <v>17.3077034941909</v>
      </c>
      <c r="K985" s="17">
        <v>1</v>
      </c>
    </row>
    <row r="986" spans="1:11" ht="30" x14ac:dyDescent="0.25">
      <c r="A986" s="3" t="s">
        <v>1991</v>
      </c>
      <c r="B986" s="4" t="s">
        <v>1992</v>
      </c>
      <c r="C986" s="5">
        <v>36131</v>
      </c>
      <c r="D986" s="6" t="s">
        <v>11</v>
      </c>
      <c r="E986" s="6" t="s">
        <v>17</v>
      </c>
      <c r="F986" s="7">
        <v>32902</v>
      </c>
      <c r="G986" s="8">
        <f t="shared" si="15"/>
        <v>32902</v>
      </c>
      <c r="H986" s="6" t="s">
        <v>13</v>
      </c>
      <c r="I986" s="9" t="str">
        <f>IF(ISNA(VLOOKUP(A986,'[1]Craig Eval'!A:C,3,FALSE)),"",(VLOOKUP(A986,'[1]Craig Eval'!A:C,3,FALSE))*1000)</f>
        <v/>
      </c>
      <c r="J986" s="10" t="str">
        <f>IF(ISNA(VLOOKUP(A986,'[1]Craig Eval'!A:M,13,FALSE)),"",VLOOKUP(A986,'[1]Craig Eval'!A:M,13,FALSE))</f>
        <v/>
      </c>
      <c r="K986" s="17">
        <v>1</v>
      </c>
    </row>
    <row r="987" spans="1:11" ht="30" x14ac:dyDescent="0.25">
      <c r="A987" s="3" t="s">
        <v>1993</v>
      </c>
      <c r="B987" s="4" t="s">
        <v>1994</v>
      </c>
      <c r="C987" s="5">
        <v>1763</v>
      </c>
      <c r="D987" s="6" t="s">
        <v>31</v>
      </c>
      <c r="E987" s="6" t="s">
        <v>17</v>
      </c>
      <c r="F987" s="7">
        <v>24108</v>
      </c>
      <c r="G987" s="8">
        <f t="shared" si="15"/>
        <v>24108</v>
      </c>
      <c r="H987" s="6" t="s">
        <v>13</v>
      </c>
      <c r="I987" s="9">
        <f>IF(ISNA(VLOOKUP(A987,'[1]Craig Eval'!A:C,3,FALSE)),"",(VLOOKUP(A987,'[1]Craig Eval'!A:C,3,FALSE))*1000)</f>
        <v>12119.800234632401</v>
      </c>
      <c r="J987" s="10">
        <f>IF(ISNA(VLOOKUP(A987,'[1]Craig Eval'!A:M,13,FALSE)),"",VLOOKUP(A987,'[1]Craig Eval'!A:M,13,FALSE))</f>
        <v>35.5158222890338</v>
      </c>
      <c r="K987" s="17">
        <v>1</v>
      </c>
    </row>
    <row r="988" spans="1:11" ht="30" x14ac:dyDescent="0.25">
      <c r="A988" s="3" t="s">
        <v>1995</v>
      </c>
      <c r="B988" s="4" t="s">
        <v>1996</v>
      </c>
      <c r="C988" s="5">
        <v>1935</v>
      </c>
      <c r="D988" s="6" t="s">
        <v>34</v>
      </c>
      <c r="E988" s="6" t="s">
        <v>17</v>
      </c>
      <c r="F988" s="7">
        <v>29952</v>
      </c>
      <c r="G988" s="8">
        <f t="shared" si="15"/>
        <v>29952</v>
      </c>
      <c r="H988" s="6" t="s">
        <v>13</v>
      </c>
      <c r="I988" s="9" t="str">
        <f>IF(ISNA(VLOOKUP(A988,'[1]Craig Eval'!A:C,3,FALSE)),"",(VLOOKUP(A988,'[1]Craig Eval'!A:C,3,FALSE))*1000)</f>
        <v/>
      </c>
      <c r="J988" s="10" t="str">
        <f>IF(ISNA(VLOOKUP(A988,'[1]Craig Eval'!A:M,13,FALSE)),"",VLOOKUP(A988,'[1]Craig Eval'!A:M,13,FALSE))</f>
        <v/>
      </c>
      <c r="K988" s="17">
        <v>2</v>
      </c>
    </row>
    <row r="989" spans="1:11" ht="30" x14ac:dyDescent="0.25">
      <c r="A989" s="3" t="s">
        <v>1997</v>
      </c>
      <c r="B989" s="4" t="s">
        <v>1998</v>
      </c>
      <c r="C989" s="5">
        <v>15681</v>
      </c>
      <c r="D989" s="6" t="s">
        <v>28</v>
      </c>
      <c r="E989" s="6" t="s">
        <v>17</v>
      </c>
      <c r="F989" s="7">
        <v>41360</v>
      </c>
      <c r="G989" s="8">
        <f t="shared" si="15"/>
        <v>41360</v>
      </c>
      <c r="H989" s="6" t="s">
        <v>13</v>
      </c>
      <c r="I989" s="9">
        <f>IF(ISNA(VLOOKUP(A989,'[1]Craig Eval'!A:C,3,FALSE)),"",(VLOOKUP(A989,'[1]Craig Eval'!A:C,3,FALSE))*1000)</f>
        <v>118590.798818311</v>
      </c>
      <c r="J989" s="10">
        <f>IF(ISNA(VLOOKUP(A989,'[1]Craig Eval'!A:M,13,FALSE)),"",VLOOKUP(A989,'[1]Craig Eval'!A:M,13,FALSE))</f>
        <v>308.91543139298699</v>
      </c>
      <c r="K989" s="17">
        <v>1</v>
      </c>
    </row>
    <row r="990" spans="1:11" ht="30" x14ac:dyDescent="0.25">
      <c r="A990" s="3" t="s">
        <v>1999</v>
      </c>
      <c r="B990" s="4" t="s">
        <v>2000</v>
      </c>
      <c r="C990" s="5">
        <v>18242</v>
      </c>
      <c r="D990" s="6" t="s">
        <v>31</v>
      </c>
      <c r="E990" s="6" t="s">
        <v>17</v>
      </c>
      <c r="F990" s="7">
        <v>32783</v>
      </c>
      <c r="G990" s="8">
        <f t="shared" si="15"/>
        <v>32783</v>
      </c>
      <c r="H990" s="6" t="s">
        <v>13</v>
      </c>
      <c r="I990" s="9">
        <f>IF(ISNA(VLOOKUP(A990,'[1]Craig Eval'!A:C,3,FALSE)),"",(VLOOKUP(A990,'[1]Craig Eval'!A:C,3,FALSE))*1000)</f>
        <v>39362.280446927994</v>
      </c>
      <c r="J990" s="10">
        <f>IF(ISNA(VLOOKUP(A990,'[1]Craig Eval'!A:M,13,FALSE)),"",VLOOKUP(A990,'[1]Craig Eval'!A:M,13,FALSE))</f>
        <v>110.035647843234</v>
      </c>
      <c r="K990" s="17">
        <v>1</v>
      </c>
    </row>
    <row r="991" spans="1:11" ht="30" x14ac:dyDescent="0.25">
      <c r="A991" s="3" t="s">
        <v>2001</v>
      </c>
      <c r="B991" s="4" t="s">
        <v>2002</v>
      </c>
      <c r="C991" s="5">
        <v>1246</v>
      </c>
      <c r="D991" s="6" t="s">
        <v>28</v>
      </c>
      <c r="E991" s="6" t="s">
        <v>17</v>
      </c>
      <c r="F991" s="7">
        <v>29221</v>
      </c>
      <c r="G991" s="8">
        <f t="shared" si="15"/>
        <v>29221</v>
      </c>
      <c r="H991" s="6" t="s">
        <v>13</v>
      </c>
      <c r="I991" s="9">
        <f>IF(ISNA(VLOOKUP(A991,'[1]Craig Eval'!A:C,3,FALSE)),"",(VLOOKUP(A991,'[1]Craig Eval'!A:C,3,FALSE))*1000)</f>
        <v>22996.026329995901</v>
      </c>
      <c r="J991" s="10">
        <f>IF(ISNA(VLOOKUP(A991,'[1]Craig Eval'!A:M,13,FALSE)),"",VLOOKUP(A991,'[1]Craig Eval'!A:M,13,FALSE))</f>
        <v>65.879139226179305</v>
      </c>
      <c r="K991" s="17">
        <v>1</v>
      </c>
    </row>
    <row r="992" spans="1:11" ht="30" x14ac:dyDescent="0.25">
      <c r="A992" s="3" t="s">
        <v>2003</v>
      </c>
      <c r="B992" s="4" t="s">
        <v>2004</v>
      </c>
      <c r="C992" s="5">
        <v>29521</v>
      </c>
      <c r="D992" s="6" t="s">
        <v>31</v>
      </c>
      <c r="E992" s="6" t="s">
        <v>17</v>
      </c>
      <c r="F992" s="7">
        <v>30459</v>
      </c>
      <c r="G992" s="8">
        <f t="shared" si="15"/>
        <v>30459</v>
      </c>
      <c r="H992" s="6" t="s">
        <v>13</v>
      </c>
      <c r="I992" s="9" t="str">
        <f>IF(ISNA(VLOOKUP(A992,'[1]Craig Eval'!A:C,3,FALSE)),"",(VLOOKUP(A992,'[1]Craig Eval'!A:C,3,FALSE))*1000)</f>
        <v/>
      </c>
      <c r="J992" s="10" t="str">
        <f>IF(ISNA(VLOOKUP(A992,'[1]Craig Eval'!A:M,13,FALSE)),"",VLOOKUP(A992,'[1]Craig Eval'!A:M,13,FALSE))</f>
        <v/>
      </c>
      <c r="K992" s="17">
        <v>1</v>
      </c>
    </row>
    <row r="993" spans="1:11" ht="30" x14ac:dyDescent="0.25">
      <c r="A993" s="3" t="s">
        <v>2005</v>
      </c>
      <c r="B993" s="4" t="s">
        <v>2006</v>
      </c>
      <c r="C993" s="5">
        <v>48097</v>
      </c>
      <c r="D993" s="6" t="s">
        <v>28</v>
      </c>
      <c r="E993" s="6" t="s">
        <v>17</v>
      </c>
      <c r="F993" s="7">
        <v>37895</v>
      </c>
      <c r="G993" s="8">
        <f t="shared" si="15"/>
        <v>37895</v>
      </c>
      <c r="H993" s="6" t="s">
        <v>13</v>
      </c>
      <c r="I993" s="9">
        <f>IF(ISNA(VLOOKUP(A993,'[1]Craig Eval'!A:C,3,FALSE)),"",(VLOOKUP(A993,'[1]Craig Eval'!A:C,3,FALSE))*1000)</f>
        <v>11894.904268731099</v>
      </c>
      <c r="J993" s="10">
        <f>IF(ISNA(VLOOKUP(A993,'[1]Craig Eval'!A:M,13,FALSE)),"",VLOOKUP(A993,'[1]Craig Eval'!A:M,13,FALSE))</f>
        <v>34.876652392443901</v>
      </c>
      <c r="K993" s="17">
        <v>1</v>
      </c>
    </row>
    <row r="994" spans="1:11" ht="30" x14ac:dyDescent="0.25">
      <c r="A994" s="3" t="s">
        <v>2007</v>
      </c>
      <c r="B994" s="4" t="s">
        <v>2008</v>
      </c>
      <c r="C994" s="5">
        <v>72109</v>
      </c>
      <c r="D994" s="6" t="s">
        <v>11</v>
      </c>
      <c r="E994" s="6" t="s">
        <v>17</v>
      </c>
      <c r="F994" s="7">
        <v>39169</v>
      </c>
      <c r="G994" s="8">
        <f t="shared" si="15"/>
        <v>39169</v>
      </c>
      <c r="H994" s="6" t="s">
        <v>13</v>
      </c>
      <c r="I994" s="9" t="str">
        <f>IF(ISNA(VLOOKUP(A994,'[1]Craig Eval'!A:C,3,FALSE)),"",(VLOOKUP(A994,'[1]Craig Eval'!A:C,3,FALSE))*1000)</f>
        <v/>
      </c>
      <c r="J994" s="10" t="str">
        <f>IF(ISNA(VLOOKUP(A994,'[1]Craig Eval'!A:M,13,FALSE)),"",VLOOKUP(A994,'[1]Craig Eval'!A:M,13,FALSE))</f>
        <v/>
      </c>
      <c r="K994" s="17">
        <v>2</v>
      </c>
    </row>
    <row r="995" spans="1:11" ht="30" x14ac:dyDescent="0.25">
      <c r="A995" s="3" t="s">
        <v>2009</v>
      </c>
      <c r="B995" s="4" t="s">
        <v>2010</v>
      </c>
      <c r="C995" s="14">
        <v>11841</v>
      </c>
      <c r="D995" s="6" t="s">
        <v>16</v>
      </c>
      <c r="E995" s="6" t="s">
        <v>17</v>
      </c>
      <c r="F995" s="7">
        <v>36892</v>
      </c>
      <c r="G995" s="8">
        <f t="shared" si="15"/>
        <v>36892</v>
      </c>
      <c r="H995" s="6" t="s">
        <v>13</v>
      </c>
      <c r="I995" s="9">
        <f>IF(ISNA(VLOOKUP(A995,'[1]Craig Eval'!A:C,3,FALSE)),"",(VLOOKUP(A995,'[1]Craig Eval'!A:C,3,FALSE))*1000)</f>
        <v>83024.728301390292</v>
      </c>
      <c r="J995" s="10">
        <f>IF(ISNA(VLOOKUP(A995,'[1]Craig Eval'!A:M,13,FALSE)),"",VLOOKUP(A995,'[1]Craig Eval'!A:M,13,FALSE))</f>
        <v>222.01269509344601</v>
      </c>
      <c r="K995" s="17">
        <v>1</v>
      </c>
    </row>
    <row r="996" spans="1:11" ht="30" x14ac:dyDescent="0.25">
      <c r="A996" s="18" t="s">
        <v>2011</v>
      </c>
      <c r="B996" s="19" t="s">
        <v>2012</v>
      </c>
      <c r="C996" s="20">
        <v>1104</v>
      </c>
      <c r="D996" s="21" t="s">
        <v>28</v>
      </c>
      <c r="E996" s="21" t="s">
        <v>17</v>
      </c>
      <c r="F996" s="22">
        <v>29952</v>
      </c>
      <c r="G996" s="23">
        <f t="shared" si="15"/>
        <v>29952</v>
      </c>
      <c r="H996" s="21" t="s">
        <v>13</v>
      </c>
      <c r="I996" s="9">
        <f>IF(ISNA(VLOOKUP(A996,'[1]Craig Eval'!A:C,3,FALSE)),"",(VLOOKUP(A996,'[1]Craig Eval'!A:C,3,FALSE))*1000)</f>
        <v>2248.6849428525597</v>
      </c>
      <c r="J996" s="24">
        <f>IF(ISNA(VLOOKUP(A996,'[1]Craig Eval'!A:M,13,FALSE)),"",VLOOKUP(A996,'[1]Craig Eval'!A:M,13,FALSE))</f>
        <v>6.8296459664867202</v>
      </c>
      <c r="K996" s="25">
        <v>1</v>
      </c>
    </row>
    <row r="997" spans="1:11" ht="30" x14ac:dyDescent="0.25">
      <c r="A997" s="3" t="s">
        <v>2013</v>
      </c>
      <c r="B997" s="4" t="s">
        <v>2014</v>
      </c>
      <c r="C997" s="5">
        <v>1563</v>
      </c>
      <c r="D997" s="6" t="s">
        <v>28</v>
      </c>
      <c r="E997" s="6" t="s">
        <v>17</v>
      </c>
      <c r="F997" s="7">
        <v>32143</v>
      </c>
      <c r="G997" s="8">
        <f t="shared" si="15"/>
        <v>32143</v>
      </c>
      <c r="H997" s="6" t="s">
        <v>13</v>
      </c>
      <c r="I997" s="9">
        <f>IF(ISNA(VLOOKUP(A997,'[1]Craig Eval'!A:C,3,FALSE)),"",(VLOOKUP(A997,'[1]Craig Eval'!A:C,3,FALSE))*1000)</f>
        <v>15882.7638770625</v>
      </c>
      <c r="J997" s="10">
        <f>IF(ISNA(VLOOKUP(A997,'[1]Craig Eval'!A:M,13,FALSE)),"",VLOOKUP(A997,'[1]Craig Eval'!A:M,13,FALSE))</f>
        <v>46.135901897027097</v>
      </c>
      <c r="K997" s="11">
        <v>2</v>
      </c>
    </row>
    <row r="998" spans="1:11" ht="30" x14ac:dyDescent="0.25">
      <c r="A998" s="3" t="s">
        <v>2015</v>
      </c>
      <c r="B998" s="4" t="s">
        <v>2016</v>
      </c>
      <c r="C998" s="5">
        <v>1115</v>
      </c>
      <c r="D998" s="6" t="s">
        <v>28</v>
      </c>
      <c r="E998" s="6" t="s">
        <v>17</v>
      </c>
      <c r="F998" s="7">
        <v>34700</v>
      </c>
      <c r="G998" s="8">
        <f t="shared" si="15"/>
        <v>34700</v>
      </c>
      <c r="H998" s="6" t="s">
        <v>13</v>
      </c>
      <c r="I998" s="9">
        <f>IF(ISNA(VLOOKUP(A998,'[1]Craig Eval'!A:C,3,FALSE)),"",(VLOOKUP(A998,'[1]Craig Eval'!A:C,3,FALSE))*1000)</f>
        <v>13536.418207679899</v>
      </c>
      <c r="J998" s="10">
        <f>IF(ISNA(VLOOKUP(A998,'[1]Craig Eval'!A:M,13,FALSE)),"",VLOOKUP(A998,'[1]Craig Eval'!A:M,13,FALSE))</f>
        <v>39.5299870680727</v>
      </c>
      <c r="K998" s="17">
        <v>1</v>
      </c>
    </row>
    <row r="999" spans="1:11" ht="30" x14ac:dyDescent="0.25">
      <c r="A999" s="3" t="s">
        <v>2017</v>
      </c>
      <c r="B999" s="4" t="s">
        <v>2018</v>
      </c>
      <c r="C999" s="5">
        <v>45201</v>
      </c>
      <c r="D999" s="6" t="s">
        <v>31</v>
      </c>
      <c r="E999" s="6" t="s">
        <v>17</v>
      </c>
      <c r="F999" s="7">
        <v>33490</v>
      </c>
      <c r="G999" s="8">
        <f t="shared" si="15"/>
        <v>33490</v>
      </c>
      <c r="H999" s="6" t="s">
        <v>13</v>
      </c>
      <c r="I999" s="9">
        <f>IF(ISNA(VLOOKUP(A999,'[1]Craig Eval'!A:C,3,FALSE)),"",(VLOOKUP(A999,'[1]Craig Eval'!A:C,3,FALSE))*1000)</f>
        <v>8081.0917451535006</v>
      </c>
      <c r="J999" s="10">
        <f>IF(ISNA(VLOOKUP(A999,'[1]Craig Eval'!A:M,13,FALSE)),"",VLOOKUP(A999,'[1]Craig Eval'!A:M,13,FALSE))</f>
        <v>23.950144366962501</v>
      </c>
      <c r="K999" s="17">
        <v>1</v>
      </c>
    </row>
    <row r="1000" spans="1:11" ht="30" x14ac:dyDescent="0.25">
      <c r="A1000" s="3" t="s">
        <v>2019</v>
      </c>
      <c r="B1000" s="4" t="s">
        <v>2020</v>
      </c>
      <c r="C1000" s="5">
        <v>44241</v>
      </c>
      <c r="D1000" s="6" t="s">
        <v>31</v>
      </c>
      <c r="E1000" s="6" t="s">
        <v>17</v>
      </c>
      <c r="F1000" s="7">
        <v>33490</v>
      </c>
      <c r="G1000" s="8">
        <f t="shared" si="15"/>
        <v>33490</v>
      </c>
      <c r="H1000" s="6" t="s">
        <v>13</v>
      </c>
      <c r="I1000" s="9">
        <f>IF(ISNA(VLOOKUP(A1000,'[1]Craig Eval'!A:C,3,FALSE)),"",(VLOOKUP(A1000,'[1]Craig Eval'!A:C,3,FALSE))*1000)</f>
        <v>39287.882370990999</v>
      </c>
      <c r="J1000" s="10">
        <f>IF(ISNA(VLOOKUP(A1000,'[1]Craig Eval'!A:M,13,FALSE)),"",VLOOKUP(A1000,'[1]Craig Eval'!A:M,13,FALSE))</f>
        <v>109.83825394000399</v>
      </c>
      <c r="K1000" s="17">
        <v>1</v>
      </c>
    </row>
    <row r="1001" spans="1:11" ht="30" x14ac:dyDescent="0.25">
      <c r="A1001" s="3" t="s">
        <v>2021</v>
      </c>
      <c r="B1001" s="4" t="s">
        <v>2022</v>
      </c>
      <c r="C1001" s="5">
        <v>44881</v>
      </c>
      <c r="D1001" s="6" t="s">
        <v>31</v>
      </c>
      <c r="E1001" s="6" t="s">
        <v>17</v>
      </c>
      <c r="F1001" s="7">
        <v>33490</v>
      </c>
      <c r="G1001" s="8">
        <f t="shared" si="15"/>
        <v>33490</v>
      </c>
      <c r="H1001" s="6" t="s">
        <v>13</v>
      </c>
      <c r="I1001" s="9">
        <f>IF(ISNA(VLOOKUP(A1001,'[1]Craig Eval'!A:C,3,FALSE)),"",(VLOOKUP(A1001,'[1]Craig Eval'!A:C,3,FALSE))*1000)</f>
        <v>26811.174454415097</v>
      </c>
      <c r="J1001" s="10">
        <f>IF(ISNA(VLOOKUP(A1001,'[1]Craig Eval'!A:M,13,FALSE)),"",VLOOKUP(A1001,'[1]Craig Eval'!A:M,13,FALSE))</f>
        <v>76.316086601812103</v>
      </c>
      <c r="K1001" s="17">
        <v>1</v>
      </c>
    </row>
    <row r="1002" spans="1:11" ht="30" x14ac:dyDescent="0.25">
      <c r="A1002" s="3" t="s">
        <v>2023</v>
      </c>
      <c r="B1002" s="4" t="s">
        <v>2024</v>
      </c>
      <c r="C1002" s="5">
        <v>2064</v>
      </c>
      <c r="D1002" s="6" t="s">
        <v>34</v>
      </c>
      <c r="E1002" s="6" t="s">
        <v>17</v>
      </c>
      <c r="F1002" s="7">
        <v>29221</v>
      </c>
      <c r="G1002" s="8">
        <f t="shared" si="15"/>
        <v>29221</v>
      </c>
      <c r="H1002" s="6" t="s">
        <v>13</v>
      </c>
      <c r="I1002" s="9">
        <f>IF(ISNA(VLOOKUP(A1002,'[1]Craig Eval'!A:C,3,FALSE)),"",(VLOOKUP(A1002,'[1]Craig Eval'!A:C,3,FALSE))*1000)</f>
        <v>12083.209811215</v>
      </c>
      <c r="J1002" s="10">
        <f>IF(ISNA(VLOOKUP(A1002,'[1]Craig Eval'!A:M,13,FALSE)),"",VLOOKUP(A1002,'[1]Craig Eval'!A:M,13,FALSE))</f>
        <v>35.411866061003302</v>
      </c>
      <c r="K1002" s="17">
        <v>1</v>
      </c>
    </row>
    <row r="1003" spans="1:11" ht="30" x14ac:dyDescent="0.25">
      <c r="A1003" s="3" t="s">
        <v>2025</v>
      </c>
      <c r="B1003" s="4" t="s">
        <v>2026</v>
      </c>
      <c r="C1003" s="5">
        <v>1774</v>
      </c>
      <c r="D1003" s="6" t="s">
        <v>34</v>
      </c>
      <c r="E1003" s="6" t="s">
        <v>17</v>
      </c>
      <c r="F1003" s="7">
        <v>36579</v>
      </c>
      <c r="G1003" s="8">
        <f t="shared" si="15"/>
        <v>36579</v>
      </c>
      <c r="H1003" s="6" t="s">
        <v>13</v>
      </c>
      <c r="I1003" s="9">
        <f>IF(ISNA(VLOOKUP(A1003,'[1]Craig Eval'!A:C,3,FALSE)),"",(VLOOKUP(A1003,'[1]Craig Eval'!A:C,3,FALSE))*1000)</f>
        <v>551.20439320800995</v>
      </c>
      <c r="J1003" s="10">
        <f>IF(ISNA(VLOOKUP(A1003,'[1]Craig Eval'!A:M,13,FALSE)),"",VLOOKUP(A1003,'[1]Craig Eval'!A:M,13,FALSE))</f>
        <v>1.6981003654354101</v>
      </c>
      <c r="K1003" s="17">
        <v>1</v>
      </c>
    </row>
    <row r="1004" spans="1:11" ht="30" x14ac:dyDescent="0.25">
      <c r="A1004" s="3" t="s">
        <v>2027</v>
      </c>
      <c r="B1004" s="4" t="s">
        <v>2028</v>
      </c>
      <c r="C1004" s="5">
        <v>54657</v>
      </c>
      <c r="D1004" s="6" t="s">
        <v>28</v>
      </c>
      <c r="E1004" s="6" t="s">
        <v>17</v>
      </c>
      <c r="F1004" s="7">
        <v>38355</v>
      </c>
      <c r="G1004" s="8">
        <f t="shared" si="15"/>
        <v>38355</v>
      </c>
      <c r="H1004" s="6" t="s">
        <v>13</v>
      </c>
      <c r="I1004" s="9">
        <f>IF(ISNA(VLOOKUP(A1004,'[1]Craig Eval'!A:C,3,FALSE)),"",(VLOOKUP(A1004,'[1]Craig Eval'!A:C,3,FALSE))*1000)</f>
        <v>4444.7574659232596</v>
      </c>
      <c r="J1004" s="10">
        <f>IF(ISNA(VLOOKUP(A1004,'[1]Craig Eval'!A:M,13,FALSE)),"",VLOOKUP(A1004,'[1]Craig Eval'!A:M,13,FALSE))</f>
        <v>13.3489753211297</v>
      </c>
      <c r="K1004" s="17">
        <v>1</v>
      </c>
    </row>
    <row r="1005" spans="1:11" ht="30" x14ac:dyDescent="0.25">
      <c r="A1005" s="3" t="s">
        <v>2029</v>
      </c>
      <c r="B1005" s="4" t="s">
        <v>2030</v>
      </c>
      <c r="C1005" s="5">
        <v>72131</v>
      </c>
      <c r="D1005" s="6" t="s">
        <v>34</v>
      </c>
      <c r="E1005" s="6" t="s">
        <v>17</v>
      </c>
      <c r="F1005" s="7">
        <v>39017</v>
      </c>
      <c r="G1005" s="8">
        <f t="shared" si="15"/>
        <v>39017</v>
      </c>
      <c r="H1005" s="6" t="s">
        <v>13</v>
      </c>
      <c r="I1005" s="9" t="str">
        <f>IF(ISNA(VLOOKUP(A1005,'[1]Craig Eval'!A:C,3,FALSE)),"",(VLOOKUP(A1005,'[1]Craig Eval'!A:C,3,FALSE))*1000)</f>
        <v/>
      </c>
      <c r="J1005" s="10" t="str">
        <f>IF(ISNA(VLOOKUP(A1005,'[1]Craig Eval'!A:M,13,FALSE)),"",VLOOKUP(A1005,'[1]Craig Eval'!A:M,13,FALSE))</f>
        <v/>
      </c>
      <c r="K1005" s="17">
        <v>1</v>
      </c>
    </row>
    <row r="1006" spans="1:11" ht="30" x14ac:dyDescent="0.25">
      <c r="A1006" s="3" t="s">
        <v>2031</v>
      </c>
      <c r="B1006" s="4" t="s">
        <v>2032</v>
      </c>
      <c r="C1006" s="5">
        <v>10564</v>
      </c>
      <c r="D1006" s="6" t="s">
        <v>16</v>
      </c>
      <c r="E1006" s="6" t="s">
        <v>17</v>
      </c>
      <c r="F1006" s="7">
        <v>37312</v>
      </c>
      <c r="G1006" s="8">
        <f t="shared" si="15"/>
        <v>37312</v>
      </c>
      <c r="H1006" s="6" t="s">
        <v>13</v>
      </c>
      <c r="I1006" s="9" t="str">
        <f>IF(ISNA(VLOOKUP(A1006,'[1]Craig Eval'!A:C,3,FALSE)),"",(VLOOKUP(A1006,'[1]Craig Eval'!A:C,3,FALSE))*1000)</f>
        <v/>
      </c>
      <c r="J1006" s="10" t="str">
        <f>IF(ISNA(VLOOKUP(A1006,'[1]Craig Eval'!A:M,13,FALSE)),"",VLOOKUP(A1006,'[1]Craig Eval'!A:M,13,FALSE))</f>
        <v/>
      </c>
      <c r="K1006" s="17">
        <v>1</v>
      </c>
    </row>
    <row r="1007" spans="1:11" ht="30" x14ac:dyDescent="0.25">
      <c r="A1007" s="3" t="s">
        <v>2033</v>
      </c>
      <c r="B1007" s="4" t="s">
        <v>2034</v>
      </c>
      <c r="C1007" s="5">
        <v>1728</v>
      </c>
      <c r="D1007" s="6" t="s">
        <v>16</v>
      </c>
      <c r="E1007" s="6" t="s">
        <v>17</v>
      </c>
      <c r="F1007" s="7">
        <v>29221</v>
      </c>
      <c r="G1007" s="8">
        <f t="shared" si="15"/>
        <v>29221</v>
      </c>
      <c r="H1007" s="6" t="s">
        <v>13</v>
      </c>
      <c r="I1007" s="9" t="str">
        <f>IF(ISNA(VLOOKUP(A1007,'[1]Craig Eval'!A:C,3,FALSE)),"",(VLOOKUP(A1007,'[1]Craig Eval'!A:C,3,FALSE))*1000)</f>
        <v/>
      </c>
      <c r="J1007" s="10" t="str">
        <f>IF(ISNA(VLOOKUP(A1007,'[1]Craig Eval'!A:M,13,FALSE)),"",VLOOKUP(A1007,'[1]Craig Eval'!A:M,13,FALSE))</f>
        <v/>
      </c>
      <c r="K1007" s="17">
        <v>1</v>
      </c>
    </row>
    <row r="1008" spans="1:11" ht="30" x14ac:dyDescent="0.25">
      <c r="A1008" s="3" t="s">
        <v>2035</v>
      </c>
      <c r="B1008" s="4" t="s">
        <v>2036</v>
      </c>
      <c r="C1008" s="5">
        <v>1051</v>
      </c>
      <c r="D1008" s="6" t="s">
        <v>16</v>
      </c>
      <c r="E1008" s="6" t="s">
        <v>17</v>
      </c>
      <c r="F1008" s="7">
        <v>36355</v>
      </c>
      <c r="G1008" s="8">
        <f t="shared" si="15"/>
        <v>36355</v>
      </c>
      <c r="H1008" s="6" t="s">
        <v>13</v>
      </c>
      <c r="I1008" s="9">
        <f>IF(ISNA(VLOOKUP(A1008,'[1]Craig Eval'!A:C,3,FALSE)),"",(VLOOKUP(A1008,'[1]Craig Eval'!A:C,3,FALSE))*1000)</f>
        <v>10646.4971016418</v>
      </c>
      <c r="J1008" s="10">
        <f>IF(ISNA(VLOOKUP(A1008,'[1]Craig Eval'!A:M,13,FALSE)),"",VLOOKUP(A1008,'[1]Craig Eval'!A:M,13,FALSE))</f>
        <v>31.318661852323199</v>
      </c>
      <c r="K1008" s="17">
        <v>1</v>
      </c>
    </row>
    <row r="1009" spans="1:11" ht="30" x14ac:dyDescent="0.25">
      <c r="A1009" s="3" t="s">
        <v>2037</v>
      </c>
      <c r="B1009" s="4" t="s">
        <v>2038</v>
      </c>
      <c r="C1009" s="5">
        <v>52949</v>
      </c>
      <c r="D1009" s="6" t="s">
        <v>34</v>
      </c>
      <c r="E1009" s="6" t="s">
        <v>17</v>
      </c>
      <c r="F1009" s="7">
        <v>39017</v>
      </c>
      <c r="G1009" s="8">
        <f t="shared" si="15"/>
        <v>39017</v>
      </c>
      <c r="H1009" s="6" t="s">
        <v>13</v>
      </c>
      <c r="I1009" s="9" t="str">
        <f>IF(ISNA(VLOOKUP(A1009,'[1]Craig Eval'!A:C,3,FALSE)),"",(VLOOKUP(A1009,'[1]Craig Eval'!A:C,3,FALSE))*1000)</f>
        <v/>
      </c>
      <c r="J1009" s="10" t="str">
        <f>IF(ISNA(VLOOKUP(A1009,'[1]Craig Eval'!A:M,13,FALSE)),"",VLOOKUP(A1009,'[1]Craig Eval'!A:M,13,FALSE))</f>
        <v/>
      </c>
      <c r="K1009" s="17">
        <v>1</v>
      </c>
    </row>
    <row r="1010" spans="1:11" ht="30" x14ac:dyDescent="0.25">
      <c r="A1010" s="3" t="s">
        <v>2039</v>
      </c>
      <c r="B1010" s="4" t="s">
        <v>2040</v>
      </c>
      <c r="C1010" s="5">
        <v>17927</v>
      </c>
      <c r="D1010" s="6" t="s">
        <v>16</v>
      </c>
      <c r="E1010" s="6" t="s">
        <v>17</v>
      </c>
      <c r="F1010" s="7">
        <v>21178</v>
      </c>
      <c r="G1010" s="8">
        <f t="shared" si="15"/>
        <v>21178</v>
      </c>
      <c r="H1010" s="6" t="s">
        <v>13</v>
      </c>
      <c r="I1010" s="9">
        <f>IF(ISNA(VLOOKUP(A1010,'[1]Craig Eval'!A:C,3,FALSE)),"",(VLOOKUP(A1010,'[1]Craig Eval'!A:C,3,FALSE))*1000)</f>
        <v>18900.209446508699</v>
      </c>
      <c r="J1010" s="10">
        <f>IF(ISNA(VLOOKUP(A1010,'[1]Craig Eval'!A:M,13,FALSE)),"",VLOOKUP(A1010,'[1]Craig Eval'!A:M,13,FALSE))</f>
        <v>54.5597915638375</v>
      </c>
      <c r="K1010" s="17">
        <v>1</v>
      </c>
    </row>
    <row r="1011" spans="1:11" ht="30" x14ac:dyDescent="0.25">
      <c r="A1011" s="3" t="s">
        <v>2041</v>
      </c>
      <c r="B1011" s="4" t="s">
        <v>2042</v>
      </c>
      <c r="C1011" s="5">
        <v>27569</v>
      </c>
      <c r="D1011" s="6" t="s">
        <v>11</v>
      </c>
      <c r="E1011" s="6" t="s">
        <v>12</v>
      </c>
      <c r="F1011" s="7">
        <v>36677</v>
      </c>
      <c r="G1011" s="8">
        <f t="shared" si="15"/>
        <v>36677</v>
      </c>
      <c r="H1011" s="6" t="s">
        <v>39</v>
      </c>
      <c r="I1011" s="9" t="str">
        <f>IF(ISNA(VLOOKUP(A1011,'[1]Craig Eval'!A:C,3,FALSE)),"",(VLOOKUP(A1011,'[1]Craig Eval'!A:C,3,FALSE))*1000)</f>
        <v/>
      </c>
      <c r="J1011" s="10" t="str">
        <f>IF(ISNA(VLOOKUP(A1011,'[1]Craig Eval'!A:M,13,FALSE)),"",VLOOKUP(A1011,'[1]Craig Eval'!A:M,13,FALSE))</f>
        <v/>
      </c>
      <c r="K1011" s="17">
        <v>1</v>
      </c>
    </row>
    <row r="1012" spans="1:11" ht="30" x14ac:dyDescent="0.25">
      <c r="A1012" s="3" t="s">
        <v>2043</v>
      </c>
      <c r="B1012" s="4" t="s">
        <v>2044</v>
      </c>
      <c r="C1012" s="5">
        <v>54664</v>
      </c>
      <c r="D1012" s="6" t="s">
        <v>11</v>
      </c>
      <c r="E1012" s="6" t="s">
        <v>12</v>
      </c>
      <c r="F1012" s="7">
        <v>38013</v>
      </c>
      <c r="G1012" s="8">
        <f t="shared" si="15"/>
        <v>38013</v>
      </c>
      <c r="H1012" s="6" t="s">
        <v>39</v>
      </c>
      <c r="I1012" s="9" t="str">
        <f>IF(ISNA(VLOOKUP(A1012,'[1]Craig Eval'!A:C,3,FALSE)),"",(VLOOKUP(A1012,'[1]Craig Eval'!A:C,3,FALSE))*1000)</f>
        <v/>
      </c>
      <c r="J1012" s="10" t="str">
        <f>IF(ISNA(VLOOKUP(A1012,'[1]Craig Eval'!A:M,13,FALSE)),"",VLOOKUP(A1012,'[1]Craig Eval'!A:M,13,FALSE))</f>
        <v/>
      </c>
      <c r="K1012" s="17">
        <v>1</v>
      </c>
    </row>
    <row r="1013" spans="1:11" ht="30" x14ac:dyDescent="0.25">
      <c r="A1013" s="3" t="s">
        <v>2045</v>
      </c>
      <c r="B1013" s="4" t="s">
        <v>2046</v>
      </c>
      <c r="C1013" s="5">
        <v>54665</v>
      </c>
      <c r="D1013" s="6" t="s">
        <v>11</v>
      </c>
      <c r="E1013" s="6" t="s">
        <v>12</v>
      </c>
      <c r="F1013" s="7">
        <v>37426</v>
      </c>
      <c r="G1013" s="8">
        <f t="shared" si="15"/>
        <v>37426</v>
      </c>
      <c r="H1013" s="6" t="s">
        <v>776</v>
      </c>
      <c r="I1013" s="9" t="str">
        <f>IF(ISNA(VLOOKUP(A1013,'[1]Craig Eval'!A:C,3,FALSE)),"",(VLOOKUP(A1013,'[1]Craig Eval'!A:C,3,FALSE))*1000)</f>
        <v/>
      </c>
      <c r="J1013" s="10" t="str">
        <f>IF(ISNA(VLOOKUP(A1013,'[1]Craig Eval'!A:M,13,FALSE)),"",VLOOKUP(A1013,'[1]Craig Eval'!A:M,13,FALSE))</f>
        <v/>
      </c>
      <c r="K1013" s="17">
        <v>1</v>
      </c>
    </row>
    <row r="1014" spans="1:11" ht="30" x14ac:dyDescent="0.25">
      <c r="A1014" s="3" t="s">
        <v>2047</v>
      </c>
      <c r="B1014" s="4" t="s">
        <v>2048</v>
      </c>
      <c r="C1014" s="5">
        <v>1047</v>
      </c>
      <c r="D1014" s="6" t="s">
        <v>16</v>
      </c>
      <c r="E1014" s="6" t="s">
        <v>17</v>
      </c>
      <c r="F1014" s="7">
        <v>29221</v>
      </c>
      <c r="G1014" s="8">
        <f t="shared" si="15"/>
        <v>29221</v>
      </c>
      <c r="H1014" s="6" t="s">
        <v>13</v>
      </c>
      <c r="I1014" s="9">
        <f>IF(ISNA(VLOOKUP(A1014,'[1]Craig Eval'!A:C,3,FALSE)),"",(VLOOKUP(A1014,'[1]Craig Eval'!A:C,3,FALSE))*1000)</f>
        <v>7577.1474382701399</v>
      </c>
      <c r="J1014" s="10">
        <f>IF(ISNA(VLOOKUP(A1014,'[1]Craig Eval'!A:M,13,FALSE)),"",VLOOKUP(A1014,'[1]Craig Eval'!A:M,13,FALSE))</f>
        <v>22.4928142686109</v>
      </c>
      <c r="K1014" s="17">
        <v>1</v>
      </c>
    </row>
    <row r="1015" spans="1:11" ht="30" x14ac:dyDescent="0.25">
      <c r="A1015" s="3" t="s">
        <v>2049</v>
      </c>
      <c r="B1015" s="4" t="s">
        <v>2050</v>
      </c>
      <c r="C1015" s="14">
        <v>1424</v>
      </c>
      <c r="D1015" s="6" t="s">
        <v>16</v>
      </c>
      <c r="E1015" s="6" t="s">
        <v>17</v>
      </c>
      <c r="F1015" s="7">
        <v>29221</v>
      </c>
      <c r="G1015" s="8">
        <f t="shared" si="15"/>
        <v>29221</v>
      </c>
      <c r="H1015" s="6" t="s">
        <v>13</v>
      </c>
      <c r="I1015" s="9">
        <f>IF(ISNA(VLOOKUP(A1015,'[1]Craig Eval'!A:C,3,FALSE)),"",(VLOOKUP(A1015,'[1]Craig Eval'!A:C,3,FALSE))*1000)</f>
        <v>61934.985233664302</v>
      </c>
      <c r="J1015" s="10">
        <f>IF(ISNA(VLOOKUP(A1015,'[1]Craig Eval'!A:M,13,FALSE)),"",VLOOKUP(A1015,'[1]Craig Eval'!A:M,13,FALSE))</f>
        <v>168.798419779933</v>
      </c>
      <c r="K1015" s="17">
        <v>1</v>
      </c>
    </row>
    <row r="1016" spans="1:11" ht="30" x14ac:dyDescent="0.25">
      <c r="A1016" s="3" t="s">
        <v>2051</v>
      </c>
      <c r="B1016" s="4" t="s">
        <v>2052</v>
      </c>
      <c r="C1016" s="14">
        <v>13122</v>
      </c>
      <c r="D1016" s="6" t="s">
        <v>11</v>
      </c>
      <c r="E1016" s="6" t="s">
        <v>17</v>
      </c>
      <c r="F1016" s="7">
        <v>38243</v>
      </c>
      <c r="G1016" s="8">
        <f t="shared" si="15"/>
        <v>38243</v>
      </c>
      <c r="H1016" s="6" t="s">
        <v>13</v>
      </c>
      <c r="I1016" s="9" t="str">
        <f>IF(ISNA(VLOOKUP(A1016,'[1]Craig Eval'!A:C,3,FALSE)),"",(VLOOKUP(A1016,'[1]Craig Eval'!A:C,3,FALSE))*1000)</f>
        <v/>
      </c>
      <c r="J1016" s="10" t="str">
        <f>IF(ISNA(VLOOKUP(A1016,'[1]Craig Eval'!A:M,13,FALSE)),"",VLOOKUP(A1016,'[1]Craig Eval'!A:M,13,FALSE))</f>
        <v/>
      </c>
      <c r="K1016" s="17">
        <v>1</v>
      </c>
    </row>
    <row r="1017" spans="1:11" ht="30" x14ac:dyDescent="0.25">
      <c r="A1017" s="3" t="s">
        <v>2053</v>
      </c>
      <c r="B1017" s="4" t="s">
        <v>2054</v>
      </c>
      <c r="C1017" s="5">
        <v>25601</v>
      </c>
      <c r="D1017" s="6" t="s">
        <v>11</v>
      </c>
      <c r="E1017" s="6" t="s">
        <v>17</v>
      </c>
      <c r="F1017" s="7">
        <v>35004</v>
      </c>
      <c r="G1017" s="8">
        <f t="shared" si="15"/>
        <v>35004</v>
      </c>
      <c r="H1017" s="6" t="s">
        <v>13</v>
      </c>
      <c r="I1017" s="9" t="str">
        <f>IF(ISNA(VLOOKUP(A1017,'[1]Craig Eval'!A:C,3,FALSE)),"",(VLOOKUP(A1017,'[1]Craig Eval'!A:C,3,FALSE))*1000)</f>
        <v/>
      </c>
      <c r="J1017" s="10" t="str">
        <f>IF(ISNA(VLOOKUP(A1017,'[1]Craig Eval'!A:M,13,FALSE)),"",VLOOKUP(A1017,'[1]Craig Eval'!A:M,13,FALSE))</f>
        <v/>
      </c>
      <c r="K1017" s="17">
        <v>2</v>
      </c>
    </row>
    <row r="1018" spans="1:11" ht="30" x14ac:dyDescent="0.25">
      <c r="A1018" s="3" t="s">
        <v>2055</v>
      </c>
      <c r="B1018" s="4" t="s">
        <v>2056</v>
      </c>
      <c r="C1018" s="5">
        <v>1711</v>
      </c>
      <c r="D1018" s="6" t="s">
        <v>16</v>
      </c>
      <c r="E1018" s="6" t="s">
        <v>17</v>
      </c>
      <c r="F1018" s="7">
        <v>29221</v>
      </c>
      <c r="G1018" s="8">
        <f t="shared" si="15"/>
        <v>29221</v>
      </c>
      <c r="H1018" s="6" t="s">
        <v>13</v>
      </c>
      <c r="I1018" s="9">
        <f>IF(ISNA(VLOOKUP(A1018,'[1]Craig Eval'!A:C,3,FALSE)),"",(VLOOKUP(A1018,'[1]Craig Eval'!A:C,3,FALSE))*1000)</f>
        <v>44409.527822334196</v>
      </c>
      <c r="J1018" s="10">
        <f>IF(ISNA(VLOOKUP(A1018,'[1]Craig Eval'!A:M,13,FALSE)),"",VLOOKUP(A1018,'[1]Craig Eval'!A:M,13,FALSE))</f>
        <v>123.364992661936</v>
      </c>
      <c r="K1018" s="17">
        <v>1</v>
      </c>
    </row>
    <row r="1019" spans="1:11" ht="30" x14ac:dyDescent="0.25">
      <c r="A1019" s="3" t="s">
        <v>2057</v>
      </c>
      <c r="B1019" s="4" t="s">
        <v>2058</v>
      </c>
      <c r="C1019" s="14">
        <v>19213</v>
      </c>
      <c r="D1019" s="6" t="s">
        <v>16</v>
      </c>
      <c r="E1019" s="6" t="s">
        <v>17</v>
      </c>
      <c r="F1019" s="7">
        <v>33162</v>
      </c>
      <c r="G1019" s="8">
        <f t="shared" si="15"/>
        <v>33162</v>
      </c>
      <c r="H1019" s="6" t="s">
        <v>13</v>
      </c>
      <c r="I1019" s="9">
        <f>IF(ISNA(VLOOKUP(A1019,'[1]Craig Eval'!A:C,3,FALSE)),"",(VLOOKUP(A1019,'[1]Craig Eval'!A:C,3,FALSE))*1000)</f>
        <v>39080.481379107201</v>
      </c>
      <c r="J1019" s="10">
        <f>IF(ISNA(VLOOKUP(A1019,'[1]Craig Eval'!A:M,13,FALSE)),"",VLOOKUP(A1019,'[1]Craig Eval'!A:M,13,FALSE))</f>
        <v>109.287830470035</v>
      </c>
      <c r="K1019" s="17">
        <v>2</v>
      </c>
    </row>
    <row r="1020" spans="1:11" ht="30" x14ac:dyDescent="0.25">
      <c r="A1020" s="3" t="s">
        <v>2059</v>
      </c>
      <c r="B1020" s="4" t="s">
        <v>2060</v>
      </c>
      <c r="C1020" s="5">
        <v>2013</v>
      </c>
      <c r="D1020" s="6" t="s">
        <v>16</v>
      </c>
      <c r="E1020" s="6" t="s">
        <v>17</v>
      </c>
      <c r="F1020" s="7">
        <v>30317</v>
      </c>
      <c r="G1020" s="8">
        <f t="shared" si="15"/>
        <v>30317</v>
      </c>
      <c r="H1020" s="6" t="s">
        <v>13</v>
      </c>
      <c r="I1020" s="9">
        <f>IF(ISNA(VLOOKUP(A1020,'[1]Craig Eval'!A:C,3,FALSE)),"",(VLOOKUP(A1020,'[1]Craig Eval'!A:C,3,FALSE))*1000)</f>
        <v>21190.5812166625</v>
      </c>
      <c r="J1020" s="10">
        <f>IF(ISNA(VLOOKUP(A1020,'[1]Craig Eval'!A:M,13,FALSE)),"",VLOOKUP(A1020,'[1]Craig Eval'!A:M,13,FALSE))</f>
        <v>60.904962033584901</v>
      </c>
      <c r="K1020" s="17">
        <v>2</v>
      </c>
    </row>
    <row r="1021" spans="1:11" ht="30" x14ac:dyDescent="0.25">
      <c r="A1021" s="3" t="s">
        <v>2061</v>
      </c>
      <c r="B1021" s="4" t="s">
        <v>2062</v>
      </c>
      <c r="C1021" s="5">
        <v>1717</v>
      </c>
      <c r="D1021" s="6" t="s">
        <v>16</v>
      </c>
      <c r="E1021" s="6" t="s">
        <v>17</v>
      </c>
      <c r="F1021" s="7">
        <v>31734</v>
      </c>
      <c r="G1021" s="8">
        <f t="shared" si="15"/>
        <v>31734</v>
      </c>
      <c r="H1021" s="6" t="s">
        <v>13</v>
      </c>
      <c r="I1021" s="9">
        <f>IF(ISNA(VLOOKUP(A1021,'[1]Craig Eval'!A:C,3,FALSE)),"",(VLOOKUP(A1021,'[1]Craig Eval'!A:C,3,FALSE))*1000)</f>
        <v>303493.73878731002</v>
      </c>
      <c r="J1021" s="10">
        <f>IF(ISNA(VLOOKUP(A1021,'[1]Craig Eval'!A:M,13,FALSE)),"",VLOOKUP(A1021,'[1]Craig Eval'!A:M,13,FALSE))</f>
        <v>724.61856239296401</v>
      </c>
      <c r="K1021" s="17">
        <v>4</v>
      </c>
    </row>
    <row r="1022" spans="1:11" ht="30" x14ac:dyDescent="0.25">
      <c r="A1022" s="3" t="s">
        <v>2063</v>
      </c>
      <c r="B1022" s="4" t="s">
        <v>2064</v>
      </c>
      <c r="C1022" s="14">
        <v>54689</v>
      </c>
      <c r="D1022" s="6" t="s">
        <v>16</v>
      </c>
      <c r="E1022" s="6" t="s">
        <v>17</v>
      </c>
      <c r="F1022" s="7">
        <v>29221</v>
      </c>
      <c r="G1022" s="8">
        <f t="shared" si="15"/>
        <v>29221</v>
      </c>
      <c r="H1022" s="6" t="s">
        <v>13</v>
      </c>
      <c r="I1022" s="9">
        <f>IF(ISNA(VLOOKUP(A1022,'[1]Craig Eval'!A:C,3,FALSE)),"",(VLOOKUP(A1022,'[1]Craig Eval'!A:C,3,FALSE))*1000)</f>
        <v>2620.5318800161799</v>
      </c>
      <c r="J1022" s="10">
        <f>IF(ISNA(VLOOKUP(A1022,'[1]Craig Eval'!A:M,13,FALSE)),"",VLOOKUP(A1022,'[1]Craig Eval'!A:M,13,FALSE))</f>
        <v>7.9414198565174097</v>
      </c>
      <c r="K1022" s="17">
        <v>2</v>
      </c>
    </row>
    <row r="1023" spans="1:11" ht="30" x14ac:dyDescent="0.25">
      <c r="A1023" s="3" t="s">
        <v>2065</v>
      </c>
      <c r="B1023" s="4" t="s">
        <v>2066</v>
      </c>
      <c r="C1023" s="5">
        <v>17923</v>
      </c>
      <c r="D1023" s="6" t="s">
        <v>16</v>
      </c>
      <c r="E1023" s="6" t="s">
        <v>17</v>
      </c>
      <c r="F1023" s="7">
        <v>30243</v>
      </c>
      <c r="G1023" s="8">
        <f t="shared" si="15"/>
        <v>30243</v>
      </c>
      <c r="H1023" s="6" t="s">
        <v>13</v>
      </c>
      <c r="I1023" s="9">
        <f>IF(ISNA(VLOOKUP(A1023,'[1]Craig Eval'!A:C,3,FALSE)),"",(VLOOKUP(A1023,'[1]Craig Eval'!A:C,3,FALSE))*1000)</f>
        <v>36531.126311025997</v>
      </c>
      <c r="J1023" s="10">
        <f>IF(ISNA(VLOOKUP(A1023,'[1]Craig Eval'!A:M,13,FALSE)),"",VLOOKUP(A1023,'[1]Craig Eval'!A:M,13,FALSE))</f>
        <v>102.50439684912</v>
      </c>
      <c r="K1023" s="17">
        <v>1</v>
      </c>
    </row>
    <row r="1024" spans="1:11" ht="30" x14ac:dyDescent="0.25">
      <c r="A1024" s="3" t="s">
        <v>2067</v>
      </c>
      <c r="B1024" s="4" t="s">
        <v>2068</v>
      </c>
      <c r="C1024" s="5">
        <v>18243</v>
      </c>
      <c r="D1024" s="6" t="s">
        <v>16</v>
      </c>
      <c r="E1024" s="6" t="s">
        <v>17</v>
      </c>
      <c r="F1024" s="7">
        <v>30706</v>
      </c>
      <c r="G1024" s="8">
        <f t="shared" si="15"/>
        <v>30706</v>
      </c>
      <c r="H1024" s="6" t="s">
        <v>13</v>
      </c>
      <c r="I1024" s="9">
        <f>IF(ISNA(VLOOKUP(A1024,'[1]Craig Eval'!A:C,3,FALSE)),"",(VLOOKUP(A1024,'[1]Craig Eval'!A:C,3,FALSE))*1000)</f>
        <v>10418.9393684816</v>
      </c>
      <c r="J1024" s="10">
        <f>IF(ISNA(VLOOKUP(A1024,'[1]Craig Eval'!A:M,13,FALSE)),"",VLOOKUP(A1024,'[1]Craig Eval'!A:M,13,FALSE))</f>
        <v>30.6682474753054</v>
      </c>
      <c r="K1024" s="17">
        <v>1</v>
      </c>
    </row>
    <row r="1025" spans="1:11" ht="30" x14ac:dyDescent="0.25">
      <c r="A1025" s="3" t="s">
        <v>2069</v>
      </c>
      <c r="B1025" s="4" t="s">
        <v>2070</v>
      </c>
      <c r="C1025" s="14">
        <v>19212</v>
      </c>
      <c r="D1025" s="6" t="s">
        <v>16</v>
      </c>
      <c r="E1025" s="6" t="s">
        <v>17</v>
      </c>
      <c r="F1025" s="7">
        <v>33108</v>
      </c>
      <c r="G1025" s="8">
        <f t="shared" si="15"/>
        <v>33108</v>
      </c>
      <c r="H1025" s="6" t="s">
        <v>13</v>
      </c>
      <c r="I1025" s="9">
        <f>IF(ISNA(VLOOKUP(A1025,'[1]Craig Eval'!A:C,3,FALSE)),"",(VLOOKUP(A1025,'[1]Craig Eval'!A:C,3,FALSE))*1000)</f>
        <v>87977.5304190108</v>
      </c>
      <c r="J1025" s="10">
        <f>IF(ISNA(VLOOKUP(A1025,'[1]Craig Eval'!A:M,13,FALSE)),"",VLOOKUP(A1025,'[1]Craig Eval'!A:M,13,FALSE))</f>
        <v>234.312081618793</v>
      </c>
      <c r="K1025" s="17">
        <v>2</v>
      </c>
    </row>
    <row r="1026" spans="1:11" ht="30" x14ac:dyDescent="0.25">
      <c r="A1026" s="3" t="s">
        <v>2071</v>
      </c>
      <c r="B1026" s="4" t="s">
        <v>2072</v>
      </c>
      <c r="C1026" s="14">
        <v>1322</v>
      </c>
      <c r="D1026" s="6" t="s">
        <v>16</v>
      </c>
      <c r="E1026" s="6" t="s">
        <v>17</v>
      </c>
      <c r="F1026" s="7">
        <v>29221</v>
      </c>
      <c r="G1026" s="8">
        <f t="shared" ref="G1026:G1089" si="16">F1026</f>
        <v>29221</v>
      </c>
      <c r="H1026" s="6" t="s">
        <v>13</v>
      </c>
      <c r="I1026" s="9">
        <f>IF(ISNA(VLOOKUP(A1026,'[1]Craig Eval'!A:C,3,FALSE)),"",(VLOOKUP(A1026,'[1]Craig Eval'!A:C,3,FALSE))*1000)</f>
        <v>141466.87466012302</v>
      </c>
      <c r="J1026" s="10">
        <f>IF(ISNA(VLOOKUP(A1026,'[1]Craig Eval'!A:M,13,FALSE)),"",VLOOKUP(A1026,'[1]Craig Eval'!A:M,13,FALSE))</f>
        <v>363.27591719158897</v>
      </c>
      <c r="K1026" s="17">
        <v>3</v>
      </c>
    </row>
    <row r="1027" spans="1:11" ht="30" x14ac:dyDescent="0.25">
      <c r="A1027" s="3" t="s">
        <v>2073</v>
      </c>
      <c r="B1027" s="4" t="s">
        <v>2074</v>
      </c>
      <c r="C1027" s="5">
        <v>1519</v>
      </c>
      <c r="D1027" s="6" t="s">
        <v>11</v>
      </c>
      <c r="E1027" s="6" t="s">
        <v>17</v>
      </c>
      <c r="F1027" s="7">
        <v>36600</v>
      </c>
      <c r="G1027" s="8">
        <f t="shared" si="16"/>
        <v>36600</v>
      </c>
      <c r="H1027" s="6" t="s">
        <v>13</v>
      </c>
      <c r="I1027" s="9" t="str">
        <f>IF(ISNA(VLOOKUP(A1027,'[1]Craig Eval'!A:C,3,FALSE)),"",(VLOOKUP(A1027,'[1]Craig Eval'!A:C,3,FALSE))*1000)</f>
        <v/>
      </c>
      <c r="J1027" s="10" t="str">
        <f>IF(ISNA(VLOOKUP(A1027,'[1]Craig Eval'!A:M,13,FALSE)),"",VLOOKUP(A1027,'[1]Craig Eval'!A:M,13,FALSE))</f>
        <v/>
      </c>
      <c r="K1027" s="17">
        <v>1</v>
      </c>
    </row>
    <row r="1028" spans="1:11" ht="30" x14ac:dyDescent="0.25">
      <c r="A1028" s="3" t="s">
        <v>2075</v>
      </c>
      <c r="B1028" s="4" t="s">
        <v>2076</v>
      </c>
      <c r="C1028" s="5">
        <v>52905</v>
      </c>
      <c r="D1028" s="6" t="s">
        <v>34</v>
      </c>
      <c r="E1028" s="6" t="s">
        <v>17</v>
      </c>
      <c r="F1028" s="7">
        <v>39209</v>
      </c>
      <c r="G1028" s="8">
        <f t="shared" si="16"/>
        <v>39209</v>
      </c>
      <c r="H1028" s="6" t="s">
        <v>13</v>
      </c>
      <c r="I1028" s="9" t="str">
        <f>IF(ISNA(VLOOKUP(A1028,'[1]Craig Eval'!A:C,3,FALSE)),"",(VLOOKUP(A1028,'[1]Craig Eval'!A:C,3,FALSE))*1000)</f>
        <v/>
      </c>
      <c r="J1028" s="10" t="str">
        <f>IF(ISNA(VLOOKUP(A1028,'[1]Craig Eval'!A:M,13,FALSE)),"",VLOOKUP(A1028,'[1]Craig Eval'!A:M,13,FALSE))</f>
        <v/>
      </c>
      <c r="K1028" s="17">
        <v>1</v>
      </c>
    </row>
    <row r="1029" spans="1:11" ht="30" x14ac:dyDescent="0.25">
      <c r="A1029" s="26" t="s">
        <v>2077</v>
      </c>
      <c r="B1029" s="27" t="s">
        <v>2078</v>
      </c>
      <c r="C1029" s="5">
        <v>54690</v>
      </c>
      <c r="D1029" s="28" t="s">
        <v>31</v>
      </c>
      <c r="E1029" s="28" t="s">
        <v>17</v>
      </c>
      <c r="F1029" s="29">
        <v>39735</v>
      </c>
      <c r="G1029" s="30">
        <f t="shared" si="16"/>
        <v>39735</v>
      </c>
      <c r="H1029" s="28" t="s">
        <v>13</v>
      </c>
      <c r="I1029" s="31">
        <f>IF(ISNA(VLOOKUP(A1029,'[1]Craig Eval'!A:C,3,FALSE)),"",(VLOOKUP(A1029,'[1]Craig Eval'!A:C,3,FALSE))*1000)</f>
        <v>28451.025712123697</v>
      </c>
      <c r="J1029" s="32">
        <f>IF(ISNA(VLOOKUP(A1029,'[1]Craig Eval'!A:M,13,FALSE)),"",VLOOKUP(A1029,'[1]Craig Eval'!A:M,13,FALSE))</f>
        <v>80.773119249973703</v>
      </c>
      <c r="K1029" s="33">
        <v>2</v>
      </c>
    </row>
    <row r="1030" spans="1:11" ht="30" x14ac:dyDescent="0.25">
      <c r="A1030" s="3" t="s">
        <v>2079</v>
      </c>
      <c r="B1030" s="4" t="s">
        <v>2080</v>
      </c>
      <c r="C1030" s="14">
        <v>1227</v>
      </c>
      <c r="D1030" s="6" t="s">
        <v>31</v>
      </c>
      <c r="E1030" s="6" t="s">
        <v>17</v>
      </c>
      <c r="F1030" s="7">
        <v>39735</v>
      </c>
      <c r="G1030" s="8">
        <f t="shared" si="16"/>
        <v>39735</v>
      </c>
      <c r="H1030" s="6" t="s">
        <v>13</v>
      </c>
      <c r="I1030" s="9" t="str">
        <f>IF(ISNA(VLOOKUP(A1030,'[1]Craig Eval'!A:C,3,FALSE)),"",(VLOOKUP(A1030,'[1]Craig Eval'!A:C,3,FALSE))*1000)</f>
        <v/>
      </c>
      <c r="J1030" s="10" t="str">
        <f>IF(ISNA(VLOOKUP(A1030,'[1]Craig Eval'!A:M,13,FALSE)),"",VLOOKUP(A1030,'[1]Craig Eval'!A:M,13,FALSE))</f>
        <v/>
      </c>
      <c r="K1030" s="17">
        <v>4</v>
      </c>
    </row>
    <row r="1031" spans="1:11" ht="30" x14ac:dyDescent="0.25">
      <c r="A1031" s="3" t="s">
        <v>2081</v>
      </c>
      <c r="B1031" s="4" t="s">
        <v>2082</v>
      </c>
      <c r="C1031" s="14">
        <v>1542</v>
      </c>
      <c r="D1031" s="6" t="s">
        <v>28</v>
      </c>
      <c r="E1031" s="6" t="s">
        <v>17</v>
      </c>
      <c r="F1031" s="7">
        <v>35065</v>
      </c>
      <c r="G1031" s="8">
        <f t="shared" si="16"/>
        <v>35065</v>
      </c>
      <c r="H1031" s="6" t="s">
        <v>13</v>
      </c>
      <c r="I1031" s="9">
        <f>IF(ISNA(VLOOKUP(A1031,'[1]Craig Eval'!A:C,3,FALSE)),"",(VLOOKUP(A1031,'[1]Craig Eval'!A:C,3,FALSE))*1000)</f>
        <v>140198.62935795399</v>
      </c>
      <c r="J1031" s="10">
        <f>IF(ISNA(VLOOKUP(A1031,'[1]Craig Eval'!A:M,13,FALSE)),"",VLOOKUP(A1031,'[1]Craig Eval'!A:M,13,FALSE))</f>
        <v>360.28989753259799</v>
      </c>
      <c r="K1031" s="17">
        <v>4</v>
      </c>
    </row>
    <row r="1032" spans="1:11" ht="30" x14ac:dyDescent="0.25">
      <c r="A1032" s="3" t="s">
        <v>2083</v>
      </c>
      <c r="B1032" s="4" t="s">
        <v>2084</v>
      </c>
      <c r="C1032" s="14">
        <v>72147</v>
      </c>
      <c r="D1032" s="6" t="s">
        <v>11</v>
      </c>
      <c r="E1032" s="6" t="s">
        <v>12</v>
      </c>
      <c r="F1032" s="7">
        <v>36923</v>
      </c>
      <c r="G1032" s="8">
        <f t="shared" si="16"/>
        <v>36923</v>
      </c>
      <c r="H1032" s="6" t="s">
        <v>39</v>
      </c>
      <c r="I1032" s="9" t="str">
        <f>IF(ISNA(VLOOKUP(A1032,'[1]Craig Eval'!A:C,3,FALSE)),"",(VLOOKUP(A1032,'[1]Craig Eval'!A:C,3,FALSE))*1000)</f>
        <v/>
      </c>
      <c r="J1032" s="10" t="str">
        <f>IF(ISNA(VLOOKUP(A1032,'[1]Craig Eval'!A:M,13,FALSE)),"",VLOOKUP(A1032,'[1]Craig Eval'!A:M,13,FALSE))</f>
        <v/>
      </c>
      <c r="K1032" s="17">
        <v>1</v>
      </c>
    </row>
    <row r="1033" spans="1:11" ht="30" x14ac:dyDescent="0.25">
      <c r="A1033" s="3" t="s">
        <v>2085</v>
      </c>
      <c r="B1033" s="4" t="s">
        <v>2086</v>
      </c>
      <c r="C1033" s="14">
        <v>41713</v>
      </c>
      <c r="D1033" s="6" t="s">
        <v>11</v>
      </c>
      <c r="E1033" s="6" t="s">
        <v>17</v>
      </c>
      <c r="F1033" s="7">
        <v>36419</v>
      </c>
      <c r="G1033" s="8">
        <f t="shared" si="16"/>
        <v>36419</v>
      </c>
      <c r="H1033" s="6" t="s">
        <v>13</v>
      </c>
      <c r="I1033" s="9" t="str">
        <f>IF(ISNA(VLOOKUP(A1033,'[1]Craig Eval'!A:C,3,FALSE)),"",(VLOOKUP(A1033,'[1]Craig Eval'!A:C,3,FALSE))*1000)</f>
        <v/>
      </c>
      <c r="J1033" s="10" t="str">
        <f>IF(ISNA(VLOOKUP(A1033,'[1]Craig Eval'!A:M,13,FALSE)),"",VLOOKUP(A1033,'[1]Craig Eval'!A:M,13,FALSE))</f>
        <v/>
      </c>
      <c r="K1033" s="17">
        <v>2</v>
      </c>
    </row>
    <row r="1034" spans="1:11" ht="30" x14ac:dyDescent="0.25">
      <c r="A1034" s="3" t="s">
        <v>2087</v>
      </c>
      <c r="B1034" s="4" t="s">
        <v>2088</v>
      </c>
      <c r="C1034" s="5">
        <v>52290</v>
      </c>
      <c r="D1034" s="6" t="s">
        <v>37</v>
      </c>
      <c r="E1034" s="6" t="s">
        <v>38</v>
      </c>
      <c r="F1034" s="7">
        <v>37970</v>
      </c>
      <c r="G1034" s="8">
        <f t="shared" si="16"/>
        <v>37970</v>
      </c>
      <c r="H1034" s="6" t="s">
        <v>39</v>
      </c>
      <c r="I1034" s="9" t="str">
        <f>IF(ISNA(VLOOKUP(A1034,'[1]Craig Eval'!A:C,3,FALSE)),"",(VLOOKUP(A1034,'[1]Craig Eval'!A:C,3,FALSE))*1000)</f>
        <v/>
      </c>
      <c r="J1034" s="10" t="str">
        <f>IF(ISNA(VLOOKUP(A1034,'[1]Craig Eval'!A:M,13,FALSE)),"",VLOOKUP(A1034,'[1]Craig Eval'!A:M,13,FALSE))</f>
        <v/>
      </c>
      <c r="K1034" s="17">
        <v>1</v>
      </c>
    </row>
    <row r="1035" spans="1:11" ht="30" x14ac:dyDescent="0.25">
      <c r="A1035" s="3" t="s">
        <v>2089</v>
      </c>
      <c r="B1035" s="4" t="s">
        <v>2090</v>
      </c>
      <c r="C1035" s="14">
        <v>30543</v>
      </c>
      <c r="D1035" s="6" t="s">
        <v>37</v>
      </c>
      <c r="E1035" s="6" t="s">
        <v>38</v>
      </c>
      <c r="F1035" s="7">
        <v>38132</v>
      </c>
      <c r="G1035" s="8">
        <f t="shared" si="16"/>
        <v>38132</v>
      </c>
      <c r="H1035" s="6" t="s">
        <v>39</v>
      </c>
      <c r="I1035" s="9" t="str">
        <f>IF(ISNA(VLOOKUP(A1035,'[1]Craig Eval'!A:C,3,FALSE)),"",(VLOOKUP(A1035,'[1]Craig Eval'!A:C,3,FALSE))*1000)</f>
        <v/>
      </c>
      <c r="J1035" s="10" t="str">
        <f>IF(ISNA(VLOOKUP(A1035,'[1]Craig Eval'!A:M,13,FALSE)),"",VLOOKUP(A1035,'[1]Craig Eval'!A:M,13,FALSE))</f>
        <v/>
      </c>
      <c r="K1035" s="17">
        <v>1</v>
      </c>
    </row>
    <row r="1036" spans="1:11" ht="30" x14ac:dyDescent="0.25">
      <c r="A1036" s="3" t="s">
        <v>2091</v>
      </c>
      <c r="B1036" s="4" t="s">
        <v>2092</v>
      </c>
      <c r="C1036" s="5">
        <v>52291</v>
      </c>
      <c r="D1036" s="6" t="s">
        <v>37</v>
      </c>
      <c r="E1036" s="6" t="s">
        <v>38</v>
      </c>
      <c r="F1036" s="7">
        <v>38132</v>
      </c>
      <c r="G1036" s="8">
        <f t="shared" si="16"/>
        <v>38132</v>
      </c>
      <c r="H1036" s="6" t="s">
        <v>39</v>
      </c>
      <c r="I1036" s="9" t="str">
        <f>IF(ISNA(VLOOKUP(A1036,'[1]Craig Eval'!A:C,3,FALSE)),"",(VLOOKUP(A1036,'[1]Craig Eval'!A:C,3,FALSE))*1000)</f>
        <v/>
      </c>
      <c r="J1036" s="10" t="str">
        <f>IF(ISNA(VLOOKUP(A1036,'[1]Craig Eval'!A:M,13,FALSE)),"",VLOOKUP(A1036,'[1]Craig Eval'!A:M,13,FALSE))</f>
        <v/>
      </c>
      <c r="K1036" s="17">
        <v>1</v>
      </c>
    </row>
    <row r="1037" spans="1:11" ht="30" x14ac:dyDescent="0.25">
      <c r="A1037" s="3" t="s">
        <v>2093</v>
      </c>
      <c r="B1037" s="4" t="s">
        <v>2094</v>
      </c>
      <c r="C1037" s="5">
        <v>52292</v>
      </c>
      <c r="D1037" s="6" t="s">
        <v>37</v>
      </c>
      <c r="E1037" s="6" t="s">
        <v>38</v>
      </c>
      <c r="F1037" s="7">
        <v>39475</v>
      </c>
      <c r="G1037" s="8">
        <f t="shared" si="16"/>
        <v>39475</v>
      </c>
      <c r="H1037" s="6" t="s">
        <v>39</v>
      </c>
      <c r="I1037" s="9" t="str">
        <f>IF(ISNA(VLOOKUP(A1037,'[1]Craig Eval'!A:C,3,FALSE)),"",(VLOOKUP(A1037,'[1]Craig Eval'!A:C,3,FALSE))*1000)</f>
        <v/>
      </c>
      <c r="J1037" s="10" t="str">
        <f>IF(ISNA(VLOOKUP(A1037,'[1]Craig Eval'!A:M,13,FALSE)),"",VLOOKUP(A1037,'[1]Craig Eval'!A:M,13,FALSE))</f>
        <v/>
      </c>
      <c r="K1037" s="17">
        <v>1</v>
      </c>
    </row>
    <row r="1038" spans="1:11" ht="30" x14ac:dyDescent="0.25">
      <c r="A1038" s="3" t="s">
        <v>2095</v>
      </c>
      <c r="B1038" s="4" t="s">
        <v>2096</v>
      </c>
      <c r="C1038" s="5">
        <v>47138</v>
      </c>
      <c r="D1038" s="6" t="s">
        <v>37</v>
      </c>
      <c r="E1038" s="6" t="s">
        <v>38</v>
      </c>
      <c r="F1038" s="7">
        <v>38687</v>
      </c>
      <c r="G1038" s="8">
        <f t="shared" si="16"/>
        <v>38687</v>
      </c>
      <c r="H1038" s="6" t="s">
        <v>39</v>
      </c>
      <c r="I1038" s="9" t="str">
        <f>IF(ISNA(VLOOKUP(A1038,'[1]Craig Eval'!A:C,3,FALSE)),"",(VLOOKUP(A1038,'[1]Craig Eval'!A:C,3,FALSE))*1000)</f>
        <v/>
      </c>
      <c r="J1038" s="10" t="str">
        <f>IF(ISNA(VLOOKUP(A1038,'[1]Craig Eval'!A:M,13,FALSE)),"",VLOOKUP(A1038,'[1]Craig Eval'!A:M,13,FALSE))</f>
        <v/>
      </c>
      <c r="K1038" s="17">
        <v>2</v>
      </c>
    </row>
    <row r="1039" spans="1:11" ht="30" x14ac:dyDescent="0.25">
      <c r="A1039" s="3" t="s">
        <v>2097</v>
      </c>
      <c r="B1039" s="4" t="s">
        <v>2098</v>
      </c>
      <c r="C1039" s="5">
        <v>33217</v>
      </c>
      <c r="D1039" s="6" t="s">
        <v>37</v>
      </c>
      <c r="E1039" s="6" t="s">
        <v>38</v>
      </c>
      <c r="F1039" s="7">
        <v>35517</v>
      </c>
      <c r="G1039" s="8">
        <f t="shared" si="16"/>
        <v>35517</v>
      </c>
      <c r="H1039" s="6" t="s">
        <v>39</v>
      </c>
      <c r="I1039" s="9" t="str">
        <f>IF(ISNA(VLOOKUP(A1039,'[1]Craig Eval'!A:C,3,FALSE)),"",(VLOOKUP(A1039,'[1]Craig Eval'!A:C,3,FALSE))*1000)</f>
        <v/>
      </c>
      <c r="J1039" s="10" t="str">
        <f>IF(ISNA(VLOOKUP(A1039,'[1]Craig Eval'!A:M,13,FALSE)),"",VLOOKUP(A1039,'[1]Craig Eval'!A:M,13,FALSE))</f>
        <v/>
      </c>
      <c r="K1039" s="17">
        <v>1</v>
      </c>
    </row>
    <row r="1040" spans="1:11" ht="30" x14ac:dyDescent="0.25">
      <c r="A1040" s="3" t="s">
        <v>2099</v>
      </c>
      <c r="B1040" s="4" t="s">
        <v>2100</v>
      </c>
      <c r="C1040" s="5">
        <v>1316</v>
      </c>
      <c r="D1040" s="6" t="s">
        <v>16</v>
      </c>
      <c r="E1040" s="6" t="s">
        <v>17</v>
      </c>
      <c r="F1040" s="7">
        <v>31048</v>
      </c>
      <c r="G1040" s="8">
        <f t="shared" si="16"/>
        <v>31048</v>
      </c>
      <c r="H1040" s="6" t="s">
        <v>13</v>
      </c>
      <c r="I1040" s="9" t="str">
        <f>IF(ISNA(VLOOKUP(A1040,'[1]Craig Eval'!A:C,3,FALSE)),"",(VLOOKUP(A1040,'[1]Craig Eval'!A:C,3,FALSE))*1000)</f>
        <v/>
      </c>
      <c r="J1040" s="10" t="str">
        <f>IF(ISNA(VLOOKUP(A1040,'[1]Craig Eval'!A:M,13,FALSE)),"",VLOOKUP(A1040,'[1]Craig Eval'!A:M,13,FALSE))</f>
        <v/>
      </c>
      <c r="K1040" s="17">
        <v>2</v>
      </c>
    </row>
    <row r="1041" spans="1:11" ht="30" x14ac:dyDescent="0.25">
      <c r="A1041" s="3" t="s">
        <v>2101</v>
      </c>
      <c r="B1041" s="4" t="s">
        <v>2102</v>
      </c>
      <c r="C1041" s="14">
        <v>1619</v>
      </c>
      <c r="D1041" s="6" t="s">
        <v>16</v>
      </c>
      <c r="E1041" s="6" t="s">
        <v>17</v>
      </c>
      <c r="F1041" s="7">
        <v>29221</v>
      </c>
      <c r="G1041" s="8">
        <f t="shared" si="16"/>
        <v>29221</v>
      </c>
      <c r="H1041" s="6" t="s">
        <v>13</v>
      </c>
      <c r="I1041" s="9" t="str">
        <f>IF(ISNA(VLOOKUP(A1041,'[1]Craig Eval'!A:C,3,FALSE)),"",(VLOOKUP(A1041,'[1]Craig Eval'!A:C,3,FALSE))*1000)</f>
        <v/>
      </c>
      <c r="J1041" s="10" t="str">
        <f>IF(ISNA(VLOOKUP(A1041,'[1]Craig Eval'!A:M,13,FALSE)),"",VLOOKUP(A1041,'[1]Craig Eval'!A:M,13,FALSE))</f>
        <v/>
      </c>
      <c r="K1041" s="17">
        <v>3</v>
      </c>
    </row>
    <row r="1042" spans="1:11" ht="30" x14ac:dyDescent="0.25">
      <c r="A1042" s="3" t="s">
        <v>2103</v>
      </c>
      <c r="B1042" s="4" t="s">
        <v>2104</v>
      </c>
      <c r="C1042" s="5">
        <v>1447</v>
      </c>
      <c r="D1042" s="6" t="s">
        <v>16</v>
      </c>
      <c r="E1042" s="6" t="s">
        <v>17</v>
      </c>
      <c r="F1042" s="7">
        <v>25569</v>
      </c>
      <c r="G1042" s="8">
        <f t="shared" si="16"/>
        <v>25569</v>
      </c>
      <c r="H1042" s="6" t="s">
        <v>13</v>
      </c>
      <c r="I1042" s="9" t="str">
        <f>IF(ISNA(VLOOKUP(A1042,'[1]Craig Eval'!A:C,3,FALSE)),"",(VLOOKUP(A1042,'[1]Craig Eval'!A:C,3,FALSE))*1000)</f>
        <v/>
      </c>
      <c r="J1042" s="10" t="str">
        <f>IF(ISNA(VLOOKUP(A1042,'[1]Craig Eval'!A:M,13,FALSE)),"",VLOOKUP(A1042,'[1]Craig Eval'!A:M,13,FALSE))</f>
        <v/>
      </c>
      <c r="K1042" s="17">
        <v>1</v>
      </c>
    </row>
    <row r="1043" spans="1:11" ht="30" x14ac:dyDescent="0.25">
      <c r="A1043" s="3" t="s">
        <v>2105</v>
      </c>
      <c r="B1043" s="4" t="s">
        <v>2106</v>
      </c>
      <c r="C1043" s="14">
        <v>1169</v>
      </c>
      <c r="D1043" s="6" t="s">
        <v>31</v>
      </c>
      <c r="E1043" s="6" t="s">
        <v>17</v>
      </c>
      <c r="F1043" s="7">
        <v>35065</v>
      </c>
      <c r="G1043" s="8">
        <f t="shared" si="16"/>
        <v>35065</v>
      </c>
      <c r="H1043" s="6" t="s">
        <v>13</v>
      </c>
      <c r="I1043" s="9">
        <f>IF(ISNA(VLOOKUP(A1043,'[1]Craig Eval'!A:C,3,FALSE)),"",(VLOOKUP(A1043,'[1]Craig Eval'!A:C,3,FALSE))*1000)</f>
        <v>13372.355261631799</v>
      </c>
      <c r="J1043" s="10">
        <f>IF(ISNA(VLOOKUP(A1043,'[1]Craig Eval'!A:M,13,FALSE)),"",VLOOKUP(A1043,'[1]Craig Eval'!A:M,13,FALSE))</f>
        <v>39.066126531406901</v>
      </c>
      <c r="K1043" s="17">
        <v>1</v>
      </c>
    </row>
    <row r="1044" spans="1:11" ht="30" x14ac:dyDescent="0.25">
      <c r="A1044" s="3" t="s">
        <v>2107</v>
      </c>
      <c r="B1044" s="4" t="s">
        <v>2108</v>
      </c>
      <c r="C1044" s="5">
        <v>14723</v>
      </c>
      <c r="D1044" s="6" t="s">
        <v>11</v>
      </c>
      <c r="E1044" s="6" t="s">
        <v>17</v>
      </c>
      <c r="F1044" s="7">
        <v>38274</v>
      </c>
      <c r="G1044" s="8">
        <f t="shared" si="16"/>
        <v>38274</v>
      </c>
      <c r="H1044" s="6" t="s">
        <v>13</v>
      </c>
      <c r="I1044" s="9" t="str">
        <f>IF(ISNA(VLOOKUP(A1044,'[1]Craig Eval'!A:C,3,FALSE)),"",(VLOOKUP(A1044,'[1]Craig Eval'!A:C,3,FALSE))*1000)</f>
        <v/>
      </c>
      <c r="J1044" s="10" t="str">
        <f>IF(ISNA(VLOOKUP(A1044,'[1]Craig Eval'!A:M,13,FALSE)),"",VLOOKUP(A1044,'[1]Craig Eval'!A:M,13,FALSE))</f>
        <v/>
      </c>
      <c r="K1044" s="17">
        <v>2</v>
      </c>
    </row>
    <row r="1045" spans="1:11" ht="30" x14ac:dyDescent="0.25">
      <c r="A1045" s="3" t="s">
        <v>2109</v>
      </c>
      <c r="B1045" s="4" t="s">
        <v>2110</v>
      </c>
      <c r="C1045" s="5">
        <v>54692</v>
      </c>
      <c r="D1045" s="6" t="s">
        <v>11</v>
      </c>
      <c r="E1045" s="6" t="s">
        <v>17</v>
      </c>
      <c r="F1045" s="7">
        <v>38976</v>
      </c>
      <c r="G1045" s="8">
        <f t="shared" si="16"/>
        <v>38976</v>
      </c>
      <c r="H1045" s="6" t="s">
        <v>13</v>
      </c>
      <c r="I1045" s="9" t="str">
        <f>IF(ISNA(VLOOKUP(A1045,'[1]Craig Eval'!A:C,3,FALSE)),"",(VLOOKUP(A1045,'[1]Craig Eval'!A:C,3,FALSE))*1000)</f>
        <v/>
      </c>
      <c r="J1045" s="10" t="str">
        <f>IF(ISNA(VLOOKUP(A1045,'[1]Craig Eval'!A:M,13,FALSE)),"",VLOOKUP(A1045,'[1]Craig Eval'!A:M,13,FALSE))</f>
        <v/>
      </c>
      <c r="K1045" s="17">
        <v>1</v>
      </c>
    </row>
    <row r="1046" spans="1:11" ht="30" x14ac:dyDescent="0.25">
      <c r="A1046" s="18" t="s">
        <v>2111</v>
      </c>
      <c r="B1046" s="19" t="s">
        <v>2112</v>
      </c>
      <c r="C1046" s="20">
        <v>54691</v>
      </c>
      <c r="D1046" s="21" t="s">
        <v>11</v>
      </c>
      <c r="E1046" s="21" t="s">
        <v>12</v>
      </c>
      <c r="F1046" s="22">
        <v>36826</v>
      </c>
      <c r="G1046" s="23">
        <f t="shared" si="16"/>
        <v>36826</v>
      </c>
      <c r="H1046" s="21" t="s">
        <v>39</v>
      </c>
      <c r="I1046" s="9" t="str">
        <f>IF(ISNA(VLOOKUP(A1046,'[1]Craig Eval'!A:C,3,FALSE)),"",(VLOOKUP(A1046,'[1]Craig Eval'!A:C,3,FALSE))*1000)</f>
        <v/>
      </c>
      <c r="J1046" s="24" t="str">
        <f>IF(ISNA(VLOOKUP(A1046,'[1]Craig Eval'!A:M,13,FALSE)),"",VLOOKUP(A1046,'[1]Craig Eval'!A:M,13,FALSE))</f>
        <v/>
      </c>
      <c r="K1046" s="25">
        <v>1</v>
      </c>
    </row>
    <row r="1047" spans="1:11" ht="30" x14ac:dyDescent="0.25">
      <c r="A1047" s="3" t="s">
        <v>2113</v>
      </c>
      <c r="B1047" s="4" t="s">
        <v>2114</v>
      </c>
      <c r="C1047" s="5">
        <v>1572</v>
      </c>
      <c r="D1047" s="6" t="s">
        <v>16</v>
      </c>
      <c r="E1047" s="6" t="s">
        <v>17</v>
      </c>
      <c r="F1047" s="7">
        <v>18264</v>
      </c>
      <c r="G1047" s="8">
        <f t="shared" si="16"/>
        <v>18264</v>
      </c>
      <c r="H1047" s="6" t="s">
        <v>13</v>
      </c>
      <c r="I1047" s="9" t="str">
        <f>IF(ISNA(VLOOKUP(A1047,'[1]Craig Eval'!A:C,3,FALSE)),"",(VLOOKUP(A1047,'[1]Craig Eval'!A:C,3,FALSE))*1000)</f>
        <v/>
      </c>
      <c r="J1047" s="10" t="str">
        <f>IF(ISNA(VLOOKUP(A1047,'[1]Craig Eval'!A:M,13,FALSE)),"",VLOOKUP(A1047,'[1]Craig Eval'!A:M,13,FALSE))</f>
        <v/>
      </c>
      <c r="K1047" s="17">
        <v>1</v>
      </c>
    </row>
    <row r="1048" spans="1:11" ht="30" x14ac:dyDescent="0.25">
      <c r="A1048" s="3" t="s">
        <v>2115</v>
      </c>
      <c r="B1048" s="4" t="s">
        <v>2116</v>
      </c>
      <c r="C1048" s="5">
        <v>51601</v>
      </c>
      <c r="D1048" s="6" t="s">
        <v>37</v>
      </c>
      <c r="E1048" s="6" t="s">
        <v>38</v>
      </c>
      <c r="F1048" s="7">
        <v>33682</v>
      </c>
      <c r="G1048" s="8">
        <f t="shared" si="16"/>
        <v>33682</v>
      </c>
      <c r="H1048" s="6" t="s">
        <v>39</v>
      </c>
      <c r="I1048" s="9" t="str">
        <f>IF(ISNA(VLOOKUP(A1048,'[1]Craig Eval'!A:C,3,FALSE)),"",(VLOOKUP(A1048,'[1]Craig Eval'!A:C,3,FALSE))*1000)</f>
        <v/>
      </c>
      <c r="J1048" s="10" t="str">
        <f>IF(ISNA(VLOOKUP(A1048,'[1]Craig Eval'!A:M,13,FALSE)),"",VLOOKUP(A1048,'[1]Craig Eval'!A:M,13,FALSE))</f>
        <v/>
      </c>
      <c r="K1048" s="17">
        <v>2</v>
      </c>
    </row>
    <row r="1049" spans="1:11" ht="30" x14ac:dyDescent="0.25">
      <c r="A1049" s="3" t="s">
        <v>2117</v>
      </c>
      <c r="B1049" s="4" t="s">
        <v>2118</v>
      </c>
      <c r="C1049" s="14">
        <v>46161</v>
      </c>
      <c r="D1049" s="6" t="s">
        <v>11</v>
      </c>
      <c r="E1049" s="6" t="s">
        <v>17</v>
      </c>
      <c r="F1049" s="7">
        <v>39133</v>
      </c>
      <c r="G1049" s="8">
        <f t="shared" si="16"/>
        <v>39133</v>
      </c>
      <c r="H1049" s="6" t="s">
        <v>13</v>
      </c>
      <c r="I1049" s="9" t="str">
        <f>IF(ISNA(VLOOKUP(A1049,'[1]Craig Eval'!A:C,3,FALSE)),"",(VLOOKUP(A1049,'[1]Craig Eval'!A:C,3,FALSE))*1000)</f>
        <v/>
      </c>
      <c r="J1049" s="10" t="str">
        <f>IF(ISNA(VLOOKUP(A1049,'[1]Craig Eval'!A:M,13,FALSE)),"",VLOOKUP(A1049,'[1]Craig Eval'!A:M,13,FALSE))</f>
        <v/>
      </c>
      <c r="K1049" s="11">
        <v>3</v>
      </c>
    </row>
    <row r="1050" spans="1:11" ht="30" x14ac:dyDescent="0.25">
      <c r="A1050" s="3" t="s">
        <v>2119</v>
      </c>
      <c r="B1050" s="4" t="s">
        <v>2120</v>
      </c>
      <c r="C1050" s="14">
        <v>21767</v>
      </c>
      <c r="D1050" s="6" t="s">
        <v>31</v>
      </c>
      <c r="E1050" s="6" t="s">
        <v>17</v>
      </c>
      <c r="F1050" s="7">
        <v>38771</v>
      </c>
      <c r="G1050" s="8">
        <f t="shared" si="16"/>
        <v>38771</v>
      </c>
      <c r="H1050" s="6" t="s">
        <v>13</v>
      </c>
      <c r="I1050" s="9">
        <f>IF(ISNA(VLOOKUP(A1050,'[1]Craig Eval'!A:C,3,FALSE)),"",(VLOOKUP(A1050,'[1]Craig Eval'!A:C,3,FALSE))*1000)</f>
        <v>61808.076762340301</v>
      </c>
      <c r="J1050" s="10">
        <f>IF(ISNA(VLOOKUP(A1050,'[1]Craig Eval'!A:M,13,FALSE)),"",VLOOKUP(A1050,'[1]Craig Eval'!A:M,13,FALSE))</f>
        <v>168.47369976791299</v>
      </c>
      <c r="K1050" s="17">
        <v>1</v>
      </c>
    </row>
    <row r="1051" spans="1:11" ht="30" x14ac:dyDescent="0.25">
      <c r="A1051" s="3" t="s">
        <v>2121</v>
      </c>
      <c r="B1051" s="4" t="s">
        <v>2122</v>
      </c>
      <c r="C1051" s="5">
        <v>22721</v>
      </c>
      <c r="D1051" s="6" t="s">
        <v>31</v>
      </c>
      <c r="E1051" s="6" t="s">
        <v>17</v>
      </c>
      <c r="F1051" s="7">
        <v>38783</v>
      </c>
      <c r="G1051" s="8">
        <f t="shared" si="16"/>
        <v>38783</v>
      </c>
      <c r="H1051" s="6" t="s">
        <v>13</v>
      </c>
      <c r="I1051" s="9">
        <f>IF(ISNA(VLOOKUP(A1051,'[1]Craig Eval'!A:C,3,FALSE)),"",(VLOOKUP(A1051,'[1]Craig Eval'!A:C,3,FALSE))*1000)</f>
        <v>3226.2438357736701</v>
      </c>
      <c r="J1051" s="10">
        <f>IF(ISNA(VLOOKUP(A1051,'[1]Craig Eval'!A:M,13,FALSE)),"",VLOOKUP(A1051,'[1]Craig Eval'!A:M,13,FALSE))</f>
        <v>9.7450237065166103</v>
      </c>
      <c r="K1051" s="17">
        <v>1</v>
      </c>
    </row>
    <row r="1052" spans="1:11" ht="30" x14ac:dyDescent="0.25">
      <c r="A1052" s="12" t="s">
        <v>2123</v>
      </c>
      <c r="B1052" s="4" t="s">
        <v>2124</v>
      </c>
      <c r="C1052" s="14">
        <v>1156</v>
      </c>
      <c r="D1052" s="6" t="s">
        <v>34</v>
      </c>
      <c r="E1052" s="6" t="s">
        <v>17</v>
      </c>
      <c r="F1052" s="7">
        <v>35590</v>
      </c>
      <c r="G1052" s="8">
        <f t="shared" si="16"/>
        <v>35590</v>
      </c>
      <c r="H1052" s="6" t="s">
        <v>13</v>
      </c>
      <c r="I1052" s="9" t="str">
        <f>IF(ISNA(VLOOKUP(A1052,'[1]Craig Eval'!A:C,3,FALSE)),"",(VLOOKUP(A1052,'[1]Craig Eval'!A:C,3,FALSE))*1000)</f>
        <v/>
      </c>
      <c r="J1052" s="10" t="str">
        <f>IF(ISNA(VLOOKUP(A1052,'[1]Craig Eval'!A:M,13,FALSE)),"",VLOOKUP(A1052,'[1]Craig Eval'!A:M,13,FALSE))</f>
        <v/>
      </c>
      <c r="K1052" s="17">
        <v>4</v>
      </c>
    </row>
    <row r="1053" spans="1:11" ht="30" x14ac:dyDescent="0.25">
      <c r="A1053" s="3" t="s">
        <v>2125</v>
      </c>
      <c r="B1053" s="4" t="s">
        <v>2126</v>
      </c>
      <c r="C1053" s="14">
        <v>1299</v>
      </c>
      <c r="D1053" s="6" t="s">
        <v>31</v>
      </c>
      <c r="E1053" s="6" t="s">
        <v>17</v>
      </c>
      <c r="F1053" s="7">
        <v>18264</v>
      </c>
      <c r="G1053" s="8">
        <f t="shared" si="16"/>
        <v>18264</v>
      </c>
      <c r="H1053" s="6" t="s">
        <v>13</v>
      </c>
      <c r="I1053" s="9">
        <f>IF(ISNA(VLOOKUP(A1053,'[1]Craig Eval'!A:C,3,FALSE)),"",(VLOOKUP(A1053,'[1]Craig Eval'!A:C,3,FALSE))*1000)</f>
        <v>73666.100215617204</v>
      </c>
      <c r="J1053" s="10">
        <f>IF(ISNA(VLOOKUP(A1053,'[1]Craig Eval'!A:M,13,FALSE)),"",VLOOKUP(A1053,'[1]Craig Eval'!A:M,13,FALSE))</f>
        <v>198.574780071606</v>
      </c>
      <c r="K1053" s="17">
        <v>3</v>
      </c>
    </row>
    <row r="1054" spans="1:11" ht="30" x14ac:dyDescent="0.25">
      <c r="A1054" s="3" t="s">
        <v>2127</v>
      </c>
      <c r="B1054" s="4" t="s">
        <v>2128</v>
      </c>
      <c r="C1054" s="5">
        <v>28545</v>
      </c>
      <c r="D1054" s="6" t="s">
        <v>28</v>
      </c>
      <c r="E1054" s="6" t="s">
        <v>17</v>
      </c>
      <c r="F1054" s="7">
        <v>38547</v>
      </c>
      <c r="G1054" s="8">
        <f t="shared" si="16"/>
        <v>38547</v>
      </c>
      <c r="H1054" s="6" t="s">
        <v>13</v>
      </c>
      <c r="I1054" s="9">
        <f>IF(ISNA(VLOOKUP(A1054,'[1]Craig Eval'!A:C,3,FALSE)),"",(VLOOKUP(A1054,'[1]Craig Eval'!A:C,3,FALSE))*1000)</f>
        <v>19443.3823517249</v>
      </c>
      <c r="J1054" s="10">
        <f>IF(ISNA(VLOOKUP(A1054,'[1]Craig Eval'!A:M,13,FALSE)),"",VLOOKUP(A1054,'[1]Craig Eval'!A:M,13,FALSE))</f>
        <v>56.068248625970497</v>
      </c>
      <c r="K1054" s="17">
        <v>1</v>
      </c>
    </row>
    <row r="1055" spans="1:11" ht="30" x14ac:dyDescent="0.25">
      <c r="A1055" s="3" t="s">
        <v>2129</v>
      </c>
      <c r="B1055" s="4" t="s">
        <v>2130</v>
      </c>
      <c r="C1055" s="5">
        <v>24369</v>
      </c>
      <c r="D1055" s="6" t="s">
        <v>31</v>
      </c>
      <c r="E1055" s="6" t="s">
        <v>17</v>
      </c>
      <c r="F1055" s="7">
        <v>33023</v>
      </c>
      <c r="G1055" s="8">
        <f t="shared" si="16"/>
        <v>33023</v>
      </c>
      <c r="H1055" s="6" t="s">
        <v>13</v>
      </c>
      <c r="I1055" s="9" t="str">
        <f>IF(ISNA(VLOOKUP(A1055,'[1]Craig Eval'!A:C,3,FALSE)),"",(VLOOKUP(A1055,'[1]Craig Eval'!A:C,3,FALSE))*1000)</f>
        <v/>
      </c>
      <c r="J1055" s="10" t="str">
        <f>IF(ISNA(VLOOKUP(A1055,'[1]Craig Eval'!A:M,13,FALSE)),"",VLOOKUP(A1055,'[1]Craig Eval'!A:M,13,FALSE))</f>
        <v/>
      </c>
      <c r="K1055" s="17">
        <v>2</v>
      </c>
    </row>
    <row r="1056" spans="1:11" ht="30" x14ac:dyDescent="0.25">
      <c r="A1056" s="3" t="s">
        <v>2131</v>
      </c>
      <c r="B1056" s="4" t="s">
        <v>2132</v>
      </c>
      <c r="C1056" s="5">
        <v>30659</v>
      </c>
      <c r="D1056" s="6" t="s">
        <v>34</v>
      </c>
      <c r="E1056" s="6" t="s">
        <v>17</v>
      </c>
      <c r="F1056" s="7">
        <v>38804</v>
      </c>
      <c r="G1056" s="8">
        <f t="shared" si="16"/>
        <v>38804</v>
      </c>
      <c r="H1056" s="6" t="s">
        <v>13</v>
      </c>
      <c r="I1056" s="9" t="str">
        <f>IF(ISNA(VLOOKUP(A1056,'[1]Craig Eval'!A:C,3,FALSE)),"",(VLOOKUP(A1056,'[1]Craig Eval'!A:C,3,FALSE))*1000)</f>
        <v/>
      </c>
      <c r="J1056" s="10" t="str">
        <f>IF(ISNA(VLOOKUP(A1056,'[1]Craig Eval'!A:M,13,FALSE)),"",VLOOKUP(A1056,'[1]Craig Eval'!A:M,13,FALSE))</f>
        <v/>
      </c>
      <c r="K1056" s="17">
        <v>1</v>
      </c>
    </row>
    <row r="1057" spans="1:11" ht="30" x14ac:dyDescent="0.25">
      <c r="A1057" s="3" t="s">
        <v>2133</v>
      </c>
      <c r="B1057" s="4" t="s">
        <v>2134</v>
      </c>
      <c r="C1057" s="14">
        <v>2060</v>
      </c>
      <c r="D1057" s="6" t="s">
        <v>34</v>
      </c>
      <c r="E1057" s="6" t="s">
        <v>17</v>
      </c>
      <c r="F1057" s="7">
        <v>35632</v>
      </c>
      <c r="G1057" s="8">
        <f t="shared" si="16"/>
        <v>35632</v>
      </c>
      <c r="H1057" s="6" t="s">
        <v>13</v>
      </c>
      <c r="I1057" s="9" t="str">
        <f>IF(ISNA(VLOOKUP(A1057,'[1]Craig Eval'!A:C,3,FALSE)),"",(VLOOKUP(A1057,'[1]Craig Eval'!A:C,3,FALSE))*1000)</f>
        <v/>
      </c>
      <c r="J1057" s="10" t="str">
        <f>IF(ISNA(VLOOKUP(A1057,'[1]Craig Eval'!A:M,13,FALSE)),"",VLOOKUP(A1057,'[1]Craig Eval'!A:M,13,FALSE))</f>
        <v/>
      </c>
      <c r="K1057" s="17">
        <v>1</v>
      </c>
    </row>
    <row r="1058" spans="1:11" ht="30" x14ac:dyDescent="0.25">
      <c r="A1058" s="3" t="s">
        <v>2135</v>
      </c>
      <c r="B1058" s="4" t="s">
        <v>2136</v>
      </c>
      <c r="C1058" s="14">
        <v>10894</v>
      </c>
      <c r="D1058" s="6" t="s">
        <v>28</v>
      </c>
      <c r="E1058" s="6" t="s">
        <v>17</v>
      </c>
      <c r="F1058" s="7">
        <v>37608</v>
      </c>
      <c r="G1058" s="8">
        <f t="shared" si="16"/>
        <v>37608</v>
      </c>
      <c r="H1058" s="6" t="s">
        <v>13</v>
      </c>
      <c r="I1058" s="9">
        <f>IF(ISNA(VLOOKUP(A1058,'[1]Craig Eval'!A:C,3,FALSE)),"",(VLOOKUP(A1058,'[1]Craig Eval'!A:C,3,FALSE))*1000)</f>
        <v>1572.37864522631</v>
      </c>
      <c r="J1058" s="10">
        <f>IF(ISNA(VLOOKUP(A1058,'[1]Craig Eval'!A:M,13,FALSE)),"",VLOOKUP(A1058,'[1]Craig Eval'!A:M,13,FALSE))</f>
        <v>4.7975181397512303</v>
      </c>
      <c r="K1058" s="17">
        <v>1</v>
      </c>
    </row>
    <row r="1059" spans="1:11" ht="30" x14ac:dyDescent="0.25">
      <c r="A1059" s="3" t="s">
        <v>2137</v>
      </c>
      <c r="B1059" s="4" t="s">
        <v>2138</v>
      </c>
      <c r="C1059" s="5">
        <v>2004</v>
      </c>
      <c r="D1059" s="6" t="s">
        <v>16</v>
      </c>
      <c r="E1059" s="6" t="s">
        <v>17</v>
      </c>
      <c r="F1059" s="7">
        <v>25569</v>
      </c>
      <c r="G1059" s="8">
        <f t="shared" si="16"/>
        <v>25569</v>
      </c>
      <c r="H1059" s="6" t="s">
        <v>13</v>
      </c>
      <c r="I1059" s="9">
        <f>IF(ISNA(VLOOKUP(A1059,'[1]Craig Eval'!A:C,3,FALSE)),"",(VLOOKUP(A1059,'[1]Craig Eval'!A:C,3,FALSE))*1000)</f>
        <v>4219.2496131286498</v>
      </c>
      <c r="J1059" s="10">
        <f>IF(ISNA(VLOOKUP(A1059,'[1]Craig Eval'!A:M,13,FALSE)),"",VLOOKUP(A1059,'[1]Craig Eval'!A:M,13,FALSE))</f>
        <v>12.6842559632428</v>
      </c>
      <c r="K1059" s="17">
        <v>1</v>
      </c>
    </row>
    <row r="1060" spans="1:11" ht="30" x14ac:dyDescent="0.25">
      <c r="A1060" s="3" t="s">
        <v>2139</v>
      </c>
      <c r="B1060" s="4" t="s">
        <v>2140</v>
      </c>
      <c r="C1060" s="5">
        <v>54693</v>
      </c>
      <c r="D1060" s="6" t="s">
        <v>28</v>
      </c>
      <c r="E1060" s="6" t="s">
        <v>508</v>
      </c>
      <c r="F1060" s="7">
        <v>37573</v>
      </c>
      <c r="G1060" s="8">
        <f t="shared" si="16"/>
        <v>37573</v>
      </c>
      <c r="H1060" s="6" t="s">
        <v>509</v>
      </c>
      <c r="I1060" s="9">
        <f>IF(ISNA(VLOOKUP(A1060,'[1]Craig Eval'!A:C,3,FALSE)),"",(VLOOKUP(A1060,'[1]Craig Eval'!A:C,3,FALSE))*1000)</f>
        <v>37184.891869979903</v>
      </c>
      <c r="J1060" s="10">
        <f>IF(ISNA(VLOOKUP(A1060,'[1]Craig Eval'!A:M,13,FALSE)),"",VLOOKUP(A1060,'[1]Craig Eval'!A:M,13,FALSE))</f>
        <v>104.247120285732</v>
      </c>
      <c r="K1060" s="17">
        <v>1</v>
      </c>
    </row>
    <row r="1061" spans="1:11" ht="30" x14ac:dyDescent="0.25">
      <c r="A1061" s="3" t="s">
        <v>2141</v>
      </c>
      <c r="B1061" s="4" t="s">
        <v>2142</v>
      </c>
      <c r="C1061" s="14">
        <v>1795</v>
      </c>
      <c r="D1061" s="6" t="s">
        <v>16</v>
      </c>
      <c r="E1061" s="6" t="s">
        <v>17</v>
      </c>
      <c r="F1061" s="7">
        <v>29952</v>
      </c>
      <c r="G1061" s="8">
        <f t="shared" si="16"/>
        <v>29952</v>
      </c>
      <c r="H1061" s="6" t="s">
        <v>13</v>
      </c>
      <c r="I1061" s="9" t="str">
        <f>IF(ISNA(VLOOKUP(A1061,'[1]Craig Eval'!A:C,3,FALSE)),"",(VLOOKUP(A1061,'[1]Craig Eval'!A:C,3,FALSE))*1000)</f>
        <v/>
      </c>
      <c r="J1061" s="10" t="str">
        <f>IF(ISNA(VLOOKUP(A1061,'[1]Craig Eval'!A:M,13,FALSE)),"",VLOOKUP(A1061,'[1]Craig Eval'!A:M,13,FALSE))</f>
        <v/>
      </c>
      <c r="K1061" s="17">
        <v>2</v>
      </c>
    </row>
    <row r="1062" spans="1:11" ht="30" x14ac:dyDescent="0.25">
      <c r="A1062" s="3" t="s">
        <v>2143</v>
      </c>
      <c r="B1062" s="4" t="s">
        <v>2144</v>
      </c>
      <c r="C1062" s="5">
        <v>52242</v>
      </c>
      <c r="D1062" s="6" t="s">
        <v>37</v>
      </c>
      <c r="E1062" s="6" t="s">
        <v>38</v>
      </c>
      <c r="F1062" s="7">
        <v>39175</v>
      </c>
      <c r="G1062" s="8">
        <f t="shared" si="16"/>
        <v>39175</v>
      </c>
      <c r="H1062" s="6" t="s">
        <v>39</v>
      </c>
      <c r="I1062" s="9" t="str">
        <f>IF(ISNA(VLOOKUP(A1062,'[1]Craig Eval'!A:C,3,FALSE)),"",(VLOOKUP(A1062,'[1]Craig Eval'!A:C,3,FALSE))*1000)</f>
        <v/>
      </c>
      <c r="J1062" s="10" t="str">
        <f>IF(ISNA(VLOOKUP(A1062,'[1]Craig Eval'!A:M,13,FALSE)),"",VLOOKUP(A1062,'[1]Craig Eval'!A:M,13,FALSE))</f>
        <v/>
      </c>
      <c r="K1062" s="17">
        <v>1</v>
      </c>
    </row>
    <row r="1063" spans="1:11" ht="30" x14ac:dyDescent="0.25">
      <c r="A1063" s="26" t="s">
        <v>2145</v>
      </c>
      <c r="B1063" s="27" t="s">
        <v>2146</v>
      </c>
      <c r="C1063" s="34">
        <v>20170</v>
      </c>
      <c r="D1063" s="28" t="s">
        <v>34</v>
      </c>
      <c r="E1063" s="28" t="s">
        <v>17</v>
      </c>
      <c r="F1063" s="29">
        <v>20821</v>
      </c>
      <c r="G1063" s="30">
        <f t="shared" si="16"/>
        <v>20821</v>
      </c>
      <c r="H1063" s="28" t="s">
        <v>13</v>
      </c>
      <c r="I1063" s="31">
        <f>IF(ISNA(VLOOKUP(A1063,'[1]Craig Eval'!A:C,3,FALSE)),"",(VLOOKUP(A1063,'[1]Craig Eval'!A:C,3,FALSE))*1000)</f>
        <v>1435.3780569621599</v>
      </c>
      <c r="J1063" s="32">
        <f>IF(ISNA(VLOOKUP(A1063,'[1]Craig Eval'!A:M,13,FALSE)),"",VLOOKUP(A1063,'[1]Craig Eval'!A:M,13,FALSE))</f>
        <v>4.38410034121579</v>
      </c>
      <c r="K1063" s="33">
        <v>1</v>
      </c>
    </row>
    <row r="1064" spans="1:11" ht="30" x14ac:dyDescent="0.25">
      <c r="A1064" s="3" t="s">
        <v>2147</v>
      </c>
      <c r="B1064" s="4" t="s">
        <v>2148</v>
      </c>
      <c r="C1064" s="5">
        <v>49681</v>
      </c>
      <c r="D1064" s="6" t="s">
        <v>28</v>
      </c>
      <c r="E1064" s="6" t="s">
        <v>17</v>
      </c>
      <c r="F1064" s="7">
        <v>38899</v>
      </c>
      <c r="G1064" s="8">
        <f t="shared" si="16"/>
        <v>38899</v>
      </c>
      <c r="H1064" s="6" t="s">
        <v>13</v>
      </c>
      <c r="I1064" s="9">
        <f>IF(ISNA(VLOOKUP(A1064,'[1]Craig Eval'!A:C,3,FALSE)),"",(VLOOKUP(A1064,'[1]Craig Eval'!A:C,3,FALSE))*1000)</f>
        <v>552.14734345580791</v>
      </c>
      <c r="J1064" s="10">
        <f>IF(ISNA(VLOOKUP(A1064,'[1]Craig Eval'!A:M,13,FALSE)),"",VLOOKUP(A1064,'[1]Craig Eval'!A:M,13,FALSE))</f>
        <v>1.70098479327186</v>
      </c>
      <c r="K1064" s="17">
        <v>1</v>
      </c>
    </row>
    <row r="1065" spans="1:11" ht="30" x14ac:dyDescent="0.25">
      <c r="A1065" s="3" t="s">
        <v>2149</v>
      </c>
      <c r="B1065" s="4" t="s">
        <v>2150</v>
      </c>
      <c r="C1065" s="5">
        <v>1958</v>
      </c>
      <c r="D1065" s="6" t="s">
        <v>28</v>
      </c>
      <c r="E1065" s="6" t="s">
        <v>17</v>
      </c>
      <c r="F1065" s="7">
        <v>19725</v>
      </c>
      <c r="G1065" s="8">
        <f t="shared" si="16"/>
        <v>19725</v>
      </c>
      <c r="H1065" s="6" t="s">
        <v>13</v>
      </c>
      <c r="I1065" s="9">
        <f>IF(ISNA(VLOOKUP(A1065,'[1]Craig Eval'!A:C,3,FALSE)),"",(VLOOKUP(A1065,'[1]Craig Eval'!A:C,3,FALSE))*1000)</f>
        <v>14699.084873342499</v>
      </c>
      <c r="J1065" s="10">
        <f>IF(ISNA(VLOOKUP(A1065,'[1]Craig Eval'!A:M,13,FALSE)),"",VLOOKUP(A1065,'[1]Craig Eval'!A:M,13,FALSE))</f>
        <v>42.809780666862302</v>
      </c>
      <c r="K1065" s="11">
        <v>1</v>
      </c>
    </row>
    <row r="1066" spans="1:11" ht="30" x14ac:dyDescent="0.25">
      <c r="A1066" s="3" t="s">
        <v>2151</v>
      </c>
      <c r="B1066" s="4" t="s">
        <v>2152</v>
      </c>
      <c r="C1066" s="5">
        <v>10571</v>
      </c>
      <c r="D1066" s="6" t="s">
        <v>28</v>
      </c>
      <c r="E1066" s="6" t="s">
        <v>17</v>
      </c>
      <c r="F1066" s="7">
        <v>37312</v>
      </c>
      <c r="G1066" s="8">
        <f t="shared" si="16"/>
        <v>37312</v>
      </c>
      <c r="H1066" s="6" t="s">
        <v>13</v>
      </c>
      <c r="I1066" s="9">
        <f>IF(ISNA(VLOOKUP(A1066,'[1]Craig Eval'!A:C,3,FALSE)),"",(VLOOKUP(A1066,'[1]Craig Eval'!A:C,3,FALSE))*1000)</f>
        <v>17430.83880505</v>
      </c>
      <c r="J1066" s="10">
        <f>IF(ISNA(VLOOKUP(A1066,'[1]Craig Eval'!A:M,13,FALSE)),"",VLOOKUP(A1066,'[1]Craig Eval'!A:M,13,FALSE))</f>
        <v>50.467259674759298</v>
      </c>
      <c r="K1066" s="17">
        <v>1</v>
      </c>
    </row>
    <row r="1067" spans="1:11" ht="30" x14ac:dyDescent="0.25">
      <c r="A1067" s="3" t="s">
        <v>2153</v>
      </c>
      <c r="B1067" s="4" t="s">
        <v>2154</v>
      </c>
      <c r="C1067" s="5">
        <v>19523</v>
      </c>
      <c r="D1067" s="6" t="s">
        <v>16</v>
      </c>
      <c r="E1067" s="6" t="s">
        <v>17</v>
      </c>
      <c r="F1067" s="7">
        <v>38507</v>
      </c>
      <c r="G1067" s="8">
        <f t="shared" si="16"/>
        <v>38507</v>
      </c>
      <c r="H1067" s="6" t="s">
        <v>13</v>
      </c>
      <c r="I1067" s="9">
        <f>IF(ISNA(VLOOKUP(A1067,'[1]Craig Eval'!A:C,3,FALSE)),"",(VLOOKUP(A1067,'[1]Craig Eval'!A:C,3,FALSE))*1000)</f>
        <v>25273.3600673619</v>
      </c>
      <c r="J1067" s="10">
        <f>IF(ISNA(VLOOKUP(A1067,'[1]Craig Eval'!A:M,13,FALSE)),"",VLOOKUP(A1067,'[1]Craig Eval'!A:M,13,FALSE))</f>
        <v>72.120823642740604</v>
      </c>
      <c r="K1067" s="17">
        <v>1</v>
      </c>
    </row>
    <row r="1068" spans="1:11" ht="30" x14ac:dyDescent="0.25">
      <c r="A1068" s="3" t="s">
        <v>2155</v>
      </c>
      <c r="B1068" s="4" t="s">
        <v>2156</v>
      </c>
      <c r="C1068" s="5">
        <v>10887</v>
      </c>
      <c r="D1068" s="6" t="s">
        <v>34</v>
      </c>
      <c r="E1068" s="6" t="s">
        <v>17</v>
      </c>
      <c r="F1068" s="7">
        <v>37768</v>
      </c>
      <c r="G1068" s="8">
        <f t="shared" si="16"/>
        <v>37768</v>
      </c>
      <c r="H1068" s="6" t="s">
        <v>13</v>
      </c>
      <c r="I1068" s="9" t="str">
        <f>IF(ISNA(VLOOKUP(A1068,'[1]Craig Eval'!A:C,3,FALSE)),"",(VLOOKUP(A1068,'[1]Craig Eval'!A:C,3,FALSE))*1000)</f>
        <v/>
      </c>
      <c r="J1068" s="10" t="str">
        <f>IF(ISNA(VLOOKUP(A1068,'[1]Craig Eval'!A:M,13,FALSE)),"",VLOOKUP(A1068,'[1]Craig Eval'!A:M,13,FALSE))</f>
        <v/>
      </c>
      <c r="K1068" s="17">
        <v>1</v>
      </c>
    </row>
    <row r="1069" spans="1:11" ht="30" x14ac:dyDescent="0.25">
      <c r="A1069" s="3" t="s">
        <v>2157</v>
      </c>
      <c r="B1069" s="4" t="s">
        <v>2158</v>
      </c>
      <c r="C1069" s="14">
        <v>52355</v>
      </c>
      <c r="D1069" s="6" t="s">
        <v>31</v>
      </c>
      <c r="E1069" s="6" t="s">
        <v>17</v>
      </c>
      <c r="F1069" s="7">
        <v>39476</v>
      </c>
      <c r="G1069" s="8">
        <f t="shared" si="16"/>
        <v>39476</v>
      </c>
      <c r="H1069" s="6" t="s">
        <v>13</v>
      </c>
      <c r="I1069" s="9">
        <f>IF(ISNA(VLOOKUP(A1069,'[1]Craig Eval'!A:C,3,FALSE)),"",(VLOOKUP(A1069,'[1]Craig Eval'!A:C,3,FALSE))*1000)</f>
        <v>71387.313973537297</v>
      </c>
      <c r="J1069" s="10">
        <f>IF(ISNA(VLOOKUP(A1069,'[1]Craig Eval'!A:M,13,FALSE)),"",VLOOKUP(A1069,'[1]Craig Eval'!A:M,13,FALSE))</f>
        <v>192.82657794704099</v>
      </c>
      <c r="K1069" s="11">
        <v>2</v>
      </c>
    </row>
    <row r="1070" spans="1:11" ht="30" x14ac:dyDescent="0.25">
      <c r="A1070" s="3" t="s">
        <v>2159</v>
      </c>
      <c r="B1070" s="4" t="s">
        <v>2160</v>
      </c>
      <c r="C1070" s="5">
        <v>1634</v>
      </c>
      <c r="D1070" s="6" t="s">
        <v>31</v>
      </c>
      <c r="E1070" s="6" t="s">
        <v>17</v>
      </c>
      <c r="F1070" s="7">
        <v>18264</v>
      </c>
      <c r="G1070" s="8">
        <f t="shared" si="16"/>
        <v>18264</v>
      </c>
      <c r="H1070" s="6" t="s">
        <v>13</v>
      </c>
      <c r="I1070" s="9">
        <f>IF(ISNA(VLOOKUP(A1070,'[1]Craig Eval'!A:C,3,FALSE)),"",(VLOOKUP(A1070,'[1]Craig Eval'!A:C,3,FALSE))*1000)</f>
        <v>55580.2065122145</v>
      </c>
      <c r="J1070" s="10">
        <f>IF(ISNA(VLOOKUP(A1070,'[1]Craig Eval'!A:M,13,FALSE)),"",VLOOKUP(A1070,'[1]Craig Eval'!A:M,13,FALSE))</f>
        <v>152.46538568936199</v>
      </c>
      <c r="K1070" s="17">
        <v>1</v>
      </c>
    </row>
    <row r="1071" spans="1:11" ht="30" x14ac:dyDescent="0.25">
      <c r="A1071" s="3" t="s">
        <v>2161</v>
      </c>
      <c r="B1071" s="4" t="s">
        <v>2162</v>
      </c>
      <c r="C1071" s="14">
        <v>1059</v>
      </c>
      <c r="D1071" s="6" t="s">
        <v>16</v>
      </c>
      <c r="E1071" s="6" t="s">
        <v>17</v>
      </c>
      <c r="F1071" s="7">
        <v>31048</v>
      </c>
      <c r="G1071" s="8">
        <f t="shared" si="16"/>
        <v>31048</v>
      </c>
      <c r="H1071" s="6" t="s">
        <v>13</v>
      </c>
      <c r="I1071" s="9" t="str">
        <f>IF(ISNA(VLOOKUP(A1071,'[1]Craig Eval'!A:C,3,FALSE)),"",(VLOOKUP(A1071,'[1]Craig Eval'!A:C,3,FALSE))*1000)</f>
        <v/>
      </c>
      <c r="J1071" s="10" t="str">
        <f>IF(ISNA(VLOOKUP(A1071,'[1]Craig Eval'!A:M,13,FALSE)),"",VLOOKUP(A1071,'[1]Craig Eval'!A:M,13,FALSE))</f>
        <v/>
      </c>
      <c r="K1071" s="17">
        <v>1</v>
      </c>
    </row>
    <row r="1072" spans="1:11" ht="30" x14ac:dyDescent="0.25">
      <c r="A1072" s="3" t="s">
        <v>2163</v>
      </c>
      <c r="B1072" s="4" t="s">
        <v>2164</v>
      </c>
      <c r="C1072" s="5">
        <v>2015</v>
      </c>
      <c r="D1072" s="6" t="s">
        <v>16</v>
      </c>
      <c r="E1072" s="6" t="s">
        <v>17</v>
      </c>
      <c r="F1072" s="7">
        <v>29221</v>
      </c>
      <c r="G1072" s="8">
        <f t="shared" si="16"/>
        <v>29221</v>
      </c>
      <c r="H1072" s="6" t="s">
        <v>13</v>
      </c>
      <c r="I1072" s="9" t="str">
        <f>IF(ISNA(VLOOKUP(A1072,'[1]Craig Eval'!A:C,3,FALSE)),"",(VLOOKUP(A1072,'[1]Craig Eval'!A:C,3,FALSE))*1000)</f>
        <v/>
      </c>
      <c r="J1072" s="10" t="str">
        <f>IF(ISNA(VLOOKUP(A1072,'[1]Craig Eval'!A:M,13,FALSE)),"",VLOOKUP(A1072,'[1]Craig Eval'!A:M,13,FALSE))</f>
        <v/>
      </c>
      <c r="K1072" s="17">
        <v>1</v>
      </c>
    </row>
    <row r="1073" spans="1:11" ht="30" x14ac:dyDescent="0.25">
      <c r="A1073" s="3" t="s">
        <v>2165</v>
      </c>
      <c r="B1073" s="4" t="s">
        <v>2166</v>
      </c>
      <c r="C1073" s="14">
        <v>52914</v>
      </c>
      <c r="D1073" s="6" t="s">
        <v>31</v>
      </c>
      <c r="E1073" s="6" t="s">
        <v>17</v>
      </c>
      <c r="F1073" s="7">
        <v>38854</v>
      </c>
      <c r="G1073" s="8">
        <f t="shared" si="16"/>
        <v>38854</v>
      </c>
      <c r="H1073" s="6" t="s">
        <v>13</v>
      </c>
      <c r="I1073" s="9">
        <f>IF(ISNA(VLOOKUP(A1073,'[1]Craig Eval'!A:C,3,FALSE)),"",(VLOOKUP(A1073,'[1]Craig Eval'!A:C,3,FALSE))*1000)</f>
        <v>76719.532245606097</v>
      </c>
      <c r="J1073" s="10">
        <f>IF(ISNA(VLOOKUP(A1073,'[1]Craig Eval'!A:M,13,FALSE)),"",VLOOKUP(A1073,'[1]Craig Eval'!A:M,13,FALSE))</f>
        <v>206.25122609187699</v>
      </c>
      <c r="K1073" s="17">
        <v>2</v>
      </c>
    </row>
    <row r="1074" spans="1:11" ht="30" x14ac:dyDescent="0.25">
      <c r="A1074" s="3" t="s">
        <v>2167</v>
      </c>
      <c r="B1074" s="4" t="s">
        <v>2168</v>
      </c>
      <c r="C1074" s="5">
        <v>2043</v>
      </c>
      <c r="D1074" s="6" t="s">
        <v>34</v>
      </c>
      <c r="E1074" s="6" t="s">
        <v>17</v>
      </c>
      <c r="F1074" s="7">
        <v>29221</v>
      </c>
      <c r="G1074" s="8">
        <f t="shared" si="16"/>
        <v>29221</v>
      </c>
      <c r="H1074" s="6" t="s">
        <v>13</v>
      </c>
      <c r="I1074" s="9" t="str">
        <f>IF(ISNA(VLOOKUP(A1074,'[1]Craig Eval'!A:C,3,FALSE)),"",(VLOOKUP(A1074,'[1]Craig Eval'!A:C,3,FALSE))*1000)</f>
        <v/>
      </c>
      <c r="J1074" s="10" t="str">
        <f>IF(ISNA(VLOOKUP(A1074,'[1]Craig Eval'!A:M,13,FALSE)),"",VLOOKUP(A1074,'[1]Craig Eval'!A:M,13,FALSE))</f>
        <v/>
      </c>
      <c r="K1074" s="17">
        <v>1</v>
      </c>
    </row>
    <row r="1075" spans="1:11" ht="30" x14ac:dyDescent="0.25">
      <c r="A1075" s="3" t="s">
        <v>2169</v>
      </c>
      <c r="B1075" s="4" t="s">
        <v>2170</v>
      </c>
      <c r="C1075" s="5">
        <v>72171</v>
      </c>
      <c r="D1075" s="6" t="s">
        <v>16</v>
      </c>
      <c r="E1075" s="6" t="s">
        <v>17</v>
      </c>
      <c r="F1075" s="7">
        <v>38630</v>
      </c>
      <c r="G1075" s="8">
        <f t="shared" si="16"/>
        <v>38630</v>
      </c>
      <c r="H1075" s="6" t="s">
        <v>13</v>
      </c>
      <c r="I1075" s="9">
        <f>IF(ISNA(VLOOKUP(A1075,'[1]Craig Eval'!A:C,3,FALSE)),"",(VLOOKUP(A1075,'[1]Craig Eval'!A:C,3,FALSE))*1000)</f>
        <v>26274.416580705099</v>
      </c>
      <c r="J1075" s="10">
        <f>IF(ISNA(VLOOKUP(A1075,'[1]Craig Eval'!A:M,13,FALSE)),"",VLOOKUP(A1075,'[1]Craig Eval'!A:M,13,FALSE))</f>
        <v>74.853515835677001</v>
      </c>
      <c r="K1075" s="17">
        <v>1</v>
      </c>
    </row>
    <row r="1076" spans="1:11" ht="30" x14ac:dyDescent="0.25">
      <c r="A1076" s="3" t="s">
        <v>2171</v>
      </c>
      <c r="B1076" s="4" t="s">
        <v>2172</v>
      </c>
      <c r="C1076" s="5">
        <v>1920</v>
      </c>
      <c r="D1076" s="6" t="s">
        <v>31</v>
      </c>
      <c r="E1076" s="6" t="s">
        <v>17</v>
      </c>
      <c r="F1076" s="7">
        <v>29221</v>
      </c>
      <c r="G1076" s="8">
        <f t="shared" si="16"/>
        <v>29221</v>
      </c>
      <c r="H1076" s="6" t="s">
        <v>13</v>
      </c>
      <c r="I1076" s="9">
        <f>IF(ISNA(VLOOKUP(A1076,'[1]Craig Eval'!A:C,3,FALSE)),"",(VLOOKUP(A1076,'[1]Craig Eval'!A:C,3,FALSE))*1000)</f>
        <v>103089.546493015</v>
      </c>
      <c r="J1076" s="10">
        <f>IF(ISNA(VLOOKUP(A1076,'[1]Craig Eval'!A:M,13,FALSE)),"",VLOOKUP(A1076,'[1]Craig Eval'!A:M,13,FALSE))</f>
        <v>271.429142899287</v>
      </c>
      <c r="K1076" s="17">
        <v>2</v>
      </c>
    </row>
    <row r="1077" spans="1:11" ht="30" x14ac:dyDescent="0.25">
      <c r="A1077" s="3" t="s">
        <v>2173</v>
      </c>
      <c r="B1077" s="4" t="s">
        <v>2174</v>
      </c>
      <c r="C1077" s="14">
        <v>1615</v>
      </c>
      <c r="D1077" s="6" t="s">
        <v>31</v>
      </c>
      <c r="E1077" s="6" t="s">
        <v>17</v>
      </c>
      <c r="F1077" s="7">
        <v>29221</v>
      </c>
      <c r="G1077" s="8">
        <f t="shared" si="16"/>
        <v>29221</v>
      </c>
      <c r="H1077" s="6" t="s">
        <v>13</v>
      </c>
      <c r="I1077" s="9">
        <f>IF(ISNA(VLOOKUP(A1077,'[1]Craig Eval'!A:C,3,FALSE)),"",(VLOOKUP(A1077,'[1]Craig Eval'!A:C,3,FALSE))*1000)</f>
        <v>176781.76862589602</v>
      </c>
      <c r="J1077" s="10">
        <f>IF(ISNA(VLOOKUP(A1077,'[1]Craig Eval'!A:M,13,FALSE)),"",VLOOKUP(A1077,'[1]Craig Eval'!A:M,13,FALSE))</f>
        <v>445.24970877021099</v>
      </c>
      <c r="K1077" s="17">
        <v>3</v>
      </c>
    </row>
    <row r="1078" spans="1:11" ht="30" x14ac:dyDescent="0.25">
      <c r="A1078" s="3" t="s">
        <v>2175</v>
      </c>
      <c r="B1078" s="4" t="s">
        <v>2176</v>
      </c>
      <c r="C1078" s="5">
        <v>1650</v>
      </c>
      <c r="D1078" s="6" t="s">
        <v>28</v>
      </c>
      <c r="E1078" s="6" t="s">
        <v>17</v>
      </c>
      <c r="F1078" s="7">
        <v>29587</v>
      </c>
      <c r="G1078" s="8">
        <f t="shared" si="16"/>
        <v>29587</v>
      </c>
      <c r="H1078" s="6" t="s">
        <v>13</v>
      </c>
      <c r="I1078" s="9">
        <f>IF(ISNA(VLOOKUP(A1078,'[1]Craig Eval'!A:C,3,FALSE)),"",(VLOOKUP(A1078,'[1]Craig Eval'!A:C,3,FALSE))*1000)</f>
        <v>179814.910465425</v>
      </c>
      <c r="J1078" s="10">
        <f>IF(ISNA(VLOOKUP(A1078,'[1]Craig Eval'!A:M,13,FALSE)),"",VLOOKUP(A1078,'[1]Craig Eval'!A:M,13,FALSE))</f>
        <v>452.19155840204002</v>
      </c>
      <c r="K1078" s="17">
        <v>2</v>
      </c>
    </row>
    <row r="1079" spans="1:11" ht="30" x14ac:dyDescent="0.25">
      <c r="A1079" s="3" t="s">
        <v>2177</v>
      </c>
      <c r="B1079" s="4" t="s">
        <v>2178</v>
      </c>
      <c r="C1079" s="5">
        <v>1512</v>
      </c>
      <c r="D1079" s="6" t="s">
        <v>28</v>
      </c>
      <c r="E1079" s="6" t="s">
        <v>17</v>
      </c>
      <c r="F1079" s="7">
        <v>31778</v>
      </c>
      <c r="G1079" s="8">
        <f t="shared" si="16"/>
        <v>31778</v>
      </c>
      <c r="H1079" s="6" t="s">
        <v>13</v>
      </c>
      <c r="I1079" s="9">
        <f>IF(ISNA(VLOOKUP(A1079,'[1]Craig Eval'!A:C,3,FALSE)),"",(VLOOKUP(A1079,'[1]Craig Eval'!A:C,3,FALSE))*1000)</f>
        <v>10618.042375699901</v>
      </c>
      <c r="J1079" s="10">
        <f>IF(ISNA(VLOOKUP(A1079,'[1]Craig Eval'!A:M,13,FALSE)),"",VLOOKUP(A1079,'[1]Craig Eval'!A:M,13,FALSE))</f>
        <v>31.237363723045199</v>
      </c>
      <c r="K1079" s="17">
        <v>1</v>
      </c>
    </row>
    <row r="1080" spans="1:11" ht="30" x14ac:dyDescent="0.25">
      <c r="A1080" s="3" t="s">
        <v>2179</v>
      </c>
      <c r="B1080" s="4" t="s">
        <v>2180</v>
      </c>
      <c r="C1080" s="5">
        <v>1852</v>
      </c>
      <c r="D1080" s="6" t="s">
        <v>16</v>
      </c>
      <c r="E1080" s="6" t="s">
        <v>17</v>
      </c>
      <c r="F1080" s="7">
        <v>25569</v>
      </c>
      <c r="G1080" s="8">
        <f t="shared" si="16"/>
        <v>25569</v>
      </c>
      <c r="H1080" s="6" t="s">
        <v>13</v>
      </c>
      <c r="I1080" s="9" t="str">
        <f>IF(ISNA(VLOOKUP(A1080,'[1]Craig Eval'!A:C,3,FALSE)),"",(VLOOKUP(A1080,'[1]Craig Eval'!A:C,3,FALSE))*1000)</f>
        <v/>
      </c>
      <c r="J1080" s="10" t="str">
        <f>IF(ISNA(VLOOKUP(A1080,'[1]Craig Eval'!A:M,13,FALSE)),"",VLOOKUP(A1080,'[1]Craig Eval'!A:M,13,FALSE))</f>
        <v/>
      </c>
      <c r="K1080" s="17">
        <v>1</v>
      </c>
    </row>
    <row r="1081" spans="1:11" ht="30" x14ac:dyDescent="0.25">
      <c r="A1081" s="18" t="s">
        <v>2181</v>
      </c>
      <c r="B1081" s="19" t="s">
        <v>2182</v>
      </c>
      <c r="C1081" s="5">
        <v>1552</v>
      </c>
      <c r="D1081" s="21" t="s">
        <v>28</v>
      </c>
      <c r="E1081" s="21" t="s">
        <v>17</v>
      </c>
      <c r="F1081" s="22">
        <v>28126</v>
      </c>
      <c r="G1081" s="23">
        <f t="shared" si="16"/>
        <v>28126</v>
      </c>
      <c r="H1081" s="21" t="s">
        <v>13</v>
      </c>
      <c r="I1081" s="9">
        <f>IF(ISNA(VLOOKUP(A1081,'[1]Craig Eval'!A:C,3,FALSE)),"",(VLOOKUP(A1081,'[1]Craig Eval'!A:C,3,FALSE))*1000)</f>
        <v>37507.700140887602</v>
      </c>
      <c r="J1081" s="24">
        <f>IF(ISNA(VLOOKUP(A1081,'[1]Craig Eval'!A:M,13,FALSE)),"",VLOOKUP(A1081,'[1]Craig Eval'!A:M,13,FALSE))</f>
        <v>105.106810339719</v>
      </c>
      <c r="K1081" s="25">
        <v>2</v>
      </c>
    </row>
    <row r="1082" spans="1:11" ht="30" x14ac:dyDescent="0.25">
      <c r="A1082" s="12" t="s">
        <v>2183</v>
      </c>
      <c r="B1082" s="4" t="s">
        <v>2184</v>
      </c>
      <c r="C1082" s="14">
        <v>1276</v>
      </c>
      <c r="D1082" s="6" t="s">
        <v>34</v>
      </c>
      <c r="E1082" s="6" t="s">
        <v>17</v>
      </c>
      <c r="F1082" s="7">
        <v>24108</v>
      </c>
      <c r="G1082" s="8">
        <f t="shared" si="16"/>
        <v>24108</v>
      </c>
      <c r="H1082" s="6" t="s">
        <v>13</v>
      </c>
      <c r="I1082" s="9" t="str">
        <f>IF(ISNA(VLOOKUP(A1082,'[1]Craig Eval'!A:C,3,FALSE)),"",(VLOOKUP(A1082,'[1]Craig Eval'!A:C,3,FALSE))*1000)</f>
        <v/>
      </c>
      <c r="J1082" s="10" t="str">
        <f>IF(ISNA(VLOOKUP(A1082,'[1]Craig Eval'!A:M,13,FALSE)),"",VLOOKUP(A1082,'[1]Craig Eval'!A:M,13,FALSE))</f>
        <v/>
      </c>
      <c r="K1082" s="17">
        <v>4</v>
      </c>
    </row>
    <row r="1083" spans="1:11" ht="30" x14ac:dyDescent="0.25">
      <c r="A1083" s="3" t="s">
        <v>2185</v>
      </c>
      <c r="B1083" s="4" t="s">
        <v>2186</v>
      </c>
      <c r="C1083" s="5">
        <v>1530</v>
      </c>
      <c r="D1083" s="6" t="s">
        <v>34</v>
      </c>
      <c r="E1083" s="6" t="s">
        <v>17</v>
      </c>
      <c r="F1083" s="7">
        <v>18264</v>
      </c>
      <c r="G1083" s="8">
        <f t="shared" si="16"/>
        <v>18264</v>
      </c>
      <c r="H1083" s="6" t="s">
        <v>13</v>
      </c>
      <c r="I1083" s="9">
        <f>IF(ISNA(VLOOKUP(A1083,'[1]Craig Eval'!A:C,3,FALSE)),"",(VLOOKUP(A1083,'[1]Craig Eval'!A:C,3,FALSE))*1000)</f>
        <v>13046.182353039399</v>
      </c>
      <c r="J1083" s="10">
        <f>IF(ISNA(VLOOKUP(A1083,'[1]Craig Eval'!A:M,13,FALSE)),"",VLOOKUP(A1083,'[1]Craig Eval'!A:M,13,FALSE))</f>
        <v>38.143135471261402</v>
      </c>
      <c r="K1083" s="17">
        <v>1</v>
      </c>
    </row>
    <row r="1084" spans="1:11" ht="30" x14ac:dyDescent="0.25">
      <c r="A1084" s="3" t="s">
        <v>2187</v>
      </c>
      <c r="B1084" s="4" t="s">
        <v>2188</v>
      </c>
      <c r="C1084" s="14">
        <v>17925</v>
      </c>
      <c r="D1084" s="6" t="s">
        <v>28</v>
      </c>
      <c r="E1084" s="6" t="s">
        <v>17</v>
      </c>
      <c r="F1084" s="7">
        <v>39995</v>
      </c>
      <c r="G1084" s="8">
        <f t="shared" si="16"/>
        <v>39995</v>
      </c>
      <c r="H1084" s="6" t="s">
        <v>13</v>
      </c>
      <c r="I1084" s="9">
        <f>IF(ISNA(VLOOKUP(A1084,'[1]Craig Eval'!A:C,3,FALSE)),"",(VLOOKUP(A1084,'[1]Craig Eval'!A:C,3,FALSE))*1000)</f>
        <v>48175.582161290899</v>
      </c>
      <c r="J1084" s="10">
        <f>IF(ISNA(VLOOKUP(A1084,'[1]Craig Eval'!A:M,13,FALSE)),"",VLOOKUP(A1084,'[1]Craig Eval'!A:M,13,FALSE))</f>
        <v>133.23479294502499</v>
      </c>
      <c r="K1084" s="17">
        <v>3</v>
      </c>
    </row>
    <row r="1085" spans="1:11" ht="30" x14ac:dyDescent="0.25">
      <c r="A1085" s="3" t="s">
        <v>2189</v>
      </c>
      <c r="B1085" s="4" t="s">
        <v>2190</v>
      </c>
      <c r="C1085" s="5">
        <v>1734</v>
      </c>
      <c r="D1085" s="6" t="s">
        <v>16</v>
      </c>
      <c r="E1085" s="6" t="s">
        <v>17</v>
      </c>
      <c r="F1085" s="7">
        <v>29221</v>
      </c>
      <c r="G1085" s="8">
        <f t="shared" si="16"/>
        <v>29221</v>
      </c>
      <c r="H1085" s="6" t="s">
        <v>13</v>
      </c>
      <c r="I1085" s="9" t="str">
        <f>IF(ISNA(VLOOKUP(A1085,'[1]Craig Eval'!A:C,3,FALSE)),"",(VLOOKUP(A1085,'[1]Craig Eval'!A:C,3,FALSE))*1000)</f>
        <v/>
      </c>
      <c r="J1085" s="10" t="str">
        <f>IF(ISNA(VLOOKUP(A1085,'[1]Craig Eval'!A:M,13,FALSE)),"",VLOOKUP(A1085,'[1]Craig Eval'!A:M,13,FALSE))</f>
        <v/>
      </c>
      <c r="K1085" s="17">
        <v>1</v>
      </c>
    </row>
    <row r="1086" spans="1:11" ht="30" x14ac:dyDescent="0.25">
      <c r="A1086" s="3" t="s">
        <v>2191</v>
      </c>
      <c r="B1086" s="4" t="s">
        <v>2192</v>
      </c>
      <c r="C1086" s="5">
        <v>1559</v>
      </c>
      <c r="D1086" s="6" t="s">
        <v>28</v>
      </c>
      <c r="E1086" s="6" t="s">
        <v>17</v>
      </c>
      <c r="F1086" s="7">
        <v>28856</v>
      </c>
      <c r="G1086" s="8">
        <f t="shared" si="16"/>
        <v>28856</v>
      </c>
      <c r="H1086" s="6" t="s">
        <v>13</v>
      </c>
      <c r="I1086" s="9">
        <f>IF(ISNA(VLOOKUP(A1086,'[1]Craig Eval'!A:C,3,FALSE)),"",(VLOOKUP(A1086,'[1]Craig Eval'!A:C,3,FALSE))*1000)</f>
        <v>6578.0665283458102</v>
      </c>
      <c r="J1086" s="10">
        <f>IF(ISNA(VLOOKUP(A1086,'[1]Craig Eval'!A:M,13,FALSE)),"",VLOOKUP(A1086,'[1]Craig Eval'!A:M,13,FALSE))</f>
        <v>19.593066843132199</v>
      </c>
      <c r="K1086" s="17">
        <v>1</v>
      </c>
    </row>
    <row r="1087" spans="1:11" ht="30" x14ac:dyDescent="0.25">
      <c r="A1087" s="3" t="s">
        <v>2193</v>
      </c>
      <c r="B1087" s="4" t="s">
        <v>2194</v>
      </c>
      <c r="C1087" s="5">
        <v>1628</v>
      </c>
      <c r="D1087" s="6" t="s">
        <v>16</v>
      </c>
      <c r="E1087" s="6" t="s">
        <v>17</v>
      </c>
      <c r="F1087" s="7">
        <v>36617</v>
      </c>
      <c r="G1087" s="8">
        <f t="shared" si="16"/>
        <v>36617</v>
      </c>
      <c r="H1087" s="6" t="s">
        <v>13</v>
      </c>
      <c r="I1087" s="9" t="str">
        <f>IF(ISNA(VLOOKUP(A1087,'[1]Craig Eval'!A:C,3,FALSE)),"",(VLOOKUP(A1087,'[1]Craig Eval'!A:C,3,FALSE))*1000)</f>
        <v/>
      </c>
      <c r="J1087" s="10" t="str">
        <f>IF(ISNA(VLOOKUP(A1087,'[1]Craig Eval'!A:M,13,FALSE)),"",VLOOKUP(A1087,'[1]Craig Eval'!A:M,13,FALSE))</f>
        <v/>
      </c>
      <c r="K1087" s="17">
        <v>1</v>
      </c>
    </row>
    <row r="1088" spans="1:11" ht="30" x14ac:dyDescent="0.25">
      <c r="A1088" s="18" t="s">
        <v>2195</v>
      </c>
      <c r="B1088" s="19" t="s">
        <v>2196</v>
      </c>
      <c r="C1088" s="5">
        <v>50001</v>
      </c>
      <c r="D1088" s="21" t="s">
        <v>11</v>
      </c>
      <c r="E1088" s="21" t="s">
        <v>12</v>
      </c>
      <c r="F1088" s="22">
        <v>39294</v>
      </c>
      <c r="G1088" s="23">
        <f t="shared" si="16"/>
        <v>39294</v>
      </c>
      <c r="H1088" s="21" t="s">
        <v>39</v>
      </c>
      <c r="I1088" s="9" t="str">
        <f>IF(ISNA(VLOOKUP(A1088,'[1]Craig Eval'!A:C,3,FALSE)),"",(VLOOKUP(A1088,'[1]Craig Eval'!A:C,3,FALSE))*1000)</f>
        <v/>
      </c>
      <c r="J1088" s="24" t="str">
        <f>IF(ISNA(VLOOKUP(A1088,'[1]Craig Eval'!A:M,13,FALSE)),"",VLOOKUP(A1088,'[1]Craig Eval'!A:M,13,FALSE))</f>
        <v/>
      </c>
      <c r="K1088" s="25">
        <v>2</v>
      </c>
    </row>
    <row r="1089" spans="1:11" ht="30" x14ac:dyDescent="0.25">
      <c r="A1089" s="3" t="s">
        <v>2197</v>
      </c>
      <c r="B1089" s="4" t="s">
        <v>2198</v>
      </c>
      <c r="C1089" s="5">
        <v>1377</v>
      </c>
      <c r="D1089" s="6" t="s">
        <v>28</v>
      </c>
      <c r="E1089" s="6" t="s">
        <v>17</v>
      </c>
      <c r="F1089" s="7">
        <v>25569</v>
      </c>
      <c r="G1089" s="8">
        <f t="shared" si="16"/>
        <v>25569</v>
      </c>
      <c r="H1089" s="6" t="s">
        <v>13</v>
      </c>
      <c r="I1089" s="9">
        <f>IF(ISNA(VLOOKUP(A1089,'[1]Craig Eval'!A:C,3,FALSE)),"",(VLOOKUP(A1089,'[1]Craig Eval'!A:C,3,FALSE))*1000)</f>
        <v>36280.286809288002</v>
      </c>
      <c r="J1089" s="10">
        <f>IF(ISNA(VLOOKUP(A1089,'[1]Craig Eval'!A:M,13,FALSE)),"",VLOOKUP(A1089,'[1]Craig Eval'!A:M,13,FALSE))</f>
        <v>101.835153768821</v>
      </c>
      <c r="K1089" s="17">
        <v>1</v>
      </c>
    </row>
    <row r="1090" spans="1:11" ht="30" x14ac:dyDescent="0.25">
      <c r="A1090" s="3" t="s">
        <v>2199</v>
      </c>
      <c r="B1090" s="4" t="s">
        <v>2200</v>
      </c>
      <c r="C1090" s="5">
        <v>54695</v>
      </c>
      <c r="D1090" s="6" t="s">
        <v>28</v>
      </c>
      <c r="E1090" s="6" t="s">
        <v>17</v>
      </c>
      <c r="F1090" s="7">
        <v>39520</v>
      </c>
      <c r="G1090" s="8">
        <f t="shared" ref="G1090:G1153" si="17">F1090</f>
        <v>39520</v>
      </c>
      <c r="H1090" s="6" t="s">
        <v>13</v>
      </c>
      <c r="I1090" s="9">
        <f>IF(ISNA(VLOOKUP(A1090,'[1]Craig Eval'!A:C,3,FALSE)),"",(VLOOKUP(A1090,'[1]Craig Eval'!A:C,3,FALSE))*1000)</f>
        <v>485.33596860917601</v>
      </c>
      <c r="J1090" s="10">
        <f>IF(ISNA(VLOOKUP(A1090,'[1]Craig Eval'!A:M,13,FALSE)),"",VLOOKUP(A1090,'[1]Craig Eval'!A:M,13,FALSE))</f>
        <v>1.49648145318936</v>
      </c>
      <c r="K1090" s="17">
        <v>1</v>
      </c>
    </row>
    <row r="1091" spans="1:11" ht="30" x14ac:dyDescent="0.25">
      <c r="A1091" s="18" t="s">
        <v>2201</v>
      </c>
      <c r="B1091" s="19" t="s">
        <v>2202</v>
      </c>
      <c r="C1091" s="20">
        <v>1271</v>
      </c>
      <c r="D1091" s="21" t="s">
        <v>16</v>
      </c>
      <c r="E1091" s="21" t="s">
        <v>17</v>
      </c>
      <c r="F1091" s="22">
        <v>29221</v>
      </c>
      <c r="G1091" s="23">
        <f t="shared" si="17"/>
        <v>29221</v>
      </c>
      <c r="H1091" s="21" t="s">
        <v>13</v>
      </c>
      <c r="I1091" s="9">
        <f>IF(ISNA(VLOOKUP(A1091,'[1]Craig Eval'!A:C,3,FALSE)),"",(VLOOKUP(A1091,'[1]Craig Eval'!A:C,3,FALSE))*1000)</f>
        <v>65187.652976872298</v>
      </c>
      <c r="J1091" s="24">
        <f>IF(ISNA(VLOOKUP(A1091,'[1]Craig Eval'!A:M,13,FALSE)),"",VLOOKUP(A1091,'[1]Craig Eval'!A:M,13,FALSE))</f>
        <v>177.10144889287201</v>
      </c>
      <c r="K1091" s="25">
        <v>1</v>
      </c>
    </row>
    <row r="1092" spans="1:11" ht="30" x14ac:dyDescent="0.25">
      <c r="A1092" s="3" t="s">
        <v>2203</v>
      </c>
      <c r="B1092" s="4" t="s">
        <v>2204</v>
      </c>
      <c r="C1092" s="5">
        <v>1827</v>
      </c>
      <c r="D1092" s="6" t="s">
        <v>31</v>
      </c>
      <c r="E1092" s="6" t="s">
        <v>17</v>
      </c>
      <c r="F1092" s="7">
        <v>18264</v>
      </c>
      <c r="G1092" s="8">
        <f t="shared" si="17"/>
        <v>18264</v>
      </c>
      <c r="H1092" s="6" t="s">
        <v>13</v>
      </c>
      <c r="I1092" s="9">
        <f>IF(ISNA(VLOOKUP(A1092,'[1]Craig Eval'!A:C,3,FALSE)),"",(VLOOKUP(A1092,'[1]Craig Eval'!A:C,3,FALSE))*1000)</f>
        <v>22050.434018202999</v>
      </c>
      <c r="J1092" s="10">
        <f>IF(ISNA(VLOOKUP(A1092,'[1]Craig Eval'!A:M,13,FALSE)),"",VLOOKUP(A1092,'[1]Craig Eval'!A:M,13,FALSE))</f>
        <v>63.276876894624898</v>
      </c>
      <c r="K1092" s="17">
        <v>1</v>
      </c>
    </row>
    <row r="1093" spans="1:11" ht="30" x14ac:dyDescent="0.25">
      <c r="A1093" s="3" t="s">
        <v>2205</v>
      </c>
      <c r="B1093" s="4" t="s">
        <v>2206</v>
      </c>
      <c r="C1093" s="5">
        <v>1830</v>
      </c>
      <c r="D1093" s="6" t="s">
        <v>31</v>
      </c>
      <c r="E1093" s="6" t="s">
        <v>17</v>
      </c>
      <c r="F1093" s="7">
        <v>29221</v>
      </c>
      <c r="G1093" s="8">
        <f t="shared" si="17"/>
        <v>29221</v>
      </c>
      <c r="H1093" s="6" t="s">
        <v>13</v>
      </c>
      <c r="I1093" s="9">
        <f>IF(ISNA(VLOOKUP(A1093,'[1]Craig Eval'!A:C,3,FALSE)),"",(VLOOKUP(A1093,'[1]Craig Eval'!A:C,3,FALSE))*1000)</f>
        <v>29275.2592534504</v>
      </c>
      <c r="J1093" s="10">
        <f>IF(ISNA(VLOOKUP(A1093,'[1]Craig Eval'!A:M,13,FALSE)),"",VLOOKUP(A1093,'[1]Craig Eval'!A:M,13,FALSE))</f>
        <v>83.007079066410498</v>
      </c>
      <c r="K1093" s="17">
        <v>1</v>
      </c>
    </row>
    <row r="1094" spans="1:11" ht="30" x14ac:dyDescent="0.25">
      <c r="A1094" s="3" t="s">
        <v>2207</v>
      </c>
      <c r="B1094" s="4" t="s">
        <v>2208</v>
      </c>
      <c r="C1094" s="5">
        <v>1724</v>
      </c>
      <c r="D1094" s="6" t="s">
        <v>16</v>
      </c>
      <c r="E1094" s="6" t="s">
        <v>17</v>
      </c>
      <c r="F1094" s="7">
        <v>31048</v>
      </c>
      <c r="G1094" s="8">
        <f t="shared" si="17"/>
        <v>31048</v>
      </c>
      <c r="H1094" s="6" t="s">
        <v>13</v>
      </c>
      <c r="I1094" s="9" t="str">
        <f>IF(ISNA(VLOOKUP(A1094,'[1]Craig Eval'!A:C,3,FALSE)),"",(VLOOKUP(A1094,'[1]Craig Eval'!A:C,3,FALSE))*1000)</f>
        <v/>
      </c>
      <c r="J1094" s="10" t="str">
        <f>IF(ISNA(VLOOKUP(A1094,'[1]Craig Eval'!A:M,13,FALSE)),"",VLOOKUP(A1094,'[1]Craig Eval'!A:M,13,FALSE))</f>
        <v/>
      </c>
      <c r="K1094" s="17">
        <v>2</v>
      </c>
    </row>
    <row r="1095" spans="1:11" ht="30" x14ac:dyDescent="0.25">
      <c r="A1095" s="3" t="s">
        <v>2209</v>
      </c>
      <c r="B1095" s="4" t="s">
        <v>2210</v>
      </c>
      <c r="C1095" s="5">
        <v>1807</v>
      </c>
      <c r="D1095" s="6" t="s">
        <v>28</v>
      </c>
      <c r="E1095" s="6" t="s">
        <v>17</v>
      </c>
      <c r="F1095" s="7">
        <v>29221</v>
      </c>
      <c r="G1095" s="8">
        <f t="shared" si="17"/>
        <v>29221</v>
      </c>
      <c r="H1095" s="6" t="s">
        <v>13</v>
      </c>
      <c r="I1095" s="9">
        <f>IF(ISNA(VLOOKUP(A1095,'[1]Craig Eval'!A:C,3,FALSE)),"",(VLOOKUP(A1095,'[1]Craig Eval'!A:C,3,FALSE))*1000)</f>
        <v>32273.672665967097</v>
      </c>
      <c r="J1095" s="10">
        <f>IF(ISNA(VLOOKUP(A1095,'[1]Craig Eval'!A:M,13,FALSE)),"",VLOOKUP(A1095,'[1]Craig Eval'!A:M,13,FALSE))</f>
        <v>91.099882629120302</v>
      </c>
      <c r="K1095" s="17">
        <v>2</v>
      </c>
    </row>
    <row r="1096" spans="1:11" ht="30" x14ac:dyDescent="0.25">
      <c r="A1096" s="3" t="s">
        <v>2211</v>
      </c>
      <c r="B1096" s="4" t="s">
        <v>2212</v>
      </c>
      <c r="C1096" s="5">
        <v>21447</v>
      </c>
      <c r="D1096" s="6" t="s">
        <v>11</v>
      </c>
      <c r="E1096" s="6" t="s">
        <v>12</v>
      </c>
      <c r="F1096" s="7">
        <v>32356</v>
      </c>
      <c r="G1096" s="8">
        <f t="shared" si="17"/>
        <v>32356</v>
      </c>
      <c r="H1096" s="6" t="s">
        <v>39</v>
      </c>
      <c r="I1096" s="9" t="str">
        <f>IF(ISNA(VLOOKUP(A1096,'[1]Craig Eval'!A:C,3,FALSE)),"",(VLOOKUP(A1096,'[1]Craig Eval'!A:C,3,FALSE))*1000)</f>
        <v/>
      </c>
      <c r="J1096" s="10" t="str">
        <f>IF(ISNA(VLOOKUP(A1096,'[1]Craig Eval'!A:M,13,FALSE)),"",VLOOKUP(A1096,'[1]Craig Eval'!A:M,13,FALSE))</f>
        <v/>
      </c>
      <c r="K1096" s="17">
        <v>1</v>
      </c>
    </row>
    <row r="1097" spans="1:11" ht="30" x14ac:dyDescent="0.25">
      <c r="A1097" s="3" t="s">
        <v>2213</v>
      </c>
      <c r="B1097" s="4" t="s">
        <v>2214</v>
      </c>
      <c r="C1097" s="14">
        <v>33537</v>
      </c>
      <c r="D1097" s="6" t="s">
        <v>37</v>
      </c>
      <c r="E1097" s="6" t="s">
        <v>38</v>
      </c>
      <c r="F1097" s="7">
        <v>38322</v>
      </c>
      <c r="G1097" s="8">
        <f t="shared" si="17"/>
        <v>38322</v>
      </c>
      <c r="H1097" s="6" t="s">
        <v>39</v>
      </c>
      <c r="I1097" s="9" t="str">
        <f>IF(ISNA(VLOOKUP(A1097,'[1]Craig Eval'!A:C,3,FALSE)),"",(VLOOKUP(A1097,'[1]Craig Eval'!A:C,3,FALSE))*1000)</f>
        <v/>
      </c>
      <c r="J1097" s="10" t="str">
        <f>IF(ISNA(VLOOKUP(A1097,'[1]Craig Eval'!A:M,13,FALSE)),"",VLOOKUP(A1097,'[1]Craig Eval'!A:M,13,FALSE))</f>
        <v/>
      </c>
      <c r="K1097" s="17">
        <v>2</v>
      </c>
    </row>
    <row r="1098" spans="1:11" ht="30" x14ac:dyDescent="0.25">
      <c r="A1098" s="3" t="s">
        <v>2215</v>
      </c>
      <c r="B1098" s="4" t="s">
        <v>2216</v>
      </c>
      <c r="C1098" s="5">
        <v>1195</v>
      </c>
      <c r="D1098" s="6" t="s">
        <v>16</v>
      </c>
      <c r="E1098" s="6" t="s">
        <v>17</v>
      </c>
      <c r="F1098" s="7">
        <v>36356</v>
      </c>
      <c r="G1098" s="8">
        <f t="shared" si="17"/>
        <v>36356</v>
      </c>
      <c r="H1098" s="6" t="s">
        <v>13</v>
      </c>
      <c r="I1098" s="9">
        <f>IF(ISNA(VLOOKUP(A1098,'[1]Craig Eval'!A:C,3,FALSE)),"",(VLOOKUP(A1098,'[1]Craig Eval'!A:C,3,FALSE))*1000)</f>
        <v>30912.243227581701</v>
      </c>
      <c r="J1098" s="10">
        <f>IF(ISNA(VLOOKUP(A1098,'[1]Craig Eval'!A:M,13,FALSE)),"",VLOOKUP(A1098,'[1]Craig Eval'!A:M,13,FALSE))</f>
        <v>87.431827432966102</v>
      </c>
      <c r="K1098" s="17">
        <v>1</v>
      </c>
    </row>
    <row r="1099" spans="1:11" ht="30" x14ac:dyDescent="0.25">
      <c r="A1099" s="3" t="s">
        <v>2217</v>
      </c>
      <c r="B1099" s="4" t="s">
        <v>2218</v>
      </c>
      <c r="C1099" s="5">
        <v>1111</v>
      </c>
      <c r="D1099" s="6" t="s">
        <v>28</v>
      </c>
      <c r="E1099" s="6" t="s">
        <v>17</v>
      </c>
      <c r="F1099" s="7">
        <v>27395</v>
      </c>
      <c r="G1099" s="8">
        <f t="shared" si="17"/>
        <v>27395</v>
      </c>
      <c r="H1099" s="6" t="s">
        <v>13</v>
      </c>
      <c r="I1099" s="9" t="str">
        <f>IF(ISNA(VLOOKUP(A1099,'[1]Craig Eval'!A:C,3,FALSE)),"",(VLOOKUP(A1099,'[1]Craig Eval'!A:C,3,FALSE))*1000)</f>
        <v/>
      </c>
      <c r="J1099" s="10" t="str">
        <f>IF(ISNA(VLOOKUP(A1099,'[1]Craig Eval'!A:M,13,FALSE)),"",VLOOKUP(A1099,'[1]Craig Eval'!A:M,13,FALSE))</f>
        <v/>
      </c>
      <c r="K1099" s="17">
        <v>4</v>
      </c>
    </row>
    <row r="1100" spans="1:11" ht="30" x14ac:dyDescent="0.25">
      <c r="A1100" s="3" t="s">
        <v>2219</v>
      </c>
      <c r="B1100" s="4" t="s">
        <v>2220</v>
      </c>
      <c r="C1100" s="14">
        <v>1375</v>
      </c>
      <c r="D1100" s="6" t="s">
        <v>28</v>
      </c>
      <c r="E1100" s="6" t="s">
        <v>17</v>
      </c>
      <c r="F1100" s="7">
        <v>23743</v>
      </c>
      <c r="G1100" s="8">
        <f t="shared" si="17"/>
        <v>23743</v>
      </c>
      <c r="H1100" s="6" t="s">
        <v>13</v>
      </c>
      <c r="I1100" s="9">
        <f>IF(ISNA(VLOOKUP(A1100,'[1]Craig Eval'!A:C,3,FALSE)),"",(VLOOKUP(A1100,'[1]Craig Eval'!A:C,3,FALSE))*1000)</f>
        <v>39286.4419594547</v>
      </c>
      <c r="J1100" s="10">
        <f>IF(ISNA(VLOOKUP(A1100,'[1]Craig Eval'!A:M,13,FALSE)),"",VLOOKUP(A1100,'[1]Craig Eval'!A:M,13,FALSE))</f>
        <v>109.834431952253</v>
      </c>
      <c r="K1100" s="17">
        <v>2</v>
      </c>
    </row>
    <row r="1101" spans="1:11" ht="30" x14ac:dyDescent="0.25">
      <c r="A1101" s="3" t="s">
        <v>2221</v>
      </c>
      <c r="B1101" s="4" t="s">
        <v>2222</v>
      </c>
      <c r="C1101" s="5">
        <v>52916</v>
      </c>
      <c r="D1101" s="6" t="s">
        <v>11</v>
      </c>
      <c r="E1101" s="6" t="s">
        <v>17</v>
      </c>
      <c r="F1101" s="7">
        <v>39133</v>
      </c>
      <c r="G1101" s="8">
        <f t="shared" si="17"/>
        <v>39133</v>
      </c>
      <c r="H1101" s="6" t="s">
        <v>13</v>
      </c>
      <c r="I1101" s="9" t="str">
        <f>IF(ISNA(VLOOKUP(A1101,'[1]Craig Eval'!A:C,3,FALSE)),"",(VLOOKUP(A1101,'[1]Craig Eval'!A:C,3,FALSE))*1000)</f>
        <v/>
      </c>
      <c r="J1101" s="10" t="str">
        <f>IF(ISNA(VLOOKUP(A1101,'[1]Craig Eval'!A:M,13,FALSE)),"",VLOOKUP(A1101,'[1]Craig Eval'!A:M,13,FALSE))</f>
        <v/>
      </c>
      <c r="K1101" s="17">
        <v>1</v>
      </c>
    </row>
    <row r="1102" spans="1:11" ht="30" x14ac:dyDescent="0.25">
      <c r="A1102" s="3" t="s">
        <v>2223</v>
      </c>
      <c r="B1102" s="4" t="s">
        <v>2224</v>
      </c>
      <c r="C1102" s="5">
        <v>1581</v>
      </c>
      <c r="D1102" s="6" t="s">
        <v>31</v>
      </c>
      <c r="E1102" s="6" t="s">
        <v>17</v>
      </c>
      <c r="F1102" s="7">
        <v>25569</v>
      </c>
      <c r="G1102" s="8">
        <f t="shared" si="17"/>
        <v>25569</v>
      </c>
      <c r="H1102" s="6" t="s">
        <v>13</v>
      </c>
      <c r="I1102" s="9">
        <f>IF(ISNA(VLOOKUP(A1102,'[1]Craig Eval'!A:C,3,FALSE)),"",(VLOOKUP(A1102,'[1]Craig Eval'!A:C,3,FALSE))*1000)</f>
        <v>3454.84770773931</v>
      </c>
      <c r="J1102" s="10">
        <f>IF(ISNA(VLOOKUP(A1102,'[1]Craig Eval'!A:M,13,FALSE)),"",VLOOKUP(A1102,'[1]Craig Eval'!A:M,13,FALSE))</f>
        <v>10.423524359068701</v>
      </c>
      <c r="K1102" s="17">
        <v>1</v>
      </c>
    </row>
    <row r="1103" spans="1:11" ht="30" x14ac:dyDescent="0.25">
      <c r="A1103" s="3" t="s">
        <v>2225</v>
      </c>
      <c r="B1103" s="4" t="s">
        <v>2226</v>
      </c>
      <c r="C1103" s="5">
        <v>1746</v>
      </c>
      <c r="D1103" s="6" t="s">
        <v>34</v>
      </c>
      <c r="E1103" s="6" t="s">
        <v>17</v>
      </c>
      <c r="F1103" s="7">
        <v>29221</v>
      </c>
      <c r="G1103" s="8">
        <f t="shared" si="17"/>
        <v>29221</v>
      </c>
      <c r="H1103" s="6" t="s">
        <v>13</v>
      </c>
      <c r="I1103" s="9" t="str">
        <f>IF(ISNA(VLOOKUP(A1103,'[1]Craig Eval'!A:C,3,FALSE)),"",(VLOOKUP(A1103,'[1]Craig Eval'!A:C,3,FALSE))*1000)</f>
        <v/>
      </c>
      <c r="J1103" s="10" t="str">
        <f>IF(ISNA(VLOOKUP(A1103,'[1]Craig Eval'!A:M,13,FALSE)),"",VLOOKUP(A1103,'[1]Craig Eval'!A:M,13,FALSE))</f>
        <v/>
      </c>
      <c r="K1103" s="17">
        <v>1</v>
      </c>
    </row>
    <row r="1104" spans="1:11" ht="30" x14ac:dyDescent="0.25">
      <c r="A1104" s="3" t="s">
        <v>2227</v>
      </c>
      <c r="B1104" s="4" t="s">
        <v>2228</v>
      </c>
      <c r="C1104" s="5">
        <v>12806</v>
      </c>
      <c r="D1104" s="6" t="s">
        <v>16</v>
      </c>
      <c r="E1104" s="6" t="s">
        <v>17</v>
      </c>
      <c r="F1104" s="7">
        <v>37790</v>
      </c>
      <c r="G1104" s="8">
        <f t="shared" si="17"/>
        <v>37790</v>
      </c>
      <c r="H1104" s="6" t="s">
        <v>13</v>
      </c>
      <c r="I1104" s="9">
        <f>IF(ISNA(VLOOKUP(A1104,'[1]Craig Eval'!A:C,3,FALSE)),"",(VLOOKUP(A1104,'[1]Craig Eval'!A:C,3,FALSE))*1000)</f>
        <v>158736.83198585801</v>
      </c>
      <c r="J1104" s="10">
        <f>IF(ISNA(VLOOKUP(A1104,'[1]Craig Eval'!A:M,13,FALSE)),"",VLOOKUP(A1104,'[1]Craig Eval'!A:M,13,FALSE))</f>
        <v>403.63728199483501</v>
      </c>
      <c r="K1104" s="17">
        <v>3</v>
      </c>
    </row>
    <row r="1105" spans="1:11" ht="30" x14ac:dyDescent="0.25">
      <c r="A1105" s="3" t="s">
        <v>2229</v>
      </c>
      <c r="B1105" s="4" t="s">
        <v>2230</v>
      </c>
      <c r="C1105" s="14">
        <v>1426</v>
      </c>
      <c r="D1105" s="6" t="s">
        <v>16</v>
      </c>
      <c r="E1105" s="6" t="s">
        <v>17</v>
      </c>
      <c r="F1105" s="7">
        <v>29952</v>
      </c>
      <c r="G1105" s="8">
        <f t="shared" si="17"/>
        <v>29952</v>
      </c>
      <c r="H1105" s="6" t="s">
        <v>13</v>
      </c>
      <c r="I1105" s="9">
        <f>IF(ISNA(VLOOKUP(A1105,'[1]Craig Eval'!A:C,3,FALSE)),"",(VLOOKUP(A1105,'[1]Craig Eval'!A:C,3,FALSE))*1000)</f>
        <v>146155.44582938199</v>
      </c>
      <c r="J1105" s="10">
        <f>IF(ISNA(VLOOKUP(A1105,'[1]Craig Eval'!A:M,13,FALSE)),"",VLOOKUP(A1105,'[1]Craig Eval'!A:M,13,FALSE))</f>
        <v>374.2881600339</v>
      </c>
      <c r="K1105" s="17">
        <v>2</v>
      </c>
    </row>
    <row r="1106" spans="1:11" ht="30" x14ac:dyDescent="0.25">
      <c r="A1106" s="3" t="s">
        <v>2231</v>
      </c>
      <c r="B1106" s="4" t="s">
        <v>2232</v>
      </c>
      <c r="C1106" s="14">
        <v>1612</v>
      </c>
      <c r="D1106" s="6" t="s">
        <v>16</v>
      </c>
      <c r="E1106" s="6" t="s">
        <v>17</v>
      </c>
      <c r="F1106" s="7">
        <v>29952</v>
      </c>
      <c r="G1106" s="8">
        <f t="shared" si="17"/>
        <v>29952</v>
      </c>
      <c r="H1106" s="6" t="s">
        <v>13</v>
      </c>
      <c r="I1106" s="9">
        <f>IF(ISNA(VLOOKUP(A1106,'[1]Craig Eval'!A:C,3,FALSE)),"",(VLOOKUP(A1106,'[1]Craig Eval'!A:C,3,FALSE))*1000)</f>
        <v>150685.54739742199</v>
      </c>
      <c r="J1106" s="10">
        <f>IF(ISNA(VLOOKUP(A1106,'[1]Craig Eval'!A:M,13,FALSE)),"",VLOOKUP(A1106,'[1]Craig Eval'!A:M,13,FALSE))</f>
        <v>384.88894898099301</v>
      </c>
      <c r="K1106" s="17">
        <v>2</v>
      </c>
    </row>
    <row r="1107" spans="1:11" ht="30" x14ac:dyDescent="0.25">
      <c r="A1107" s="3" t="s">
        <v>2233</v>
      </c>
      <c r="B1107" s="4" t="s">
        <v>2234</v>
      </c>
      <c r="C1107" s="14">
        <v>29843</v>
      </c>
      <c r="D1107" s="6" t="s">
        <v>16</v>
      </c>
      <c r="E1107" s="6" t="s">
        <v>17</v>
      </c>
      <c r="F1107" s="7">
        <v>38258</v>
      </c>
      <c r="G1107" s="8">
        <f t="shared" si="17"/>
        <v>38258</v>
      </c>
      <c r="H1107" s="6" t="s">
        <v>13</v>
      </c>
      <c r="I1107" s="9">
        <f>IF(ISNA(VLOOKUP(A1107,'[1]Craig Eval'!A:C,3,FALSE)),"",(VLOOKUP(A1107,'[1]Craig Eval'!A:C,3,FALSE))*1000)</f>
        <v>92405.375322280306</v>
      </c>
      <c r="J1107" s="10">
        <f>IF(ISNA(VLOOKUP(A1107,'[1]Craig Eval'!A:M,13,FALSE)),"",VLOOKUP(A1107,'[1]Craig Eval'!A:M,13,FALSE))</f>
        <v>245.24990119875599</v>
      </c>
      <c r="K1107" s="17">
        <v>4</v>
      </c>
    </row>
    <row r="1108" spans="1:11" ht="30" x14ac:dyDescent="0.25">
      <c r="A1108" s="18" t="s">
        <v>2235</v>
      </c>
      <c r="B1108" s="19" t="s">
        <v>2236</v>
      </c>
      <c r="C1108" s="5">
        <v>377644</v>
      </c>
      <c r="D1108" s="21" t="s">
        <v>31</v>
      </c>
      <c r="E1108" s="21" t="s">
        <v>17</v>
      </c>
      <c r="F1108" s="22">
        <v>45555</v>
      </c>
      <c r="G1108" s="23">
        <f t="shared" si="17"/>
        <v>45555</v>
      </c>
      <c r="H1108" s="21" t="s">
        <v>13</v>
      </c>
      <c r="I1108" s="9" t="str">
        <f>IF(ISNA(VLOOKUP(A1108,'[1]Craig Eval'!A:C,3,FALSE)),"",(VLOOKUP(A1108,'[1]Craig Eval'!A:C,3,FALSE))*1000)</f>
        <v/>
      </c>
      <c r="J1108" s="24" t="str">
        <f>IF(ISNA(VLOOKUP(A1108,'[1]Craig Eval'!A:M,13,FALSE)),"",VLOOKUP(A1108,'[1]Craig Eval'!A:M,13,FALSE))</f>
        <v/>
      </c>
      <c r="K1108" s="25">
        <v>3</v>
      </c>
    </row>
    <row r="1109" spans="1:11" ht="30" x14ac:dyDescent="0.25">
      <c r="A1109" s="3" t="s">
        <v>2237</v>
      </c>
      <c r="B1109" s="4" t="s">
        <v>2238</v>
      </c>
      <c r="C1109" s="5">
        <v>26257</v>
      </c>
      <c r="D1109" s="6" t="s">
        <v>28</v>
      </c>
      <c r="E1109" s="6" t="s">
        <v>17</v>
      </c>
      <c r="F1109" s="7">
        <v>36412</v>
      </c>
      <c r="G1109" s="8">
        <f t="shared" si="17"/>
        <v>36412</v>
      </c>
      <c r="H1109" s="6" t="s">
        <v>13</v>
      </c>
      <c r="I1109" s="9">
        <f>IF(ISNA(VLOOKUP(A1109,'[1]Craig Eval'!A:C,3,FALSE)),"",(VLOOKUP(A1109,'[1]Craig Eval'!A:C,3,FALSE))*1000)</f>
        <v>82026.919229108506</v>
      </c>
      <c r="J1109" s="10">
        <f>IF(ISNA(VLOOKUP(A1109,'[1]Craig Eval'!A:M,13,FALSE)),"",VLOOKUP(A1109,'[1]Craig Eval'!A:M,13,FALSE))</f>
        <v>219.52628485765999</v>
      </c>
      <c r="K1109" s="17">
        <v>1</v>
      </c>
    </row>
    <row r="1110" spans="1:11" ht="30" x14ac:dyDescent="0.25">
      <c r="A1110" s="3" t="s">
        <v>2239</v>
      </c>
      <c r="B1110" s="4" t="s">
        <v>2240</v>
      </c>
      <c r="C1110" s="5">
        <v>8961</v>
      </c>
      <c r="D1110" s="6" t="s">
        <v>28</v>
      </c>
      <c r="E1110" s="6" t="s">
        <v>17</v>
      </c>
      <c r="F1110" s="7">
        <v>37712</v>
      </c>
      <c r="G1110" s="8">
        <f t="shared" si="17"/>
        <v>37712</v>
      </c>
      <c r="H1110" s="6" t="s">
        <v>13</v>
      </c>
      <c r="I1110" s="9">
        <f>IF(ISNA(VLOOKUP(A1110,'[1]Craig Eval'!A:C,3,FALSE)),"",(VLOOKUP(A1110,'[1]Craig Eval'!A:C,3,FALSE))*1000)</f>
        <v>7330.35598589648</v>
      </c>
      <c r="J1110" s="10">
        <f>IF(ISNA(VLOOKUP(A1110,'[1]Craig Eval'!A:M,13,FALSE)),"",VLOOKUP(A1110,'[1]Craig Eval'!A:M,13,FALSE))</f>
        <v>21.7778542832834</v>
      </c>
      <c r="K1110" s="17">
        <v>1</v>
      </c>
    </row>
    <row r="1111" spans="1:11" ht="30" x14ac:dyDescent="0.25">
      <c r="A1111" s="3" t="s">
        <v>2241</v>
      </c>
      <c r="B1111" s="4" t="s">
        <v>2242</v>
      </c>
      <c r="C1111" s="5">
        <v>8964</v>
      </c>
      <c r="D1111" s="6" t="s">
        <v>28</v>
      </c>
      <c r="E1111" s="6" t="s">
        <v>17</v>
      </c>
      <c r="F1111" s="7">
        <v>37725</v>
      </c>
      <c r="G1111" s="8">
        <f t="shared" si="17"/>
        <v>37725</v>
      </c>
      <c r="H1111" s="6" t="s">
        <v>13</v>
      </c>
      <c r="I1111" s="9">
        <f>IF(ISNA(VLOOKUP(A1111,'[1]Craig Eval'!A:C,3,FALSE)),"",(VLOOKUP(A1111,'[1]Craig Eval'!A:C,3,FALSE))*1000)</f>
        <v>10473.6794743297</v>
      </c>
      <c r="J1111" s="10">
        <f>IF(ISNA(VLOOKUP(A1111,'[1]Craig Eval'!A:M,13,FALSE)),"",VLOOKUP(A1111,'[1]Craig Eval'!A:M,13,FALSE))</f>
        <v>30.824761821282198</v>
      </c>
      <c r="K1111" s="17">
        <v>1</v>
      </c>
    </row>
    <row r="1112" spans="1:11" ht="30" x14ac:dyDescent="0.25">
      <c r="A1112" s="3" t="s">
        <v>2243</v>
      </c>
      <c r="B1112" s="4" t="s">
        <v>2244</v>
      </c>
      <c r="C1112" s="14">
        <v>1582</v>
      </c>
      <c r="D1112" s="6" t="s">
        <v>31</v>
      </c>
      <c r="E1112" s="6" t="s">
        <v>17</v>
      </c>
      <c r="F1112" s="7">
        <v>29221</v>
      </c>
      <c r="G1112" s="8">
        <f t="shared" si="17"/>
        <v>29221</v>
      </c>
      <c r="H1112" s="6" t="s">
        <v>13</v>
      </c>
      <c r="I1112" s="9">
        <f>IF(ISNA(VLOOKUP(A1112,'[1]Craig Eval'!A:C,3,FALSE)),"",(VLOOKUP(A1112,'[1]Craig Eval'!A:C,3,FALSE))*1000)</f>
        <v>43345.382145242904</v>
      </c>
      <c r="J1112" s="10">
        <f>IF(ISNA(VLOOKUP(A1112,'[1]Craig Eval'!A:M,13,FALSE)),"",VLOOKUP(A1112,'[1]Craig Eval'!A:M,13,FALSE))</f>
        <v>120.564630074937</v>
      </c>
      <c r="K1112" s="17">
        <v>1</v>
      </c>
    </row>
    <row r="1113" spans="1:11" ht="30" x14ac:dyDescent="0.25">
      <c r="A1113" s="3" t="s">
        <v>2245</v>
      </c>
      <c r="B1113" s="4" t="s">
        <v>2246</v>
      </c>
      <c r="C1113" s="5">
        <v>54697</v>
      </c>
      <c r="D1113" s="6" t="s">
        <v>31</v>
      </c>
      <c r="E1113" s="6" t="s">
        <v>17</v>
      </c>
      <c r="F1113" s="7">
        <v>35583</v>
      </c>
      <c r="G1113" s="8">
        <f t="shared" si="17"/>
        <v>35583</v>
      </c>
      <c r="H1113" s="6" t="s">
        <v>13</v>
      </c>
      <c r="I1113" s="9">
        <f>IF(ISNA(VLOOKUP(A1113,'[1]Craig Eval'!A:C,3,FALSE)),"",(VLOOKUP(A1113,'[1]Craig Eval'!A:C,3,FALSE))*1000)</f>
        <v>31764.772444591697</v>
      </c>
      <c r="J1113" s="10">
        <f>IF(ISNA(VLOOKUP(A1113,'[1]Craig Eval'!A:M,13,FALSE)),"",VLOOKUP(A1113,'[1]Craig Eval'!A:M,13,FALSE))</f>
        <v>89.730008893836199</v>
      </c>
      <c r="K1113" s="17">
        <v>1</v>
      </c>
    </row>
    <row r="1114" spans="1:11" ht="30" x14ac:dyDescent="0.25">
      <c r="A1114" s="3" t="s">
        <v>2247</v>
      </c>
      <c r="B1114" s="4" t="s">
        <v>2248</v>
      </c>
      <c r="C1114" s="5">
        <v>10576</v>
      </c>
      <c r="D1114" s="6" t="s">
        <v>34</v>
      </c>
      <c r="E1114" s="6" t="s">
        <v>17</v>
      </c>
      <c r="F1114" s="7">
        <v>37006</v>
      </c>
      <c r="G1114" s="8">
        <f t="shared" si="17"/>
        <v>37006</v>
      </c>
      <c r="H1114" s="6" t="s">
        <v>13</v>
      </c>
      <c r="I1114" s="9" t="str">
        <f>IF(ISNA(VLOOKUP(A1114,'[1]Craig Eval'!A:C,3,FALSE)),"",(VLOOKUP(A1114,'[1]Craig Eval'!A:C,3,FALSE))*1000)</f>
        <v/>
      </c>
      <c r="J1114" s="10" t="str">
        <f>IF(ISNA(VLOOKUP(A1114,'[1]Craig Eval'!A:M,13,FALSE)),"",VLOOKUP(A1114,'[1]Craig Eval'!A:M,13,FALSE))</f>
        <v/>
      </c>
      <c r="K1114" s="17">
        <v>1</v>
      </c>
    </row>
    <row r="1115" spans="1:11" ht="30" x14ac:dyDescent="0.25">
      <c r="A1115" s="3" t="s">
        <v>2249</v>
      </c>
      <c r="B1115" s="4" t="s">
        <v>2250</v>
      </c>
      <c r="C1115" s="14">
        <v>1351</v>
      </c>
      <c r="D1115" s="6" t="s">
        <v>31</v>
      </c>
      <c r="E1115" s="6" t="s">
        <v>17</v>
      </c>
      <c r="F1115" s="7">
        <v>31560</v>
      </c>
      <c r="G1115" s="8">
        <f t="shared" si="17"/>
        <v>31560</v>
      </c>
      <c r="H1115" s="6" t="s">
        <v>13</v>
      </c>
      <c r="I1115" s="9">
        <f>IF(ISNA(VLOOKUP(A1115,'[1]Craig Eval'!A:C,3,FALSE)),"",(VLOOKUP(A1115,'[1]Craig Eval'!A:C,3,FALSE))*1000)</f>
        <v>247739.27710634001</v>
      </c>
      <c r="J1115" s="10">
        <f>IF(ISNA(VLOOKUP(A1115,'[1]Craig Eval'!A:M,13,FALSE)),"",VLOOKUP(A1115,'[1]Craig Eval'!A:M,13,FALSE))</f>
        <v>604.152346885724</v>
      </c>
      <c r="K1115" s="17">
        <v>3</v>
      </c>
    </row>
    <row r="1116" spans="1:11" ht="30" x14ac:dyDescent="0.25">
      <c r="A1116" s="3" t="s">
        <v>2251</v>
      </c>
      <c r="B1116" s="4" t="s">
        <v>2252</v>
      </c>
      <c r="C1116" s="5">
        <v>1701</v>
      </c>
      <c r="D1116" s="6" t="s">
        <v>31</v>
      </c>
      <c r="E1116" s="6" t="s">
        <v>17</v>
      </c>
      <c r="F1116" s="7">
        <v>29952</v>
      </c>
      <c r="G1116" s="8">
        <f t="shared" si="17"/>
        <v>29952</v>
      </c>
      <c r="H1116" s="6" t="s">
        <v>13</v>
      </c>
      <c r="I1116" s="9">
        <f>IF(ISNA(VLOOKUP(A1116,'[1]Craig Eval'!A:C,3,FALSE)),"",(VLOOKUP(A1116,'[1]Craig Eval'!A:C,3,FALSE))*1000)</f>
        <v>367862.85038818896</v>
      </c>
      <c r="J1116" s="10">
        <f>IF(ISNA(VLOOKUP(A1116,'[1]Craig Eval'!A:M,13,FALSE)),"",VLOOKUP(A1116,'[1]Craig Eval'!A:M,13,FALSE))</f>
        <v>859.79613967706405</v>
      </c>
      <c r="K1116" s="17">
        <v>4</v>
      </c>
    </row>
    <row r="1117" spans="1:11" ht="30" x14ac:dyDescent="0.25">
      <c r="A1117" s="3" t="s">
        <v>2253</v>
      </c>
      <c r="B1117" s="4" t="s">
        <v>2254</v>
      </c>
      <c r="C1117" s="14">
        <v>21761</v>
      </c>
      <c r="D1117" s="6" t="s">
        <v>11</v>
      </c>
      <c r="E1117" s="6" t="s">
        <v>12</v>
      </c>
      <c r="F1117" s="7">
        <v>31935</v>
      </c>
      <c r="G1117" s="8">
        <f t="shared" si="17"/>
        <v>31935</v>
      </c>
      <c r="H1117" s="6" t="s">
        <v>39</v>
      </c>
      <c r="I1117" s="9" t="str">
        <f>IF(ISNA(VLOOKUP(A1117,'[1]Craig Eval'!A:C,3,FALSE)),"",(VLOOKUP(A1117,'[1]Craig Eval'!A:C,3,FALSE))*1000)</f>
        <v/>
      </c>
      <c r="J1117" s="10" t="str">
        <f>IF(ISNA(VLOOKUP(A1117,'[1]Craig Eval'!A:M,13,FALSE)),"",VLOOKUP(A1117,'[1]Craig Eval'!A:M,13,FALSE))</f>
        <v/>
      </c>
      <c r="K1117" s="17">
        <v>1</v>
      </c>
    </row>
    <row r="1118" spans="1:11" ht="30" x14ac:dyDescent="0.25">
      <c r="A1118" s="3" t="s">
        <v>2255</v>
      </c>
      <c r="B1118" s="4" t="s">
        <v>2256</v>
      </c>
      <c r="C1118" s="5">
        <v>1880</v>
      </c>
      <c r="D1118" s="6" t="s">
        <v>34</v>
      </c>
      <c r="E1118" s="6" t="s">
        <v>17</v>
      </c>
      <c r="F1118" s="7">
        <v>29952</v>
      </c>
      <c r="G1118" s="8">
        <f t="shared" si="17"/>
        <v>29952</v>
      </c>
      <c r="H1118" s="6" t="s">
        <v>13</v>
      </c>
      <c r="I1118" s="9" t="str">
        <f>IF(ISNA(VLOOKUP(A1118,'[1]Craig Eval'!A:C,3,FALSE)),"",(VLOOKUP(A1118,'[1]Craig Eval'!A:C,3,FALSE))*1000)</f>
        <v/>
      </c>
      <c r="J1118" s="10" t="str">
        <f>IF(ISNA(VLOOKUP(A1118,'[1]Craig Eval'!A:M,13,FALSE)),"",VLOOKUP(A1118,'[1]Craig Eval'!A:M,13,FALSE))</f>
        <v/>
      </c>
      <c r="K1118" s="17">
        <v>1</v>
      </c>
    </row>
    <row r="1119" spans="1:11" ht="30" x14ac:dyDescent="0.25">
      <c r="A1119" s="3" t="s">
        <v>2257</v>
      </c>
      <c r="B1119" s="4" t="s">
        <v>2258</v>
      </c>
      <c r="C1119" s="5">
        <v>1671</v>
      </c>
      <c r="D1119" s="6" t="s">
        <v>31</v>
      </c>
      <c r="E1119" s="6" t="s">
        <v>17</v>
      </c>
      <c r="F1119" s="7">
        <v>25569</v>
      </c>
      <c r="G1119" s="8">
        <f t="shared" si="17"/>
        <v>25569</v>
      </c>
      <c r="H1119" s="6" t="s">
        <v>13</v>
      </c>
      <c r="I1119" s="9">
        <f>IF(ISNA(VLOOKUP(A1119,'[1]Craig Eval'!A:C,3,FALSE)),"",(VLOOKUP(A1119,'[1]Craig Eval'!A:C,3,FALSE))*1000)</f>
        <v>13331.640974985599</v>
      </c>
      <c r="J1119" s="10">
        <f>IF(ISNA(VLOOKUP(A1119,'[1]Craig Eval'!A:M,13,FALSE)),"",VLOOKUP(A1119,'[1]Craig Eval'!A:M,13,FALSE))</f>
        <v>38.950972595589398</v>
      </c>
      <c r="K1119" s="17">
        <v>1</v>
      </c>
    </row>
    <row r="1120" spans="1:11" ht="30" x14ac:dyDescent="0.25">
      <c r="A1120" s="3" t="s">
        <v>2259</v>
      </c>
      <c r="B1120" s="4" t="s">
        <v>2260</v>
      </c>
      <c r="C1120" s="5">
        <v>9281</v>
      </c>
      <c r="D1120" s="6" t="s">
        <v>28</v>
      </c>
      <c r="E1120" s="6" t="s">
        <v>17</v>
      </c>
      <c r="F1120" s="7">
        <v>37697</v>
      </c>
      <c r="G1120" s="8">
        <f t="shared" si="17"/>
        <v>37697</v>
      </c>
      <c r="H1120" s="6" t="s">
        <v>13</v>
      </c>
      <c r="I1120" s="9">
        <f>IF(ISNA(VLOOKUP(A1120,'[1]Craig Eval'!A:C,3,FALSE)),"",(VLOOKUP(A1120,'[1]Craig Eval'!A:C,3,FALSE))*1000)</f>
        <v>84834.387601377006</v>
      </c>
      <c r="J1120" s="10">
        <f>IF(ISNA(VLOOKUP(A1120,'[1]Craig Eval'!A:M,13,FALSE)),"",VLOOKUP(A1120,'[1]Craig Eval'!A:M,13,FALSE))</f>
        <v>226.51476226468799</v>
      </c>
      <c r="K1120" s="17">
        <v>2</v>
      </c>
    </row>
    <row r="1121" spans="1:11" ht="30" x14ac:dyDescent="0.25">
      <c r="A1121" s="3" t="s">
        <v>2261</v>
      </c>
      <c r="B1121" s="4" t="s">
        <v>2262</v>
      </c>
      <c r="C1121" s="5">
        <v>29825</v>
      </c>
      <c r="D1121" s="6" t="s">
        <v>31</v>
      </c>
      <c r="E1121" s="6" t="s">
        <v>17</v>
      </c>
      <c r="F1121" s="7">
        <v>25143</v>
      </c>
      <c r="G1121" s="8">
        <f t="shared" si="17"/>
        <v>25143</v>
      </c>
      <c r="H1121" s="6" t="s">
        <v>13</v>
      </c>
      <c r="I1121" s="9" t="str">
        <f>IF(ISNA(VLOOKUP(A1121,'[1]Craig Eval'!A:C,3,FALSE)),"",(VLOOKUP(A1121,'[1]Craig Eval'!A:C,3,FALSE))*1000)</f>
        <v/>
      </c>
      <c r="J1121" s="10" t="str">
        <f>IF(ISNA(VLOOKUP(A1121,'[1]Craig Eval'!A:M,13,FALSE)),"",VLOOKUP(A1121,'[1]Craig Eval'!A:M,13,FALSE))</f>
        <v/>
      </c>
      <c r="K1121" s="17">
        <v>1</v>
      </c>
    </row>
    <row r="1122" spans="1:11" ht="30" x14ac:dyDescent="0.25">
      <c r="A1122" s="3" t="s">
        <v>2263</v>
      </c>
      <c r="B1122" s="4" t="s">
        <v>2264</v>
      </c>
      <c r="C1122" s="14">
        <v>54698</v>
      </c>
      <c r="D1122" s="6" t="s">
        <v>31</v>
      </c>
      <c r="E1122" s="6" t="s">
        <v>17</v>
      </c>
      <c r="F1122" s="7">
        <v>32492</v>
      </c>
      <c r="G1122" s="8">
        <f t="shared" si="17"/>
        <v>32492</v>
      </c>
      <c r="H1122" s="6" t="s">
        <v>13</v>
      </c>
      <c r="I1122" s="9" t="str">
        <f>IF(ISNA(VLOOKUP(A1122,'[1]Craig Eval'!A:C,3,FALSE)),"",(VLOOKUP(A1122,'[1]Craig Eval'!A:C,3,FALSE))*1000)</f>
        <v/>
      </c>
      <c r="J1122" s="10" t="str">
        <f>IF(ISNA(VLOOKUP(A1122,'[1]Craig Eval'!A:M,13,FALSE)),"",VLOOKUP(A1122,'[1]Craig Eval'!A:M,13,FALSE))</f>
        <v/>
      </c>
      <c r="K1122" s="17">
        <v>1</v>
      </c>
    </row>
    <row r="1123" spans="1:11" ht="30" x14ac:dyDescent="0.25">
      <c r="A1123" s="18" t="s">
        <v>2265</v>
      </c>
      <c r="B1123" s="19" t="s">
        <v>2266</v>
      </c>
      <c r="C1123" s="5">
        <v>15364</v>
      </c>
      <c r="D1123" s="21" t="s">
        <v>31</v>
      </c>
      <c r="E1123" s="21" t="s">
        <v>17</v>
      </c>
      <c r="F1123" s="22">
        <v>26599</v>
      </c>
      <c r="G1123" s="23">
        <f t="shared" si="17"/>
        <v>26599</v>
      </c>
      <c r="H1123" s="21" t="s">
        <v>13</v>
      </c>
      <c r="I1123" s="9">
        <f>IF(ISNA(VLOOKUP(A1123,'[1]Craig Eval'!A:C,3,FALSE)),"",(VLOOKUP(A1123,'[1]Craig Eval'!A:C,3,FALSE))*1000)</f>
        <v>71132.915617646198</v>
      </c>
      <c r="J1123" s="24">
        <f>IF(ISNA(VLOOKUP(A1123,'[1]Craig Eval'!A:M,13,FALSE)),"",VLOOKUP(A1123,'[1]Craig Eval'!A:M,13,FALSE))</f>
        <v>192.183822315947</v>
      </c>
      <c r="K1123" s="25">
        <v>2</v>
      </c>
    </row>
    <row r="1124" spans="1:11" ht="30" x14ac:dyDescent="0.25">
      <c r="A1124" s="3" t="s">
        <v>2267</v>
      </c>
      <c r="B1124" s="4" t="s">
        <v>2268</v>
      </c>
      <c r="C1124" s="5">
        <v>31361</v>
      </c>
      <c r="D1124" s="6" t="s">
        <v>31</v>
      </c>
      <c r="E1124" s="6" t="s">
        <v>17</v>
      </c>
      <c r="F1124" s="7">
        <v>26100</v>
      </c>
      <c r="G1124" s="8">
        <f t="shared" si="17"/>
        <v>26100</v>
      </c>
      <c r="H1124" s="6" t="s">
        <v>13</v>
      </c>
      <c r="I1124" s="9" t="str">
        <f>IF(ISNA(VLOOKUP(A1124,'[1]Craig Eval'!A:C,3,FALSE)),"",(VLOOKUP(A1124,'[1]Craig Eval'!A:C,3,FALSE))*1000)</f>
        <v/>
      </c>
      <c r="J1124" s="10" t="str">
        <f>IF(ISNA(VLOOKUP(A1124,'[1]Craig Eval'!A:M,13,FALSE)),"",VLOOKUP(A1124,'[1]Craig Eval'!A:M,13,FALSE))</f>
        <v/>
      </c>
      <c r="K1124" s="17">
        <v>2</v>
      </c>
    </row>
    <row r="1125" spans="1:11" ht="30" x14ac:dyDescent="0.25">
      <c r="A1125" s="3" t="s">
        <v>2269</v>
      </c>
      <c r="B1125" s="4" t="s">
        <v>2270</v>
      </c>
      <c r="C1125" s="5">
        <v>29505</v>
      </c>
      <c r="D1125" s="6" t="s">
        <v>31</v>
      </c>
      <c r="E1125" s="6" t="s">
        <v>17</v>
      </c>
      <c r="F1125" s="7">
        <v>29517</v>
      </c>
      <c r="G1125" s="8">
        <f t="shared" si="17"/>
        <v>29517</v>
      </c>
      <c r="H1125" s="6" t="s">
        <v>13</v>
      </c>
      <c r="I1125" s="9" t="str">
        <f>IF(ISNA(VLOOKUP(A1125,'[1]Craig Eval'!A:C,3,FALSE)),"",(VLOOKUP(A1125,'[1]Craig Eval'!A:C,3,FALSE))*1000)</f>
        <v/>
      </c>
      <c r="J1125" s="10" t="str">
        <f>IF(ISNA(VLOOKUP(A1125,'[1]Craig Eval'!A:M,13,FALSE)),"",VLOOKUP(A1125,'[1]Craig Eval'!A:M,13,FALSE))</f>
        <v/>
      </c>
      <c r="K1125" s="17">
        <v>1</v>
      </c>
    </row>
    <row r="1126" spans="1:11" ht="30" x14ac:dyDescent="0.25">
      <c r="A1126" s="26" t="s">
        <v>2271</v>
      </c>
      <c r="B1126" s="27" t="s">
        <v>2272</v>
      </c>
      <c r="C1126" s="34">
        <v>54699</v>
      </c>
      <c r="D1126" s="28" t="s">
        <v>31</v>
      </c>
      <c r="E1126" s="28" t="s">
        <v>17</v>
      </c>
      <c r="F1126" s="29">
        <v>33512</v>
      </c>
      <c r="G1126" s="30">
        <f t="shared" si="17"/>
        <v>33512</v>
      </c>
      <c r="H1126" s="28" t="s">
        <v>13</v>
      </c>
      <c r="I1126" s="31" t="str">
        <f>IF(ISNA(VLOOKUP(A1126,'[1]Craig Eval'!A:C,3,FALSE)),"",(VLOOKUP(A1126,'[1]Craig Eval'!A:C,3,FALSE))*1000)</f>
        <v/>
      </c>
      <c r="J1126" s="32" t="str">
        <f>IF(ISNA(VLOOKUP(A1126,'[1]Craig Eval'!A:M,13,FALSE)),"",VLOOKUP(A1126,'[1]Craig Eval'!A:M,13,FALSE))</f>
        <v/>
      </c>
      <c r="K1126" s="33">
        <v>1</v>
      </c>
    </row>
    <row r="1127" spans="1:11" ht="30" x14ac:dyDescent="0.25">
      <c r="A1127" s="3" t="s">
        <v>2273</v>
      </c>
      <c r="B1127" s="4" t="s">
        <v>2274</v>
      </c>
      <c r="C1127" s="14">
        <v>13121</v>
      </c>
      <c r="D1127" s="6" t="s">
        <v>31</v>
      </c>
      <c r="E1127" s="6" t="s">
        <v>17</v>
      </c>
      <c r="F1127" s="7">
        <v>32360</v>
      </c>
      <c r="G1127" s="8">
        <f t="shared" si="17"/>
        <v>32360</v>
      </c>
      <c r="H1127" s="6" t="s">
        <v>13</v>
      </c>
      <c r="I1127" s="9">
        <f>IF(ISNA(VLOOKUP(A1127,'[1]Craig Eval'!A:C,3,FALSE)),"",(VLOOKUP(A1127,'[1]Craig Eval'!A:C,3,FALSE))*1000)</f>
        <v>36627.056504897402</v>
      </c>
      <c r="J1127" s="10">
        <f>IF(ISNA(VLOOKUP(A1127,'[1]Craig Eval'!A:M,13,FALSE)),"",VLOOKUP(A1127,'[1]Craig Eval'!A:M,13,FALSE))</f>
        <v>102.76025341637801</v>
      </c>
      <c r="K1127" s="17">
        <v>2</v>
      </c>
    </row>
    <row r="1128" spans="1:11" ht="30" x14ac:dyDescent="0.25">
      <c r="A1128" s="3" t="s">
        <v>2275</v>
      </c>
      <c r="B1128" s="4" t="s">
        <v>2276</v>
      </c>
      <c r="C1128" s="5">
        <v>1580</v>
      </c>
      <c r="D1128" s="6" t="s">
        <v>31</v>
      </c>
      <c r="E1128" s="6" t="s">
        <v>17</v>
      </c>
      <c r="F1128" s="7">
        <v>31058</v>
      </c>
      <c r="G1128" s="8">
        <f t="shared" si="17"/>
        <v>31058</v>
      </c>
      <c r="H1128" s="6" t="s">
        <v>13</v>
      </c>
      <c r="I1128" s="9">
        <f>IF(ISNA(VLOOKUP(A1128,'[1]Craig Eval'!A:C,3,FALSE)),"",(VLOOKUP(A1128,'[1]Craig Eval'!A:C,3,FALSE))*1000)</f>
        <v>37746.505047946797</v>
      </c>
      <c r="J1128" s="10">
        <f>IF(ISNA(VLOOKUP(A1128,'[1]Craig Eval'!A:M,13,FALSE)),"",VLOOKUP(A1128,'[1]Craig Eval'!A:M,13,FALSE))</f>
        <v>105.74244376518</v>
      </c>
      <c r="K1128" s="17">
        <v>2</v>
      </c>
    </row>
    <row r="1129" spans="1:11" ht="30" x14ac:dyDescent="0.25">
      <c r="A1129" s="3" t="s">
        <v>2277</v>
      </c>
      <c r="B1129" s="4" t="s">
        <v>2278</v>
      </c>
      <c r="C1129" s="5">
        <v>1926</v>
      </c>
      <c r="D1129" s="6" t="s">
        <v>31</v>
      </c>
      <c r="E1129" s="6" t="s">
        <v>17</v>
      </c>
      <c r="F1129" s="7">
        <v>29221</v>
      </c>
      <c r="G1129" s="8">
        <f t="shared" si="17"/>
        <v>29221</v>
      </c>
      <c r="H1129" s="6" t="s">
        <v>13</v>
      </c>
      <c r="I1129" s="9">
        <f>IF(ISNA(VLOOKUP(A1129,'[1]Craig Eval'!A:C,3,FALSE)),"",(VLOOKUP(A1129,'[1]Craig Eval'!A:C,3,FALSE))*1000)</f>
        <v>40552.467262556806</v>
      </c>
      <c r="J1129" s="10">
        <f>IF(ISNA(VLOOKUP(A1129,'[1]Craig Eval'!A:M,13,FALSE)),"",VLOOKUP(A1129,'[1]Craig Eval'!A:M,13,FALSE))</f>
        <v>113.189774514932</v>
      </c>
      <c r="K1129" s="17">
        <v>1</v>
      </c>
    </row>
    <row r="1130" spans="1:11" ht="30" x14ac:dyDescent="0.25">
      <c r="A1130" s="3" t="s">
        <v>2279</v>
      </c>
      <c r="B1130" s="4" t="s">
        <v>2280</v>
      </c>
      <c r="C1130" s="5">
        <v>15373</v>
      </c>
      <c r="D1130" s="6" t="s">
        <v>16</v>
      </c>
      <c r="E1130" s="6" t="s">
        <v>17</v>
      </c>
      <c r="F1130" s="7">
        <v>25883</v>
      </c>
      <c r="G1130" s="8">
        <f t="shared" si="17"/>
        <v>25883</v>
      </c>
      <c r="H1130" s="6" t="s">
        <v>13</v>
      </c>
      <c r="I1130" s="9">
        <f>IF(ISNA(VLOOKUP(A1130,'[1]Craig Eval'!A:C,3,FALSE)),"",(VLOOKUP(A1130,'[1]Craig Eval'!A:C,3,FALSE))*1000)</f>
        <v>16239.608466590698</v>
      </c>
      <c r="J1130" s="10">
        <f>IF(ISNA(VLOOKUP(A1130,'[1]Craig Eval'!A:M,13,FALSE)),"",VLOOKUP(A1130,'[1]Craig Eval'!A:M,13,FALSE))</f>
        <v>47.1361606431797</v>
      </c>
      <c r="K1130" s="17">
        <v>1</v>
      </c>
    </row>
    <row r="1131" spans="1:11" ht="30" x14ac:dyDescent="0.25">
      <c r="A1131" s="3" t="s">
        <v>2281</v>
      </c>
      <c r="B1131" s="4" t="s">
        <v>2282</v>
      </c>
      <c r="C1131" s="5">
        <v>15691</v>
      </c>
      <c r="D1131" s="6" t="s">
        <v>31</v>
      </c>
      <c r="E1131" s="6" t="s">
        <v>17</v>
      </c>
      <c r="F1131" s="7">
        <v>26501</v>
      </c>
      <c r="G1131" s="8">
        <f t="shared" si="17"/>
        <v>26501</v>
      </c>
      <c r="H1131" s="6" t="s">
        <v>13</v>
      </c>
      <c r="I1131" s="9">
        <f>IF(ISNA(VLOOKUP(A1131,'[1]Craig Eval'!A:C,3,FALSE)),"",(VLOOKUP(A1131,'[1]Craig Eval'!A:C,3,FALSE))*1000)</f>
        <v>5720.3522063424498</v>
      </c>
      <c r="J1131" s="10">
        <f>IF(ISNA(VLOOKUP(A1131,'[1]Craig Eval'!A:M,13,FALSE)),"",VLOOKUP(A1131,'[1]Craig Eval'!A:M,13,FALSE))</f>
        <v>17.091662671002702</v>
      </c>
      <c r="K1131" s="17">
        <v>1</v>
      </c>
    </row>
    <row r="1132" spans="1:11" ht="30" x14ac:dyDescent="0.25">
      <c r="A1132" s="3" t="s">
        <v>2283</v>
      </c>
      <c r="B1132" s="4" t="s">
        <v>2284</v>
      </c>
      <c r="C1132" s="5">
        <v>1835</v>
      </c>
      <c r="D1132" s="6" t="s">
        <v>31</v>
      </c>
      <c r="E1132" s="6" t="s">
        <v>17</v>
      </c>
      <c r="F1132" s="7">
        <v>25569</v>
      </c>
      <c r="G1132" s="8">
        <f t="shared" si="17"/>
        <v>25569</v>
      </c>
      <c r="H1132" s="6" t="s">
        <v>13</v>
      </c>
      <c r="I1132" s="9">
        <f>IF(ISNA(VLOOKUP(A1132,'[1]Craig Eval'!A:C,3,FALSE)),"",(VLOOKUP(A1132,'[1]Craig Eval'!A:C,3,FALSE))*1000)</f>
        <v>44190.5263613598</v>
      </c>
      <c r="J1132" s="10">
        <f>IF(ISNA(VLOOKUP(A1132,'[1]Craig Eval'!A:M,13,FALSE)),"",VLOOKUP(A1132,'[1]Craig Eval'!A:M,13,FALSE))</f>
        <v>122.78910086558101</v>
      </c>
      <c r="K1132" s="17">
        <v>1</v>
      </c>
    </row>
    <row r="1133" spans="1:11" x14ac:dyDescent="0.25">
      <c r="A1133" s="12" t="s">
        <v>2285</v>
      </c>
      <c r="B1133" s="4" t="s">
        <v>2286</v>
      </c>
      <c r="C1133" s="14">
        <v>2054</v>
      </c>
      <c r="D1133" s="6" t="s">
        <v>31</v>
      </c>
      <c r="E1133" s="6" t="s">
        <v>17</v>
      </c>
      <c r="F1133" s="7">
        <v>29952</v>
      </c>
      <c r="G1133" s="8">
        <f t="shared" si="17"/>
        <v>29952</v>
      </c>
      <c r="H1133" s="6" t="s">
        <v>13</v>
      </c>
      <c r="I1133" s="9" t="str">
        <f>IF(ISNA(VLOOKUP(A1133,'[1]Craig Eval'!A:C,3,FALSE)),"",(VLOOKUP(A1133,'[1]Craig Eval'!A:C,3,FALSE))*1000)</f>
        <v/>
      </c>
      <c r="J1133" s="10" t="str">
        <f>IF(ISNA(VLOOKUP(A1133,'[1]Craig Eval'!A:M,13,FALSE)),"",VLOOKUP(A1133,'[1]Craig Eval'!A:M,13,FALSE))</f>
        <v/>
      </c>
      <c r="K1133" s="17">
        <v>4</v>
      </c>
    </row>
    <row r="1134" spans="1:11" ht="30" x14ac:dyDescent="0.25">
      <c r="A1134" s="3" t="s">
        <v>2287</v>
      </c>
      <c r="B1134" s="4" t="s">
        <v>2288</v>
      </c>
      <c r="C1134" s="5">
        <v>1815</v>
      </c>
      <c r="D1134" s="6" t="s">
        <v>28</v>
      </c>
      <c r="E1134" s="6" t="s">
        <v>17</v>
      </c>
      <c r="F1134" s="7">
        <v>36510</v>
      </c>
      <c r="G1134" s="8">
        <f t="shared" si="17"/>
        <v>36510</v>
      </c>
      <c r="H1134" s="6" t="s">
        <v>13</v>
      </c>
      <c r="I1134" s="9">
        <f>IF(ISNA(VLOOKUP(A1134,'[1]Craig Eval'!A:C,3,FALSE)),"",(VLOOKUP(A1134,'[1]Craig Eval'!A:C,3,FALSE))*1000)</f>
        <v>6297.5153148337895</v>
      </c>
      <c r="J1134" s="10">
        <f>IF(ISNA(VLOOKUP(A1134,'[1]Craig Eval'!A:M,13,FALSE)),"",VLOOKUP(A1134,'[1]Craig Eval'!A:M,13,FALSE))</f>
        <v>18.776140905266001</v>
      </c>
      <c r="K1134" s="17">
        <v>1</v>
      </c>
    </row>
    <row r="1135" spans="1:11" ht="30" x14ac:dyDescent="0.25">
      <c r="A1135" s="3" t="s">
        <v>2289</v>
      </c>
      <c r="B1135" s="4" t="s">
        <v>2290</v>
      </c>
      <c r="C1135" s="5">
        <v>54700</v>
      </c>
      <c r="D1135" s="6" t="s">
        <v>37</v>
      </c>
      <c r="E1135" s="6" t="s">
        <v>17</v>
      </c>
      <c r="F1135" s="7">
        <v>39037</v>
      </c>
      <c r="G1135" s="8">
        <f t="shared" si="17"/>
        <v>39037</v>
      </c>
      <c r="H1135" s="6" t="s">
        <v>39</v>
      </c>
      <c r="I1135" s="9" t="str">
        <f>IF(ISNA(VLOOKUP(A1135,'[1]Craig Eval'!A:C,3,FALSE)),"",(VLOOKUP(A1135,'[1]Craig Eval'!A:C,3,FALSE))*1000)</f>
        <v/>
      </c>
      <c r="J1135" s="10" t="str">
        <f>IF(ISNA(VLOOKUP(A1135,'[1]Craig Eval'!A:M,13,FALSE)),"",VLOOKUP(A1135,'[1]Craig Eval'!A:M,13,FALSE))</f>
        <v/>
      </c>
      <c r="K1135" s="11">
        <v>2</v>
      </c>
    </row>
    <row r="1136" spans="1:11" ht="30" x14ac:dyDescent="0.25">
      <c r="A1136" s="3" t="s">
        <v>2291</v>
      </c>
      <c r="B1136" s="4" t="s">
        <v>2292</v>
      </c>
      <c r="C1136" s="5">
        <v>72124</v>
      </c>
      <c r="D1136" s="6" t="s">
        <v>11</v>
      </c>
      <c r="E1136" s="6" t="s">
        <v>17</v>
      </c>
      <c r="F1136" s="7">
        <v>39184</v>
      </c>
      <c r="G1136" s="8">
        <f t="shared" si="17"/>
        <v>39184</v>
      </c>
      <c r="H1136" s="6" t="s">
        <v>13</v>
      </c>
      <c r="I1136" s="9" t="str">
        <f>IF(ISNA(VLOOKUP(A1136,'[1]Craig Eval'!A:C,3,FALSE)),"",(VLOOKUP(A1136,'[1]Craig Eval'!A:C,3,FALSE))*1000)</f>
        <v/>
      </c>
      <c r="J1136" s="10" t="str">
        <f>IF(ISNA(VLOOKUP(A1136,'[1]Craig Eval'!A:M,13,FALSE)),"",VLOOKUP(A1136,'[1]Craig Eval'!A:M,13,FALSE))</f>
        <v/>
      </c>
      <c r="K1136" s="17">
        <v>1</v>
      </c>
    </row>
    <row r="1137" spans="1:11" ht="30" x14ac:dyDescent="0.25">
      <c r="A1137" s="3" t="s">
        <v>2293</v>
      </c>
      <c r="B1137" s="4" t="s">
        <v>2294</v>
      </c>
      <c r="C1137" s="5">
        <v>16642</v>
      </c>
      <c r="D1137" s="6" t="s">
        <v>16</v>
      </c>
      <c r="E1137" s="6" t="s">
        <v>17</v>
      </c>
      <c r="F1137" s="7">
        <v>29007</v>
      </c>
      <c r="G1137" s="8">
        <f t="shared" si="17"/>
        <v>29007</v>
      </c>
      <c r="H1137" s="6" t="s">
        <v>13</v>
      </c>
      <c r="I1137" s="9">
        <f>IF(ISNA(VLOOKUP(A1137,'[1]Craig Eval'!A:C,3,FALSE)),"",(VLOOKUP(A1137,'[1]Craig Eval'!A:C,3,FALSE))*1000)</f>
        <v>28146.447733121098</v>
      </c>
      <c r="J1137" s="10">
        <f>IF(ISNA(VLOOKUP(A1137,'[1]Craig Eval'!A:M,13,FALSE)),"",VLOOKUP(A1137,'[1]Craig Eval'!A:M,13,FALSE))</f>
        <v>79.946557281865495</v>
      </c>
      <c r="K1137" s="17">
        <v>1</v>
      </c>
    </row>
    <row r="1138" spans="1:11" ht="30" x14ac:dyDescent="0.25">
      <c r="A1138" s="3" t="s">
        <v>2295</v>
      </c>
      <c r="B1138" s="4" t="s">
        <v>2296</v>
      </c>
      <c r="C1138" s="5">
        <v>10882</v>
      </c>
      <c r="D1138" s="6" t="s">
        <v>34</v>
      </c>
      <c r="E1138" s="6" t="s">
        <v>17</v>
      </c>
      <c r="F1138" s="7">
        <v>37843</v>
      </c>
      <c r="G1138" s="8">
        <f t="shared" si="17"/>
        <v>37843</v>
      </c>
      <c r="H1138" s="6" t="s">
        <v>13</v>
      </c>
      <c r="I1138" s="9" t="str">
        <f>IF(ISNA(VLOOKUP(A1138,'[1]Craig Eval'!A:C,3,FALSE)),"",(VLOOKUP(A1138,'[1]Craig Eval'!A:C,3,FALSE))*1000)</f>
        <v/>
      </c>
      <c r="J1138" s="10" t="str">
        <f>IF(ISNA(VLOOKUP(A1138,'[1]Craig Eval'!A:M,13,FALSE)),"",VLOOKUP(A1138,'[1]Craig Eval'!A:M,13,FALSE))</f>
        <v/>
      </c>
      <c r="K1138" s="17">
        <v>2</v>
      </c>
    </row>
    <row r="1139" spans="1:11" ht="30" x14ac:dyDescent="0.25">
      <c r="A1139" s="26" t="s">
        <v>2297</v>
      </c>
      <c r="B1139" s="27" t="s">
        <v>2298</v>
      </c>
      <c r="C1139" s="34">
        <v>54702</v>
      </c>
      <c r="D1139" s="28" t="s">
        <v>16</v>
      </c>
      <c r="E1139" s="28" t="s">
        <v>17</v>
      </c>
      <c r="F1139" s="29">
        <v>39520</v>
      </c>
      <c r="G1139" s="30">
        <f t="shared" si="17"/>
        <v>39520</v>
      </c>
      <c r="H1139" s="28" t="s">
        <v>13</v>
      </c>
      <c r="I1139" s="31">
        <f>IF(ISNA(VLOOKUP(A1139,'[1]Craig Eval'!A:C,3,FALSE)),"",(VLOOKUP(A1139,'[1]Craig Eval'!A:C,3,FALSE))*1000)</f>
        <v>31823.517679526802</v>
      </c>
      <c r="J1139" s="32">
        <f>IF(ISNA(VLOOKUP(A1139,'[1]Craig Eval'!A:M,13,FALSE)),"",VLOOKUP(A1139,'[1]Craig Eval'!A:M,13,FALSE))</f>
        <v>89.888216257394006</v>
      </c>
      <c r="K1139" s="33">
        <v>1</v>
      </c>
    </row>
    <row r="1140" spans="1:11" ht="30" x14ac:dyDescent="0.25">
      <c r="A1140" s="3" t="s">
        <v>2299</v>
      </c>
      <c r="B1140" s="4" t="s">
        <v>2300</v>
      </c>
      <c r="C1140" s="5">
        <v>11842</v>
      </c>
      <c r="D1140" s="6" t="s">
        <v>28</v>
      </c>
      <c r="E1140" s="6" t="s">
        <v>17</v>
      </c>
      <c r="F1140" s="7">
        <v>37978</v>
      </c>
      <c r="G1140" s="8">
        <f t="shared" si="17"/>
        <v>37978</v>
      </c>
      <c r="H1140" s="6" t="s">
        <v>13</v>
      </c>
      <c r="I1140" s="9">
        <f>IF(ISNA(VLOOKUP(A1140,'[1]Craig Eval'!A:C,3,FALSE)),"",(VLOOKUP(A1140,'[1]Craig Eval'!A:C,3,FALSE))*1000)</f>
        <v>977.911505855271</v>
      </c>
      <c r="J1140" s="10">
        <f>IF(ISNA(VLOOKUP(A1140,'[1]Craig Eval'!A:M,13,FALSE)),"",VLOOKUP(A1140,'[1]Craig Eval'!A:M,13,FALSE))</f>
        <v>2.99862936314168</v>
      </c>
      <c r="K1140" s="17">
        <v>1</v>
      </c>
    </row>
    <row r="1141" spans="1:11" ht="30" x14ac:dyDescent="0.25">
      <c r="A1141" s="3" t="s">
        <v>2301</v>
      </c>
      <c r="B1141" s="4" t="s">
        <v>2302</v>
      </c>
      <c r="C1141" s="5">
        <v>50641</v>
      </c>
      <c r="D1141" s="6" t="s">
        <v>11</v>
      </c>
      <c r="E1141" s="6" t="s">
        <v>12</v>
      </c>
      <c r="F1141" s="7">
        <v>39400</v>
      </c>
      <c r="G1141" s="8">
        <f t="shared" si="17"/>
        <v>39400</v>
      </c>
      <c r="H1141" s="6" t="s">
        <v>39</v>
      </c>
      <c r="I1141" s="9" t="str">
        <f>IF(ISNA(VLOOKUP(A1141,'[1]Craig Eval'!A:C,3,FALSE)),"",(VLOOKUP(A1141,'[1]Craig Eval'!A:C,3,FALSE))*1000)</f>
        <v/>
      </c>
      <c r="J1141" s="10" t="str">
        <f>IF(ISNA(VLOOKUP(A1141,'[1]Craig Eval'!A:M,13,FALSE)),"",VLOOKUP(A1141,'[1]Craig Eval'!A:M,13,FALSE))</f>
        <v/>
      </c>
      <c r="K1141" s="17">
        <v>1</v>
      </c>
    </row>
    <row r="1142" spans="1:11" ht="30" x14ac:dyDescent="0.25">
      <c r="A1142" s="3" t="s">
        <v>2303</v>
      </c>
      <c r="B1142" s="4" t="s">
        <v>2304</v>
      </c>
      <c r="C1142" s="14">
        <v>23394</v>
      </c>
      <c r="D1142" s="6" t="s">
        <v>11</v>
      </c>
      <c r="E1142" s="6" t="s">
        <v>17</v>
      </c>
      <c r="F1142" s="7">
        <v>35199</v>
      </c>
      <c r="G1142" s="8">
        <f t="shared" si="17"/>
        <v>35199</v>
      </c>
      <c r="H1142" s="6" t="s">
        <v>13</v>
      </c>
      <c r="I1142" s="9" t="str">
        <f>IF(ISNA(VLOOKUP(A1142,'[1]Craig Eval'!A:C,3,FALSE)),"",(VLOOKUP(A1142,'[1]Craig Eval'!A:C,3,FALSE))*1000)</f>
        <v/>
      </c>
      <c r="J1142" s="10" t="str">
        <f>IF(ISNA(VLOOKUP(A1142,'[1]Craig Eval'!A:M,13,FALSE)),"",VLOOKUP(A1142,'[1]Craig Eval'!A:M,13,FALSE))</f>
        <v/>
      </c>
      <c r="K1142" s="17">
        <v>1</v>
      </c>
    </row>
    <row r="1143" spans="1:11" ht="30" x14ac:dyDescent="0.25">
      <c r="A1143" s="3" t="s">
        <v>2305</v>
      </c>
      <c r="B1143" s="4" t="s">
        <v>2306</v>
      </c>
      <c r="C1143" s="5">
        <v>107317</v>
      </c>
      <c r="D1143" s="6" t="s">
        <v>34</v>
      </c>
      <c r="E1143" s="6" t="s">
        <v>17</v>
      </c>
      <c r="F1143" s="7">
        <v>40655</v>
      </c>
      <c r="G1143" s="8">
        <f t="shared" si="17"/>
        <v>40655</v>
      </c>
      <c r="H1143" s="6" t="s">
        <v>13</v>
      </c>
      <c r="I1143" s="9" t="str">
        <f>IF(ISNA(VLOOKUP(A1143,'[1]Craig Eval'!A:C,3,FALSE)),"",(VLOOKUP(A1143,'[1]Craig Eval'!A:C,3,FALSE))*1000)</f>
        <v/>
      </c>
      <c r="J1143" s="10" t="str">
        <f>IF(ISNA(VLOOKUP(A1143,'[1]Craig Eval'!A:M,13,FALSE)),"",VLOOKUP(A1143,'[1]Craig Eval'!A:M,13,FALSE))</f>
        <v/>
      </c>
      <c r="K1143" s="11">
        <v>1</v>
      </c>
    </row>
    <row r="1144" spans="1:11" ht="30" x14ac:dyDescent="0.25">
      <c r="A1144" s="3" t="s">
        <v>2307</v>
      </c>
      <c r="B1144" s="4" t="s">
        <v>2308</v>
      </c>
      <c r="C1144" s="5">
        <v>10885</v>
      </c>
      <c r="D1144" s="6" t="s">
        <v>34</v>
      </c>
      <c r="E1144" s="6" t="s">
        <v>17</v>
      </c>
      <c r="F1144" s="7">
        <v>37377</v>
      </c>
      <c r="G1144" s="8">
        <f t="shared" si="17"/>
        <v>37377</v>
      </c>
      <c r="H1144" s="6" t="s">
        <v>13</v>
      </c>
      <c r="I1144" s="9" t="str">
        <f>IF(ISNA(VLOOKUP(A1144,'[1]Craig Eval'!A:C,3,FALSE)),"",(VLOOKUP(A1144,'[1]Craig Eval'!A:C,3,FALSE))*1000)</f>
        <v/>
      </c>
      <c r="J1144" s="10" t="str">
        <f>IF(ISNA(VLOOKUP(A1144,'[1]Craig Eval'!A:M,13,FALSE)),"",VLOOKUP(A1144,'[1]Craig Eval'!A:M,13,FALSE))</f>
        <v/>
      </c>
      <c r="K1144" s="17">
        <v>1</v>
      </c>
    </row>
    <row r="1145" spans="1:11" ht="30" x14ac:dyDescent="0.25">
      <c r="A1145" s="3" t="s">
        <v>2309</v>
      </c>
      <c r="B1145" s="4" t="s">
        <v>2310</v>
      </c>
      <c r="C1145" s="14">
        <v>54703</v>
      </c>
      <c r="D1145" s="6" t="s">
        <v>28</v>
      </c>
      <c r="E1145" s="6" t="s">
        <v>508</v>
      </c>
      <c r="F1145" s="7">
        <v>37573</v>
      </c>
      <c r="G1145" s="8">
        <f t="shared" si="17"/>
        <v>37573</v>
      </c>
      <c r="H1145" s="6" t="s">
        <v>509</v>
      </c>
      <c r="I1145" s="9">
        <f>IF(ISNA(VLOOKUP(A1145,'[1]Craig Eval'!A:C,3,FALSE)),"",(VLOOKUP(A1145,'[1]Craig Eval'!A:C,3,FALSE))*1000)</f>
        <v>22457.870156304398</v>
      </c>
      <c r="J1145" s="10">
        <f>IF(ISNA(VLOOKUP(A1145,'[1]Craig Eval'!A:M,13,FALSE)),"",VLOOKUP(A1145,'[1]Craig Eval'!A:M,13,FALSE))</f>
        <v>64.398920137146504</v>
      </c>
      <c r="K1145" s="17">
        <v>1</v>
      </c>
    </row>
    <row r="1146" spans="1:11" ht="30" x14ac:dyDescent="0.25">
      <c r="A1146" s="26" t="s">
        <v>2311</v>
      </c>
      <c r="B1146" s="27" t="s">
        <v>2312</v>
      </c>
      <c r="C1146" s="5">
        <v>1588</v>
      </c>
      <c r="D1146" s="28" t="s">
        <v>34</v>
      </c>
      <c r="E1146" s="28" t="s">
        <v>17</v>
      </c>
      <c r="F1146" s="29">
        <v>29221</v>
      </c>
      <c r="G1146" s="30">
        <f t="shared" si="17"/>
        <v>29221</v>
      </c>
      <c r="H1146" s="28" t="s">
        <v>13</v>
      </c>
      <c r="I1146" s="31">
        <f>IF(ISNA(VLOOKUP(A1146,'[1]Craig Eval'!A:C,3,FALSE)),"",(VLOOKUP(A1146,'[1]Craig Eval'!A:C,3,FALSE))*1000)</f>
        <v>21229.832028216999</v>
      </c>
      <c r="J1146" s="32">
        <f>IF(ISNA(VLOOKUP(A1146,'[1]Craig Eval'!A:M,13,FALSE)),"",VLOOKUP(A1146,'[1]Craig Eval'!A:M,13,FALSE))</f>
        <v>61.013354239559398</v>
      </c>
      <c r="K1146" s="33">
        <v>1</v>
      </c>
    </row>
    <row r="1147" spans="1:11" ht="30" x14ac:dyDescent="0.25">
      <c r="A1147" s="18" t="s">
        <v>2313</v>
      </c>
      <c r="B1147" s="19" t="s">
        <v>2314</v>
      </c>
      <c r="C1147" s="5">
        <v>54704</v>
      </c>
      <c r="D1147" s="21" t="s">
        <v>11</v>
      </c>
      <c r="E1147" s="21" t="s">
        <v>17</v>
      </c>
      <c r="F1147" s="22">
        <v>38871</v>
      </c>
      <c r="G1147" s="8">
        <f t="shared" si="17"/>
        <v>38871</v>
      </c>
      <c r="H1147" s="21" t="s">
        <v>13</v>
      </c>
      <c r="I1147" s="9" t="str">
        <f>IF(ISNA(VLOOKUP(A1147,'[1]Craig Eval'!A:C,3,FALSE)),"",(VLOOKUP(A1147,'[1]Craig Eval'!A:C,3,FALSE))*1000)</f>
        <v/>
      </c>
      <c r="J1147" s="10" t="str">
        <f>IF(ISNA(VLOOKUP(A1147,'[1]Craig Eval'!A:M,13,FALSE)),"",VLOOKUP(A1147,'[1]Craig Eval'!A:M,13,FALSE))</f>
        <v/>
      </c>
      <c r="K1147" s="17">
        <v>1</v>
      </c>
    </row>
    <row r="1148" spans="1:11" ht="30" x14ac:dyDescent="0.25">
      <c r="A1148" s="3" t="s">
        <v>2315</v>
      </c>
      <c r="B1148" s="4" t="s">
        <v>2316</v>
      </c>
      <c r="C1148" s="5">
        <v>1334</v>
      </c>
      <c r="D1148" s="6" t="s">
        <v>31</v>
      </c>
      <c r="E1148" s="6" t="s">
        <v>17</v>
      </c>
      <c r="F1148" s="7">
        <v>31048</v>
      </c>
      <c r="G1148" s="8">
        <f t="shared" si="17"/>
        <v>31048</v>
      </c>
      <c r="H1148" s="6" t="s">
        <v>13</v>
      </c>
      <c r="I1148" s="9">
        <f>IF(ISNA(VLOOKUP(A1148,'[1]Craig Eval'!A:C,3,FALSE)),"",(VLOOKUP(A1148,'[1]Craig Eval'!A:C,3,FALSE))*1000)</f>
        <v>29803.655362948499</v>
      </c>
      <c r="J1148" s="10">
        <f>IF(ISNA(VLOOKUP(A1148,'[1]Craig Eval'!A:M,13,FALSE)),"",VLOOKUP(A1148,'[1]Craig Eval'!A:M,13,FALSE))</f>
        <v>84.437061656790505</v>
      </c>
      <c r="K1148" s="17">
        <v>1</v>
      </c>
    </row>
    <row r="1149" spans="1:11" ht="30" x14ac:dyDescent="0.25">
      <c r="A1149" s="3" t="s">
        <v>2317</v>
      </c>
      <c r="B1149" s="4" t="s">
        <v>2318</v>
      </c>
      <c r="C1149" s="5">
        <v>1184</v>
      </c>
      <c r="D1149" s="6" t="s">
        <v>16</v>
      </c>
      <c r="E1149" s="6" t="s">
        <v>17</v>
      </c>
      <c r="F1149" s="7">
        <v>31048</v>
      </c>
      <c r="G1149" s="8">
        <f t="shared" si="17"/>
        <v>31048</v>
      </c>
      <c r="H1149" s="6" t="s">
        <v>13</v>
      </c>
      <c r="I1149" s="9" t="str">
        <f>IF(ISNA(VLOOKUP(A1149,'[1]Craig Eval'!A:C,3,FALSE)),"",(VLOOKUP(A1149,'[1]Craig Eval'!A:C,3,FALSE))*1000)</f>
        <v/>
      </c>
      <c r="J1149" s="10" t="str">
        <f>IF(ISNA(VLOOKUP(A1149,'[1]Craig Eval'!A:M,13,FALSE)),"",VLOOKUP(A1149,'[1]Craig Eval'!A:M,13,FALSE))</f>
        <v/>
      </c>
      <c r="K1149" s="17">
        <v>2</v>
      </c>
    </row>
    <row r="1150" spans="1:11" ht="30" x14ac:dyDescent="0.25">
      <c r="A1150" s="3" t="s">
        <v>2319</v>
      </c>
      <c r="B1150" s="4" t="s">
        <v>2320</v>
      </c>
      <c r="C1150" s="5">
        <v>1167</v>
      </c>
      <c r="D1150" s="6" t="s">
        <v>34</v>
      </c>
      <c r="E1150" s="6" t="s">
        <v>17</v>
      </c>
      <c r="F1150" s="7">
        <v>29221</v>
      </c>
      <c r="G1150" s="8">
        <f t="shared" si="17"/>
        <v>29221</v>
      </c>
      <c r="H1150" s="6" t="s">
        <v>13</v>
      </c>
      <c r="I1150" s="9">
        <f>IF(ISNA(VLOOKUP(A1150,'[1]Craig Eval'!A:C,3,FALSE)),"",(VLOOKUP(A1150,'[1]Craig Eval'!A:C,3,FALSE))*1000)</f>
        <v>4144.7912602853794</v>
      </c>
      <c r="J1150" s="10">
        <f>IF(ISNA(VLOOKUP(A1150,'[1]Craig Eval'!A:M,13,FALSE)),"",VLOOKUP(A1150,'[1]Craig Eval'!A:M,13,FALSE))</f>
        <v>12.4645629967528</v>
      </c>
      <c r="K1150" s="17">
        <v>1</v>
      </c>
    </row>
    <row r="1151" spans="1:11" ht="30" x14ac:dyDescent="0.25">
      <c r="A1151" s="3" t="s">
        <v>2321</v>
      </c>
      <c r="B1151" s="4" t="s">
        <v>2322</v>
      </c>
      <c r="C1151" s="5">
        <v>54705</v>
      </c>
      <c r="D1151" s="6" t="s">
        <v>16</v>
      </c>
      <c r="E1151" s="6" t="s">
        <v>17</v>
      </c>
      <c r="F1151" s="7">
        <v>38240</v>
      </c>
      <c r="G1151" s="8">
        <f t="shared" si="17"/>
        <v>38240</v>
      </c>
      <c r="H1151" s="6" t="s">
        <v>13</v>
      </c>
      <c r="I1151" s="9" t="str">
        <f>IF(ISNA(VLOOKUP(A1151,'[1]Craig Eval'!A:C,3,FALSE)),"",(VLOOKUP(A1151,'[1]Craig Eval'!A:C,3,FALSE))*1000)</f>
        <v/>
      </c>
      <c r="J1151" s="10" t="str">
        <f>IF(ISNA(VLOOKUP(A1151,'[1]Craig Eval'!A:M,13,FALSE)),"",VLOOKUP(A1151,'[1]Craig Eval'!A:M,13,FALSE))</f>
        <v/>
      </c>
      <c r="K1151" s="17">
        <v>1</v>
      </c>
    </row>
    <row r="1152" spans="1:11" ht="30" x14ac:dyDescent="0.25">
      <c r="A1152" s="3" t="s">
        <v>2323</v>
      </c>
      <c r="B1152" s="4" t="s">
        <v>2324</v>
      </c>
      <c r="C1152" s="5">
        <v>12816</v>
      </c>
      <c r="D1152" s="6" t="s">
        <v>16</v>
      </c>
      <c r="E1152" s="6" t="s">
        <v>17</v>
      </c>
      <c r="F1152" s="7">
        <v>38084</v>
      </c>
      <c r="G1152" s="8">
        <f t="shared" si="17"/>
        <v>38084</v>
      </c>
      <c r="H1152" s="6" t="s">
        <v>13</v>
      </c>
      <c r="I1152" s="9">
        <f>IF(ISNA(VLOOKUP(A1152,'[1]Craig Eval'!A:C,3,FALSE)),"",(VLOOKUP(A1152,'[1]Craig Eval'!A:C,3,FALSE))*1000)</f>
        <v>12611.5108421717</v>
      </c>
      <c r="J1152" s="10">
        <f>IF(ISNA(VLOOKUP(A1152,'[1]Craig Eval'!A:M,13,FALSE)),"",VLOOKUP(A1152,'[1]Craig Eval'!A:M,13,FALSE))</f>
        <v>36.911458291546303</v>
      </c>
      <c r="K1152" s="17">
        <v>1</v>
      </c>
    </row>
    <row r="1153" spans="1:11" ht="30" x14ac:dyDescent="0.25">
      <c r="A1153" s="3" t="s">
        <v>2325</v>
      </c>
      <c r="B1153" s="4" t="s">
        <v>2326</v>
      </c>
      <c r="C1153" s="14">
        <v>1420</v>
      </c>
      <c r="D1153" s="6" t="s">
        <v>34</v>
      </c>
      <c r="E1153" s="6" t="s">
        <v>17</v>
      </c>
      <c r="F1153" s="7">
        <v>29952</v>
      </c>
      <c r="G1153" s="8">
        <f t="shared" si="17"/>
        <v>29952</v>
      </c>
      <c r="H1153" s="6" t="s">
        <v>13</v>
      </c>
      <c r="I1153" s="9">
        <f>IF(ISNA(VLOOKUP(A1153,'[1]Craig Eval'!A:C,3,FALSE)),"",(VLOOKUP(A1153,'[1]Craig Eval'!A:C,3,FALSE))*1000)</f>
        <v>227517.33441325399</v>
      </c>
      <c r="J1153" s="10">
        <f>IF(ISNA(VLOOKUP(A1153,'[1]Craig Eval'!A:M,13,FALSE)),"",VLOOKUP(A1153,'[1]Craig Eval'!A:M,13,FALSE))</f>
        <v>559.56430696808604</v>
      </c>
      <c r="K1153" s="17">
        <v>4</v>
      </c>
    </row>
    <row r="1154" spans="1:11" ht="30" x14ac:dyDescent="0.25">
      <c r="A1154" s="3" t="s">
        <v>2327</v>
      </c>
      <c r="B1154" s="4" t="s">
        <v>2328</v>
      </c>
      <c r="C1154" s="5">
        <v>1250</v>
      </c>
      <c r="D1154" s="6" t="s">
        <v>28</v>
      </c>
      <c r="E1154" s="6" t="s">
        <v>17</v>
      </c>
      <c r="F1154" s="7">
        <v>31778</v>
      </c>
      <c r="G1154" s="8">
        <f t="shared" ref="G1154:G1217" si="18">F1154</f>
        <v>31778</v>
      </c>
      <c r="H1154" s="6" t="s">
        <v>13</v>
      </c>
      <c r="I1154" s="9">
        <f>IF(ISNA(VLOOKUP(A1154,'[1]Craig Eval'!A:C,3,FALSE)),"",(VLOOKUP(A1154,'[1]Craig Eval'!A:C,3,FALSE))*1000)</f>
        <v>4272.9998561032899</v>
      </c>
      <c r="J1154" s="10">
        <f>IF(ISNA(VLOOKUP(A1154,'[1]Craig Eval'!A:M,13,FALSE)),"",VLOOKUP(A1154,'[1]Craig Eval'!A:M,13,FALSE))</f>
        <v>12.842781679497801</v>
      </c>
      <c r="K1154" s="17">
        <v>1</v>
      </c>
    </row>
    <row r="1155" spans="1:11" ht="30" x14ac:dyDescent="0.25">
      <c r="A1155" s="3" t="s">
        <v>2329</v>
      </c>
      <c r="B1155" s="4" t="s">
        <v>2330</v>
      </c>
      <c r="C1155" s="14">
        <v>54706</v>
      </c>
      <c r="D1155" s="6" t="s">
        <v>31</v>
      </c>
      <c r="E1155" s="6" t="s">
        <v>17</v>
      </c>
      <c r="F1155" s="7">
        <v>32766</v>
      </c>
      <c r="G1155" s="8">
        <f t="shared" si="18"/>
        <v>32766</v>
      </c>
      <c r="H1155" s="6" t="s">
        <v>13</v>
      </c>
      <c r="I1155" s="9" t="str">
        <f>IF(ISNA(VLOOKUP(A1155,'[1]Craig Eval'!A:C,3,FALSE)),"",(VLOOKUP(A1155,'[1]Craig Eval'!A:C,3,FALSE))*1000)</f>
        <v/>
      </c>
      <c r="J1155" s="10" t="str">
        <f>IF(ISNA(VLOOKUP(A1155,'[1]Craig Eval'!A:M,13,FALSE)),"",VLOOKUP(A1155,'[1]Craig Eval'!A:M,13,FALSE))</f>
        <v/>
      </c>
      <c r="K1155" s="17">
        <v>1</v>
      </c>
    </row>
    <row r="1156" spans="1:11" ht="30" x14ac:dyDescent="0.25">
      <c r="A1156" s="3" t="s">
        <v>2331</v>
      </c>
      <c r="B1156" s="4" t="s">
        <v>2332</v>
      </c>
      <c r="C1156" s="5">
        <v>1198</v>
      </c>
      <c r="D1156" s="6" t="s">
        <v>16</v>
      </c>
      <c r="E1156" s="6" t="s">
        <v>17</v>
      </c>
      <c r="F1156" s="7">
        <v>29221</v>
      </c>
      <c r="G1156" s="8">
        <f t="shared" si="18"/>
        <v>29221</v>
      </c>
      <c r="H1156" s="6" t="s">
        <v>13</v>
      </c>
      <c r="I1156" s="9" t="str">
        <f>IF(ISNA(VLOOKUP(A1156,'[1]Craig Eval'!A:C,3,FALSE)),"",(VLOOKUP(A1156,'[1]Craig Eval'!A:C,3,FALSE))*1000)</f>
        <v/>
      </c>
      <c r="J1156" s="10" t="str">
        <f>IF(ISNA(VLOOKUP(A1156,'[1]Craig Eval'!A:M,13,FALSE)),"",VLOOKUP(A1156,'[1]Craig Eval'!A:M,13,FALSE))</f>
        <v/>
      </c>
      <c r="K1156" s="17">
        <v>1</v>
      </c>
    </row>
    <row r="1157" spans="1:11" ht="30" x14ac:dyDescent="0.25">
      <c r="A1157" s="3" t="s">
        <v>2333</v>
      </c>
      <c r="B1157" s="4" t="s">
        <v>2334</v>
      </c>
      <c r="C1157" s="5">
        <v>1243</v>
      </c>
      <c r="D1157" s="6" t="s">
        <v>28</v>
      </c>
      <c r="E1157" s="6" t="s">
        <v>17</v>
      </c>
      <c r="F1157" s="7">
        <v>35065</v>
      </c>
      <c r="G1157" s="8">
        <f t="shared" si="18"/>
        <v>35065</v>
      </c>
      <c r="H1157" s="6" t="s">
        <v>13</v>
      </c>
      <c r="I1157" s="9">
        <f>IF(ISNA(VLOOKUP(A1157,'[1]Craig Eval'!A:C,3,FALSE)),"",(VLOOKUP(A1157,'[1]Craig Eval'!A:C,3,FALSE))*1000)</f>
        <v>17749.866102065502</v>
      </c>
      <c r="J1157" s="10">
        <f>IF(ISNA(VLOOKUP(A1157,'[1]Craig Eval'!A:M,13,FALSE)),"",VLOOKUP(A1157,'[1]Craig Eval'!A:M,13,FALSE))</f>
        <v>51.357330304110803</v>
      </c>
      <c r="K1157" s="17">
        <v>1</v>
      </c>
    </row>
    <row r="1158" spans="1:11" ht="30" x14ac:dyDescent="0.25">
      <c r="A1158" s="3" t="s">
        <v>2335</v>
      </c>
      <c r="B1158" s="4" t="s">
        <v>2336</v>
      </c>
      <c r="C1158" s="5">
        <v>1551</v>
      </c>
      <c r="D1158" s="6" t="s">
        <v>28</v>
      </c>
      <c r="E1158" s="6" t="s">
        <v>17</v>
      </c>
      <c r="F1158" s="7">
        <v>32874</v>
      </c>
      <c r="G1158" s="8">
        <f t="shared" si="18"/>
        <v>32874</v>
      </c>
      <c r="H1158" s="6" t="s">
        <v>13</v>
      </c>
      <c r="I1158" s="9">
        <f>IF(ISNA(VLOOKUP(A1158,'[1]Craig Eval'!A:C,3,FALSE)),"",(VLOOKUP(A1158,'[1]Craig Eval'!A:C,3,FALSE))*1000)</f>
        <v>2916.0568684091199</v>
      </c>
      <c r="J1158" s="10">
        <f>IF(ISNA(VLOOKUP(A1158,'[1]Craig Eval'!A:M,13,FALSE)),"",VLOOKUP(A1158,'[1]Craig Eval'!A:M,13,FALSE))</f>
        <v>8.8224867724421596</v>
      </c>
      <c r="K1158" s="17">
        <v>1</v>
      </c>
    </row>
    <row r="1159" spans="1:11" ht="30" x14ac:dyDescent="0.25">
      <c r="A1159" s="3" t="s">
        <v>2337</v>
      </c>
      <c r="B1159" s="4" t="s">
        <v>2338</v>
      </c>
      <c r="C1159" s="5">
        <v>1587</v>
      </c>
      <c r="D1159" s="6" t="s">
        <v>34</v>
      </c>
      <c r="E1159" s="6" t="s">
        <v>17</v>
      </c>
      <c r="F1159" s="7">
        <v>18264</v>
      </c>
      <c r="G1159" s="8">
        <f t="shared" si="18"/>
        <v>18264</v>
      </c>
      <c r="H1159" s="6" t="s">
        <v>13</v>
      </c>
      <c r="I1159" s="9">
        <f>IF(ISNA(VLOOKUP(A1159,'[1]Craig Eval'!A:C,3,FALSE)),"",(VLOOKUP(A1159,'[1]Craig Eval'!A:C,3,FALSE))*1000)</f>
        <v>11059.658491903299</v>
      </c>
      <c r="J1159" s="10">
        <f>IF(ISNA(VLOOKUP(A1159,'[1]Craig Eval'!A:M,13,FALSE)),"",VLOOKUP(A1159,'[1]Craig Eval'!A:M,13,FALSE))</f>
        <v>32.498080059149302</v>
      </c>
      <c r="K1159" s="11">
        <v>1</v>
      </c>
    </row>
    <row r="1160" spans="1:11" ht="30" x14ac:dyDescent="0.25">
      <c r="A1160" s="3" t="s">
        <v>2339</v>
      </c>
      <c r="B1160" s="4" t="s">
        <v>2340</v>
      </c>
      <c r="C1160" s="5">
        <v>1663</v>
      </c>
      <c r="D1160" s="6" t="s">
        <v>16</v>
      </c>
      <c r="E1160" s="6" t="s">
        <v>17</v>
      </c>
      <c r="F1160" s="7">
        <v>36607</v>
      </c>
      <c r="G1160" s="8">
        <f t="shared" si="18"/>
        <v>36607</v>
      </c>
      <c r="H1160" s="6" t="s">
        <v>13</v>
      </c>
      <c r="I1160" s="9" t="str">
        <f>IF(ISNA(VLOOKUP(A1160,'[1]Craig Eval'!A:C,3,FALSE)),"",(VLOOKUP(A1160,'[1]Craig Eval'!A:C,3,FALSE))*1000)</f>
        <v/>
      </c>
      <c r="J1160" s="10" t="str">
        <f>IF(ISNA(VLOOKUP(A1160,'[1]Craig Eval'!A:M,13,FALSE)),"",VLOOKUP(A1160,'[1]Craig Eval'!A:M,13,FALSE))</f>
        <v/>
      </c>
      <c r="K1160" s="17">
        <v>1</v>
      </c>
    </row>
    <row r="1161" spans="1:11" ht="30" x14ac:dyDescent="0.25">
      <c r="A1161" s="3" t="s">
        <v>2341</v>
      </c>
      <c r="B1161" s="4" t="s">
        <v>2342</v>
      </c>
      <c r="C1161" s="14">
        <v>19208</v>
      </c>
      <c r="D1161" s="6" t="s">
        <v>16</v>
      </c>
      <c r="E1161" s="6" t="s">
        <v>17</v>
      </c>
      <c r="F1161" s="7">
        <v>31453</v>
      </c>
      <c r="G1161" s="8">
        <f t="shared" si="18"/>
        <v>31453</v>
      </c>
      <c r="H1161" s="6" t="s">
        <v>13</v>
      </c>
      <c r="I1161" s="9">
        <f>IF(ISNA(VLOOKUP(A1161,'[1]Craig Eval'!A:C,3,FALSE)),"",(VLOOKUP(A1161,'[1]Craig Eval'!A:C,3,FALSE))*1000)</f>
        <v>74553.387407606089</v>
      </c>
      <c r="J1161" s="10">
        <f>IF(ISNA(VLOOKUP(A1161,'[1]Craig Eval'!A:M,13,FALSE)),"",VLOOKUP(A1161,'[1]Craig Eval'!A:M,13,FALSE))</f>
        <v>200.808466802624</v>
      </c>
      <c r="K1161" s="17">
        <v>1</v>
      </c>
    </row>
    <row r="1162" spans="1:11" ht="30" x14ac:dyDescent="0.25">
      <c r="A1162" s="3" t="s">
        <v>2343</v>
      </c>
      <c r="B1162" s="4" t="s">
        <v>2344</v>
      </c>
      <c r="C1162" s="5">
        <v>18883</v>
      </c>
      <c r="D1162" s="6" t="s">
        <v>16</v>
      </c>
      <c r="E1162" s="6" t="s">
        <v>17</v>
      </c>
      <c r="F1162" s="7">
        <v>32701</v>
      </c>
      <c r="G1162" s="8">
        <f t="shared" si="18"/>
        <v>32701</v>
      </c>
      <c r="H1162" s="6" t="s">
        <v>13</v>
      </c>
      <c r="I1162" s="9">
        <f>IF(ISNA(VLOOKUP(A1162,'[1]Craig Eval'!A:C,3,FALSE)),"",(VLOOKUP(A1162,'[1]Craig Eval'!A:C,3,FALSE))*1000)</f>
        <v>34773.968248356199</v>
      </c>
      <c r="J1162" s="10">
        <f>IF(ISNA(VLOOKUP(A1162,'[1]Craig Eval'!A:M,13,FALSE)),"",VLOOKUP(A1162,'[1]Craig Eval'!A:M,13,FALSE))</f>
        <v>97.809317877920293</v>
      </c>
      <c r="K1162" s="17">
        <v>1</v>
      </c>
    </row>
    <row r="1163" spans="1:11" ht="30" x14ac:dyDescent="0.25">
      <c r="A1163" s="3" t="s">
        <v>2345</v>
      </c>
      <c r="B1163" s="4" t="s">
        <v>2346</v>
      </c>
      <c r="C1163" s="5">
        <v>1502</v>
      </c>
      <c r="D1163" s="6" t="s">
        <v>28</v>
      </c>
      <c r="E1163" s="6" t="s">
        <v>17</v>
      </c>
      <c r="F1163" s="7">
        <v>18264</v>
      </c>
      <c r="G1163" s="8">
        <f t="shared" si="18"/>
        <v>18264</v>
      </c>
      <c r="H1163" s="6" t="s">
        <v>13</v>
      </c>
      <c r="I1163" s="9">
        <f>IF(ISNA(VLOOKUP(A1163,'[1]Craig Eval'!A:C,3,FALSE)),"",(VLOOKUP(A1163,'[1]Craig Eval'!A:C,3,FALSE))*1000)</f>
        <v>60870.149231794298</v>
      </c>
      <c r="J1163" s="10">
        <f>IF(ISNA(VLOOKUP(A1163,'[1]Craig Eval'!A:M,13,FALSE)),"",VLOOKUP(A1163,'[1]Craig Eval'!A:M,13,FALSE))</f>
        <v>166.07202361163499</v>
      </c>
      <c r="K1163" s="17">
        <v>1</v>
      </c>
    </row>
    <row r="1164" spans="1:11" ht="30" x14ac:dyDescent="0.25">
      <c r="A1164" s="3" t="s">
        <v>2347</v>
      </c>
      <c r="B1164" s="4" t="s">
        <v>2348</v>
      </c>
      <c r="C1164" s="5">
        <v>1495</v>
      </c>
      <c r="D1164" s="6" t="s">
        <v>28</v>
      </c>
      <c r="E1164" s="6" t="s">
        <v>17</v>
      </c>
      <c r="F1164" s="7">
        <v>29221</v>
      </c>
      <c r="G1164" s="8">
        <f t="shared" si="18"/>
        <v>29221</v>
      </c>
      <c r="H1164" s="6" t="s">
        <v>13</v>
      </c>
      <c r="I1164" s="9" t="str">
        <f>IF(ISNA(VLOOKUP(A1164,'[1]Craig Eval'!A:C,3,FALSE)),"",(VLOOKUP(A1164,'[1]Craig Eval'!A:C,3,FALSE))*1000)</f>
        <v/>
      </c>
      <c r="J1164" s="10" t="str">
        <f>IF(ISNA(VLOOKUP(A1164,'[1]Craig Eval'!A:M,13,FALSE)),"",VLOOKUP(A1164,'[1]Craig Eval'!A:M,13,FALSE))</f>
        <v/>
      </c>
      <c r="K1164" s="17">
        <v>3</v>
      </c>
    </row>
    <row r="1165" spans="1:11" ht="30" x14ac:dyDescent="0.25">
      <c r="A1165" s="3" t="s">
        <v>2349</v>
      </c>
      <c r="B1165" s="4" t="s">
        <v>2350</v>
      </c>
      <c r="C1165" s="5">
        <v>21445</v>
      </c>
      <c r="D1165" s="6" t="s">
        <v>28</v>
      </c>
      <c r="E1165" s="6" t="s">
        <v>17</v>
      </c>
      <c r="F1165" s="7">
        <v>38958</v>
      </c>
      <c r="G1165" s="8">
        <f t="shared" si="18"/>
        <v>38958</v>
      </c>
      <c r="H1165" s="6" t="s">
        <v>13</v>
      </c>
      <c r="I1165" s="9">
        <f>IF(ISNA(VLOOKUP(A1165,'[1]Craig Eval'!A:C,3,FALSE)),"",(VLOOKUP(A1165,'[1]Craig Eval'!A:C,3,FALSE))*1000)</f>
        <v>29606.6641162708</v>
      </c>
      <c r="J1165" s="10">
        <f>IF(ISNA(VLOOKUP(A1165,'[1]Craig Eval'!A:M,13,FALSE)),"",VLOOKUP(A1165,'[1]Craig Eval'!A:M,13,FALSE))</f>
        <v>83.904145261689607</v>
      </c>
      <c r="K1165" s="17">
        <v>2</v>
      </c>
    </row>
    <row r="1166" spans="1:11" ht="30" x14ac:dyDescent="0.25">
      <c r="A1166" s="3" t="s">
        <v>2351</v>
      </c>
      <c r="B1166" s="4" t="s">
        <v>2352</v>
      </c>
      <c r="C1166" s="5">
        <v>1937</v>
      </c>
      <c r="D1166" s="6" t="s">
        <v>34</v>
      </c>
      <c r="E1166" s="6" t="s">
        <v>17</v>
      </c>
      <c r="F1166" s="7">
        <v>36395</v>
      </c>
      <c r="G1166" s="8">
        <f t="shared" si="18"/>
        <v>36395</v>
      </c>
      <c r="H1166" s="6" t="s">
        <v>13</v>
      </c>
      <c r="I1166" s="9" t="str">
        <f>IF(ISNA(VLOOKUP(A1166,'[1]Craig Eval'!A:C,3,FALSE)),"",(VLOOKUP(A1166,'[1]Craig Eval'!A:C,3,FALSE))*1000)</f>
        <v/>
      </c>
      <c r="J1166" s="10" t="str">
        <f>IF(ISNA(VLOOKUP(A1166,'[1]Craig Eval'!A:M,13,FALSE)),"",VLOOKUP(A1166,'[1]Craig Eval'!A:M,13,FALSE))</f>
        <v/>
      </c>
      <c r="K1166" s="17">
        <v>1</v>
      </c>
    </row>
    <row r="1167" spans="1:11" ht="30" x14ac:dyDescent="0.25">
      <c r="A1167" s="3" t="s">
        <v>2353</v>
      </c>
      <c r="B1167" s="4" t="s">
        <v>2354</v>
      </c>
      <c r="C1167" s="5">
        <v>1853</v>
      </c>
      <c r="D1167" s="6" t="s">
        <v>16</v>
      </c>
      <c r="E1167" s="6" t="s">
        <v>17</v>
      </c>
      <c r="F1167" s="7">
        <v>31048</v>
      </c>
      <c r="G1167" s="8">
        <f t="shared" si="18"/>
        <v>31048</v>
      </c>
      <c r="H1167" s="6" t="s">
        <v>13</v>
      </c>
      <c r="I1167" s="9" t="str">
        <f>IF(ISNA(VLOOKUP(A1167,'[1]Craig Eval'!A:C,3,FALSE)),"",(VLOOKUP(A1167,'[1]Craig Eval'!A:C,3,FALSE))*1000)</f>
        <v/>
      </c>
      <c r="J1167" s="10" t="str">
        <f>IF(ISNA(VLOOKUP(A1167,'[1]Craig Eval'!A:M,13,FALSE)),"",VLOOKUP(A1167,'[1]Craig Eval'!A:M,13,FALSE))</f>
        <v/>
      </c>
      <c r="K1167" s="17">
        <v>2</v>
      </c>
    </row>
    <row r="1168" spans="1:11" ht="30" x14ac:dyDescent="0.25">
      <c r="A1168" s="3" t="s">
        <v>2355</v>
      </c>
      <c r="B1168" s="4" t="s">
        <v>2356</v>
      </c>
      <c r="C1168" s="5">
        <v>1669</v>
      </c>
      <c r="D1168" s="6" t="s">
        <v>31</v>
      </c>
      <c r="E1168" s="6" t="s">
        <v>17</v>
      </c>
      <c r="F1168" s="7">
        <v>18264</v>
      </c>
      <c r="G1168" s="8">
        <f t="shared" si="18"/>
        <v>18264</v>
      </c>
      <c r="H1168" s="6" t="s">
        <v>13</v>
      </c>
      <c r="I1168" s="9">
        <f>IF(ISNA(VLOOKUP(A1168,'[1]Craig Eval'!A:C,3,FALSE)),"",(VLOOKUP(A1168,'[1]Craig Eval'!A:C,3,FALSE))*1000)</f>
        <v>9007.5494665548304</v>
      </c>
      <c r="J1168" s="10">
        <f>IF(ISNA(VLOOKUP(A1168,'[1]Craig Eval'!A:M,13,FALSE)),"",VLOOKUP(A1168,'[1]Craig Eval'!A:M,13,FALSE))</f>
        <v>26.6205533071514</v>
      </c>
      <c r="K1168" s="17">
        <v>1</v>
      </c>
    </row>
    <row r="1169" spans="1:11" ht="30" x14ac:dyDescent="0.25">
      <c r="A1169" s="3" t="s">
        <v>2357</v>
      </c>
      <c r="B1169" s="4" t="s">
        <v>2358</v>
      </c>
      <c r="C1169" s="5">
        <v>1451</v>
      </c>
      <c r="D1169" s="6" t="s">
        <v>31</v>
      </c>
      <c r="E1169" s="6" t="s">
        <v>17</v>
      </c>
      <c r="F1169" s="7">
        <v>19725</v>
      </c>
      <c r="G1169" s="8">
        <f t="shared" si="18"/>
        <v>19725</v>
      </c>
      <c r="H1169" s="6" t="s">
        <v>13</v>
      </c>
      <c r="I1169" s="9">
        <f>IF(ISNA(VLOOKUP(A1169,'[1]Craig Eval'!A:C,3,FALSE)),"",(VLOOKUP(A1169,'[1]Craig Eval'!A:C,3,FALSE))*1000)</f>
        <v>12100.385216799299</v>
      </c>
      <c r="J1169" s="10">
        <f>IF(ISNA(VLOOKUP(A1169,'[1]Craig Eval'!A:M,13,FALSE)),"",VLOOKUP(A1169,'[1]Craig Eval'!A:M,13,FALSE))</f>
        <v>35.460664469185602</v>
      </c>
      <c r="K1169" s="17">
        <v>2</v>
      </c>
    </row>
    <row r="1170" spans="1:11" ht="30" x14ac:dyDescent="0.25">
      <c r="A1170" s="3" t="s">
        <v>2359</v>
      </c>
      <c r="B1170" s="4" t="s">
        <v>2360</v>
      </c>
      <c r="C1170" s="5">
        <v>2246</v>
      </c>
      <c r="D1170" s="6" t="s">
        <v>31</v>
      </c>
      <c r="E1170" s="6" t="s">
        <v>17</v>
      </c>
      <c r="F1170" s="7">
        <v>37054</v>
      </c>
      <c r="G1170" s="8">
        <f t="shared" si="18"/>
        <v>37054</v>
      </c>
      <c r="H1170" s="6" t="s">
        <v>13</v>
      </c>
      <c r="I1170" s="9">
        <f>IF(ISNA(VLOOKUP(A1170,'[1]Craig Eval'!A:C,3,FALSE)),"",(VLOOKUP(A1170,'[1]Craig Eval'!A:C,3,FALSE))*1000)</f>
        <v>6876.0470722521995</v>
      </c>
      <c r="J1170" s="10">
        <f>IF(ISNA(VLOOKUP(A1170,'[1]Craig Eval'!A:M,13,FALSE)),"",VLOOKUP(A1170,'[1]Craig Eval'!A:M,13,FALSE))</f>
        <v>20.459446793363401</v>
      </c>
      <c r="K1170" s="17">
        <v>1</v>
      </c>
    </row>
    <row r="1171" spans="1:11" ht="30" x14ac:dyDescent="0.25">
      <c r="A1171" s="3" t="s">
        <v>2361</v>
      </c>
      <c r="B1171" s="4" t="s">
        <v>2362</v>
      </c>
      <c r="C1171" s="5">
        <v>72100</v>
      </c>
      <c r="D1171" s="6" t="s">
        <v>37</v>
      </c>
      <c r="E1171" s="6" t="s">
        <v>38</v>
      </c>
      <c r="F1171" s="7">
        <v>39003</v>
      </c>
      <c r="G1171" s="8">
        <f t="shared" si="18"/>
        <v>39003</v>
      </c>
      <c r="H1171" s="6" t="s">
        <v>39</v>
      </c>
      <c r="I1171" s="9" t="str">
        <f>IF(ISNA(VLOOKUP(A1171,'[1]Craig Eval'!A:C,3,FALSE)),"",(VLOOKUP(A1171,'[1]Craig Eval'!A:C,3,FALSE))*1000)</f>
        <v/>
      </c>
      <c r="J1171" s="10" t="str">
        <f>IF(ISNA(VLOOKUP(A1171,'[1]Craig Eval'!A:M,13,FALSE)),"",VLOOKUP(A1171,'[1]Craig Eval'!A:M,13,FALSE))</f>
        <v/>
      </c>
      <c r="K1171" s="17">
        <v>2</v>
      </c>
    </row>
    <row r="1172" spans="1:11" ht="30" x14ac:dyDescent="0.25">
      <c r="A1172" s="26" t="s">
        <v>2363</v>
      </c>
      <c r="B1172" s="27" t="s">
        <v>2364</v>
      </c>
      <c r="C1172" s="5">
        <v>1832</v>
      </c>
      <c r="D1172" s="28" t="s">
        <v>31</v>
      </c>
      <c r="E1172" s="28" t="s">
        <v>17</v>
      </c>
      <c r="F1172" s="29">
        <v>32070</v>
      </c>
      <c r="G1172" s="30">
        <f t="shared" si="18"/>
        <v>32070</v>
      </c>
      <c r="H1172" s="28" t="s">
        <v>13</v>
      </c>
      <c r="I1172" s="31">
        <f>IF(ISNA(VLOOKUP(A1172,'[1]Craig Eval'!A:C,3,FALSE)),"",(VLOOKUP(A1172,'[1]Craig Eval'!A:C,3,FALSE))*1000)</f>
        <v>32841.803971544003</v>
      </c>
      <c r="J1172" s="32">
        <f>IF(ISNA(VLOOKUP(A1172,'[1]Craig Eval'!A:M,13,FALSE)),"",VLOOKUP(A1172,'[1]Craig Eval'!A:M,13,FALSE))</f>
        <v>92.627471328104704</v>
      </c>
      <c r="K1172" s="33">
        <v>1</v>
      </c>
    </row>
    <row r="1173" spans="1:11" ht="30" x14ac:dyDescent="0.25">
      <c r="A1173" s="3" t="s">
        <v>2365</v>
      </c>
      <c r="B1173" s="4" t="s">
        <v>2366</v>
      </c>
      <c r="C1173" s="5">
        <v>1921</v>
      </c>
      <c r="D1173" s="6" t="s">
        <v>31</v>
      </c>
      <c r="E1173" s="6" t="s">
        <v>17</v>
      </c>
      <c r="F1173" s="7">
        <v>36945</v>
      </c>
      <c r="G1173" s="8">
        <f t="shared" si="18"/>
        <v>36945</v>
      </c>
      <c r="H1173" s="6" t="s">
        <v>13</v>
      </c>
      <c r="I1173" s="9">
        <f>IF(ISNA(VLOOKUP(A1173,'[1]Craig Eval'!A:C,3,FALSE)),"",(VLOOKUP(A1173,'[1]Craig Eval'!A:C,3,FALSE))*1000)</f>
        <v>85239.592148001902</v>
      </c>
      <c r="J1173" s="10">
        <f>IF(ISNA(VLOOKUP(A1173,'[1]Craig Eval'!A:M,13,FALSE)),"",VLOOKUP(A1173,'[1]Craig Eval'!A:M,13,FALSE))</f>
        <v>227.521540174808</v>
      </c>
      <c r="K1173" s="17">
        <v>2</v>
      </c>
    </row>
    <row r="1174" spans="1:11" ht="30" x14ac:dyDescent="0.25">
      <c r="A1174" s="3" t="s">
        <v>2367</v>
      </c>
      <c r="B1174" s="4" t="s">
        <v>2368</v>
      </c>
      <c r="C1174" s="14">
        <v>39745</v>
      </c>
      <c r="D1174" s="6" t="s">
        <v>37</v>
      </c>
      <c r="E1174" s="6" t="s">
        <v>38</v>
      </c>
      <c r="F1174" s="7">
        <v>36903</v>
      </c>
      <c r="G1174" s="8">
        <f t="shared" si="18"/>
        <v>36903</v>
      </c>
      <c r="H1174" s="6" t="s">
        <v>39</v>
      </c>
      <c r="I1174" s="9" t="str">
        <f>IF(ISNA(VLOOKUP(A1174,'[1]Craig Eval'!A:C,3,FALSE)),"",(VLOOKUP(A1174,'[1]Craig Eval'!A:C,3,FALSE))*1000)</f>
        <v/>
      </c>
      <c r="J1174" s="10" t="str">
        <f>IF(ISNA(VLOOKUP(A1174,'[1]Craig Eval'!A:M,13,FALSE)),"",VLOOKUP(A1174,'[1]Craig Eval'!A:M,13,FALSE))</f>
        <v/>
      </c>
      <c r="K1174" s="11">
        <v>2</v>
      </c>
    </row>
    <row r="1175" spans="1:11" ht="30" x14ac:dyDescent="0.25">
      <c r="A1175" s="3" t="s">
        <v>2369</v>
      </c>
      <c r="B1175" s="4" t="s">
        <v>2370</v>
      </c>
      <c r="C1175" s="5">
        <v>12494</v>
      </c>
      <c r="D1175" s="6" t="s">
        <v>37</v>
      </c>
      <c r="E1175" s="6" t="s">
        <v>38</v>
      </c>
      <c r="F1175" s="7">
        <v>37425</v>
      </c>
      <c r="G1175" s="8">
        <f t="shared" si="18"/>
        <v>37425</v>
      </c>
      <c r="H1175" s="6" t="s">
        <v>39</v>
      </c>
      <c r="I1175" s="9" t="str">
        <f>IF(ISNA(VLOOKUP(A1175,'[1]Craig Eval'!A:C,3,FALSE)),"",(VLOOKUP(A1175,'[1]Craig Eval'!A:C,3,FALSE))*1000)</f>
        <v/>
      </c>
      <c r="J1175" s="10" t="str">
        <f>IF(ISNA(VLOOKUP(A1175,'[1]Craig Eval'!A:M,13,FALSE)),"",VLOOKUP(A1175,'[1]Craig Eval'!A:M,13,FALSE))</f>
        <v/>
      </c>
      <c r="K1175" s="17">
        <v>1</v>
      </c>
    </row>
    <row r="1176" spans="1:11" ht="30" x14ac:dyDescent="0.25">
      <c r="A1176" s="3" t="s">
        <v>2371</v>
      </c>
      <c r="B1176" s="4" t="s">
        <v>2372</v>
      </c>
      <c r="C1176" s="5">
        <v>1845</v>
      </c>
      <c r="D1176" s="6" t="s">
        <v>31</v>
      </c>
      <c r="E1176" s="6" t="s">
        <v>17</v>
      </c>
      <c r="F1176" s="7">
        <v>31048</v>
      </c>
      <c r="G1176" s="8">
        <f t="shared" si="18"/>
        <v>31048</v>
      </c>
      <c r="H1176" s="6" t="s">
        <v>13</v>
      </c>
      <c r="I1176" s="9">
        <f>IF(ISNA(VLOOKUP(A1176,'[1]Craig Eval'!A:C,3,FALSE)),"",(VLOOKUP(A1176,'[1]Craig Eval'!A:C,3,FALSE))*1000)</f>
        <v>26114.2388420637</v>
      </c>
      <c r="J1176" s="10">
        <f>IF(ISNA(VLOOKUP(A1176,'[1]Craig Eval'!A:M,13,FALSE)),"",VLOOKUP(A1176,'[1]Craig Eval'!A:M,13,FALSE))</f>
        <v>74.416700397962202</v>
      </c>
      <c r="K1176" s="17">
        <v>1</v>
      </c>
    </row>
    <row r="1177" spans="1:11" ht="30" x14ac:dyDescent="0.25">
      <c r="A1177" s="3" t="s">
        <v>2373</v>
      </c>
      <c r="B1177" s="4" t="s">
        <v>2374</v>
      </c>
      <c r="C1177" s="14">
        <v>1843</v>
      </c>
      <c r="D1177" s="6" t="s">
        <v>31</v>
      </c>
      <c r="E1177" s="6" t="s">
        <v>17</v>
      </c>
      <c r="F1177" s="7">
        <v>33055</v>
      </c>
      <c r="G1177" s="8">
        <f t="shared" si="18"/>
        <v>33055</v>
      </c>
      <c r="H1177" s="6" t="s">
        <v>13</v>
      </c>
      <c r="I1177" s="9">
        <f>IF(ISNA(VLOOKUP(A1177,'[1]Craig Eval'!A:C,3,FALSE)),"",(VLOOKUP(A1177,'[1]Craig Eval'!A:C,3,FALSE))*1000)</f>
        <v>77936.419667535607</v>
      </c>
      <c r="J1177" s="10">
        <f>IF(ISNA(VLOOKUP(A1177,'[1]Craig Eval'!A:M,13,FALSE)),"",VLOOKUP(A1177,'[1]Craig Eval'!A:M,13,FALSE))</f>
        <v>209.30247166254901</v>
      </c>
      <c r="K1177" s="17">
        <v>2</v>
      </c>
    </row>
    <row r="1178" spans="1:11" ht="30" x14ac:dyDescent="0.25">
      <c r="A1178" s="3" t="s">
        <v>2375</v>
      </c>
      <c r="B1178" s="4" t="s">
        <v>2376</v>
      </c>
      <c r="C1178" s="5">
        <v>1180</v>
      </c>
      <c r="D1178" s="6" t="s">
        <v>31</v>
      </c>
      <c r="E1178" s="6" t="s">
        <v>17</v>
      </c>
      <c r="F1178" s="7">
        <v>32874</v>
      </c>
      <c r="G1178" s="8">
        <f t="shared" si="18"/>
        <v>32874</v>
      </c>
      <c r="H1178" s="6" t="s">
        <v>13</v>
      </c>
      <c r="I1178" s="9">
        <f>IF(ISNA(VLOOKUP(A1178,'[1]Craig Eval'!A:C,3,FALSE)),"",(VLOOKUP(A1178,'[1]Craig Eval'!A:C,3,FALSE))*1000)</f>
        <v>9710.3695094097802</v>
      </c>
      <c r="J1178" s="10">
        <f>IF(ISNA(VLOOKUP(A1178,'[1]Craig Eval'!A:M,13,FALSE)),"",VLOOKUP(A1178,'[1]Craig Eval'!A:M,13,FALSE))</f>
        <v>28.6391395275413</v>
      </c>
      <c r="K1178" s="17">
        <v>1</v>
      </c>
    </row>
    <row r="1179" spans="1:11" ht="30" x14ac:dyDescent="0.25">
      <c r="A1179" s="3" t="s">
        <v>2377</v>
      </c>
      <c r="B1179" s="4" t="s">
        <v>2378</v>
      </c>
      <c r="C1179" s="14">
        <v>53843</v>
      </c>
      <c r="D1179" s="6" t="s">
        <v>34</v>
      </c>
      <c r="E1179" s="6" t="s">
        <v>17</v>
      </c>
      <c r="F1179" s="7">
        <v>37196</v>
      </c>
      <c r="G1179" s="8">
        <f t="shared" si="18"/>
        <v>37196</v>
      </c>
      <c r="H1179" s="6" t="s">
        <v>13</v>
      </c>
      <c r="I1179" s="9" t="str">
        <f>IF(ISNA(VLOOKUP(A1179,'[1]Craig Eval'!A:C,3,FALSE)),"",(VLOOKUP(A1179,'[1]Craig Eval'!A:C,3,FALSE))*1000)</f>
        <v/>
      </c>
      <c r="J1179" s="10" t="str">
        <f>IF(ISNA(VLOOKUP(A1179,'[1]Craig Eval'!A:M,13,FALSE)),"",VLOOKUP(A1179,'[1]Craig Eval'!A:M,13,FALSE))</f>
        <v/>
      </c>
      <c r="K1179" s="17">
        <v>1</v>
      </c>
    </row>
    <row r="1180" spans="1:11" ht="30" x14ac:dyDescent="0.25">
      <c r="A1180" s="3" t="s">
        <v>2379</v>
      </c>
      <c r="B1180" s="4" t="s">
        <v>2380</v>
      </c>
      <c r="C1180" s="5">
        <v>15372</v>
      </c>
      <c r="D1180" s="6" t="s">
        <v>34</v>
      </c>
      <c r="E1180" s="6" t="s">
        <v>17</v>
      </c>
      <c r="F1180" s="7">
        <v>37196</v>
      </c>
      <c r="G1180" s="8">
        <f t="shared" si="18"/>
        <v>37196</v>
      </c>
      <c r="H1180" s="6" t="s">
        <v>13</v>
      </c>
      <c r="I1180" s="9" t="str">
        <f>IF(ISNA(VLOOKUP(A1180,'[1]Craig Eval'!A:C,3,FALSE)),"",(VLOOKUP(A1180,'[1]Craig Eval'!A:C,3,FALSE))*1000)</f>
        <v/>
      </c>
      <c r="J1180" s="10" t="str">
        <f>IF(ISNA(VLOOKUP(A1180,'[1]Craig Eval'!A:M,13,FALSE)),"",VLOOKUP(A1180,'[1]Craig Eval'!A:M,13,FALSE))</f>
        <v/>
      </c>
      <c r="K1180" s="17">
        <v>1</v>
      </c>
    </row>
    <row r="1181" spans="1:11" ht="30" x14ac:dyDescent="0.25">
      <c r="A1181" s="3" t="s">
        <v>2381</v>
      </c>
      <c r="B1181" s="4" t="s">
        <v>2382</v>
      </c>
      <c r="C1181" s="5">
        <v>15370</v>
      </c>
      <c r="D1181" s="6" t="s">
        <v>34</v>
      </c>
      <c r="E1181" s="6" t="s">
        <v>17</v>
      </c>
      <c r="F1181" s="7">
        <v>37196</v>
      </c>
      <c r="G1181" s="8">
        <f t="shared" si="18"/>
        <v>37196</v>
      </c>
      <c r="H1181" s="6" t="s">
        <v>13</v>
      </c>
      <c r="I1181" s="9" t="str">
        <f>IF(ISNA(VLOOKUP(A1181,'[1]Craig Eval'!A:C,3,FALSE)),"",(VLOOKUP(A1181,'[1]Craig Eval'!A:C,3,FALSE))*1000)</f>
        <v/>
      </c>
      <c r="J1181" s="10" t="str">
        <f>IF(ISNA(VLOOKUP(A1181,'[1]Craig Eval'!A:M,13,FALSE)),"",VLOOKUP(A1181,'[1]Craig Eval'!A:M,13,FALSE))</f>
        <v/>
      </c>
      <c r="K1181" s="17">
        <v>1</v>
      </c>
    </row>
    <row r="1182" spans="1:11" ht="30" x14ac:dyDescent="0.25">
      <c r="A1182" s="18" t="s">
        <v>2383</v>
      </c>
      <c r="B1182" s="19" t="s">
        <v>2384</v>
      </c>
      <c r="C1182" s="5">
        <v>1825</v>
      </c>
      <c r="D1182" s="21" t="s">
        <v>28</v>
      </c>
      <c r="E1182" s="21" t="s">
        <v>17</v>
      </c>
      <c r="F1182" s="22">
        <v>37951</v>
      </c>
      <c r="G1182" s="23">
        <f t="shared" si="18"/>
        <v>37951</v>
      </c>
      <c r="H1182" s="21" t="s">
        <v>13</v>
      </c>
      <c r="I1182" s="9">
        <f>IF(ISNA(VLOOKUP(A1182,'[1]Craig Eval'!A:C,3,FALSE)),"",(VLOOKUP(A1182,'[1]Craig Eval'!A:C,3,FALSE))*1000)</f>
        <v>88775.295446680902</v>
      </c>
      <c r="J1182" s="24">
        <f>IF(ISNA(VLOOKUP(A1182,'[1]Craig Eval'!A:M,13,FALSE)),"",VLOOKUP(A1182,'[1]Craig Eval'!A:M,13,FALSE))</f>
        <v>236.28672238742701</v>
      </c>
      <c r="K1182" s="41">
        <v>3</v>
      </c>
    </row>
    <row r="1183" spans="1:11" ht="30" x14ac:dyDescent="0.25">
      <c r="A1183" s="3" t="s">
        <v>2385</v>
      </c>
      <c r="B1183" s="4" t="s">
        <v>2386</v>
      </c>
      <c r="C1183" s="5">
        <v>1789</v>
      </c>
      <c r="D1183" s="6" t="s">
        <v>28</v>
      </c>
      <c r="E1183" s="6" t="s">
        <v>17</v>
      </c>
      <c r="F1183" s="7">
        <v>29221</v>
      </c>
      <c r="G1183" s="8">
        <f t="shared" si="18"/>
        <v>29221</v>
      </c>
      <c r="H1183" s="6" t="s">
        <v>13</v>
      </c>
      <c r="I1183" s="9">
        <f>IF(ISNA(VLOOKUP(A1183,'[1]Craig Eval'!A:C,3,FALSE)),"",(VLOOKUP(A1183,'[1]Craig Eval'!A:C,3,FALSE))*1000)</f>
        <v>29004.5860748919</v>
      </c>
      <c r="J1183" s="10">
        <f>IF(ISNA(VLOOKUP(A1183,'[1]Craig Eval'!A:M,13,FALSE)),"",VLOOKUP(A1183,'[1]Craig Eval'!A:M,13,FALSE))</f>
        <v>82.273914975853003</v>
      </c>
      <c r="K1183" s="17">
        <v>1</v>
      </c>
    </row>
    <row r="1184" spans="1:11" ht="30" x14ac:dyDescent="0.25">
      <c r="A1184" s="3" t="s">
        <v>2387</v>
      </c>
      <c r="B1184" s="4" t="s">
        <v>2388</v>
      </c>
      <c r="C1184" s="14">
        <v>1788</v>
      </c>
      <c r="D1184" s="6" t="s">
        <v>28</v>
      </c>
      <c r="E1184" s="6" t="s">
        <v>17</v>
      </c>
      <c r="F1184" s="7">
        <v>24108</v>
      </c>
      <c r="G1184" s="8">
        <f t="shared" si="18"/>
        <v>24108</v>
      </c>
      <c r="H1184" s="6" t="s">
        <v>13</v>
      </c>
      <c r="I1184" s="9" t="str">
        <f>IF(ISNA(VLOOKUP(A1184,'[1]Craig Eval'!A:C,3,FALSE)),"",(VLOOKUP(A1184,'[1]Craig Eval'!A:C,3,FALSE))*1000)</f>
        <v/>
      </c>
      <c r="J1184" s="10" t="str">
        <f>IF(ISNA(VLOOKUP(A1184,'[1]Craig Eval'!A:M,13,FALSE)),"",VLOOKUP(A1184,'[1]Craig Eval'!A:M,13,FALSE))</f>
        <v/>
      </c>
      <c r="K1184" s="17">
        <v>4</v>
      </c>
    </row>
    <row r="1185" spans="1:11" ht="30" x14ac:dyDescent="0.25">
      <c r="A1185" s="3" t="s">
        <v>2389</v>
      </c>
      <c r="B1185" s="4" t="s">
        <v>2390</v>
      </c>
      <c r="C1185" s="5">
        <v>1814</v>
      </c>
      <c r="D1185" s="6" t="s">
        <v>28</v>
      </c>
      <c r="E1185" s="6" t="s">
        <v>17</v>
      </c>
      <c r="F1185" s="7">
        <v>29221</v>
      </c>
      <c r="G1185" s="8">
        <f t="shared" si="18"/>
        <v>29221</v>
      </c>
      <c r="H1185" s="6" t="s">
        <v>13</v>
      </c>
      <c r="I1185" s="9">
        <f>IF(ISNA(VLOOKUP(A1185,'[1]Craig Eval'!A:C,3,FALSE)),"",(VLOOKUP(A1185,'[1]Craig Eval'!A:C,3,FALSE))*1000)</f>
        <v>6577.8644449676294</v>
      </c>
      <c r="J1185" s="10">
        <f>IF(ISNA(VLOOKUP(A1185,'[1]Craig Eval'!A:M,13,FALSE)),"",VLOOKUP(A1185,'[1]Craig Eval'!A:M,13,FALSE))</f>
        <v>19.592478834795401</v>
      </c>
      <c r="K1185" s="17">
        <v>1</v>
      </c>
    </row>
    <row r="1186" spans="1:11" ht="30" x14ac:dyDescent="0.25">
      <c r="A1186" s="3" t="s">
        <v>2391</v>
      </c>
      <c r="B1186" s="4" t="s">
        <v>2392</v>
      </c>
      <c r="C1186" s="5">
        <v>54708</v>
      </c>
      <c r="D1186" s="6" t="s">
        <v>34</v>
      </c>
      <c r="E1186" s="6" t="s">
        <v>17</v>
      </c>
      <c r="F1186" s="7">
        <v>39520</v>
      </c>
      <c r="G1186" s="8">
        <f t="shared" si="18"/>
        <v>39520</v>
      </c>
      <c r="H1186" s="6" t="s">
        <v>13</v>
      </c>
      <c r="I1186" s="9">
        <f>IF(ISNA(VLOOKUP(A1186,'[1]Craig Eval'!A:C,3,FALSE)),"",(VLOOKUP(A1186,'[1]Craig Eval'!A:C,3,FALSE))*1000)</f>
        <v>14264.9776759873</v>
      </c>
      <c r="J1186" s="10">
        <f>IF(ISNA(VLOOKUP(A1186,'[1]Craig Eval'!A:M,13,FALSE)),"",VLOOKUP(A1186,'[1]Craig Eval'!A:M,13,FALSE))</f>
        <v>41.586705534614602</v>
      </c>
      <c r="K1186" s="11">
        <v>1</v>
      </c>
    </row>
    <row r="1187" spans="1:11" ht="30" x14ac:dyDescent="0.25">
      <c r="A1187" s="3" t="s">
        <v>2393</v>
      </c>
      <c r="B1187" s="4" t="s">
        <v>2394</v>
      </c>
      <c r="C1187" s="5">
        <v>54709</v>
      </c>
      <c r="D1187" s="6" t="s">
        <v>11</v>
      </c>
      <c r="E1187" s="6" t="s">
        <v>12</v>
      </c>
      <c r="F1187" s="7">
        <v>37413</v>
      </c>
      <c r="G1187" s="8">
        <f t="shared" si="18"/>
        <v>37413</v>
      </c>
      <c r="H1187" s="6" t="s">
        <v>39</v>
      </c>
      <c r="I1187" s="9" t="str">
        <f>IF(ISNA(VLOOKUP(A1187,'[1]Craig Eval'!A:C,3,FALSE)),"",(VLOOKUP(A1187,'[1]Craig Eval'!A:C,3,FALSE))*1000)</f>
        <v/>
      </c>
      <c r="J1187" s="10" t="str">
        <f>IF(ISNA(VLOOKUP(A1187,'[1]Craig Eval'!A:M,13,FALSE)),"",VLOOKUP(A1187,'[1]Craig Eval'!A:M,13,FALSE))</f>
        <v/>
      </c>
      <c r="K1187" s="17">
        <v>1</v>
      </c>
    </row>
    <row r="1188" spans="1:11" ht="30" x14ac:dyDescent="0.25">
      <c r="A1188" s="3" t="s">
        <v>2395</v>
      </c>
      <c r="B1188" s="4" t="s">
        <v>2396</v>
      </c>
      <c r="C1188" s="5">
        <v>1163</v>
      </c>
      <c r="D1188" s="6" t="s">
        <v>31</v>
      </c>
      <c r="E1188" s="6" t="s">
        <v>17</v>
      </c>
      <c r="F1188" s="7">
        <v>29221</v>
      </c>
      <c r="G1188" s="8">
        <f t="shared" si="18"/>
        <v>29221</v>
      </c>
      <c r="H1188" s="6" t="s">
        <v>13</v>
      </c>
      <c r="I1188" s="9">
        <f>IF(ISNA(VLOOKUP(A1188,'[1]Craig Eval'!A:C,3,FALSE)),"",(VLOOKUP(A1188,'[1]Craig Eval'!A:C,3,FALSE))*1000)</f>
        <v>14119.969905133001</v>
      </c>
      <c r="J1188" s="10">
        <f>IF(ISNA(VLOOKUP(A1188,'[1]Craig Eval'!A:M,13,FALSE)),"",VLOOKUP(A1188,'[1]Craig Eval'!A:M,13,FALSE))</f>
        <v>41.177756428093197</v>
      </c>
      <c r="K1188" s="17">
        <v>1</v>
      </c>
    </row>
    <row r="1189" spans="1:11" ht="30" x14ac:dyDescent="0.25">
      <c r="A1189" s="3" t="s">
        <v>2397</v>
      </c>
      <c r="B1189" s="4" t="s">
        <v>2398</v>
      </c>
      <c r="C1189" s="5">
        <v>10565</v>
      </c>
      <c r="D1189" s="6" t="s">
        <v>11</v>
      </c>
      <c r="E1189" s="6" t="s">
        <v>17</v>
      </c>
      <c r="F1189" s="7">
        <v>37503</v>
      </c>
      <c r="G1189" s="8">
        <f t="shared" si="18"/>
        <v>37503</v>
      </c>
      <c r="H1189" s="6" t="s">
        <v>13</v>
      </c>
      <c r="I1189" s="9" t="str">
        <f>IF(ISNA(VLOOKUP(A1189,'[1]Craig Eval'!A:C,3,FALSE)),"",(VLOOKUP(A1189,'[1]Craig Eval'!A:C,3,FALSE))*1000)</f>
        <v/>
      </c>
      <c r="J1189" s="10" t="str">
        <f>IF(ISNA(VLOOKUP(A1189,'[1]Craig Eval'!A:M,13,FALSE)),"",VLOOKUP(A1189,'[1]Craig Eval'!A:M,13,FALSE))</f>
        <v/>
      </c>
      <c r="K1189" s="17">
        <v>1</v>
      </c>
    </row>
    <row r="1190" spans="1:11" ht="30" x14ac:dyDescent="0.25">
      <c r="A1190" s="3" t="s">
        <v>2399</v>
      </c>
      <c r="B1190" s="4" t="s">
        <v>2400</v>
      </c>
      <c r="C1190" s="5">
        <v>1916</v>
      </c>
      <c r="D1190" s="6" t="s">
        <v>34</v>
      </c>
      <c r="E1190" s="6" t="s">
        <v>17</v>
      </c>
      <c r="F1190" s="7">
        <v>29221</v>
      </c>
      <c r="G1190" s="8">
        <f t="shared" si="18"/>
        <v>29221</v>
      </c>
      <c r="H1190" s="6" t="s">
        <v>13</v>
      </c>
      <c r="I1190" s="9" t="str">
        <f>IF(ISNA(VLOOKUP(A1190,'[1]Craig Eval'!A:C,3,FALSE)),"",(VLOOKUP(A1190,'[1]Craig Eval'!A:C,3,FALSE))*1000)</f>
        <v/>
      </c>
      <c r="J1190" s="10" t="str">
        <f>IF(ISNA(VLOOKUP(A1190,'[1]Craig Eval'!A:M,13,FALSE)),"",VLOOKUP(A1190,'[1]Craig Eval'!A:M,13,FALSE))</f>
        <v/>
      </c>
      <c r="K1190" s="17">
        <v>1</v>
      </c>
    </row>
    <row r="1191" spans="1:11" ht="30" x14ac:dyDescent="0.25">
      <c r="A1191" s="3" t="s">
        <v>2401</v>
      </c>
      <c r="B1191" s="4" t="s">
        <v>2402</v>
      </c>
      <c r="C1191" s="5">
        <v>1248</v>
      </c>
      <c r="D1191" s="6" t="s">
        <v>28</v>
      </c>
      <c r="E1191" s="6" t="s">
        <v>17</v>
      </c>
      <c r="F1191" s="7">
        <v>32874</v>
      </c>
      <c r="G1191" s="8">
        <f t="shared" si="18"/>
        <v>32874</v>
      </c>
      <c r="H1191" s="6" t="s">
        <v>13</v>
      </c>
      <c r="I1191" s="9">
        <f>IF(ISNA(VLOOKUP(A1191,'[1]Craig Eval'!A:C,3,FALSE)),"",(VLOOKUP(A1191,'[1]Craig Eval'!A:C,3,FALSE))*1000)</f>
        <v>40204.824515037304</v>
      </c>
      <c r="J1191" s="10">
        <f>IF(ISNA(VLOOKUP(A1191,'[1]Craig Eval'!A:M,13,FALSE)),"",VLOOKUP(A1191,'[1]Craig Eval'!A:M,13,FALSE))</f>
        <v>112.269197519112</v>
      </c>
      <c r="K1191" s="17">
        <v>1</v>
      </c>
    </row>
    <row r="1192" spans="1:11" ht="30" x14ac:dyDescent="0.25">
      <c r="A1192" s="3" t="s">
        <v>2403</v>
      </c>
      <c r="B1192" s="4" t="s">
        <v>2404</v>
      </c>
      <c r="C1192" s="5">
        <v>54710</v>
      </c>
      <c r="D1192" s="6" t="s">
        <v>11</v>
      </c>
      <c r="E1192" s="6" t="s">
        <v>17</v>
      </c>
      <c r="F1192" s="7">
        <v>30621</v>
      </c>
      <c r="G1192" s="8">
        <f t="shared" si="18"/>
        <v>30621</v>
      </c>
      <c r="H1192" s="6" t="s">
        <v>13</v>
      </c>
      <c r="I1192" s="9" t="str">
        <f>IF(ISNA(VLOOKUP(A1192,'[1]Craig Eval'!A:C,3,FALSE)),"",(VLOOKUP(A1192,'[1]Craig Eval'!A:C,3,FALSE))*1000)</f>
        <v/>
      </c>
      <c r="J1192" s="10" t="str">
        <f>IF(ISNA(VLOOKUP(A1192,'[1]Craig Eval'!A:M,13,FALSE)),"",VLOOKUP(A1192,'[1]Craig Eval'!A:M,13,FALSE))</f>
        <v/>
      </c>
      <c r="K1192" s="17">
        <v>1</v>
      </c>
    </row>
    <row r="1193" spans="1:11" ht="30" x14ac:dyDescent="0.25">
      <c r="A1193" s="3" t="s">
        <v>2405</v>
      </c>
      <c r="B1193" s="4" t="s">
        <v>2406</v>
      </c>
      <c r="C1193" s="14">
        <v>72158</v>
      </c>
      <c r="D1193" s="6" t="s">
        <v>37</v>
      </c>
      <c r="E1193" s="6" t="s">
        <v>38</v>
      </c>
      <c r="F1193" s="7">
        <v>38469</v>
      </c>
      <c r="G1193" s="8">
        <f t="shared" si="18"/>
        <v>38469</v>
      </c>
      <c r="H1193" s="6" t="s">
        <v>39</v>
      </c>
      <c r="I1193" s="9" t="str">
        <f>IF(ISNA(VLOOKUP(A1193,'[1]Craig Eval'!A:C,3,FALSE)),"",(VLOOKUP(A1193,'[1]Craig Eval'!A:C,3,FALSE))*1000)</f>
        <v/>
      </c>
      <c r="J1193" s="10" t="str">
        <f>IF(ISNA(VLOOKUP(A1193,'[1]Craig Eval'!A:M,13,FALSE)),"",VLOOKUP(A1193,'[1]Craig Eval'!A:M,13,FALSE))</f>
        <v/>
      </c>
      <c r="K1193" s="17">
        <v>2</v>
      </c>
    </row>
    <row r="1194" spans="1:11" ht="30" x14ac:dyDescent="0.25">
      <c r="A1194" s="18" t="s">
        <v>2407</v>
      </c>
      <c r="B1194" s="19" t="s">
        <v>2408</v>
      </c>
      <c r="C1194" s="20">
        <v>24977</v>
      </c>
      <c r="D1194" s="21" t="s">
        <v>31</v>
      </c>
      <c r="E1194" s="21" t="s">
        <v>17</v>
      </c>
      <c r="F1194" s="22">
        <v>22920</v>
      </c>
      <c r="G1194" s="23">
        <f t="shared" si="18"/>
        <v>22920</v>
      </c>
      <c r="H1194" s="21" t="s">
        <v>13</v>
      </c>
      <c r="I1194" s="9" t="str">
        <f>IF(ISNA(VLOOKUP(A1194,'[1]Craig Eval'!A:C,3,FALSE)),"",(VLOOKUP(A1194,'[1]Craig Eval'!A:C,3,FALSE))*1000)</f>
        <v/>
      </c>
      <c r="J1194" s="24" t="str">
        <f>IF(ISNA(VLOOKUP(A1194,'[1]Craig Eval'!A:M,13,FALSE)),"",VLOOKUP(A1194,'[1]Craig Eval'!A:M,13,FALSE))</f>
        <v/>
      </c>
      <c r="K1194" s="25">
        <v>1</v>
      </c>
    </row>
    <row r="1195" spans="1:11" ht="30" x14ac:dyDescent="0.25">
      <c r="A1195" s="3" t="s">
        <v>2409</v>
      </c>
      <c r="B1195" s="4" t="s">
        <v>2410</v>
      </c>
      <c r="C1195" s="5">
        <v>24657</v>
      </c>
      <c r="D1195" s="6" t="s">
        <v>31</v>
      </c>
      <c r="E1195" s="6" t="s">
        <v>17</v>
      </c>
      <c r="F1195" s="7">
        <v>22920</v>
      </c>
      <c r="G1195" s="8">
        <f t="shared" si="18"/>
        <v>22920</v>
      </c>
      <c r="H1195" s="6" t="s">
        <v>13</v>
      </c>
      <c r="I1195" s="9" t="str">
        <f>IF(ISNA(VLOOKUP(A1195,'[1]Craig Eval'!A:C,3,FALSE)),"",(VLOOKUP(A1195,'[1]Craig Eval'!A:C,3,FALSE))*1000)</f>
        <v/>
      </c>
      <c r="J1195" s="10" t="str">
        <f>IF(ISNA(VLOOKUP(A1195,'[1]Craig Eval'!A:M,13,FALSE)),"",VLOOKUP(A1195,'[1]Craig Eval'!A:M,13,FALSE))</f>
        <v/>
      </c>
      <c r="K1195" s="17">
        <v>1</v>
      </c>
    </row>
    <row r="1196" spans="1:11" ht="30" x14ac:dyDescent="0.25">
      <c r="A1196" s="3" t="s">
        <v>2411</v>
      </c>
      <c r="B1196" s="4" t="s">
        <v>2412</v>
      </c>
      <c r="C1196" s="5">
        <v>1233</v>
      </c>
      <c r="D1196" s="6" t="s">
        <v>34</v>
      </c>
      <c r="E1196" s="6" t="s">
        <v>17</v>
      </c>
      <c r="F1196" s="7">
        <v>36635</v>
      </c>
      <c r="G1196" s="8">
        <f t="shared" si="18"/>
        <v>36635</v>
      </c>
      <c r="H1196" s="6" t="s">
        <v>13</v>
      </c>
      <c r="I1196" s="9" t="str">
        <f>IF(ISNA(VLOOKUP(A1196,'[1]Craig Eval'!A:C,3,FALSE)),"",(VLOOKUP(A1196,'[1]Craig Eval'!A:C,3,FALSE))*1000)</f>
        <v/>
      </c>
      <c r="J1196" s="10" t="str">
        <f>IF(ISNA(VLOOKUP(A1196,'[1]Craig Eval'!A:M,13,FALSE)),"",VLOOKUP(A1196,'[1]Craig Eval'!A:M,13,FALSE))</f>
        <v/>
      </c>
      <c r="K1196" s="17">
        <v>1</v>
      </c>
    </row>
    <row r="1197" spans="1:11" ht="30" x14ac:dyDescent="0.25">
      <c r="A1197" s="18" t="s">
        <v>2413</v>
      </c>
      <c r="B1197" s="19" t="s">
        <v>2414</v>
      </c>
      <c r="C1197" s="5">
        <v>1954</v>
      </c>
      <c r="D1197" s="21" t="s">
        <v>28</v>
      </c>
      <c r="E1197" s="21" t="s">
        <v>17</v>
      </c>
      <c r="F1197" s="22">
        <v>19725</v>
      </c>
      <c r="G1197" s="23">
        <f t="shared" si="18"/>
        <v>19725</v>
      </c>
      <c r="H1197" s="21" t="s">
        <v>13</v>
      </c>
      <c r="I1197" s="9">
        <f>IF(ISNA(VLOOKUP(A1197,'[1]Craig Eval'!A:C,3,FALSE)),"",(VLOOKUP(A1197,'[1]Craig Eval'!A:C,3,FALSE))*1000)</f>
        <v>68266.180634367207</v>
      </c>
      <c r="J1197" s="24">
        <f>IF(ISNA(VLOOKUP(A1197,'[1]Craig Eval'!A:M,13,FALSE)),"",VLOOKUP(A1197,'[1]Craig Eval'!A:M,13,FALSE))</f>
        <v>184.92610570708101</v>
      </c>
      <c r="K1197" s="25">
        <v>3</v>
      </c>
    </row>
    <row r="1198" spans="1:11" ht="30" x14ac:dyDescent="0.25">
      <c r="A1198" s="3" t="s">
        <v>2415</v>
      </c>
      <c r="B1198" s="4" t="s">
        <v>2416</v>
      </c>
      <c r="C1198" s="5">
        <v>27889</v>
      </c>
      <c r="D1198" s="6" t="s">
        <v>31</v>
      </c>
      <c r="E1198" s="6" t="s">
        <v>17</v>
      </c>
      <c r="F1198" s="7">
        <v>22685</v>
      </c>
      <c r="G1198" s="8">
        <f t="shared" si="18"/>
        <v>22685</v>
      </c>
      <c r="H1198" s="6" t="s">
        <v>13</v>
      </c>
      <c r="I1198" s="9" t="str">
        <f>IF(ISNA(VLOOKUP(A1198,'[1]Craig Eval'!A:C,3,FALSE)),"",(VLOOKUP(A1198,'[1]Craig Eval'!A:C,3,FALSE))*1000)</f>
        <v/>
      </c>
      <c r="J1198" s="10" t="str">
        <f>IF(ISNA(VLOOKUP(A1198,'[1]Craig Eval'!A:M,13,FALSE)),"",VLOOKUP(A1198,'[1]Craig Eval'!A:M,13,FALSE))</f>
        <v/>
      </c>
      <c r="K1198" s="17">
        <v>1</v>
      </c>
    </row>
    <row r="1199" spans="1:11" ht="30" x14ac:dyDescent="0.25">
      <c r="A1199" s="3" t="s">
        <v>2417</v>
      </c>
      <c r="B1199" s="4" t="s">
        <v>2418</v>
      </c>
      <c r="C1199" s="5">
        <v>72141</v>
      </c>
      <c r="D1199" s="6" t="s">
        <v>11</v>
      </c>
      <c r="E1199" s="6" t="s">
        <v>12</v>
      </c>
      <c r="F1199" s="7">
        <v>38685</v>
      </c>
      <c r="G1199" s="8">
        <f t="shared" si="18"/>
        <v>38685</v>
      </c>
      <c r="H1199" s="6" t="s">
        <v>39</v>
      </c>
      <c r="I1199" s="9" t="str">
        <f>IF(ISNA(VLOOKUP(A1199,'[1]Craig Eval'!A:C,3,FALSE)),"",(VLOOKUP(A1199,'[1]Craig Eval'!A:C,3,FALSE))*1000)</f>
        <v/>
      </c>
      <c r="J1199" s="10" t="str">
        <f>IF(ISNA(VLOOKUP(A1199,'[1]Craig Eval'!A:M,13,FALSE)),"",VLOOKUP(A1199,'[1]Craig Eval'!A:M,13,FALSE))</f>
        <v/>
      </c>
      <c r="K1199" s="17">
        <v>1</v>
      </c>
    </row>
    <row r="1200" spans="1:11" ht="30" x14ac:dyDescent="0.25">
      <c r="A1200" s="3" t="s">
        <v>2419</v>
      </c>
      <c r="B1200" s="4" t="s">
        <v>2420</v>
      </c>
      <c r="C1200" s="5">
        <v>1314</v>
      </c>
      <c r="D1200" s="6" t="s">
        <v>16</v>
      </c>
      <c r="E1200" s="6" t="s">
        <v>17</v>
      </c>
      <c r="F1200" s="7">
        <v>29221</v>
      </c>
      <c r="G1200" s="8">
        <f t="shared" si="18"/>
        <v>29221</v>
      </c>
      <c r="H1200" s="6" t="s">
        <v>13</v>
      </c>
      <c r="I1200" s="9" t="str">
        <f>IF(ISNA(VLOOKUP(A1200,'[1]Craig Eval'!A:C,3,FALSE)),"",(VLOOKUP(A1200,'[1]Craig Eval'!A:C,3,FALSE))*1000)</f>
        <v/>
      </c>
      <c r="J1200" s="10" t="str">
        <f>IF(ISNA(VLOOKUP(A1200,'[1]Craig Eval'!A:M,13,FALSE)),"",VLOOKUP(A1200,'[1]Craig Eval'!A:M,13,FALSE))</f>
        <v/>
      </c>
      <c r="K1200" s="17">
        <v>1</v>
      </c>
    </row>
    <row r="1201" spans="1:11" ht="30" x14ac:dyDescent="0.25">
      <c r="A1201" s="3" t="s">
        <v>2421</v>
      </c>
      <c r="B1201" s="4" t="s">
        <v>2422</v>
      </c>
      <c r="C1201" s="5">
        <v>1326</v>
      </c>
      <c r="D1201" s="6" t="s">
        <v>16</v>
      </c>
      <c r="E1201" s="6" t="s">
        <v>17</v>
      </c>
      <c r="F1201" s="7">
        <v>29221</v>
      </c>
      <c r="G1201" s="8">
        <f t="shared" si="18"/>
        <v>29221</v>
      </c>
      <c r="H1201" s="6" t="s">
        <v>13</v>
      </c>
      <c r="I1201" s="9" t="str">
        <f>IF(ISNA(VLOOKUP(A1201,'[1]Craig Eval'!A:C,3,FALSE)),"",(VLOOKUP(A1201,'[1]Craig Eval'!A:C,3,FALSE))*1000)</f>
        <v/>
      </c>
      <c r="J1201" s="10" t="str">
        <f>IF(ISNA(VLOOKUP(A1201,'[1]Craig Eval'!A:M,13,FALSE)),"",VLOOKUP(A1201,'[1]Craig Eval'!A:M,13,FALSE))</f>
        <v/>
      </c>
      <c r="K1201" s="17">
        <v>1</v>
      </c>
    </row>
    <row r="1202" spans="1:11" ht="30" x14ac:dyDescent="0.25">
      <c r="A1202" s="3" t="s">
        <v>2423</v>
      </c>
      <c r="B1202" s="4" t="s">
        <v>2424</v>
      </c>
      <c r="C1202" s="5">
        <v>47761</v>
      </c>
      <c r="D1202" s="6" t="s">
        <v>11</v>
      </c>
      <c r="E1202" s="6" t="s">
        <v>12</v>
      </c>
      <c r="F1202" s="7">
        <v>39051</v>
      </c>
      <c r="G1202" s="8">
        <f t="shared" si="18"/>
        <v>39051</v>
      </c>
      <c r="H1202" s="6" t="s">
        <v>39</v>
      </c>
      <c r="I1202" s="9" t="str">
        <f>IF(ISNA(VLOOKUP(A1202,'[1]Craig Eval'!A:C,3,FALSE)),"",(VLOOKUP(A1202,'[1]Craig Eval'!A:C,3,FALSE))*1000)</f>
        <v/>
      </c>
      <c r="J1202" s="10" t="str">
        <f>IF(ISNA(VLOOKUP(A1202,'[1]Craig Eval'!A:M,13,FALSE)),"",VLOOKUP(A1202,'[1]Craig Eval'!A:M,13,FALSE))</f>
        <v/>
      </c>
      <c r="K1202" s="17">
        <v>1</v>
      </c>
    </row>
    <row r="1203" spans="1:11" ht="30" x14ac:dyDescent="0.25">
      <c r="A1203" s="3" t="s">
        <v>2425</v>
      </c>
      <c r="B1203" s="4" t="s">
        <v>2426</v>
      </c>
      <c r="C1203" s="5">
        <v>10563</v>
      </c>
      <c r="D1203" s="6" t="s">
        <v>34</v>
      </c>
      <c r="E1203" s="6" t="s">
        <v>17</v>
      </c>
      <c r="F1203" s="7">
        <v>37124</v>
      </c>
      <c r="G1203" s="8">
        <f t="shared" si="18"/>
        <v>37124</v>
      </c>
      <c r="H1203" s="6" t="s">
        <v>13</v>
      </c>
      <c r="I1203" s="9" t="str">
        <f>IF(ISNA(VLOOKUP(A1203,'[1]Craig Eval'!A:C,3,FALSE)),"",(VLOOKUP(A1203,'[1]Craig Eval'!A:C,3,FALSE))*1000)</f>
        <v/>
      </c>
      <c r="J1203" s="10" t="str">
        <f>IF(ISNA(VLOOKUP(A1203,'[1]Craig Eval'!A:M,13,FALSE)),"",VLOOKUP(A1203,'[1]Craig Eval'!A:M,13,FALSE))</f>
        <v/>
      </c>
      <c r="K1203" s="17">
        <v>1</v>
      </c>
    </row>
    <row r="1204" spans="1:11" ht="30" x14ac:dyDescent="0.25">
      <c r="A1204" s="3" t="s">
        <v>2427</v>
      </c>
      <c r="B1204" s="4" t="s">
        <v>2428</v>
      </c>
      <c r="C1204" s="5">
        <v>52951</v>
      </c>
      <c r="D1204" s="6" t="s">
        <v>34</v>
      </c>
      <c r="E1204" s="6" t="s">
        <v>17</v>
      </c>
      <c r="F1204" s="7">
        <v>38903</v>
      </c>
      <c r="G1204" s="8">
        <f t="shared" si="18"/>
        <v>38903</v>
      </c>
      <c r="H1204" s="6" t="s">
        <v>13</v>
      </c>
      <c r="I1204" s="9" t="str">
        <f>IF(ISNA(VLOOKUP(A1204,'[1]Craig Eval'!A:C,3,FALSE)),"",(VLOOKUP(A1204,'[1]Craig Eval'!A:C,3,FALSE))*1000)</f>
        <v/>
      </c>
      <c r="J1204" s="10" t="str">
        <f>IF(ISNA(VLOOKUP(A1204,'[1]Craig Eval'!A:M,13,FALSE)),"",VLOOKUP(A1204,'[1]Craig Eval'!A:M,13,FALSE))</f>
        <v/>
      </c>
      <c r="K1204" s="17">
        <v>1</v>
      </c>
    </row>
    <row r="1205" spans="1:11" ht="30" x14ac:dyDescent="0.25">
      <c r="A1205" s="3" t="s">
        <v>2429</v>
      </c>
      <c r="B1205" s="4" t="s">
        <v>2430</v>
      </c>
      <c r="C1205" s="5">
        <v>72115</v>
      </c>
      <c r="D1205" s="6" t="s">
        <v>37</v>
      </c>
      <c r="E1205" s="6" t="s">
        <v>38</v>
      </c>
      <c r="F1205" s="7">
        <v>38491</v>
      </c>
      <c r="G1205" s="8">
        <f t="shared" si="18"/>
        <v>38491</v>
      </c>
      <c r="H1205" s="6" t="s">
        <v>39</v>
      </c>
      <c r="I1205" s="9" t="str">
        <f>IF(ISNA(VLOOKUP(A1205,'[1]Craig Eval'!A:C,3,FALSE)),"",(VLOOKUP(A1205,'[1]Craig Eval'!A:C,3,FALSE))*1000)</f>
        <v/>
      </c>
      <c r="J1205" s="10" t="str">
        <f>IF(ISNA(VLOOKUP(A1205,'[1]Craig Eval'!A:M,13,FALSE)),"",VLOOKUP(A1205,'[1]Craig Eval'!A:M,13,FALSE))</f>
        <v/>
      </c>
      <c r="K1205" s="17">
        <v>2</v>
      </c>
    </row>
    <row r="1206" spans="1:11" ht="30" x14ac:dyDescent="0.25">
      <c r="A1206" s="3" t="s">
        <v>2431</v>
      </c>
      <c r="B1206" s="4" t="s">
        <v>2432</v>
      </c>
      <c r="C1206" s="5">
        <v>1565</v>
      </c>
      <c r="D1206" s="6" t="s">
        <v>28</v>
      </c>
      <c r="E1206" s="6" t="s">
        <v>17</v>
      </c>
      <c r="F1206" s="7">
        <v>28126</v>
      </c>
      <c r="G1206" s="8">
        <f t="shared" si="18"/>
        <v>28126</v>
      </c>
      <c r="H1206" s="6" t="s">
        <v>13</v>
      </c>
      <c r="I1206" s="9">
        <f>IF(ISNA(VLOOKUP(A1206,'[1]Craig Eval'!A:C,3,FALSE)),"",(VLOOKUP(A1206,'[1]Craig Eval'!A:C,3,FALSE))*1000)</f>
        <v>42960.078261214097</v>
      </c>
      <c r="J1206" s="10">
        <f>IF(ISNA(VLOOKUP(A1206,'[1]Craig Eval'!A:M,13,FALSE)),"",VLOOKUP(A1206,'[1]Craig Eval'!A:M,13,FALSE))</f>
        <v>119.54939369656201</v>
      </c>
      <c r="K1206" s="17">
        <v>1</v>
      </c>
    </row>
    <row r="1207" spans="1:11" ht="30" x14ac:dyDescent="0.25">
      <c r="A1207" s="3" t="s">
        <v>2433</v>
      </c>
      <c r="B1207" s="4" t="s">
        <v>2434</v>
      </c>
      <c r="C1207" s="14">
        <v>1399</v>
      </c>
      <c r="D1207" s="6" t="s">
        <v>34</v>
      </c>
      <c r="E1207" s="6" t="s">
        <v>17</v>
      </c>
      <c r="F1207" s="7">
        <v>27030</v>
      </c>
      <c r="G1207" s="8">
        <f t="shared" si="18"/>
        <v>27030</v>
      </c>
      <c r="H1207" s="6" t="s">
        <v>13</v>
      </c>
      <c r="I1207" s="9" t="str">
        <f>IF(ISNA(VLOOKUP(A1207,'[1]Craig Eval'!A:C,3,FALSE)),"",(VLOOKUP(A1207,'[1]Craig Eval'!A:C,3,FALSE))*1000)</f>
        <v/>
      </c>
      <c r="J1207" s="10" t="str">
        <f>IF(ISNA(VLOOKUP(A1207,'[1]Craig Eval'!A:M,13,FALSE)),"",VLOOKUP(A1207,'[1]Craig Eval'!A:M,13,FALSE))</f>
        <v/>
      </c>
      <c r="K1207" s="17">
        <v>2</v>
      </c>
    </row>
    <row r="1208" spans="1:11" ht="30" x14ac:dyDescent="0.25">
      <c r="A1208" s="3" t="s">
        <v>2435</v>
      </c>
      <c r="B1208" s="4" t="s">
        <v>2436</v>
      </c>
      <c r="C1208" s="5">
        <v>1566</v>
      </c>
      <c r="D1208" s="6" t="s">
        <v>31</v>
      </c>
      <c r="E1208" s="6" t="s">
        <v>17</v>
      </c>
      <c r="F1208" s="7">
        <v>32143</v>
      </c>
      <c r="G1208" s="8">
        <f t="shared" si="18"/>
        <v>32143</v>
      </c>
      <c r="H1208" s="6" t="s">
        <v>13</v>
      </c>
      <c r="I1208" s="9">
        <f>IF(ISNA(VLOOKUP(A1208,'[1]Craig Eval'!A:C,3,FALSE)),"",(VLOOKUP(A1208,'[1]Craig Eval'!A:C,3,FALSE))*1000)</f>
        <v>4049.0406648407698</v>
      </c>
      <c r="J1208" s="10">
        <f>IF(ISNA(VLOOKUP(A1208,'[1]Craig Eval'!A:M,13,FALSE)),"",VLOOKUP(A1208,'[1]Craig Eval'!A:M,13,FALSE))</f>
        <v>12.1818862442798</v>
      </c>
      <c r="K1208" s="17">
        <v>1</v>
      </c>
    </row>
    <row r="1209" spans="1:11" ht="30" x14ac:dyDescent="0.25">
      <c r="A1209" s="3" t="s">
        <v>2437</v>
      </c>
      <c r="B1209" s="4" t="s">
        <v>2438</v>
      </c>
      <c r="C1209" s="14">
        <v>52356</v>
      </c>
      <c r="D1209" s="6" t="s">
        <v>11</v>
      </c>
      <c r="E1209" s="6" t="s">
        <v>17</v>
      </c>
      <c r="F1209" s="7">
        <v>35929</v>
      </c>
      <c r="G1209" s="8">
        <f t="shared" si="18"/>
        <v>35929</v>
      </c>
      <c r="H1209" s="6" t="s">
        <v>13</v>
      </c>
      <c r="I1209" s="9" t="str">
        <f>IF(ISNA(VLOOKUP(A1209,'[1]Craig Eval'!A:C,3,FALSE)),"",(VLOOKUP(A1209,'[1]Craig Eval'!A:C,3,FALSE))*1000)</f>
        <v/>
      </c>
      <c r="J1209" s="10" t="str">
        <f>IF(ISNA(VLOOKUP(A1209,'[1]Craig Eval'!A:M,13,FALSE)),"",VLOOKUP(A1209,'[1]Craig Eval'!A:M,13,FALSE))</f>
        <v/>
      </c>
      <c r="K1209" s="17">
        <v>3</v>
      </c>
    </row>
    <row r="1210" spans="1:11" ht="30" x14ac:dyDescent="0.25">
      <c r="A1210" s="3" t="s">
        <v>2439</v>
      </c>
      <c r="B1210" s="4" t="s">
        <v>21</v>
      </c>
      <c r="C1210" s="5">
        <v>204645</v>
      </c>
      <c r="D1210" s="6" t="s">
        <v>16</v>
      </c>
      <c r="E1210" s="6" t="s">
        <v>17</v>
      </c>
      <c r="F1210" s="7">
        <v>38533</v>
      </c>
      <c r="G1210" s="8">
        <f t="shared" si="18"/>
        <v>38533</v>
      </c>
      <c r="H1210" s="6" t="s">
        <v>13</v>
      </c>
      <c r="I1210" s="9" t="str">
        <f>IF(ISNA(VLOOKUP(A1210,'[1]Craig Eval'!A:C,3,FALSE)),"",(VLOOKUP(A1210,'[1]Craig Eval'!A:C,3,FALSE))*1000)</f>
        <v/>
      </c>
      <c r="J1210" s="10" t="str">
        <f>IF(ISNA(VLOOKUP(A1210,'[1]Craig Eval'!A:M,13,FALSE)),"",VLOOKUP(A1210,'[1]Craig Eval'!A:M,13,FALSE))</f>
        <v/>
      </c>
      <c r="K1210" s="11">
        <v>1</v>
      </c>
    </row>
    <row r="1211" spans="1:11" ht="30" x14ac:dyDescent="0.25">
      <c r="A1211" s="3" t="s">
        <v>2440</v>
      </c>
      <c r="B1211" s="4" t="s">
        <v>2441</v>
      </c>
      <c r="C1211" s="14">
        <v>54566</v>
      </c>
      <c r="D1211" s="6" t="s">
        <v>37</v>
      </c>
      <c r="E1211" s="6" t="s">
        <v>38</v>
      </c>
      <c r="F1211" s="7">
        <v>39293</v>
      </c>
      <c r="G1211" s="8">
        <f t="shared" si="18"/>
        <v>39293</v>
      </c>
      <c r="H1211" s="6" t="s">
        <v>39</v>
      </c>
      <c r="I1211" s="9" t="str">
        <f>IF(ISNA(VLOOKUP(A1211,'[1]Craig Eval'!A:C,3,FALSE)),"",(VLOOKUP(A1211,'[1]Craig Eval'!A:C,3,FALSE))*1000)</f>
        <v/>
      </c>
      <c r="J1211" s="10" t="str">
        <f>IF(ISNA(VLOOKUP(A1211,'[1]Craig Eval'!A:M,13,FALSE)),"",VLOOKUP(A1211,'[1]Craig Eval'!A:M,13,FALSE))</f>
        <v/>
      </c>
      <c r="K1211" s="17">
        <v>2</v>
      </c>
    </row>
    <row r="1212" spans="1:11" ht="30" x14ac:dyDescent="0.25">
      <c r="A1212" s="3" t="s">
        <v>2442</v>
      </c>
      <c r="B1212" s="4" t="s">
        <v>2443</v>
      </c>
      <c r="C1212" s="5">
        <v>45537</v>
      </c>
      <c r="D1212" s="6" t="s">
        <v>37</v>
      </c>
      <c r="E1212" s="6" t="s">
        <v>38</v>
      </c>
      <c r="F1212" s="7">
        <v>39353</v>
      </c>
      <c r="G1212" s="8">
        <f t="shared" si="18"/>
        <v>39353</v>
      </c>
      <c r="H1212" s="6" t="s">
        <v>39</v>
      </c>
      <c r="I1212" s="9" t="str">
        <f>IF(ISNA(VLOOKUP(A1212,'[1]Craig Eval'!A:C,3,FALSE)),"",(VLOOKUP(A1212,'[1]Craig Eval'!A:C,3,FALSE))*1000)</f>
        <v/>
      </c>
      <c r="J1212" s="10" t="str">
        <f>IF(ISNA(VLOOKUP(A1212,'[1]Craig Eval'!A:M,13,FALSE)),"",VLOOKUP(A1212,'[1]Craig Eval'!A:M,13,FALSE))</f>
        <v/>
      </c>
      <c r="K1212" s="17">
        <v>1</v>
      </c>
    </row>
    <row r="1213" spans="1:11" ht="30" x14ac:dyDescent="0.25">
      <c r="A1213" s="3" t="s">
        <v>2444</v>
      </c>
      <c r="B1213" s="4" t="s">
        <v>2445</v>
      </c>
      <c r="C1213" s="5">
        <v>54484</v>
      </c>
      <c r="D1213" s="6" t="s">
        <v>11</v>
      </c>
      <c r="E1213" s="6" t="s">
        <v>12</v>
      </c>
      <c r="F1213" s="7">
        <v>41515</v>
      </c>
      <c r="G1213" s="8">
        <f t="shared" si="18"/>
        <v>41515</v>
      </c>
      <c r="H1213" s="6" t="s">
        <v>39</v>
      </c>
      <c r="I1213" s="9" t="str">
        <f>IF(ISNA(VLOOKUP(A1213,'[1]Craig Eval'!A:C,3,FALSE)),"",(VLOOKUP(A1213,'[1]Craig Eval'!A:C,3,FALSE))*1000)</f>
        <v/>
      </c>
      <c r="J1213" s="10" t="str">
        <f>IF(ISNA(VLOOKUP(A1213,'[1]Craig Eval'!A:M,13,FALSE)),"",VLOOKUP(A1213,'[1]Craig Eval'!A:M,13,FALSE))</f>
        <v/>
      </c>
      <c r="K1213" s="17">
        <v>1</v>
      </c>
    </row>
    <row r="1214" spans="1:11" ht="30" x14ac:dyDescent="0.25">
      <c r="A1214" s="3" t="s">
        <v>2446</v>
      </c>
      <c r="B1214" s="4" t="s">
        <v>2447</v>
      </c>
      <c r="C1214" s="5">
        <v>15686</v>
      </c>
      <c r="D1214" s="6" t="s">
        <v>34</v>
      </c>
      <c r="E1214" s="6" t="s">
        <v>17</v>
      </c>
      <c r="F1214" s="7">
        <v>37196</v>
      </c>
      <c r="G1214" s="8">
        <f t="shared" si="18"/>
        <v>37196</v>
      </c>
      <c r="H1214" s="6" t="s">
        <v>13</v>
      </c>
      <c r="I1214" s="9" t="str">
        <f>IF(ISNA(VLOOKUP(A1214,'[1]Craig Eval'!A:C,3,FALSE)),"",(VLOOKUP(A1214,'[1]Craig Eval'!A:C,3,FALSE))*1000)</f>
        <v/>
      </c>
      <c r="J1214" s="10" t="str">
        <f>IF(ISNA(VLOOKUP(A1214,'[1]Craig Eval'!A:M,13,FALSE)),"",VLOOKUP(A1214,'[1]Craig Eval'!A:M,13,FALSE))</f>
        <v/>
      </c>
      <c r="K1214" s="17">
        <v>1</v>
      </c>
    </row>
    <row r="1215" spans="1:11" ht="30" x14ac:dyDescent="0.25">
      <c r="A1215" s="3" t="s">
        <v>2448</v>
      </c>
      <c r="B1215" s="4" t="s">
        <v>2449</v>
      </c>
      <c r="C1215" s="5">
        <v>29537</v>
      </c>
      <c r="D1215" s="6" t="s">
        <v>34</v>
      </c>
      <c r="E1215" s="6" t="s">
        <v>17</v>
      </c>
      <c r="F1215" s="7">
        <v>38531</v>
      </c>
      <c r="G1215" s="8">
        <f t="shared" si="18"/>
        <v>38531</v>
      </c>
      <c r="H1215" s="6" t="s">
        <v>13</v>
      </c>
      <c r="I1215" s="9" t="str">
        <f>IF(ISNA(VLOOKUP(A1215,'[1]Craig Eval'!A:C,3,FALSE)),"",(VLOOKUP(A1215,'[1]Craig Eval'!A:C,3,FALSE))*1000)</f>
        <v/>
      </c>
      <c r="J1215" s="10" t="str">
        <f>IF(ISNA(VLOOKUP(A1215,'[1]Craig Eval'!A:M,13,FALSE)),"",VLOOKUP(A1215,'[1]Craig Eval'!A:M,13,FALSE))</f>
        <v/>
      </c>
      <c r="K1215" s="17">
        <v>1</v>
      </c>
    </row>
    <row r="1216" spans="1:11" ht="30" x14ac:dyDescent="0.25">
      <c r="A1216" s="3" t="s">
        <v>2450</v>
      </c>
      <c r="B1216" s="4" t="s">
        <v>2451</v>
      </c>
      <c r="C1216" s="5">
        <v>54712</v>
      </c>
      <c r="D1216" s="6" t="s">
        <v>34</v>
      </c>
      <c r="E1216" s="6" t="s">
        <v>17</v>
      </c>
      <c r="F1216" s="7">
        <v>39278</v>
      </c>
      <c r="G1216" s="8">
        <f t="shared" si="18"/>
        <v>39278</v>
      </c>
      <c r="H1216" s="6" t="s">
        <v>13</v>
      </c>
      <c r="I1216" s="9" t="str">
        <f>IF(ISNA(VLOOKUP(A1216,'[1]Craig Eval'!A:C,3,FALSE)),"",(VLOOKUP(A1216,'[1]Craig Eval'!A:C,3,FALSE))*1000)</f>
        <v/>
      </c>
      <c r="J1216" s="10" t="str">
        <f>IF(ISNA(VLOOKUP(A1216,'[1]Craig Eval'!A:M,13,FALSE)),"",VLOOKUP(A1216,'[1]Craig Eval'!A:M,13,FALSE))</f>
        <v/>
      </c>
      <c r="K1216" s="17">
        <v>1</v>
      </c>
    </row>
    <row r="1217" spans="1:11" ht="30" x14ac:dyDescent="0.25">
      <c r="A1217" s="3" t="s">
        <v>2452</v>
      </c>
      <c r="B1217" s="4" t="s">
        <v>2453</v>
      </c>
      <c r="C1217" s="5">
        <v>48737</v>
      </c>
      <c r="D1217" s="6" t="s">
        <v>11</v>
      </c>
      <c r="E1217" s="6" t="s">
        <v>17</v>
      </c>
      <c r="F1217" s="7">
        <v>38999</v>
      </c>
      <c r="G1217" s="8">
        <f t="shared" si="18"/>
        <v>38999</v>
      </c>
      <c r="H1217" s="6" t="s">
        <v>13</v>
      </c>
      <c r="I1217" s="9" t="str">
        <f>IF(ISNA(VLOOKUP(A1217,'[1]Craig Eval'!A:C,3,FALSE)),"",(VLOOKUP(A1217,'[1]Craig Eval'!A:C,3,FALSE))*1000)</f>
        <v/>
      </c>
      <c r="J1217" s="10" t="str">
        <f>IF(ISNA(VLOOKUP(A1217,'[1]Craig Eval'!A:M,13,FALSE)),"",VLOOKUP(A1217,'[1]Craig Eval'!A:M,13,FALSE))</f>
        <v/>
      </c>
      <c r="K1217" s="17">
        <v>1</v>
      </c>
    </row>
    <row r="1218" spans="1:11" ht="30" x14ac:dyDescent="0.25">
      <c r="A1218" s="3" t="s">
        <v>2454</v>
      </c>
      <c r="B1218" s="4" t="s">
        <v>2455</v>
      </c>
      <c r="C1218" s="5">
        <v>54696</v>
      </c>
      <c r="D1218" s="6" t="s">
        <v>11</v>
      </c>
      <c r="E1218" s="6" t="s">
        <v>12</v>
      </c>
      <c r="F1218" s="7">
        <v>39259</v>
      </c>
      <c r="G1218" s="8">
        <f t="shared" ref="G1218:G1281" si="19">F1218</f>
        <v>39259</v>
      </c>
      <c r="H1218" s="6" t="s">
        <v>39</v>
      </c>
      <c r="I1218" s="9" t="str">
        <f>IF(ISNA(VLOOKUP(A1218,'[1]Craig Eval'!A:C,3,FALSE)),"",(VLOOKUP(A1218,'[1]Craig Eval'!A:C,3,FALSE))*1000)</f>
        <v/>
      </c>
      <c r="J1218" s="10" t="str">
        <f>IF(ISNA(VLOOKUP(A1218,'[1]Craig Eval'!A:M,13,FALSE)),"",VLOOKUP(A1218,'[1]Craig Eval'!A:M,13,FALSE))</f>
        <v/>
      </c>
      <c r="K1218" s="17">
        <v>1</v>
      </c>
    </row>
    <row r="1219" spans="1:11" ht="30" x14ac:dyDescent="0.25">
      <c r="A1219" s="3" t="s">
        <v>2456</v>
      </c>
      <c r="B1219" s="4" t="s">
        <v>2457</v>
      </c>
      <c r="C1219" s="14">
        <v>53219</v>
      </c>
      <c r="D1219" s="6" t="s">
        <v>16</v>
      </c>
      <c r="E1219" s="6" t="s">
        <v>17</v>
      </c>
      <c r="F1219" s="7">
        <v>39323</v>
      </c>
      <c r="G1219" s="8">
        <f t="shared" si="19"/>
        <v>39323</v>
      </c>
      <c r="H1219" s="6" t="s">
        <v>13</v>
      </c>
      <c r="I1219" s="9">
        <f>IF(ISNA(VLOOKUP(A1219,'[1]Craig Eval'!A:C,3,FALSE)),"",(VLOOKUP(A1219,'[1]Craig Eval'!A:C,3,FALSE))*1000)</f>
        <v>64843.848998278801</v>
      </c>
      <c r="J1219" s="10">
        <f>IF(ISNA(VLOOKUP(A1219,'[1]Craig Eval'!A:M,13,FALSE)),"",VLOOKUP(A1219,'[1]Craig Eval'!A:M,13,FALSE))</f>
        <v>176.225585083901</v>
      </c>
      <c r="K1219" s="17">
        <v>1</v>
      </c>
    </row>
    <row r="1220" spans="1:11" ht="30" x14ac:dyDescent="0.25">
      <c r="A1220" s="3" t="s">
        <v>2458</v>
      </c>
      <c r="B1220" s="4" t="s">
        <v>2459</v>
      </c>
      <c r="C1220" s="14">
        <v>32577</v>
      </c>
      <c r="D1220" s="6" t="s">
        <v>28</v>
      </c>
      <c r="E1220" s="6" t="s">
        <v>17</v>
      </c>
      <c r="F1220" s="7">
        <v>38474</v>
      </c>
      <c r="G1220" s="8">
        <f t="shared" si="19"/>
        <v>38474</v>
      </c>
      <c r="H1220" s="6" t="s">
        <v>13</v>
      </c>
      <c r="I1220" s="9" t="str">
        <f>IF(ISNA(VLOOKUP(A1220,'[1]Craig Eval'!A:C,3,FALSE)),"",(VLOOKUP(A1220,'[1]Craig Eval'!A:C,3,FALSE))*1000)</f>
        <v/>
      </c>
      <c r="J1220" s="10" t="str">
        <f>IF(ISNA(VLOOKUP(A1220,'[1]Craig Eval'!A:M,13,FALSE)),"",VLOOKUP(A1220,'[1]Craig Eval'!A:M,13,FALSE))</f>
        <v/>
      </c>
      <c r="K1220" s="17">
        <v>1</v>
      </c>
    </row>
    <row r="1221" spans="1:11" ht="30" x14ac:dyDescent="0.25">
      <c r="A1221" s="3" t="s">
        <v>2460</v>
      </c>
      <c r="B1221" s="4" t="s">
        <v>2461</v>
      </c>
      <c r="C1221" s="14">
        <v>50002</v>
      </c>
      <c r="D1221" s="6" t="s">
        <v>11</v>
      </c>
      <c r="E1221" s="6" t="s">
        <v>12</v>
      </c>
      <c r="F1221" s="7">
        <v>39294</v>
      </c>
      <c r="G1221" s="8">
        <f t="shared" si="19"/>
        <v>39294</v>
      </c>
      <c r="H1221" s="6" t="s">
        <v>39</v>
      </c>
      <c r="I1221" s="9" t="str">
        <f>IF(ISNA(VLOOKUP(A1221,'[1]Craig Eval'!A:C,3,FALSE)),"",(VLOOKUP(A1221,'[1]Craig Eval'!A:C,3,FALSE))*1000)</f>
        <v/>
      </c>
      <c r="J1221" s="10" t="str">
        <f>IF(ISNA(VLOOKUP(A1221,'[1]Craig Eval'!A:M,13,FALSE)),"",VLOOKUP(A1221,'[1]Craig Eval'!A:M,13,FALSE))</f>
        <v/>
      </c>
      <c r="K1221" s="17">
        <v>1</v>
      </c>
    </row>
    <row r="1222" spans="1:11" ht="30" x14ac:dyDescent="0.25">
      <c r="A1222" s="3" t="s">
        <v>2462</v>
      </c>
      <c r="B1222" s="4" t="s">
        <v>2463</v>
      </c>
      <c r="C1222" s="5">
        <v>53217</v>
      </c>
      <c r="D1222" s="6" t="s">
        <v>34</v>
      </c>
      <c r="E1222" s="6" t="s">
        <v>17</v>
      </c>
      <c r="F1222" s="7">
        <v>38807</v>
      </c>
      <c r="G1222" s="8">
        <f t="shared" si="19"/>
        <v>38807</v>
      </c>
      <c r="H1222" s="6" t="s">
        <v>13</v>
      </c>
      <c r="I1222" s="9" t="str">
        <f>IF(ISNA(VLOOKUP(A1222,'[1]Craig Eval'!A:C,3,FALSE)),"",(VLOOKUP(A1222,'[1]Craig Eval'!A:C,3,FALSE))*1000)</f>
        <v/>
      </c>
      <c r="J1222" s="10" t="str">
        <f>IF(ISNA(VLOOKUP(A1222,'[1]Craig Eval'!A:M,13,FALSE)),"",VLOOKUP(A1222,'[1]Craig Eval'!A:M,13,FALSE))</f>
        <v/>
      </c>
      <c r="K1222" s="17">
        <v>1</v>
      </c>
    </row>
    <row r="1223" spans="1:11" ht="30" x14ac:dyDescent="0.25">
      <c r="A1223" s="3" t="s">
        <v>2464</v>
      </c>
      <c r="B1223" s="4" t="s">
        <v>2465</v>
      </c>
      <c r="C1223" s="5">
        <v>58017</v>
      </c>
      <c r="D1223" s="6" t="s">
        <v>37</v>
      </c>
      <c r="E1223" s="6" t="s">
        <v>38</v>
      </c>
      <c r="F1223" s="7">
        <v>39507</v>
      </c>
      <c r="G1223" s="8">
        <f t="shared" si="19"/>
        <v>39507</v>
      </c>
      <c r="H1223" s="6" t="s">
        <v>39</v>
      </c>
      <c r="I1223" s="9" t="str">
        <f>IF(ISNA(VLOOKUP(A1223,'[1]Craig Eval'!A:C,3,FALSE)),"",(VLOOKUP(A1223,'[1]Craig Eval'!A:C,3,FALSE))*1000)</f>
        <v/>
      </c>
      <c r="J1223" s="10" t="str">
        <f>IF(ISNA(VLOOKUP(A1223,'[1]Craig Eval'!A:M,13,FALSE)),"",VLOOKUP(A1223,'[1]Craig Eval'!A:M,13,FALSE))</f>
        <v/>
      </c>
      <c r="K1223" s="17">
        <v>2</v>
      </c>
    </row>
    <row r="1224" spans="1:11" ht="30" x14ac:dyDescent="0.25">
      <c r="A1224" s="3" t="s">
        <v>2466</v>
      </c>
      <c r="B1224" s="4" t="s">
        <v>2467</v>
      </c>
      <c r="C1224" s="5">
        <v>55473</v>
      </c>
      <c r="D1224" s="6" t="s">
        <v>37</v>
      </c>
      <c r="E1224" s="6" t="s">
        <v>38</v>
      </c>
      <c r="F1224" s="7">
        <v>39507</v>
      </c>
      <c r="G1224" s="8">
        <f t="shared" si="19"/>
        <v>39507</v>
      </c>
      <c r="H1224" s="6" t="s">
        <v>39</v>
      </c>
      <c r="I1224" s="9" t="str">
        <f>IF(ISNA(VLOOKUP(A1224,'[1]Craig Eval'!A:C,3,FALSE)),"",(VLOOKUP(A1224,'[1]Craig Eval'!A:C,3,FALSE))*1000)</f>
        <v/>
      </c>
      <c r="J1224" s="10" t="str">
        <f>IF(ISNA(VLOOKUP(A1224,'[1]Craig Eval'!A:M,13,FALSE)),"",VLOOKUP(A1224,'[1]Craig Eval'!A:M,13,FALSE))</f>
        <v/>
      </c>
      <c r="K1224" s="17">
        <v>1</v>
      </c>
    </row>
    <row r="1225" spans="1:11" ht="30" x14ac:dyDescent="0.25">
      <c r="A1225" s="3" t="s">
        <v>2468</v>
      </c>
      <c r="B1225" s="4" t="s">
        <v>2469</v>
      </c>
      <c r="C1225" s="5">
        <v>207528</v>
      </c>
      <c r="D1225" s="6" t="s">
        <v>28</v>
      </c>
      <c r="E1225" s="6" t="s">
        <v>17</v>
      </c>
      <c r="F1225" s="7">
        <v>39329</v>
      </c>
      <c r="G1225" s="8">
        <f t="shared" si="19"/>
        <v>39329</v>
      </c>
      <c r="H1225" s="6" t="s">
        <v>13</v>
      </c>
      <c r="I1225" s="9" t="str">
        <f>IF(ISNA(VLOOKUP(A1225,'[1]Craig Eval'!A:C,3,FALSE)),"",(VLOOKUP(A1225,'[1]Craig Eval'!A:C,3,FALSE))*1000)</f>
        <v/>
      </c>
      <c r="J1225" s="10" t="str">
        <f>IF(ISNA(VLOOKUP(A1225,'[1]Craig Eval'!A:M,13,FALSE)),"",VLOOKUP(A1225,'[1]Craig Eval'!A:M,13,FALSE))</f>
        <v/>
      </c>
      <c r="K1225" s="11">
        <v>1</v>
      </c>
    </row>
    <row r="1226" spans="1:11" ht="30" x14ac:dyDescent="0.25">
      <c r="A1226" s="3" t="s">
        <v>2470</v>
      </c>
      <c r="B1226" s="4" t="s">
        <v>2471</v>
      </c>
      <c r="C1226" s="5">
        <v>207529</v>
      </c>
      <c r="D1226" s="6" t="s">
        <v>28</v>
      </c>
      <c r="E1226" s="6" t="s">
        <v>17</v>
      </c>
      <c r="F1226" s="7">
        <v>25569</v>
      </c>
      <c r="G1226" s="8">
        <f t="shared" si="19"/>
        <v>25569</v>
      </c>
      <c r="H1226" s="6" t="s">
        <v>13</v>
      </c>
      <c r="I1226" s="9" t="str">
        <f>IF(ISNA(VLOOKUP(A1226,'[1]Craig Eval'!A:C,3,FALSE)),"",(VLOOKUP(A1226,'[1]Craig Eval'!A:C,3,FALSE))*1000)</f>
        <v/>
      </c>
      <c r="J1226" s="10" t="str">
        <f>IF(ISNA(VLOOKUP(A1226,'[1]Craig Eval'!A:M,13,FALSE)),"",VLOOKUP(A1226,'[1]Craig Eval'!A:M,13,FALSE))</f>
        <v/>
      </c>
      <c r="K1226" s="6">
        <v>1</v>
      </c>
    </row>
    <row r="1227" spans="1:11" ht="30" x14ac:dyDescent="0.25">
      <c r="A1227" s="3" t="s">
        <v>2472</v>
      </c>
      <c r="B1227" s="4" t="s">
        <v>2473</v>
      </c>
      <c r="C1227" s="5">
        <v>54817</v>
      </c>
      <c r="D1227" s="6" t="s">
        <v>28</v>
      </c>
      <c r="E1227" s="6" t="s">
        <v>17</v>
      </c>
      <c r="F1227" s="7">
        <v>39050</v>
      </c>
      <c r="G1227" s="8">
        <f t="shared" si="19"/>
        <v>39050</v>
      </c>
      <c r="H1227" s="6" t="s">
        <v>13</v>
      </c>
      <c r="I1227" s="9">
        <f>IF(ISNA(VLOOKUP(A1227,'[1]Craig Eval'!A:C,3,FALSE)),"",(VLOOKUP(A1227,'[1]Craig Eval'!A:C,3,FALSE))*1000)</f>
        <v>32445.480057443299</v>
      </c>
      <c r="J1227" s="10">
        <f>IF(ISNA(VLOOKUP(A1227,'[1]Craig Eval'!A:M,13,FALSE)),"",VLOOKUP(A1227,'[1]Craig Eval'!A:M,13,FALSE))</f>
        <v>91.562028589221498</v>
      </c>
      <c r="K1227" s="17">
        <v>1</v>
      </c>
    </row>
    <row r="1228" spans="1:11" ht="30" x14ac:dyDescent="0.25">
      <c r="A1228" s="3" t="s">
        <v>2474</v>
      </c>
      <c r="B1228" s="4" t="s">
        <v>2475</v>
      </c>
      <c r="C1228" s="5">
        <v>53537</v>
      </c>
      <c r="D1228" s="6" t="s">
        <v>37</v>
      </c>
      <c r="E1228" s="6" t="s">
        <v>38</v>
      </c>
      <c r="F1228" s="7">
        <v>39483</v>
      </c>
      <c r="G1228" s="8">
        <f t="shared" si="19"/>
        <v>39483</v>
      </c>
      <c r="H1228" s="6" t="s">
        <v>39</v>
      </c>
      <c r="I1228" s="9" t="str">
        <f>IF(ISNA(VLOOKUP(A1228,'[1]Craig Eval'!A:C,3,FALSE)),"",(VLOOKUP(A1228,'[1]Craig Eval'!A:C,3,FALSE))*1000)</f>
        <v/>
      </c>
      <c r="J1228" s="10" t="str">
        <f>IF(ISNA(VLOOKUP(A1228,'[1]Craig Eval'!A:M,13,FALSE)),"",VLOOKUP(A1228,'[1]Craig Eval'!A:M,13,FALSE))</f>
        <v/>
      </c>
      <c r="K1228" s="17">
        <v>1</v>
      </c>
    </row>
    <row r="1229" spans="1:11" ht="30" x14ac:dyDescent="0.25">
      <c r="A1229" s="3" t="s">
        <v>2476</v>
      </c>
      <c r="B1229" s="4" t="s">
        <v>2477</v>
      </c>
      <c r="C1229" s="5">
        <v>59617</v>
      </c>
      <c r="D1229" s="6" t="s">
        <v>16</v>
      </c>
      <c r="E1229" s="6" t="s">
        <v>17</v>
      </c>
      <c r="F1229" s="7">
        <v>39580</v>
      </c>
      <c r="G1229" s="8">
        <f t="shared" si="19"/>
        <v>39580</v>
      </c>
      <c r="H1229" s="6" t="s">
        <v>13</v>
      </c>
      <c r="I1229" s="9" t="str">
        <f>IF(ISNA(VLOOKUP(A1229,'[1]Craig Eval'!A:C,3,FALSE)),"",(VLOOKUP(A1229,'[1]Craig Eval'!A:C,3,FALSE))*1000)</f>
        <v/>
      </c>
      <c r="J1229" s="10" t="str">
        <f>IF(ISNA(VLOOKUP(A1229,'[1]Craig Eval'!A:M,13,FALSE)),"",VLOOKUP(A1229,'[1]Craig Eval'!A:M,13,FALSE))</f>
        <v/>
      </c>
      <c r="K1229" s="17">
        <v>1</v>
      </c>
    </row>
    <row r="1230" spans="1:11" ht="30" x14ac:dyDescent="0.25">
      <c r="A1230" s="3" t="s">
        <v>2478</v>
      </c>
      <c r="B1230" s="4" t="s">
        <v>2479</v>
      </c>
      <c r="C1230" s="14">
        <v>46484</v>
      </c>
      <c r="D1230" s="6" t="s">
        <v>37</v>
      </c>
      <c r="E1230" s="6" t="s">
        <v>38</v>
      </c>
      <c r="F1230" s="7">
        <v>39114</v>
      </c>
      <c r="G1230" s="8">
        <f t="shared" si="19"/>
        <v>39114</v>
      </c>
      <c r="H1230" s="6" t="s">
        <v>39</v>
      </c>
      <c r="I1230" s="9" t="str">
        <f>IF(ISNA(VLOOKUP(A1230,'[1]Craig Eval'!A:C,3,FALSE)),"",(VLOOKUP(A1230,'[1]Craig Eval'!A:C,3,FALSE))*1000)</f>
        <v/>
      </c>
      <c r="J1230" s="10" t="str">
        <f>IF(ISNA(VLOOKUP(A1230,'[1]Craig Eval'!A:M,13,FALSE)),"",VLOOKUP(A1230,'[1]Craig Eval'!A:M,13,FALSE))</f>
        <v/>
      </c>
      <c r="K1230" s="17">
        <v>1</v>
      </c>
    </row>
    <row r="1231" spans="1:11" ht="30" x14ac:dyDescent="0.25">
      <c r="A1231" s="3" t="s">
        <v>2480</v>
      </c>
      <c r="B1231" s="4" t="s">
        <v>2481</v>
      </c>
      <c r="C1231" s="5">
        <v>55457</v>
      </c>
      <c r="D1231" s="6" t="s">
        <v>11</v>
      </c>
      <c r="E1231" s="6" t="s">
        <v>12</v>
      </c>
      <c r="F1231" s="7">
        <v>39525</v>
      </c>
      <c r="G1231" s="8">
        <f t="shared" si="19"/>
        <v>39525</v>
      </c>
      <c r="H1231" s="6" t="s">
        <v>39</v>
      </c>
      <c r="I1231" s="9" t="str">
        <f>IF(ISNA(VLOOKUP(A1231,'[1]Craig Eval'!A:C,3,FALSE)),"",(VLOOKUP(A1231,'[1]Craig Eval'!A:C,3,FALSE))*1000)</f>
        <v/>
      </c>
      <c r="J1231" s="10" t="str">
        <f>IF(ISNA(VLOOKUP(A1231,'[1]Craig Eval'!A:M,13,FALSE)),"",VLOOKUP(A1231,'[1]Craig Eval'!A:M,13,FALSE))</f>
        <v/>
      </c>
      <c r="K1231" s="17">
        <v>1</v>
      </c>
    </row>
    <row r="1232" spans="1:11" ht="30" x14ac:dyDescent="0.25">
      <c r="A1232" s="3" t="s">
        <v>2482</v>
      </c>
      <c r="B1232" s="4" t="s">
        <v>2483</v>
      </c>
      <c r="C1232" s="5">
        <v>60257</v>
      </c>
      <c r="D1232" s="6" t="s">
        <v>28</v>
      </c>
      <c r="E1232" s="6" t="s">
        <v>17</v>
      </c>
      <c r="F1232" s="7">
        <v>39600</v>
      </c>
      <c r="G1232" s="8">
        <f t="shared" si="19"/>
        <v>39600</v>
      </c>
      <c r="H1232" s="6" t="s">
        <v>13</v>
      </c>
      <c r="I1232" s="9">
        <f>IF(ISNA(VLOOKUP(A1232,'[1]Craig Eval'!A:C,3,FALSE)),"",(VLOOKUP(A1232,'[1]Craig Eval'!A:C,3,FALSE))*1000)</f>
        <v>3115.9440572581302</v>
      </c>
      <c r="J1232" s="10">
        <f>IF(ISNA(VLOOKUP(A1232,'[1]Craig Eval'!A:M,13,FALSE)),"",VLOOKUP(A1232,'[1]Craig Eval'!A:M,13,FALSE))</f>
        <v>9.4172327321041998</v>
      </c>
      <c r="K1232" s="17">
        <v>1</v>
      </c>
    </row>
    <row r="1233" spans="1:11" ht="30" x14ac:dyDescent="0.25">
      <c r="A1233" s="3" t="s">
        <v>2484</v>
      </c>
      <c r="B1233" s="4" t="s">
        <v>2485</v>
      </c>
      <c r="C1233" s="5">
        <v>49361</v>
      </c>
      <c r="D1233" s="6" t="s">
        <v>31</v>
      </c>
      <c r="E1233" s="6" t="s">
        <v>17</v>
      </c>
      <c r="F1233" s="7">
        <v>39356</v>
      </c>
      <c r="G1233" s="8">
        <f t="shared" si="19"/>
        <v>39356</v>
      </c>
      <c r="H1233" s="6" t="s">
        <v>13</v>
      </c>
      <c r="I1233" s="9">
        <f>IF(ISNA(VLOOKUP(A1233,'[1]Craig Eval'!A:C,3,FALSE)),"",(VLOOKUP(A1233,'[1]Craig Eval'!A:C,3,FALSE))*1000)</f>
        <v>3971.7302880167699</v>
      </c>
      <c r="J1233" s="10">
        <f>IF(ISNA(VLOOKUP(A1233,'[1]Craig Eval'!A:M,13,FALSE)),"",VLOOKUP(A1233,'[1]Craig Eval'!A:M,13,FALSE))</f>
        <v>11.9535162123048</v>
      </c>
      <c r="K1233" s="17">
        <v>1</v>
      </c>
    </row>
    <row r="1234" spans="1:11" ht="30" x14ac:dyDescent="0.25">
      <c r="A1234" s="3" t="s">
        <v>2486</v>
      </c>
      <c r="B1234" s="4" t="s">
        <v>2487</v>
      </c>
      <c r="C1234" s="5">
        <v>70817</v>
      </c>
      <c r="D1234" s="6" t="s">
        <v>34</v>
      </c>
      <c r="E1234" s="6" t="s">
        <v>17</v>
      </c>
      <c r="F1234" s="7">
        <v>39748</v>
      </c>
      <c r="G1234" s="8">
        <f t="shared" si="19"/>
        <v>39748</v>
      </c>
      <c r="H1234" s="6" t="s">
        <v>13</v>
      </c>
      <c r="I1234" s="9" t="str">
        <f>IF(ISNA(VLOOKUP(A1234,'[1]Craig Eval'!A:C,3,FALSE)),"",(VLOOKUP(A1234,'[1]Craig Eval'!A:C,3,FALSE))*1000)</f>
        <v/>
      </c>
      <c r="J1234" s="10" t="str">
        <f>IF(ISNA(VLOOKUP(A1234,'[1]Craig Eval'!A:M,13,FALSE)),"",VLOOKUP(A1234,'[1]Craig Eval'!A:M,13,FALSE))</f>
        <v/>
      </c>
      <c r="K1234" s="17">
        <v>1</v>
      </c>
    </row>
    <row r="1235" spans="1:11" ht="30" x14ac:dyDescent="0.25">
      <c r="A1235" s="3" t="s">
        <v>2488</v>
      </c>
      <c r="B1235" s="4" t="s">
        <v>2489</v>
      </c>
      <c r="C1235" s="5">
        <v>62177</v>
      </c>
      <c r="D1235" s="6" t="s">
        <v>34</v>
      </c>
      <c r="E1235" s="6" t="s">
        <v>17</v>
      </c>
      <c r="F1235" s="7">
        <v>39569</v>
      </c>
      <c r="G1235" s="8">
        <f t="shared" si="19"/>
        <v>39569</v>
      </c>
      <c r="H1235" s="6" t="s">
        <v>13</v>
      </c>
      <c r="I1235" s="9" t="str">
        <f>IF(ISNA(VLOOKUP(A1235,'[1]Craig Eval'!A:C,3,FALSE)),"",(VLOOKUP(A1235,'[1]Craig Eval'!A:C,3,FALSE))*1000)</f>
        <v/>
      </c>
      <c r="J1235" s="10" t="str">
        <f>IF(ISNA(VLOOKUP(A1235,'[1]Craig Eval'!A:M,13,FALSE)),"",VLOOKUP(A1235,'[1]Craig Eval'!A:M,13,FALSE))</f>
        <v/>
      </c>
      <c r="K1235" s="17">
        <v>1</v>
      </c>
    </row>
    <row r="1236" spans="1:11" ht="30" x14ac:dyDescent="0.25">
      <c r="A1236" s="3" t="s">
        <v>2490</v>
      </c>
      <c r="B1236" s="4" t="s">
        <v>2491</v>
      </c>
      <c r="C1236" s="5">
        <v>1756</v>
      </c>
      <c r="D1236" s="6" t="s">
        <v>31</v>
      </c>
      <c r="E1236" s="6" t="s">
        <v>17</v>
      </c>
      <c r="F1236" s="7">
        <v>18264</v>
      </c>
      <c r="G1236" s="8">
        <f t="shared" si="19"/>
        <v>18264</v>
      </c>
      <c r="H1236" s="6" t="s">
        <v>13</v>
      </c>
      <c r="I1236" s="9">
        <f>IF(ISNA(VLOOKUP(A1236,'[1]Craig Eval'!A:C,3,FALSE)),"",(VLOOKUP(A1236,'[1]Craig Eval'!A:C,3,FALSE))*1000)</f>
        <v>121313.63283392299</v>
      </c>
      <c r="J1236" s="10">
        <f>IF(ISNA(VLOOKUP(A1236,'[1]Craig Eval'!A:M,13,FALSE)),"",VLOOKUP(A1236,'[1]Craig Eval'!A:M,13,FALSE))</f>
        <v>315.44336538779902</v>
      </c>
      <c r="K1236" s="17">
        <v>1</v>
      </c>
    </row>
    <row r="1237" spans="1:11" ht="30" x14ac:dyDescent="0.25">
      <c r="A1237" s="3" t="s">
        <v>2492</v>
      </c>
      <c r="B1237" s="4" t="s">
        <v>2493</v>
      </c>
      <c r="C1237" s="5">
        <v>51921</v>
      </c>
      <c r="D1237" s="6" t="s">
        <v>11</v>
      </c>
      <c r="E1237" s="6" t="s">
        <v>17</v>
      </c>
      <c r="F1237" s="7">
        <v>39429</v>
      </c>
      <c r="G1237" s="8">
        <f t="shared" si="19"/>
        <v>39429</v>
      </c>
      <c r="H1237" s="6" t="s">
        <v>13</v>
      </c>
      <c r="I1237" s="9" t="str">
        <f>IF(ISNA(VLOOKUP(A1237,'[1]Craig Eval'!A:C,3,FALSE)),"",(VLOOKUP(A1237,'[1]Craig Eval'!A:C,3,FALSE))*1000)</f>
        <v/>
      </c>
      <c r="J1237" s="10" t="str">
        <f>IF(ISNA(VLOOKUP(A1237,'[1]Craig Eval'!A:M,13,FALSE)),"",VLOOKUP(A1237,'[1]Craig Eval'!A:M,13,FALSE))</f>
        <v/>
      </c>
      <c r="K1237" s="17">
        <v>1</v>
      </c>
    </row>
    <row r="1238" spans="1:11" ht="30" x14ac:dyDescent="0.25">
      <c r="A1238" s="3" t="s">
        <v>2494</v>
      </c>
      <c r="B1238" s="4" t="s">
        <v>2495</v>
      </c>
      <c r="C1238" s="14">
        <v>52241</v>
      </c>
      <c r="D1238" s="6" t="s">
        <v>11</v>
      </c>
      <c r="E1238" s="6" t="s">
        <v>17</v>
      </c>
      <c r="F1238" s="7">
        <v>39429</v>
      </c>
      <c r="G1238" s="8">
        <f t="shared" si="19"/>
        <v>39429</v>
      </c>
      <c r="H1238" s="6" t="s">
        <v>13</v>
      </c>
      <c r="I1238" s="9" t="str">
        <f>IF(ISNA(VLOOKUP(A1238,'[1]Craig Eval'!A:C,3,FALSE)),"",(VLOOKUP(A1238,'[1]Craig Eval'!A:C,3,FALSE))*1000)</f>
        <v/>
      </c>
      <c r="J1238" s="10" t="str">
        <f>IF(ISNA(VLOOKUP(A1238,'[1]Craig Eval'!A:M,13,FALSE)),"",VLOOKUP(A1238,'[1]Craig Eval'!A:M,13,FALSE))</f>
        <v/>
      </c>
      <c r="K1238" s="17">
        <v>3</v>
      </c>
    </row>
    <row r="1239" spans="1:11" ht="30" x14ac:dyDescent="0.25">
      <c r="A1239" s="3" t="s">
        <v>2496</v>
      </c>
      <c r="B1239" s="4" t="s">
        <v>2497</v>
      </c>
      <c r="C1239" s="14">
        <v>67618</v>
      </c>
      <c r="D1239" s="6" t="s">
        <v>11</v>
      </c>
      <c r="E1239" s="6" t="s">
        <v>12</v>
      </c>
      <c r="F1239" s="7">
        <v>39630</v>
      </c>
      <c r="G1239" s="8">
        <f t="shared" si="19"/>
        <v>39630</v>
      </c>
      <c r="H1239" s="6" t="s">
        <v>39</v>
      </c>
      <c r="I1239" s="9" t="str">
        <f>IF(ISNA(VLOOKUP(A1239,'[1]Craig Eval'!A:C,3,FALSE)),"",(VLOOKUP(A1239,'[1]Craig Eval'!A:C,3,FALSE))*1000)</f>
        <v/>
      </c>
      <c r="J1239" s="10" t="str">
        <f>IF(ISNA(VLOOKUP(A1239,'[1]Craig Eval'!A:M,13,FALSE)),"",VLOOKUP(A1239,'[1]Craig Eval'!A:M,13,FALSE))</f>
        <v/>
      </c>
      <c r="K1239" s="17">
        <v>2</v>
      </c>
    </row>
    <row r="1240" spans="1:11" ht="30" x14ac:dyDescent="0.25">
      <c r="A1240" s="3" t="s">
        <v>2498</v>
      </c>
      <c r="B1240" s="4" t="s">
        <v>2499</v>
      </c>
      <c r="C1240" s="5">
        <v>79139</v>
      </c>
      <c r="D1240" s="6" t="s">
        <v>11</v>
      </c>
      <c r="E1240" s="6" t="s">
        <v>17</v>
      </c>
      <c r="F1240" s="7">
        <v>39755</v>
      </c>
      <c r="G1240" s="8">
        <f t="shared" si="19"/>
        <v>39755</v>
      </c>
      <c r="H1240" s="6" t="s">
        <v>13</v>
      </c>
      <c r="I1240" s="9" t="str">
        <f>IF(ISNA(VLOOKUP(A1240,'[1]Craig Eval'!A:C,3,FALSE)),"",(VLOOKUP(A1240,'[1]Craig Eval'!A:C,3,FALSE))*1000)</f>
        <v/>
      </c>
      <c r="J1240" s="10" t="str">
        <f>IF(ISNA(VLOOKUP(A1240,'[1]Craig Eval'!A:M,13,FALSE)),"",VLOOKUP(A1240,'[1]Craig Eval'!A:M,13,FALSE))</f>
        <v/>
      </c>
      <c r="K1240" s="17">
        <v>1</v>
      </c>
    </row>
    <row r="1241" spans="1:11" ht="30" x14ac:dyDescent="0.25">
      <c r="A1241" s="3" t="s">
        <v>2500</v>
      </c>
      <c r="B1241" s="4" t="s">
        <v>2501</v>
      </c>
      <c r="C1241" s="5">
        <v>65377</v>
      </c>
      <c r="D1241" s="6" t="s">
        <v>28</v>
      </c>
      <c r="E1241" s="6" t="s">
        <v>17</v>
      </c>
      <c r="F1241" s="7">
        <v>39233</v>
      </c>
      <c r="G1241" s="8">
        <f t="shared" si="19"/>
        <v>39233</v>
      </c>
      <c r="H1241" s="6" t="s">
        <v>13</v>
      </c>
      <c r="I1241" s="9" t="str">
        <f>IF(ISNA(VLOOKUP(A1241,'[1]Craig Eval'!A:C,3,FALSE)),"",(VLOOKUP(A1241,'[1]Craig Eval'!A:C,3,FALSE))*1000)</f>
        <v/>
      </c>
      <c r="J1241" s="10" t="str">
        <f>IF(ISNA(VLOOKUP(A1241,'[1]Craig Eval'!A:M,13,FALSE)),"",VLOOKUP(A1241,'[1]Craig Eval'!A:M,13,FALSE))</f>
        <v/>
      </c>
      <c r="K1241" s="17">
        <v>1</v>
      </c>
    </row>
    <row r="1242" spans="1:11" ht="30" x14ac:dyDescent="0.25">
      <c r="A1242" s="3" t="s">
        <v>2502</v>
      </c>
      <c r="B1242" s="4" t="s">
        <v>2503</v>
      </c>
      <c r="C1242" s="5">
        <v>121716</v>
      </c>
      <c r="D1242" s="6" t="s">
        <v>31</v>
      </c>
      <c r="E1242" s="6" t="s">
        <v>17</v>
      </c>
      <c r="F1242" s="7">
        <v>40217</v>
      </c>
      <c r="G1242" s="8">
        <f t="shared" si="19"/>
        <v>40217</v>
      </c>
      <c r="H1242" s="6" t="s">
        <v>13</v>
      </c>
      <c r="I1242" s="9" t="str">
        <f>IF(ISNA(VLOOKUP(A1242,'[1]Craig Eval'!A:C,3,FALSE)),"",(VLOOKUP(A1242,'[1]Craig Eval'!A:C,3,FALSE))*1000)</f>
        <v/>
      </c>
      <c r="J1242" s="10" t="str">
        <f>IF(ISNA(VLOOKUP(A1242,'[1]Craig Eval'!A:M,13,FALSE)),"",VLOOKUP(A1242,'[1]Craig Eval'!A:M,13,FALSE))</f>
        <v/>
      </c>
      <c r="K1242" s="17">
        <v>1</v>
      </c>
    </row>
    <row r="1243" spans="1:11" ht="30" x14ac:dyDescent="0.25">
      <c r="A1243" s="3" t="s">
        <v>2504</v>
      </c>
      <c r="B1243" s="4" t="s">
        <v>2505</v>
      </c>
      <c r="C1243" s="14">
        <v>99972</v>
      </c>
      <c r="D1243" s="6" t="s">
        <v>31</v>
      </c>
      <c r="E1243" s="6" t="s">
        <v>17</v>
      </c>
      <c r="F1243" s="7">
        <v>40042</v>
      </c>
      <c r="G1243" s="8">
        <f t="shared" si="19"/>
        <v>40042</v>
      </c>
      <c r="H1243" s="6" t="s">
        <v>13</v>
      </c>
      <c r="I1243" s="9" t="str">
        <f>IF(ISNA(VLOOKUP(A1243,'[1]Craig Eval'!A:C,3,FALSE)),"",(VLOOKUP(A1243,'[1]Craig Eval'!A:C,3,FALSE))*1000)</f>
        <v/>
      </c>
      <c r="J1243" s="10" t="str">
        <f>IF(ISNA(VLOOKUP(A1243,'[1]Craig Eval'!A:M,13,FALSE)),"",VLOOKUP(A1243,'[1]Craig Eval'!A:M,13,FALSE))</f>
        <v/>
      </c>
      <c r="K1243" s="17">
        <v>2</v>
      </c>
    </row>
    <row r="1244" spans="1:11" ht="30" x14ac:dyDescent="0.25">
      <c r="A1244" s="3" t="s">
        <v>2506</v>
      </c>
      <c r="B1244" s="4" t="s">
        <v>2507</v>
      </c>
      <c r="C1244" s="5">
        <v>120452</v>
      </c>
      <c r="D1244" s="6" t="s">
        <v>31</v>
      </c>
      <c r="E1244" s="6" t="s">
        <v>17</v>
      </c>
      <c r="F1244" s="7">
        <v>40217</v>
      </c>
      <c r="G1244" s="8">
        <f t="shared" si="19"/>
        <v>40217</v>
      </c>
      <c r="H1244" s="6" t="s">
        <v>13</v>
      </c>
      <c r="I1244" s="9" t="str">
        <f>IF(ISNA(VLOOKUP(A1244,'[1]Craig Eval'!A:C,3,FALSE)),"",(VLOOKUP(A1244,'[1]Craig Eval'!A:C,3,FALSE))*1000)</f>
        <v/>
      </c>
      <c r="J1244" s="10" t="str">
        <f>IF(ISNA(VLOOKUP(A1244,'[1]Craig Eval'!A:M,13,FALSE)),"",VLOOKUP(A1244,'[1]Craig Eval'!A:M,13,FALSE))</f>
        <v/>
      </c>
      <c r="K1244" s="17">
        <v>1</v>
      </c>
    </row>
    <row r="1245" spans="1:11" ht="30" x14ac:dyDescent="0.25">
      <c r="A1245" s="3" t="s">
        <v>2508</v>
      </c>
      <c r="B1245" s="4" t="s">
        <v>2509</v>
      </c>
      <c r="C1245" s="5">
        <v>120119</v>
      </c>
      <c r="D1245" s="6" t="s">
        <v>31</v>
      </c>
      <c r="E1245" s="6" t="s">
        <v>17</v>
      </c>
      <c r="F1245" s="7">
        <v>40217</v>
      </c>
      <c r="G1245" s="8">
        <f t="shared" si="19"/>
        <v>40217</v>
      </c>
      <c r="H1245" s="6" t="s">
        <v>13</v>
      </c>
      <c r="I1245" s="9" t="str">
        <f>IF(ISNA(VLOOKUP(A1245,'[1]Craig Eval'!A:C,3,FALSE)),"",(VLOOKUP(A1245,'[1]Craig Eval'!A:C,3,FALSE))*1000)</f>
        <v/>
      </c>
      <c r="J1245" s="10" t="str">
        <f>IF(ISNA(VLOOKUP(A1245,'[1]Craig Eval'!A:M,13,FALSE)),"",VLOOKUP(A1245,'[1]Craig Eval'!A:M,13,FALSE))</f>
        <v/>
      </c>
      <c r="K1245" s="17">
        <v>1</v>
      </c>
    </row>
    <row r="1246" spans="1:11" ht="30" x14ac:dyDescent="0.25">
      <c r="A1246" s="3" t="s">
        <v>2510</v>
      </c>
      <c r="B1246" s="4" t="s">
        <v>2511</v>
      </c>
      <c r="C1246" s="5">
        <v>207524</v>
      </c>
      <c r="D1246" s="6" t="s">
        <v>11</v>
      </c>
      <c r="E1246" s="6" t="s">
        <v>12</v>
      </c>
      <c r="F1246" s="7">
        <v>39973</v>
      </c>
      <c r="G1246" s="8">
        <f t="shared" si="19"/>
        <v>39973</v>
      </c>
      <c r="H1246" s="6" t="s">
        <v>39</v>
      </c>
      <c r="I1246" s="9" t="str">
        <f>IF(ISNA(VLOOKUP(A1246,'[1]Craig Eval'!A:C,3,FALSE)),"",(VLOOKUP(A1246,'[1]Craig Eval'!A:C,3,FALSE))*1000)</f>
        <v/>
      </c>
      <c r="J1246" s="10" t="str">
        <f>IF(ISNA(VLOOKUP(A1246,'[1]Craig Eval'!A:M,13,FALSE)),"",VLOOKUP(A1246,'[1]Craig Eval'!A:M,13,FALSE))</f>
        <v/>
      </c>
      <c r="K1246" s="11">
        <v>4</v>
      </c>
    </row>
    <row r="1247" spans="1:11" ht="30" x14ac:dyDescent="0.25">
      <c r="A1247" s="3" t="s">
        <v>2512</v>
      </c>
      <c r="B1247" s="4" t="s">
        <v>2513</v>
      </c>
      <c r="C1247" s="5">
        <v>91969</v>
      </c>
      <c r="D1247" s="6" t="s">
        <v>11</v>
      </c>
      <c r="E1247" s="6" t="s">
        <v>17</v>
      </c>
      <c r="F1247" s="7">
        <v>39937</v>
      </c>
      <c r="G1247" s="8">
        <f t="shared" si="19"/>
        <v>39937</v>
      </c>
      <c r="H1247" s="6" t="s">
        <v>13</v>
      </c>
      <c r="I1247" s="9" t="str">
        <f>IF(ISNA(VLOOKUP(A1247,'[1]Craig Eval'!A:C,3,FALSE)),"",(VLOOKUP(A1247,'[1]Craig Eval'!A:C,3,FALSE))*1000)</f>
        <v/>
      </c>
      <c r="J1247" s="10" t="str">
        <f>IF(ISNA(VLOOKUP(A1247,'[1]Craig Eval'!A:M,13,FALSE)),"",VLOOKUP(A1247,'[1]Craig Eval'!A:M,13,FALSE))</f>
        <v/>
      </c>
      <c r="K1247" s="17">
        <v>1</v>
      </c>
    </row>
    <row r="1248" spans="1:11" ht="30" x14ac:dyDescent="0.25">
      <c r="A1248" s="3" t="s">
        <v>2514</v>
      </c>
      <c r="B1248" s="4" t="s">
        <v>2515</v>
      </c>
      <c r="C1248" s="5">
        <v>88433</v>
      </c>
      <c r="D1248" s="6" t="s">
        <v>16</v>
      </c>
      <c r="E1248" s="6" t="s">
        <v>17</v>
      </c>
      <c r="F1248" s="7">
        <v>39016</v>
      </c>
      <c r="G1248" s="8">
        <f t="shared" si="19"/>
        <v>39016</v>
      </c>
      <c r="H1248" s="6" t="s">
        <v>13</v>
      </c>
      <c r="I1248" s="9">
        <f>IF(ISNA(VLOOKUP(A1248,'[1]Craig Eval'!A:C,3,FALSE)),"",(VLOOKUP(A1248,'[1]Craig Eval'!A:C,3,FALSE))*1000)</f>
        <v>12624.0360793415</v>
      </c>
      <c r="J1248" s="10">
        <f>IF(ISNA(VLOOKUP(A1248,'[1]Craig Eval'!A:M,13,FALSE)),"",VLOOKUP(A1248,'[1]Craig Eval'!A:M,13,FALSE))</f>
        <v>36.946976444331497</v>
      </c>
      <c r="K1248" s="17">
        <v>1</v>
      </c>
    </row>
    <row r="1249" spans="1:11" ht="30" x14ac:dyDescent="0.25">
      <c r="A1249" s="3" t="s">
        <v>2516</v>
      </c>
      <c r="B1249" s="4" t="s">
        <v>2517</v>
      </c>
      <c r="C1249" s="5">
        <v>123652</v>
      </c>
      <c r="D1249" s="6" t="s">
        <v>11</v>
      </c>
      <c r="E1249" s="6" t="s">
        <v>12</v>
      </c>
      <c r="F1249" s="7">
        <v>39790</v>
      </c>
      <c r="G1249" s="8">
        <f t="shared" si="19"/>
        <v>39790</v>
      </c>
      <c r="H1249" s="6" t="s">
        <v>39</v>
      </c>
      <c r="I1249" s="9" t="str">
        <f>IF(ISNA(VLOOKUP(A1249,'[1]Craig Eval'!A:C,3,FALSE)),"",(VLOOKUP(A1249,'[1]Craig Eval'!A:C,3,FALSE))*1000)</f>
        <v/>
      </c>
      <c r="J1249" s="10" t="str">
        <f>IF(ISNA(VLOOKUP(A1249,'[1]Craig Eval'!A:M,13,FALSE)),"",VLOOKUP(A1249,'[1]Craig Eval'!A:M,13,FALSE))</f>
        <v/>
      </c>
      <c r="K1249" s="17">
        <v>1</v>
      </c>
    </row>
    <row r="1250" spans="1:11" ht="30" x14ac:dyDescent="0.25">
      <c r="A1250" s="3" t="s">
        <v>2518</v>
      </c>
      <c r="B1250" s="4" t="s">
        <v>2519</v>
      </c>
      <c r="C1250" s="5">
        <v>98341</v>
      </c>
      <c r="D1250" s="6" t="s">
        <v>11</v>
      </c>
      <c r="E1250" s="6" t="s">
        <v>12</v>
      </c>
      <c r="F1250" s="7">
        <v>40045</v>
      </c>
      <c r="G1250" s="8">
        <f t="shared" si="19"/>
        <v>40045</v>
      </c>
      <c r="H1250" s="6" t="s">
        <v>39</v>
      </c>
      <c r="I1250" s="9" t="str">
        <f>IF(ISNA(VLOOKUP(A1250,'[1]Craig Eval'!A:C,3,FALSE)),"",(VLOOKUP(A1250,'[1]Craig Eval'!A:C,3,FALSE))*1000)</f>
        <v/>
      </c>
      <c r="J1250" s="10" t="str">
        <f>IF(ISNA(VLOOKUP(A1250,'[1]Craig Eval'!A:M,13,FALSE)),"",VLOOKUP(A1250,'[1]Craig Eval'!A:M,13,FALSE))</f>
        <v/>
      </c>
      <c r="K1250" s="17">
        <v>3</v>
      </c>
    </row>
    <row r="1251" spans="1:11" ht="30" x14ac:dyDescent="0.25">
      <c r="A1251" s="3" t="s">
        <v>2520</v>
      </c>
      <c r="B1251" s="4" t="s">
        <v>2521</v>
      </c>
      <c r="C1251" s="5">
        <v>81057</v>
      </c>
      <c r="D1251" s="6" t="s">
        <v>11</v>
      </c>
      <c r="E1251" s="6" t="s">
        <v>12</v>
      </c>
      <c r="F1251" s="7">
        <v>39805</v>
      </c>
      <c r="G1251" s="8">
        <f t="shared" si="19"/>
        <v>39805</v>
      </c>
      <c r="H1251" s="6" t="s">
        <v>39</v>
      </c>
      <c r="I1251" s="9" t="str">
        <f>IF(ISNA(VLOOKUP(A1251,'[1]Craig Eval'!A:C,3,FALSE)),"",(VLOOKUP(A1251,'[1]Craig Eval'!A:C,3,FALSE))*1000)</f>
        <v/>
      </c>
      <c r="J1251" s="10" t="str">
        <f>IF(ISNA(VLOOKUP(A1251,'[1]Craig Eval'!A:M,13,FALSE)),"",VLOOKUP(A1251,'[1]Craig Eval'!A:M,13,FALSE))</f>
        <v/>
      </c>
      <c r="K1251" s="17">
        <v>1</v>
      </c>
    </row>
    <row r="1252" spans="1:11" ht="30" x14ac:dyDescent="0.25">
      <c r="A1252" s="3" t="s">
        <v>2522</v>
      </c>
      <c r="B1252" s="4" t="s">
        <v>2523</v>
      </c>
      <c r="C1252" s="14">
        <v>119156</v>
      </c>
      <c r="D1252" s="6" t="s">
        <v>11</v>
      </c>
      <c r="E1252" s="6" t="s">
        <v>17</v>
      </c>
      <c r="F1252" s="7">
        <v>40344</v>
      </c>
      <c r="G1252" s="8">
        <f t="shared" si="19"/>
        <v>40344</v>
      </c>
      <c r="H1252" s="6" t="s">
        <v>13</v>
      </c>
      <c r="I1252" s="9" t="str">
        <f>IF(ISNA(VLOOKUP(A1252,'[1]Craig Eval'!A:C,3,FALSE)),"",(VLOOKUP(A1252,'[1]Craig Eval'!A:C,3,FALSE))*1000)</f>
        <v/>
      </c>
      <c r="J1252" s="10" t="str">
        <f>IF(ISNA(VLOOKUP(A1252,'[1]Craig Eval'!A:M,13,FALSE)),"",VLOOKUP(A1252,'[1]Craig Eval'!A:M,13,FALSE))</f>
        <v/>
      </c>
      <c r="K1252" s="17">
        <v>2</v>
      </c>
    </row>
    <row r="1253" spans="1:11" ht="30" x14ac:dyDescent="0.25">
      <c r="A1253" s="3" t="s">
        <v>2524</v>
      </c>
      <c r="B1253" s="4" t="s">
        <v>2525</v>
      </c>
      <c r="C1253" s="5">
        <v>121748</v>
      </c>
      <c r="D1253" s="6" t="s">
        <v>31</v>
      </c>
      <c r="E1253" s="6" t="s">
        <v>17</v>
      </c>
      <c r="F1253" s="7">
        <v>40042</v>
      </c>
      <c r="G1253" s="8">
        <f t="shared" si="19"/>
        <v>40042</v>
      </c>
      <c r="H1253" s="6" t="s">
        <v>13</v>
      </c>
      <c r="I1253" s="9" t="str">
        <f>IF(ISNA(VLOOKUP(A1253,'[1]Craig Eval'!A:C,3,FALSE)),"",(VLOOKUP(A1253,'[1]Craig Eval'!A:C,3,FALSE))*1000)</f>
        <v/>
      </c>
      <c r="J1253" s="10" t="str">
        <f>IF(ISNA(VLOOKUP(A1253,'[1]Craig Eval'!A:M,13,FALSE)),"",VLOOKUP(A1253,'[1]Craig Eval'!A:M,13,FALSE))</f>
        <v/>
      </c>
      <c r="K1253" s="17">
        <v>1</v>
      </c>
    </row>
    <row r="1254" spans="1:11" ht="30" x14ac:dyDescent="0.25">
      <c r="A1254" s="3" t="s">
        <v>2526</v>
      </c>
      <c r="B1254" s="4" t="s">
        <v>2527</v>
      </c>
      <c r="C1254" s="5">
        <v>120788</v>
      </c>
      <c r="D1254" s="6" t="s">
        <v>31</v>
      </c>
      <c r="E1254" s="6" t="s">
        <v>17</v>
      </c>
      <c r="F1254" s="7">
        <v>40217</v>
      </c>
      <c r="G1254" s="8">
        <f t="shared" si="19"/>
        <v>40217</v>
      </c>
      <c r="H1254" s="6" t="s">
        <v>13</v>
      </c>
      <c r="I1254" s="9" t="str">
        <f>IF(ISNA(VLOOKUP(A1254,'[1]Craig Eval'!A:C,3,FALSE)),"",(VLOOKUP(A1254,'[1]Craig Eval'!A:C,3,FALSE))*1000)</f>
        <v/>
      </c>
      <c r="J1254" s="10" t="str">
        <f>IF(ISNA(VLOOKUP(A1254,'[1]Craig Eval'!A:M,13,FALSE)),"",VLOOKUP(A1254,'[1]Craig Eval'!A:M,13,FALSE))</f>
        <v/>
      </c>
      <c r="K1254" s="17">
        <v>1</v>
      </c>
    </row>
    <row r="1255" spans="1:11" ht="30" x14ac:dyDescent="0.25">
      <c r="A1255" s="3" t="s">
        <v>2528</v>
      </c>
      <c r="B1255" s="4" t="s">
        <v>2529</v>
      </c>
      <c r="C1255" s="5">
        <v>121078</v>
      </c>
      <c r="D1255" s="6" t="s">
        <v>31</v>
      </c>
      <c r="E1255" s="6" t="s">
        <v>17</v>
      </c>
      <c r="F1255" s="7">
        <v>40217</v>
      </c>
      <c r="G1255" s="8">
        <f t="shared" si="19"/>
        <v>40217</v>
      </c>
      <c r="H1255" s="6" t="s">
        <v>13</v>
      </c>
      <c r="I1255" s="9" t="str">
        <f>IF(ISNA(VLOOKUP(A1255,'[1]Craig Eval'!A:C,3,FALSE)),"",(VLOOKUP(A1255,'[1]Craig Eval'!A:C,3,FALSE))*1000)</f>
        <v/>
      </c>
      <c r="J1255" s="10" t="str">
        <f>IF(ISNA(VLOOKUP(A1255,'[1]Craig Eval'!A:M,13,FALSE)),"",VLOOKUP(A1255,'[1]Craig Eval'!A:M,13,FALSE))</f>
        <v/>
      </c>
      <c r="K1255" s="17">
        <v>1</v>
      </c>
    </row>
    <row r="1256" spans="1:11" ht="30" x14ac:dyDescent="0.25">
      <c r="A1256" s="3" t="s">
        <v>2530</v>
      </c>
      <c r="B1256" s="4" t="s">
        <v>2531</v>
      </c>
      <c r="C1256" s="5">
        <v>120756</v>
      </c>
      <c r="D1256" s="6" t="s">
        <v>31</v>
      </c>
      <c r="E1256" s="6" t="s">
        <v>17</v>
      </c>
      <c r="F1256" s="7">
        <v>40219</v>
      </c>
      <c r="G1256" s="8">
        <f t="shared" si="19"/>
        <v>40219</v>
      </c>
      <c r="H1256" s="6" t="s">
        <v>13</v>
      </c>
      <c r="I1256" s="9" t="str">
        <f>IF(ISNA(VLOOKUP(A1256,'[1]Craig Eval'!A:C,3,FALSE)),"",(VLOOKUP(A1256,'[1]Craig Eval'!A:C,3,FALSE))*1000)</f>
        <v/>
      </c>
      <c r="J1256" s="10" t="str">
        <f>IF(ISNA(VLOOKUP(A1256,'[1]Craig Eval'!A:M,13,FALSE)),"",VLOOKUP(A1256,'[1]Craig Eval'!A:M,13,FALSE))</f>
        <v/>
      </c>
      <c r="K1256" s="17">
        <v>1</v>
      </c>
    </row>
    <row r="1257" spans="1:11" ht="30" x14ac:dyDescent="0.25">
      <c r="A1257" s="3" t="s">
        <v>2532</v>
      </c>
      <c r="B1257" s="4" t="s">
        <v>2533</v>
      </c>
      <c r="C1257" s="5">
        <v>121412</v>
      </c>
      <c r="D1257" s="6" t="s">
        <v>31</v>
      </c>
      <c r="E1257" s="6" t="s">
        <v>17</v>
      </c>
      <c r="F1257" s="7">
        <v>40217</v>
      </c>
      <c r="G1257" s="8">
        <f t="shared" si="19"/>
        <v>40217</v>
      </c>
      <c r="H1257" s="6" t="s">
        <v>13</v>
      </c>
      <c r="I1257" s="9" t="str">
        <f>IF(ISNA(VLOOKUP(A1257,'[1]Craig Eval'!A:C,3,FALSE)),"",(VLOOKUP(A1257,'[1]Craig Eval'!A:C,3,FALSE))*1000)</f>
        <v/>
      </c>
      <c r="J1257" s="10" t="str">
        <f>IF(ISNA(VLOOKUP(A1257,'[1]Craig Eval'!A:M,13,FALSE)),"",VLOOKUP(A1257,'[1]Craig Eval'!A:M,13,FALSE))</f>
        <v/>
      </c>
      <c r="K1257" s="17">
        <v>1</v>
      </c>
    </row>
    <row r="1258" spans="1:11" ht="30" x14ac:dyDescent="0.25">
      <c r="A1258" s="3" t="s">
        <v>2534</v>
      </c>
      <c r="B1258" s="4" t="s">
        <v>2535</v>
      </c>
      <c r="C1258" s="5">
        <v>119172</v>
      </c>
      <c r="D1258" s="6" t="s">
        <v>31</v>
      </c>
      <c r="E1258" s="6" t="s">
        <v>17</v>
      </c>
      <c r="F1258" s="7">
        <v>40217</v>
      </c>
      <c r="G1258" s="8">
        <f t="shared" si="19"/>
        <v>40217</v>
      </c>
      <c r="H1258" s="6" t="s">
        <v>13</v>
      </c>
      <c r="I1258" s="9" t="str">
        <f>IF(ISNA(VLOOKUP(A1258,'[1]Craig Eval'!A:C,3,FALSE)),"",(VLOOKUP(A1258,'[1]Craig Eval'!A:C,3,FALSE))*1000)</f>
        <v/>
      </c>
      <c r="J1258" s="10" t="str">
        <f>IF(ISNA(VLOOKUP(A1258,'[1]Craig Eval'!A:M,13,FALSE)),"",VLOOKUP(A1258,'[1]Craig Eval'!A:M,13,FALSE))</f>
        <v/>
      </c>
      <c r="K1258" s="17">
        <v>1</v>
      </c>
    </row>
    <row r="1259" spans="1:11" ht="30" x14ac:dyDescent="0.25">
      <c r="A1259" s="3" t="s">
        <v>2536</v>
      </c>
      <c r="B1259" s="4" t="s">
        <v>2537</v>
      </c>
      <c r="C1259" s="5">
        <v>179333</v>
      </c>
      <c r="D1259" s="6" t="s">
        <v>16</v>
      </c>
      <c r="E1259" s="6" t="s">
        <v>17</v>
      </c>
      <c r="F1259" s="7">
        <v>40317</v>
      </c>
      <c r="G1259" s="8">
        <f t="shared" si="19"/>
        <v>40317</v>
      </c>
      <c r="H1259" s="6" t="s">
        <v>13</v>
      </c>
      <c r="I1259" s="9">
        <f>IF(ISNA(VLOOKUP(A1259,'[1]Craig Eval'!A:C,3,FALSE)),"",(VLOOKUP(A1259,'[1]Craig Eval'!A:C,3,FALSE))*1000)</f>
        <v>7718.9235655351604</v>
      </c>
      <c r="J1259" s="10">
        <f>IF(ISNA(VLOOKUP(A1259,'[1]Craig Eval'!A:M,13,FALSE)),"",VLOOKUP(A1259,'[1]Craig Eval'!A:M,13,FALSE))</f>
        <v>22.903159548475699</v>
      </c>
      <c r="K1259" s="17">
        <v>2</v>
      </c>
    </row>
    <row r="1260" spans="1:11" ht="30" x14ac:dyDescent="0.25">
      <c r="A1260" s="3" t="s">
        <v>2538</v>
      </c>
      <c r="B1260" s="4" t="s">
        <v>2539</v>
      </c>
      <c r="C1260" s="5">
        <v>112116</v>
      </c>
      <c r="D1260" s="6" t="s">
        <v>11</v>
      </c>
      <c r="E1260" s="6" t="s">
        <v>17</v>
      </c>
      <c r="F1260" s="7">
        <v>40273</v>
      </c>
      <c r="G1260" s="8">
        <f t="shared" si="19"/>
        <v>40273</v>
      </c>
      <c r="H1260" s="6" t="s">
        <v>13</v>
      </c>
      <c r="I1260" s="9" t="str">
        <f>IF(ISNA(VLOOKUP(A1260,'[1]Craig Eval'!A:C,3,FALSE)),"",(VLOOKUP(A1260,'[1]Craig Eval'!A:C,3,FALSE))*1000)</f>
        <v/>
      </c>
      <c r="J1260" s="10" t="str">
        <f>IF(ISNA(VLOOKUP(A1260,'[1]Craig Eval'!A:M,13,FALSE)),"",VLOOKUP(A1260,'[1]Craig Eval'!A:M,13,FALSE))</f>
        <v/>
      </c>
      <c r="K1260" s="17">
        <v>1</v>
      </c>
    </row>
    <row r="1261" spans="1:11" ht="30" x14ac:dyDescent="0.25">
      <c r="A1261" s="3" t="s">
        <v>2540</v>
      </c>
      <c r="B1261" s="4" t="s">
        <v>2541</v>
      </c>
      <c r="C1261" s="5">
        <v>138677</v>
      </c>
      <c r="D1261" s="6" t="s">
        <v>28</v>
      </c>
      <c r="E1261" s="6" t="s">
        <v>508</v>
      </c>
      <c r="F1261" s="7">
        <v>40653</v>
      </c>
      <c r="G1261" s="8">
        <f t="shared" si="19"/>
        <v>40653</v>
      </c>
      <c r="H1261" s="6" t="s">
        <v>509</v>
      </c>
      <c r="I1261" s="9">
        <f>IF(ISNA(VLOOKUP(A1261,'[1]Craig Eval'!A:C,3,FALSE)),"",(VLOOKUP(A1261,'[1]Craig Eval'!A:C,3,FALSE))*1000)</f>
        <v>84253.920512163997</v>
      </c>
      <c r="J1261" s="10">
        <f>IF(ISNA(VLOOKUP(A1261,'[1]Craig Eval'!A:M,13,FALSE)),"",VLOOKUP(A1261,'[1]Craig Eval'!A:M,13,FALSE))</f>
        <v>225.07170521573099</v>
      </c>
      <c r="K1261" s="17">
        <v>2</v>
      </c>
    </row>
    <row r="1262" spans="1:11" ht="30" x14ac:dyDescent="0.25">
      <c r="A1262" s="3" t="s">
        <v>2542</v>
      </c>
      <c r="B1262" s="4" t="s">
        <v>2543</v>
      </c>
      <c r="C1262" s="5">
        <v>181556</v>
      </c>
      <c r="D1262" s="6" t="s">
        <v>37</v>
      </c>
      <c r="E1262" s="6" t="s">
        <v>38</v>
      </c>
      <c r="F1262" s="7">
        <v>41750</v>
      </c>
      <c r="G1262" s="8">
        <f t="shared" si="19"/>
        <v>41750</v>
      </c>
      <c r="H1262" s="6" t="s">
        <v>39</v>
      </c>
      <c r="I1262" s="9" t="str">
        <f>IF(ISNA(VLOOKUP(A1262,'[1]Craig Eval'!A:C,3,FALSE)),"",(VLOOKUP(A1262,'[1]Craig Eval'!A:C,3,FALSE))*1000)</f>
        <v/>
      </c>
      <c r="J1262" s="10" t="str">
        <f>IF(ISNA(VLOOKUP(A1262,'[1]Craig Eval'!A:M,13,FALSE)),"",VLOOKUP(A1262,'[1]Craig Eval'!A:M,13,FALSE))</f>
        <v/>
      </c>
      <c r="K1262" s="17">
        <v>1</v>
      </c>
    </row>
    <row r="1263" spans="1:11" ht="30" x14ac:dyDescent="0.25">
      <c r="A1263" s="3" t="s">
        <v>2544</v>
      </c>
      <c r="B1263" s="4" t="s">
        <v>2545</v>
      </c>
      <c r="C1263" s="5">
        <v>110516</v>
      </c>
      <c r="D1263" s="6" t="s">
        <v>31</v>
      </c>
      <c r="E1263" s="6" t="s">
        <v>17</v>
      </c>
      <c r="F1263" s="7">
        <v>40094</v>
      </c>
      <c r="G1263" s="8">
        <f t="shared" si="19"/>
        <v>40094</v>
      </c>
      <c r="H1263" s="6" t="s">
        <v>13</v>
      </c>
      <c r="I1263" s="9" t="str">
        <f>IF(ISNA(VLOOKUP(A1263,'[1]Craig Eval'!A:C,3,FALSE)),"",(VLOOKUP(A1263,'[1]Craig Eval'!A:C,3,FALSE))*1000)</f>
        <v/>
      </c>
      <c r="J1263" s="10" t="str">
        <f>IF(ISNA(VLOOKUP(A1263,'[1]Craig Eval'!A:M,13,FALSE)),"",VLOOKUP(A1263,'[1]Craig Eval'!A:M,13,FALSE))</f>
        <v/>
      </c>
      <c r="K1263" s="17">
        <v>1</v>
      </c>
    </row>
    <row r="1264" spans="1:11" ht="30" x14ac:dyDescent="0.25">
      <c r="A1264" s="3" t="s">
        <v>2546</v>
      </c>
      <c r="B1264" s="4" t="s">
        <v>2547</v>
      </c>
      <c r="C1264" s="5">
        <v>107636</v>
      </c>
      <c r="D1264" s="6" t="s">
        <v>11</v>
      </c>
      <c r="E1264" s="6" t="s">
        <v>12</v>
      </c>
      <c r="F1264" s="7">
        <v>40163</v>
      </c>
      <c r="G1264" s="8">
        <f t="shared" si="19"/>
        <v>40163</v>
      </c>
      <c r="H1264" s="6" t="s">
        <v>39</v>
      </c>
      <c r="I1264" s="9" t="str">
        <f>IF(ISNA(VLOOKUP(A1264,'[1]Craig Eval'!A:C,3,FALSE)),"",(VLOOKUP(A1264,'[1]Craig Eval'!A:C,3,FALSE))*1000)</f>
        <v/>
      </c>
      <c r="J1264" s="10" t="str">
        <f>IF(ISNA(VLOOKUP(A1264,'[1]Craig Eval'!A:M,13,FALSE)),"",VLOOKUP(A1264,'[1]Craig Eval'!A:M,13,FALSE))</f>
        <v/>
      </c>
      <c r="K1264" s="17">
        <v>1</v>
      </c>
    </row>
    <row r="1265" spans="1:11" ht="30" x14ac:dyDescent="0.25">
      <c r="A1265" s="3" t="s">
        <v>2548</v>
      </c>
      <c r="B1265" s="4" t="s">
        <v>2549</v>
      </c>
      <c r="C1265" s="5">
        <v>126196</v>
      </c>
      <c r="D1265" s="6" t="s">
        <v>34</v>
      </c>
      <c r="E1265" s="6" t="s">
        <v>17</v>
      </c>
      <c r="F1265" s="7">
        <v>40407</v>
      </c>
      <c r="G1265" s="8">
        <f t="shared" si="19"/>
        <v>40407</v>
      </c>
      <c r="H1265" s="6" t="s">
        <v>13</v>
      </c>
      <c r="I1265" s="9">
        <f>IF(ISNA(VLOOKUP(A1265,'[1]Craig Eval'!A:C,3,FALSE)),"",(VLOOKUP(A1265,'[1]Craig Eval'!A:C,3,FALSE))*1000)</f>
        <v>6045.9663962250697</v>
      </c>
      <c r="J1265" s="10">
        <f>IF(ISNA(VLOOKUP(A1265,'[1]Craig Eval'!A:M,13,FALSE)),"",VLOOKUP(A1265,'[1]Craig Eval'!A:M,13,FALSE))</f>
        <v>18.042632622485701</v>
      </c>
      <c r="K1265" s="17">
        <v>1</v>
      </c>
    </row>
    <row r="1266" spans="1:11" ht="30" x14ac:dyDescent="0.25">
      <c r="A1266" s="3" t="s">
        <v>2550</v>
      </c>
      <c r="B1266" s="4" t="s">
        <v>2551</v>
      </c>
      <c r="C1266" s="5">
        <v>140917</v>
      </c>
      <c r="D1266" s="6" t="s">
        <v>34</v>
      </c>
      <c r="E1266" s="6" t="s">
        <v>17</v>
      </c>
      <c r="F1266" s="7">
        <v>40674</v>
      </c>
      <c r="G1266" s="8">
        <f t="shared" si="19"/>
        <v>40674</v>
      </c>
      <c r="H1266" s="6" t="s">
        <v>13</v>
      </c>
      <c r="I1266" s="9" t="str">
        <f>IF(ISNA(VLOOKUP(A1266,'[1]Craig Eval'!A:C,3,FALSE)),"",(VLOOKUP(A1266,'[1]Craig Eval'!A:C,3,FALSE))*1000)</f>
        <v/>
      </c>
      <c r="J1266" s="10" t="str">
        <f>IF(ISNA(VLOOKUP(A1266,'[1]Craig Eval'!A:M,13,FALSE)),"",VLOOKUP(A1266,'[1]Craig Eval'!A:M,13,FALSE))</f>
        <v/>
      </c>
      <c r="K1266" s="40">
        <v>1</v>
      </c>
    </row>
    <row r="1267" spans="1:11" ht="30" x14ac:dyDescent="0.25">
      <c r="A1267" s="3" t="s">
        <v>2552</v>
      </c>
      <c r="B1267" s="4" t="s">
        <v>2553</v>
      </c>
      <c r="C1267" s="5">
        <v>129428</v>
      </c>
      <c r="D1267" s="6" t="s">
        <v>11</v>
      </c>
      <c r="E1267" s="6" t="s">
        <v>12</v>
      </c>
      <c r="F1267" s="7">
        <v>40392</v>
      </c>
      <c r="G1267" s="8">
        <f t="shared" si="19"/>
        <v>40392</v>
      </c>
      <c r="H1267" s="6" t="s">
        <v>39</v>
      </c>
      <c r="I1267" s="9" t="str">
        <f>IF(ISNA(VLOOKUP(A1267,'[1]Craig Eval'!A:C,3,FALSE)),"",(VLOOKUP(A1267,'[1]Craig Eval'!A:C,3,FALSE))*1000)</f>
        <v/>
      </c>
      <c r="J1267" s="10" t="str">
        <f>IF(ISNA(VLOOKUP(A1267,'[1]Craig Eval'!A:M,13,FALSE)),"",VLOOKUP(A1267,'[1]Craig Eval'!A:M,13,FALSE))</f>
        <v/>
      </c>
      <c r="K1267" s="17">
        <v>1</v>
      </c>
    </row>
    <row r="1268" spans="1:11" ht="30" x14ac:dyDescent="0.25">
      <c r="A1268" s="3" t="s">
        <v>2554</v>
      </c>
      <c r="B1268" s="4" t="s">
        <v>2555</v>
      </c>
      <c r="C1268" s="14">
        <v>130356</v>
      </c>
      <c r="D1268" s="6" t="s">
        <v>11</v>
      </c>
      <c r="E1268" s="6" t="s">
        <v>17</v>
      </c>
      <c r="F1268" s="7">
        <v>40521</v>
      </c>
      <c r="G1268" s="8">
        <f t="shared" si="19"/>
        <v>40521</v>
      </c>
      <c r="H1268" s="6" t="s">
        <v>13</v>
      </c>
      <c r="I1268" s="9" t="str">
        <f>IF(ISNA(VLOOKUP(A1268,'[1]Craig Eval'!A:C,3,FALSE)),"",(VLOOKUP(A1268,'[1]Craig Eval'!A:C,3,FALSE))*1000)</f>
        <v/>
      </c>
      <c r="J1268" s="10" t="str">
        <f>IF(ISNA(VLOOKUP(A1268,'[1]Craig Eval'!A:M,13,FALSE)),"",VLOOKUP(A1268,'[1]Craig Eval'!A:M,13,FALSE))</f>
        <v/>
      </c>
      <c r="K1268" s="17">
        <v>2</v>
      </c>
    </row>
    <row r="1269" spans="1:11" ht="30" x14ac:dyDescent="0.25">
      <c r="A1269" s="3" t="s">
        <v>2556</v>
      </c>
      <c r="B1269" s="4" t="s">
        <v>2557</v>
      </c>
      <c r="C1269" s="5">
        <v>71265</v>
      </c>
      <c r="D1269" s="6" t="s">
        <v>11</v>
      </c>
      <c r="E1269" s="6" t="s">
        <v>12</v>
      </c>
      <c r="F1269" s="7">
        <v>39636</v>
      </c>
      <c r="G1269" s="8">
        <f t="shared" si="19"/>
        <v>39636</v>
      </c>
      <c r="H1269" s="6" t="s">
        <v>39</v>
      </c>
      <c r="I1269" s="9" t="str">
        <f>IF(ISNA(VLOOKUP(A1269,'[1]Craig Eval'!A:C,3,FALSE)),"",(VLOOKUP(A1269,'[1]Craig Eval'!A:C,3,FALSE))*1000)</f>
        <v/>
      </c>
      <c r="J1269" s="10" t="str">
        <f>IF(ISNA(VLOOKUP(A1269,'[1]Craig Eval'!A:M,13,FALSE)),"",VLOOKUP(A1269,'[1]Craig Eval'!A:M,13,FALSE))</f>
        <v/>
      </c>
      <c r="K1269" s="17">
        <v>1</v>
      </c>
    </row>
    <row r="1270" spans="1:11" ht="30" x14ac:dyDescent="0.25">
      <c r="A1270" s="3" t="s">
        <v>2558</v>
      </c>
      <c r="B1270" s="4" t="s">
        <v>2559</v>
      </c>
      <c r="C1270" s="5">
        <v>79777</v>
      </c>
      <c r="D1270" s="6" t="s">
        <v>11</v>
      </c>
      <c r="E1270" s="6" t="s">
        <v>17</v>
      </c>
      <c r="F1270" s="7">
        <v>39787</v>
      </c>
      <c r="G1270" s="8">
        <f t="shared" si="19"/>
        <v>39787</v>
      </c>
      <c r="H1270" s="6" t="s">
        <v>13</v>
      </c>
      <c r="I1270" s="9" t="str">
        <f>IF(ISNA(VLOOKUP(A1270,'[1]Craig Eval'!A:C,3,FALSE)),"",(VLOOKUP(A1270,'[1]Craig Eval'!A:C,3,FALSE))*1000)</f>
        <v/>
      </c>
      <c r="J1270" s="10" t="str">
        <f>IF(ISNA(VLOOKUP(A1270,'[1]Craig Eval'!A:M,13,FALSE)),"",VLOOKUP(A1270,'[1]Craig Eval'!A:M,13,FALSE))</f>
        <v/>
      </c>
      <c r="K1270" s="17">
        <v>1</v>
      </c>
    </row>
    <row r="1271" spans="1:11" ht="30" x14ac:dyDescent="0.25">
      <c r="A1271" s="3" t="s">
        <v>2560</v>
      </c>
      <c r="B1271" s="4" t="s">
        <v>2561</v>
      </c>
      <c r="C1271" s="5">
        <v>140276</v>
      </c>
      <c r="D1271" s="6" t="s">
        <v>34</v>
      </c>
      <c r="E1271" s="6" t="s">
        <v>17</v>
      </c>
      <c r="F1271" s="7">
        <v>42592</v>
      </c>
      <c r="G1271" s="8">
        <f t="shared" si="19"/>
        <v>42592</v>
      </c>
      <c r="H1271" s="6" t="s">
        <v>13</v>
      </c>
      <c r="I1271" s="9" t="str">
        <f>IF(ISNA(VLOOKUP(A1271,'[1]Craig Eval'!A:C,3,FALSE)),"",(VLOOKUP(A1271,'[1]Craig Eval'!A:C,3,FALSE))*1000)</f>
        <v/>
      </c>
      <c r="J1271" s="10" t="str">
        <f>IF(ISNA(VLOOKUP(A1271,'[1]Craig Eval'!A:M,13,FALSE)),"",VLOOKUP(A1271,'[1]Craig Eval'!A:M,13,FALSE))</f>
        <v/>
      </c>
      <c r="K1271" s="17">
        <v>1</v>
      </c>
    </row>
    <row r="1272" spans="1:11" ht="30" x14ac:dyDescent="0.25">
      <c r="A1272" s="3" t="s">
        <v>2562</v>
      </c>
      <c r="B1272" s="4" t="s">
        <v>2563</v>
      </c>
      <c r="C1272" s="5">
        <v>139958</v>
      </c>
      <c r="D1272" s="6" t="s">
        <v>16</v>
      </c>
      <c r="E1272" s="6" t="s">
        <v>17</v>
      </c>
      <c r="F1272" s="7">
        <v>40674</v>
      </c>
      <c r="G1272" s="8">
        <f t="shared" si="19"/>
        <v>40674</v>
      </c>
      <c r="H1272" s="6" t="s">
        <v>13</v>
      </c>
      <c r="I1272" s="9" t="str">
        <f>IF(ISNA(VLOOKUP(A1272,'[1]Craig Eval'!A:C,3,FALSE)),"",(VLOOKUP(A1272,'[1]Craig Eval'!A:C,3,FALSE))*1000)</f>
        <v/>
      </c>
      <c r="J1272" s="10" t="str">
        <f>IF(ISNA(VLOOKUP(A1272,'[1]Craig Eval'!A:M,13,FALSE)),"",VLOOKUP(A1272,'[1]Craig Eval'!A:M,13,FALSE))</f>
        <v/>
      </c>
      <c r="K1272" s="17">
        <v>1</v>
      </c>
    </row>
    <row r="1273" spans="1:11" ht="30" x14ac:dyDescent="0.25">
      <c r="A1273" s="3" t="s">
        <v>2564</v>
      </c>
      <c r="B1273" s="4" t="s">
        <v>2565</v>
      </c>
      <c r="C1273" s="14">
        <v>145396</v>
      </c>
      <c r="D1273" s="6" t="s">
        <v>28</v>
      </c>
      <c r="E1273" s="6" t="s">
        <v>17</v>
      </c>
      <c r="F1273" s="7">
        <v>40784</v>
      </c>
      <c r="G1273" s="8">
        <f t="shared" si="19"/>
        <v>40784</v>
      </c>
      <c r="H1273" s="6" t="s">
        <v>13</v>
      </c>
      <c r="I1273" s="9">
        <f>IF(ISNA(VLOOKUP(A1273,'[1]Craig Eval'!A:C,3,FALSE)),"",(VLOOKUP(A1273,'[1]Craig Eval'!A:C,3,FALSE))*1000)</f>
        <v>150975.32682368701</v>
      </c>
      <c r="J1273" s="10">
        <f>IF(ISNA(VLOOKUP(A1273,'[1]Craig Eval'!A:M,13,FALSE)),"",VLOOKUP(A1273,'[1]Craig Eval'!A:M,13,FALSE))</f>
        <v>385.565765152035</v>
      </c>
      <c r="K1273" s="17">
        <v>3</v>
      </c>
    </row>
    <row r="1274" spans="1:11" ht="30" x14ac:dyDescent="0.25">
      <c r="A1274" s="3" t="s">
        <v>2566</v>
      </c>
      <c r="B1274" s="4" t="s">
        <v>2567</v>
      </c>
      <c r="C1274" s="5">
        <v>149236</v>
      </c>
      <c r="D1274" s="6" t="s">
        <v>16</v>
      </c>
      <c r="E1274" s="6" t="s">
        <v>17</v>
      </c>
      <c r="F1274" s="7">
        <v>40840</v>
      </c>
      <c r="G1274" s="8">
        <f t="shared" si="19"/>
        <v>40840</v>
      </c>
      <c r="H1274" s="6" t="s">
        <v>13</v>
      </c>
      <c r="I1274" s="9" t="str">
        <f>IF(ISNA(VLOOKUP(A1274,'[1]Craig Eval'!A:C,3,FALSE)),"",(VLOOKUP(A1274,'[1]Craig Eval'!A:C,3,FALSE))*1000)</f>
        <v/>
      </c>
      <c r="J1274" s="10" t="str">
        <f>IF(ISNA(VLOOKUP(A1274,'[1]Craig Eval'!A:M,13,FALSE)),"",VLOOKUP(A1274,'[1]Craig Eval'!A:M,13,FALSE))</f>
        <v/>
      </c>
      <c r="K1274" s="17">
        <v>1</v>
      </c>
    </row>
    <row r="1275" spans="1:11" ht="30" x14ac:dyDescent="0.25">
      <c r="A1275" s="3" t="s">
        <v>2568</v>
      </c>
      <c r="B1275" s="4" t="s">
        <v>2569</v>
      </c>
      <c r="C1275" s="5">
        <v>143796</v>
      </c>
      <c r="D1275" s="6" t="s">
        <v>34</v>
      </c>
      <c r="E1275" s="6" t="s">
        <v>17</v>
      </c>
      <c r="F1275" s="7">
        <v>40742</v>
      </c>
      <c r="G1275" s="8">
        <f t="shared" si="19"/>
        <v>40742</v>
      </c>
      <c r="H1275" s="6" t="s">
        <v>13</v>
      </c>
      <c r="I1275" s="9" t="str">
        <f>IF(ISNA(VLOOKUP(A1275,'[1]Craig Eval'!A:C,3,FALSE)),"",(VLOOKUP(A1275,'[1]Craig Eval'!A:C,3,FALSE))*1000)</f>
        <v/>
      </c>
      <c r="J1275" s="10" t="str">
        <f>IF(ISNA(VLOOKUP(A1275,'[1]Craig Eval'!A:M,13,FALSE)),"",VLOOKUP(A1275,'[1]Craig Eval'!A:M,13,FALSE))</f>
        <v/>
      </c>
      <c r="K1275" s="17">
        <v>1</v>
      </c>
    </row>
    <row r="1276" spans="1:11" ht="30" x14ac:dyDescent="0.25">
      <c r="A1276" s="3" t="s">
        <v>2570</v>
      </c>
      <c r="B1276" s="4" t="s">
        <v>2571</v>
      </c>
      <c r="C1276" s="5">
        <v>152436</v>
      </c>
      <c r="D1276" s="6" t="s">
        <v>37</v>
      </c>
      <c r="E1276" s="6" t="s">
        <v>38</v>
      </c>
      <c r="F1276" s="7">
        <v>40884</v>
      </c>
      <c r="G1276" s="8">
        <f t="shared" si="19"/>
        <v>40884</v>
      </c>
      <c r="H1276" s="6" t="s">
        <v>39</v>
      </c>
      <c r="I1276" s="9" t="str">
        <f>IF(ISNA(VLOOKUP(A1276,'[1]Craig Eval'!A:C,3,FALSE)),"",(VLOOKUP(A1276,'[1]Craig Eval'!A:C,3,FALSE))*1000)</f>
        <v/>
      </c>
      <c r="J1276" s="10" t="str">
        <f>IF(ISNA(VLOOKUP(A1276,'[1]Craig Eval'!A:M,13,FALSE)),"",VLOOKUP(A1276,'[1]Craig Eval'!A:M,13,FALSE))</f>
        <v/>
      </c>
      <c r="K1276" s="17">
        <v>2</v>
      </c>
    </row>
    <row r="1277" spans="1:11" ht="30" x14ac:dyDescent="0.25">
      <c r="A1277" s="3" t="s">
        <v>2572</v>
      </c>
      <c r="B1277" s="4" t="s">
        <v>2573</v>
      </c>
      <c r="C1277" s="5">
        <v>155636</v>
      </c>
      <c r="D1277" s="6" t="s">
        <v>11</v>
      </c>
      <c r="E1277" s="6" t="s">
        <v>12</v>
      </c>
      <c r="F1277" s="7">
        <v>41033</v>
      </c>
      <c r="G1277" s="8">
        <f t="shared" si="19"/>
        <v>41033</v>
      </c>
      <c r="H1277" s="6" t="s">
        <v>39</v>
      </c>
      <c r="I1277" s="9" t="str">
        <f>IF(ISNA(VLOOKUP(A1277,'[1]Craig Eval'!A:C,3,FALSE)),"",(VLOOKUP(A1277,'[1]Craig Eval'!A:C,3,FALSE))*1000)</f>
        <v/>
      </c>
      <c r="J1277" s="10" t="str">
        <f>IF(ISNA(VLOOKUP(A1277,'[1]Craig Eval'!A:M,13,FALSE)),"",VLOOKUP(A1277,'[1]Craig Eval'!A:M,13,FALSE))</f>
        <v/>
      </c>
      <c r="K1277" s="17">
        <v>1</v>
      </c>
    </row>
    <row r="1278" spans="1:11" ht="30" x14ac:dyDescent="0.25">
      <c r="A1278" s="3" t="s">
        <v>2574</v>
      </c>
      <c r="B1278" s="4" t="s">
        <v>2575</v>
      </c>
      <c r="C1278" s="5">
        <v>157892</v>
      </c>
      <c r="D1278" s="6" t="s">
        <v>11</v>
      </c>
      <c r="E1278" s="6" t="s">
        <v>12</v>
      </c>
      <c r="F1278" s="7">
        <v>41081</v>
      </c>
      <c r="G1278" s="8">
        <f t="shared" si="19"/>
        <v>41081</v>
      </c>
      <c r="H1278" s="6" t="s">
        <v>39</v>
      </c>
      <c r="I1278" s="9" t="str">
        <f>IF(ISNA(VLOOKUP(A1278,'[1]Craig Eval'!A:C,3,FALSE)),"",(VLOOKUP(A1278,'[1]Craig Eval'!A:C,3,FALSE))*1000)</f>
        <v/>
      </c>
      <c r="J1278" s="10" t="str">
        <f>IF(ISNA(VLOOKUP(A1278,'[1]Craig Eval'!A:M,13,FALSE)),"",VLOOKUP(A1278,'[1]Craig Eval'!A:M,13,FALSE))</f>
        <v/>
      </c>
      <c r="K1278" s="17">
        <v>1</v>
      </c>
    </row>
    <row r="1279" spans="1:11" ht="30" x14ac:dyDescent="0.25">
      <c r="A1279" s="3" t="s">
        <v>2576</v>
      </c>
      <c r="B1279" s="4" t="s">
        <v>2577</v>
      </c>
      <c r="C1279" s="5">
        <v>158516</v>
      </c>
      <c r="D1279" s="6" t="s">
        <v>16</v>
      </c>
      <c r="E1279" s="6" t="s">
        <v>17</v>
      </c>
      <c r="F1279" s="7">
        <v>41092</v>
      </c>
      <c r="G1279" s="8">
        <f t="shared" si="19"/>
        <v>41092</v>
      </c>
      <c r="H1279" s="6" t="s">
        <v>13</v>
      </c>
      <c r="I1279" s="9" t="str">
        <f>IF(ISNA(VLOOKUP(A1279,'[1]Craig Eval'!A:C,3,FALSE)),"",(VLOOKUP(A1279,'[1]Craig Eval'!A:C,3,FALSE))*1000)</f>
        <v/>
      </c>
      <c r="J1279" s="10" t="str">
        <f>IF(ISNA(VLOOKUP(A1279,'[1]Craig Eval'!A:M,13,FALSE)),"",VLOOKUP(A1279,'[1]Craig Eval'!A:M,13,FALSE))</f>
        <v/>
      </c>
      <c r="K1279" s="17">
        <v>1</v>
      </c>
    </row>
    <row r="1280" spans="1:11" ht="30" x14ac:dyDescent="0.25">
      <c r="A1280" s="3" t="s">
        <v>2578</v>
      </c>
      <c r="B1280" s="4" t="s">
        <v>2579</v>
      </c>
      <c r="C1280" s="14">
        <v>158196</v>
      </c>
      <c r="D1280" s="6" t="s">
        <v>34</v>
      </c>
      <c r="E1280" s="6" t="s">
        <v>17</v>
      </c>
      <c r="F1280" s="7">
        <v>40848</v>
      </c>
      <c r="G1280" s="8">
        <f t="shared" si="19"/>
        <v>40848</v>
      </c>
      <c r="H1280" s="6" t="s">
        <v>13</v>
      </c>
      <c r="I1280" s="9" t="str">
        <f>IF(ISNA(VLOOKUP(A1280,'[1]Craig Eval'!A:C,3,FALSE)),"",(VLOOKUP(A1280,'[1]Craig Eval'!A:C,3,FALSE))*1000)</f>
        <v/>
      </c>
      <c r="J1280" s="10" t="str">
        <f>IF(ISNA(VLOOKUP(A1280,'[1]Craig Eval'!A:M,13,FALSE)),"",VLOOKUP(A1280,'[1]Craig Eval'!A:M,13,FALSE))</f>
        <v/>
      </c>
      <c r="K1280" s="17">
        <v>1</v>
      </c>
    </row>
    <row r="1281" spans="1:11" ht="30" x14ac:dyDescent="0.25">
      <c r="A1281" s="3" t="s">
        <v>2580</v>
      </c>
      <c r="B1281" s="4" t="s">
        <v>2581</v>
      </c>
      <c r="C1281" s="5">
        <v>205590</v>
      </c>
      <c r="D1281" s="6" t="s">
        <v>34</v>
      </c>
      <c r="E1281" s="6" t="s">
        <v>17</v>
      </c>
      <c r="F1281" s="7">
        <v>41562</v>
      </c>
      <c r="G1281" s="8">
        <f t="shared" si="19"/>
        <v>41562</v>
      </c>
      <c r="H1281" s="6" t="s">
        <v>13</v>
      </c>
      <c r="I1281" s="9">
        <f>IF(ISNA(VLOOKUP(A1281,'[1]Craig Eval'!A:C,3,FALSE)),"",(VLOOKUP(A1281,'[1]Craig Eval'!A:C,3,FALSE))*1000)</f>
        <v>356.19048242392796</v>
      </c>
      <c r="J1281" s="10">
        <f>IF(ISNA(VLOOKUP(A1281,'[1]Craig Eval'!A:M,13,FALSE)),"",VLOOKUP(A1281,'[1]Craig Eval'!A:M,13,FALSE))</f>
        <v>1.10036793548829</v>
      </c>
      <c r="K1281" s="40">
        <v>1</v>
      </c>
    </row>
    <row r="1282" spans="1:11" ht="30" x14ac:dyDescent="0.25">
      <c r="A1282" s="26" t="s">
        <v>2582</v>
      </c>
      <c r="B1282" s="27" t="s">
        <v>2583</v>
      </c>
      <c r="C1282" s="5">
        <v>163316</v>
      </c>
      <c r="D1282" s="28" t="s">
        <v>16</v>
      </c>
      <c r="E1282" s="28" t="s">
        <v>17</v>
      </c>
      <c r="F1282" s="29">
        <v>41255</v>
      </c>
      <c r="G1282" s="30">
        <f t="shared" ref="G1282:G1345" si="20">F1282</f>
        <v>41255</v>
      </c>
      <c r="H1282" s="28" t="s">
        <v>13</v>
      </c>
      <c r="I1282" s="31">
        <f>IF(ISNA(VLOOKUP(A1282,'[1]Craig Eval'!A:C,3,FALSE)),"",(VLOOKUP(A1282,'[1]Craig Eval'!A:C,3,FALSE))*1000)</f>
        <v>234470.639068146</v>
      </c>
      <c r="J1282" s="32">
        <f>IF(ISNA(VLOOKUP(A1282,'[1]Craig Eval'!A:M,13,FALSE)),"",VLOOKUP(A1282,'[1]Craig Eval'!A:M,13,FALSE))</f>
        <v>574.95399601773897</v>
      </c>
      <c r="K1282" s="33">
        <v>3</v>
      </c>
    </row>
    <row r="1283" spans="1:11" ht="30" x14ac:dyDescent="0.25">
      <c r="A1283" s="3" t="s">
        <v>2584</v>
      </c>
      <c r="B1283" s="4" t="s">
        <v>2585</v>
      </c>
      <c r="C1283" s="5">
        <v>168436</v>
      </c>
      <c r="D1283" s="6" t="s">
        <v>16</v>
      </c>
      <c r="E1283" s="6" t="s">
        <v>17</v>
      </c>
      <c r="F1283" s="7">
        <v>41382</v>
      </c>
      <c r="G1283" s="8">
        <f t="shared" si="20"/>
        <v>41382</v>
      </c>
      <c r="H1283" s="6" t="s">
        <v>13</v>
      </c>
      <c r="I1283" s="9" t="str">
        <f>IF(ISNA(VLOOKUP(A1283,'[1]Craig Eval'!A:C,3,FALSE)),"",(VLOOKUP(A1283,'[1]Craig Eval'!A:C,3,FALSE))*1000)</f>
        <v/>
      </c>
      <c r="J1283" s="10" t="str">
        <f>IF(ISNA(VLOOKUP(A1283,'[1]Craig Eval'!A:M,13,FALSE)),"",VLOOKUP(A1283,'[1]Craig Eval'!A:M,13,FALSE))</f>
        <v/>
      </c>
      <c r="K1283" s="17">
        <v>1</v>
      </c>
    </row>
    <row r="1284" spans="1:11" ht="30" x14ac:dyDescent="0.25">
      <c r="A1284" s="3" t="s">
        <v>2586</v>
      </c>
      <c r="B1284" s="4" t="s">
        <v>2587</v>
      </c>
      <c r="C1284" s="5">
        <v>166196</v>
      </c>
      <c r="D1284" s="6" t="s">
        <v>16</v>
      </c>
      <c r="E1284" s="6" t="s">
        <v>17</v>
      </c>
      <c r="F1284" s="7">
        <v>41339</v>
      </c>
      <c r="G1284" s="8">
        <f t="shared" si="20"/>
        <v>41339</v>
      </c>
      <c r="H1284" s="6" t="s">
        <v>13</v>
      </c>
      <c r="I1284" s="9" t="str">
        <f>IF(ISNA(VLOOKUP(A1284,'[1]Craig Eval'!A:C,3,FALSE)),"",(VLOOKUP(A1284,'[1]Craig Eval'!A:C,3,FALSE))*1000)</f>
        <v/>
      </c>
      <c r="J1284" s="10" t="str">
        <f>IF(ISNA(VLOOKUP(A1284,'[1]Craig Eval'!A:M,13,FALSE)),"",VLOOKUP(A1284,'[1]Craig Eval'!A:M,13,FALSE))</f>
        <v/>
      </c>
      <c r="K1284" s="17">
        <v>1</v>
      </c>
    </row>
    <row r="1285" spans="1:11" ht="30" x14ac:dyDescent="0.25">
      <c r="A1285" s="3" t="s">
        <v>2588</v>
      </c>
      <c r="B1285" s="4" t="s">
        <v>2589</v>
      </c>
      <c r="C1285" s="5">
        <v>167156</v>
      </c>
      <c r="D1285" s="6" t="s">
        <v>34</v>
      </c>
      <c r="E1285" s="6" t="s">
        <v>17</v>
      </c>
      <c r="F1285" s="7">
        <v>41373</v>
      </c>
      <c r="G1285" s="8">
        <f t="shared" si="20"/>
        <v>41373</v>
      </c>
      <c r="H1285" s="6" t="s">
        <v>13</v>
      </c>
      <c r="I1285" s="9" t="str">
        <f>IF(ISNA(VLOOKUP(A1285,'[1]Craig Eval'!A:C,3,FALSE)),"",(VLOOKUP(A1285,'[1]Craig Eval'!A:C,3,FALSE))*1000)</f>
        <v/>
      </c>
      <c r="J1285" s="10" t="str">
        <f>IF(ISNA(VLOOKUP(A1285,'[1]Craig Eval'!A:M,13,FALSE)),"",VLOOKUP(A1285,'[1]Craig Eval'!A:M,13,FALSE))</f>
        <v/>
      </c>
      <c r="K1285" s="17">
        <v>1</v>
      </c>
    </row>
    <row r="1286" spans="1:11" ht="30" x14ac:dyDescent="0.25">
      <c r="A1286" s="3" t="s">
        <v>2590</v>
      </c>
      <c r="B1286" s="4" t="s">
        <v>2591</v>
      </c>
      <c r="C1286" s="5">
        <v>168132</v>
      </c>
      <c r="D1286" s="6" t="s">
        <v>11</v>
      </c>
      <c r="E1286" s="6" t="s">
        <v>17</v>
      </c>
      <c r="F1286" s="7">
        <v>41380</v>
      </c>
      <c r="G1286" s="8">
        <f t="shared" si="20"/>
        <v>41380</v>
      </c>
      <c r="H1286" s="6" t="s">
        <v>13</v>
      </c>
      <c r="I1286" s="9" t="str">
        <f>IF(ISNA(VLOOKUP(A1286,'[1]Craig Eval'!A:C,3,FALSE)),"",(VLOOKUP(A1286,'[1]Craig Eval'!A:C,3,FALSE))*1000)</f>
        <v/>
      </c>
      <c r="J1286" s="10" t="str">
        <f>IF(ISNA(VLOOKUP(A1286,'[1]Craig Eval'!A:M,13,FALSE)),"",VLOOKUP(A1286,'[1]Craig Eval'!A:M,13,FALSE))</f>
        <v/>
      </c>
      <c r="K1286" s="17">
        <v>1</v>
      </c>
    </row>
    <row r="1287" spans="1:11" ht="30" x14ac:dyDescent="0.25">
      <c r="A1287" s="3" t="s">
        <v>2592</v>
      </c>
      <c r="B1287" s="4" t="s">
        <v>2593</v>
      </c>
      <c r="C1287" s="5">
        <v>204948</v>
      </c>
      <c r="D1287" s="6" t="s">
        <v>28</v>
      </c>
      <c r="E1287" s="6" t="s">
        <v>17</v>
      </c>
      <c r="F1287" s="7">
        <v>42674</v>
      </c>
      <c r="G1287" s="8">
        <f t="shared" si="20"/>
        <v>42674</v>
      </c>
      <c r="H1287" s="6" t="s">
        <v>13</v>
      </c>
      <c r="I1287" s="9" t="str">
        <f>IF(ISNA(VLOOKUP(A1287,'[1]Craig Eval'!A:C,3,FALSE)),"",(VLOOKUP(A1287,'[1]Craig Eval'!A:C,3,FALSE))*1000)</f>
        <v/>
      </c>
      <c r="J1287" s="10" t="str">
        <f>IF(ISNA(VLOOKUP(A1287,'[1]Craig Eval'!A:M,13,FALSE)),"",VLOOKUP(A1287,'[1]Craig Eval'!A:M,13,FALSE))</f>
        <v/>
      </c>
      <c r="K1287" s="11">
        <v>2</v>
      </c>
    </row>
    <row r="1288" spans="1:11" ht="30" x14ac:dyDescent="0.25">
      <c r="A1288" s="3" t="s">
        <v>2594</v>
      </c>
      <c r="B1288" s="4" t="s">
        <v>2595</v>
      </c>
      <c r="C1288" s="5">
        <v>172916</v>
      </c>
      <c r="D1288" s="6" t="s">
        <v>11</v>
      </c>
      <c r="E1288" s="6" t="s">
        <v>12</v>
      </c>
      <c r="F1288" s="7">
        <v>41394</v>
      </c>
      <c r="G1288" s="8">
        <f t="shared" si="20"/>
        <v>41394</v>
      </c>
      <c r="H1288" s="6" t="s">
        <v>39</v>
      </c>
      <c r="I1288" s="9" t="str">
        <f>IF(ISNA(VLOOKUP(A1288,'[1]Craig Eval'!A:C,3,FALSE)),"",(VLOOKUP(A1288,'[1]Craig Eval'!A:C,3,FALSE))*1000)</f>
        <v/>
      </c>
      <c r="J1288" s="10" t="str">
        <f>IF(ISNA(VLOOKUP(A1288,'[1]Craig Eval'!A:M,13,FALSE)),"",VLOOKUP(A1288,'[1]Craig Eval'!A:M,13,FALSE))</f>
        <v/>
      </c>
      <c r="K1288" s="17">
        <v>1</v>
      </c>
    </row>
    <row r="1289" spans="1:11" ht="30" x14ac:dyDescent="0.25">
      <c r="A1289" s="3" t="s">
        <v>2596</v>
      </c>
      <c r="B1289" s="4" t="s">
        <v>2597</v>
      </c>
      <c r="C1289" s="5">
        <v>174836</v>
      </c>
      <c r="D1289" s="6" t="s">
        <v>11</v>
      </c>
      <c r="E1289" s="6" t="s">
        <v>17</v>
      </c>
      <c r="F1289" s="7">
        <v>41466</v>
      </c>
      <c r="G1289" s="8">
        <f t="shared" si="20"/>
        <v>41466</v>
      </c>
      <c r="H1289" s="6" t="s">
        <v>13</v>
      </c>
      <c r="I1289" s="9" t="str">
        <f>IF(ISNA(VLOOKUP(A1289,'[1]Craig Eval'!A:C,3,FALSE)),"",(VLOOKUP(A1289,'[1]Craig Eval'!A:C,3,FALSE))*1000)</f>
        <v/>
      </c>
      <c r="J1289" s="10" t="str">
        <f>IF(ISNA(VLOOKUP(A1289,'[1]Craig Eval'!A:M,13,FALSE)),"",VLOOKUP(A1289,'[1]Craig Eval'!A:M,13,FALSE))</f>
        <v/>
      </c>
      <c r="K1289" s="17">
        <v>1</v>
      </c>
    </row>
    <row r="1290" spans="1:11" ht="30" x14ac:dyDescent="0.25">
      <c r="A1290" s="3" t="s">
        <v>2598</v>
      </c>
      <c r="B1290" s="4" t="s">
        <v>2599</v>
      </c>
      <c r="C1290" s="5">
        <v>174852</v>
      </c>
      <c r="D1290" s="6" t="s">
        <v>16</v>
      </c>
      <c r="E1290" s="6" t="s">
        <v>17</v>
      </c>
      <c r="F1290" s="7">
        <v>41513</v>
      </c>
      <c r="G1290" s="8">
        <f t="shared" si="20"/>
        <v>41513</v>
      </c>
      <c r="H1290" s="6" t="s">
        <v>13</v>
      </c>
      <c r="I1290" s="9" t="str">
        <f>IF(ISNA(VLOOKUP(A1290,'[1]Craig Eval'!A:C,3,FALSE)),"",(VLOOKUP(A1290,'[1]Craig Eval'!A:C,3,FALSE))*1000)</f>
        <v/>
      </c>
      <c r="J1290" s="10" t="str">
        <f>IF(ISNA(VLOOKUP(A1290,'[1]Craig Eval'!A:M,13,FALSE)),"",VLOOKUP(A1290,'[1]Craig Eval'!A:M,13,FALSE))</f>
        <v/>
      </c>
      <c r="K1290" s="17">
        <v>1</v>
      </c>
    </row>
    <row r="1291" spans="1:11" ht="30" x14ac:dyDescent="0.25">
      <c r="A1291" s="3" t="s">
        <v>2600</v>
      </c>
      <c r="B1291" s="4" t="s">
        <v>2601</v>
      </c>
      <c r="C1291" s="5">
        <v>173556</v>
      </c>
      <c r="D1291" s="6" t="s">
        <v>16</v>
      </c>
      <c r="E1291" s="6" t="s">
        <v>17</v>
      </c>
      <c r="F1291" s="7">
        <v>41493</v>
      </c>
      <c r="G1291" s="8">
        <f t="shared" si="20"/>
        <v>41493</v>
      </c>
      <c r="H1291" s="6" t="s">
        <v>13</v>
      </c>
      <c r="I1291" s="9" t="str">
        <f>IF(ISNA(VLOOKUP(A1291,'[1]Craig Eval'!A:C,3,FALSE)),"",(VLOOKUP(A1291,'[1]Craig Eval'!A:C,3,FALSE))*1000)</f>
        <v/>
      </c>
      <c r="J1291" s="10" t="str">
        <f>IF(ISNA(VLOOKUP(A1291,'[1]Craig Eval'!A:M,13,FALSE)),"",VLOOKUP(A1291,'[1]Craig Eval'!A:M,13,FALSE))</f>
        <v/>
      </c>
      <c r="K1291" s="17">
        <v>1</v>
      </c>
    </row>
    <row r="1292" spans="1:11" ht="30" x14ac:dyDescent="0.25">
      <c r="A1292" s="3" t="s">
        <v>2602</v>
      </c>
      <c r="B1292" s="4" t="s">
        <v>2603</v>
      </c>
      <c r="C1292" s="5">
        <v>179956</v>
      </c>
      <c r="D1292" s="6" t="s">
        <v>11</v>
      </c>
      <c r="E1292" s="6" t="s">
        <v>12</v>
      </c>
      <c r="F1292" s="7">
        <v>41550</v>
      </c>
      <c r="G1292" s="8">
        <f t="shared" si="20"/>
        <v>41550</v>
      </c>
      <c r="H1292" s="6" t="s">
        <v>39</v>
      </c>
      <c r="I1292" s="9" t="str">
        <f>IF(ISNA(VLOOKUP(A1292,'[1]Craig Eval'!A:C,3,FALSE)),"",(VLOOKUP(A1292,'[1]Craig Eval'!A:C,3,FALSE))*1000)</f>
        <v/>
      </c>
      <c r="J1292" s="10" t="str">
        <f>IF(ISNA(VLOOKUP(A1292,'[1]Craig Eval'!A:M,13,FALSE)),"",VLOOKUP(A1292,'[1]Craig Eval'!A:M,13,FALSE))</f>
        <v/>
      </c>
      <c r="K1292" s="17">
        <v>1</v>
      </c>
    </row>
    <row r="1293" spans="1:11" ht="30" x14ac:dyDescent="0.25">
      <c r="A1293" s="3" t="s">
        <v>2604</v>
      </c>
      <c r="B1293" s="4" t="s">
        <v>2605</v>
      </c>
      <c r="C1293" s="5">
        <v>176117</v>
      </c>
      <c r="D1293" s="6" t="s">
        <v>31</v>
      </c>
      <c r="E1293" s="6" t="s">
        <v>17</v>
      </c>
      <c r="F1293" s="7">
        <v>41568</v>
      </c>
      <c r="G1293" s="8">
        <f t="shared" si="20"/>
        <v>41568</v>
      </c>
      <c r="H1293" s="6" t="s">
        <v>13</v>
      </c>
      <c r="I1293" s="9" t="str">
        <f>IF(ISNA(VLOOKUP(A1293,'[1]Craig Eval'!A:C,3,FALSE)),"",(VLOOKUP(A1293,'[1]Craig Eval'!A:C,3,FALSE))*1000)</f>
        <v/>
      </c>
      <c r="J1293" s="10" t="str">
        <f>IF(ISNA(VLOOKUP(A1293,'[1]Craig Eval'!A:M,13,FALSE)),"",VLOOKUP(A1293,'[1]Craig Eval'!A:M,13,FALSE))</f>
        <v/>
      </c>
      <c r="K1293" s="17">
        <v>1</v>
      </c>
    </row>
    <row r="1294" spans="1:11" ht="30" x14ac:dyDescent="0.25">
      <c r="A1294" s="3" t="s">
        <v>2606</v>
      </c>
      <c r="B1294" s="4" t="s">
        <v>2607</v>
      </c>
      <c r="C1294" s="5">
        <v>207532</v>
      </c>
      <c r="D1294" s="6" t="s">
        <v>11</v>
      </c>
      <c r="E1294" s="6" t="s">
        <v>12</v>
      </c>
      <c r="F1294" s="7">
        <v>38210</v>
      </c>
      <c r="G1294" s="8">
        <f t="shared" si="20"/>
        <v>38210</v>
      </c>
      <c r="H1294" s="6" t="s">
        <v>776</v>
      </c>
      <c r="I1294" s="9" t="str">
        <f>IF(ISNA(VLOOKUP(A1294,'[1]Craig Eval'!A:C,3,FALSE)),"",(VLOOKUP(A1294,'[1]Craig Eval'!A:C,3,FALSE))*1000)</f>
        <v/>
      </c>
      <c r="J1294" s="10" t="str">
        <f>IF(ISNA(VLOOKUP(A1294,'[1]Craig Eval'!A:M,13,FALSE)),"",VLOOKUP(A1294,'[1]Craig Eval'!A:M,13,FALSE))</f>
        <v/>
      </c>
      <c r="K1294" s="11">
        <v>1</v>
      </c>
    </row>
    <row r="1295" spans="1:11" ht="30" x14ac:dyDescent="0.25">
      <c r="A1295" s="3" t="s">
        <v>2608</v>
      </c>
      <c r="B1295" s="4" t="s">
        <v>2609</v>
      </c>
      <c r="C1295" s="5">
        <v>180276</v>
      </c>
      <c r="D1295" s="6" t="s">
        <v>31</v>
      </c>
      <c r="E1295" s="6" t="s">
        <v>17</v>
      </c>
      <c r="F1295" s="7">
        <v>41669</v>
      </c>
      <c r="G1295" s="8">
        <f t="shared" si="20"/>
        <v>41669</v>
      </c>
      <c r="H1295" s="6" t="s">
        <v>13</v>
      </c>
      <c r="I1295" s="9" t="str">
        <f>IF(ISNA(VLOOKUP(A1295,'[1]Craig Eval'!A:C,3,FALSE)),"",(VLOOKUP(A1295,'[1]Craig Eval'!A:C,3,FALSE))*1000)</f>
        <v/>
      </c>
      <c r="J1295" s="10" t="str">
        <f>IF(ISNA(VLOOKUP(A1295,'[1]Craig Eval'!A:M,13,FALSE)),"",VLOOKUP(A1295,'[1]Craig Eval'!A:M,13,FALSE))</f>
        <v/>
      </c>
      <c r="K1295" s="17">
        <v>1</v>
      </c>
    </row>
    <row r="1296" spans="1:11" ht="30" x14ac:dyDescent="0.25">
      <c r="A1296" s="3" t="s">
        <v>2610</v>
      </c>
      <c r="B1296" s="4" t="s">
        <v>2611</v>
      </c>
      <c r="C1296" s="5">
        <v>184116</v>
      </c>
      <c r="D1296" s="6" t="s">
        <v>11</v>
      </c>
      <c r="E1296" s="6" t="s">
        <v>17</v>
      </c>
      <c r="F1296" s="7">
        <v>41815</v>
      </c>
      <c r="G1296" s="8">
        <f t="shared" si="20"/>
        <v>41815</v>
      </c>
      <c r="H1296" s="6" t="s">
        <v>13</v>
      </c>
      <c r="I1296" s="9" t="str">
        <f>IF(ISNA(VLOOKUP(A1296,'[1]Craig Eval'!A:C,3,FALSE)),"",(VLOOKUP(A1296,'[1]Craig Eval'!A:C,3,FALSE))*1000)</f>
        <v/>
      </c>
      <c r="J1296" s="10" t="str">
        <f>IF(ISNA(VLOOKUP(A1296,'[1]Craig Eval'!A:M,13,FALSE)),"",VLOOKUP(A1296,'[1]Craig Eval'!A:M,13,FALSE))</f>
        <v/>
      </c>
      <c r="K1296" s="17">
        <v>1</v>
      </c>
    </row>
    <row r="1297" spans="1:11" ht="30" x14ac:dyDescent="0.25">
      <c r="A1297" s="3" t="s">
        <v>2612</v>
      </c>
      <c r="B1297" s="4" t="s">
        <v>2613</v>
      </c>
      <c r="C1297" s="14">
        <v>182518</v>
      </c>
      <c r="D1297" s="6" t="s">
        <v>16</v>
      </c>
      <c r="E1297" s="6" t="s">
        <v>17</v>
      </c>
      <c r="F1297" s="7">
        <v>41788</v>
      </c>
      <c r="G1297" s="8">
        <f t="shared" si="20"/>
        <v>41788</v>
      </c>
      <c r="H1297" s="6" t="s">
        <v>13</v>
      </c>
      <c r="I1297" s="9" t="str">
        <f>IF(ISNA(VLOOKUP(A1297,'[1]Craig Eval'!A:C,3,FALSE)),"",(VLOOKUP(A1297,'[1]Craig Eval'!A:C,3,FALSE))*1000)</f>
        <v/>
      </c>
      <c r="J1297" s="10" t="str">
        <f>IF(ISNA(VLOOKUP(A1297,'[1]Craig Eval'!A:M,13,FALSE)),"",VLOOKUP(A1297,'[1]Craig Eval'!A:M,13,FALSE))</f>
        <v/>
      </c>
      <c r="K1297" s="17">
        <v>1</v>
      </c>
    </row>
    <row r="1298" spans="1:11" ht="30" x14ac:dyDescent="0.25">
      <c r="A1298" s="3" t="s">
        <v>2614</v>
      </c>
      <c r="B1298" s="4" t="s">
        <v>2615</v>
      </c>
      <c r="C1298" s="14">
        <v>182218</v>
      </c>
      <c r="D1298" s="6" t="s">
        <v>28</v>
      </c>
      <c r="E1298" s="6" t="s">
        <v>17</v>
      </c>
      <c r="F1298" s="7">
        <v>41649</v>
      </c>
      <c r="G1298" s="8">
        <f t="shared" si="20"/>
        <v>41649</v>
      </c>
      <c r="H1298" s="6" t="s">
        <v>13</v>
      </c>
      <c r="I1298" s="9">
        <f>IF(ISNA(VLOOKUP(A1298,'[1]Craig Eval'!A:C,3,FALSE)),"",(VLOOKUP(A1298,'[1]Craig Eval'!A:C,3,FALSE))*1000)</f>
        <v>14707.4402244225</v>
      </c>
      <c r="J1298" s="10">
        <f>IF(ISNA(VLOOKUP(A1298,'[1]Craig Eval'!A:M,13,FALSE)),"",VLOOKUP(A1298,'[1]Craig Eval'!A:M,13,FALSE))</f>
        <v>42.833304113703299</v>
      </c>
      <c r="K1298" s="17">
        <v>2</v>
      </c>
    </row>
    <row r="1299" spans="1:11" ht="30" x14ac:dyDescent="0.25">
      <c r="A1299" s="3" t="s">
        <v>2616</v>
      </c>
      <c r="B1299" s="4" t="s">
        <v>2617</v>
      </c>
      <c r="C1299" s="5">
        <v>183476</v>
      </c>
      <c r="D1299" s="6" t="s">
        <v>16</v>
      </c>
      <c r="E1299" s="6" t="s">
        <v>17</v>
      </c>
      <c r="F1299" s="7">
        <v>41836</v>
      </c>
      <c r="G1299" s="8">
        <f t="shared" si="20"/>
        <v>41836</v>
      </c>
      <c r="H1299" s="6" t="s">
        <v>13</v>
      </c>
      <c r="I1299" s="9" t="str">
        <f>IF(ISNA(VLOOKUP(A1299,'[1]Craig Eval'!A:C,3,FALSE)),"",(VLOOKUP(A1299,'[1]Craig Eval'!A:C,3,FALSE))*1000)</f>
        <v/>
      </c>
      <c r="J1299" s="10" t="str">
        <f>IF(ISNA(VLOOKUP(A1299,'[1]Craig Eval'!A:M,13,FALSE)),"",VLOOKUP(A1299,'[1]Craig Eval'!A:M,13,FALSE))</f>
        <v/>
      </c>
      <c r="K1299" s="17">
        <v>1</v>
      </c>
    </row>
    <row r="1300" spans="1:11" ht="30" x14ac:dyDescent="0.25">
      <c r="A1300" s="3" t="s">
        <v>2618</v>
      </c>
      <c r="B1300" s="4" t="s">
        <v>2619</v>
      </c>
      <c r="C1300" s="5">
        <v>185429</v>
      </c>
      <c r="D1300" s="6" t="s">
        <v>34</v>
      </c>
      <c r="E1300" s="6" t="s">
        <v>17</v>
      </c>
      <c r="F1300" s="7">
        <v>41887</v>
      </c>
      <c r="G1300" s="8">
        <f t="shared" si="20"/>
        <v>41887</v>
      </c>
      <c r="H1300" s="6" t="s">
        <v>13</v>
      </c>
      <c r="I1300" s="9" t="str">
        <f>IF(ISNA(VLOOKUP(A1300,'[1]Craig Eval'!A:C,3,FALSE)),"",(VLOOKUP(A1300,'[1]Craig Eval'!A:C,3,FALSE))*1000)</f>
        <v/>
      </c>
      <c r="J1300" s="10" t="str">
        <f>IF(ISNA(VLOOKUP(A1300,'[1]Craig Eval'!A:M,13,FALSE)),"",VLOOKUP(A1300,'[1]Craig Eval'!A:M,13,FALSE))</f>
        <v/>
      </c>
      <c r="K1300" s="17">
        <v>1</v>
      </c>
    </row>
    <row r="1301" spans="1:11" ht="30" x14ac:dyDescent="0.25">
      <c r="A1301" s="3" t="s">
        <v>2620</v>
      </c>
      <c r="B1301" s="4" t="s">
        <v>2621</v>
      </c>
      <c r="C1301" s="5">
        <v>183479</v>
      </c>
      <c r="D1301" s="6" t="s">
        <v>11</v>
      </c>
      <c r="E1301" s="6" t="s">
        <v>17</v>
      </c>
      <c r="F1301" s="7">
        <v>41870</v>
      </c>
      <c r="G1301" s="8">
        <f t="shared" si="20"/>
        <v>41870</v>
      </c>
      <c r="H1301" s="6" t="s">
        <v>13</v>
      </c>
      <c r="I1301" s="9" t="str">
        <f>IF(ISNA(VLOOKUP(A1301,'[1]Craig Eval'!A:C,3,FALSE)),"",(VLOOKUP(A1301,'[1]Craig Eval'!A:C,3,FALSE))*1000)</f>
        <v/>
      </c>
      <c r="J1301" s="10" t="str">
        <f>IF(ISNA(VLOOKUP(A1301,'[1]Craig Eval'!A:M,13,FALSE)),"",VLOOKUP(A1301,'[1]Craig Eval'!A:M,13,FALSE))</f>
        <v/>
      </c>
      <c r="K1301" s="17">
        <v>1</v>
      </c>
    </row>
    <row r="1302" spans="1:11" ht="30" x14ac:dyDescent="0.25">
      <c r="A1302" s="3" t="s">
        <v>2622</v>
      </c>
      <c r="B1302" s="4" t="s">
        <v>2623</v>
      </c>
      <c r="C1302" s="5">
        <v>185734</v>
      </c>
      <c r="D1302" s="6" t="s">
        <v>31</v>
      </c>
      <c r="E1302" s="6" t="s">
        <v>17</v>
      </c>
      <c r="F1302" s="7">
        <v>41878</v>
      </c>
      <c r="G1302" s="8">
        <f t="shared" si="20"/>
        <v>41878</v>
      </c>
      <c r="H1302" s="6" t="s">
        <v>13</v>
      </c>
      <c r="I1302" s="9">
        <f>IF(ISNA(VLOOKUP(A1302,'[1]Craig Eval'!A:C,3,FALSE)),"",(VLOOKUP(A1302,'[1]Craig Eval'!A:C,3,FALSE))*1000)</f>
        <v>15456.0520440091</v>
      </c>
      <c r="J1302" s="10">
        <f>IF(ISNA(VLOOKUP(A1302,'[1]Craig Eval'!A:M,13,FALSE)),"",VLOOKUP(A1302,'[1]Craig Eval'!A:M,13,FALSE))</f>
        <v>44.938313797385597</v>
      </c>
      <c r="K1302" s="17">
        <v>1</v>
      </c>
    </row>
    <row r="1303" spans="1:11" ht="30" x14ac:dyDescent="0.25">
      <c r="A1303" s="3" t="s">
        <v>2624</v>
      </c>
      <c r="B1303" s="4" t="s">
        <v>2625</v>
      </c>
      <c r="C1303" s="14">
        <v>186378</v>
      </c>
      <c r="D1303" s="6" t="s">
        <v>11</v>
      </c>
      <c r="E1303" s="6" t="s">
        <v>17</v>
      </c>
      <c r="F1303" s="7">
        <v>41915</v>
      </c>
      <c r="G1303" s="8">
        <f t="shared" si="20"/>
        <v>41915</v>
      </c>
      <c r="H1303" s="6" t="s">
        <v>13</v>
      </c>
      <c r="I1303" s="9" t="str">
        <f>IF(ISNA(VLOOKUP(A1303,'[1]Craig Eval'!A:C,3,FALSE)),"",(VLOOKUP(A1303,'[1]Craig Eval'!A:C,3,FALSE))*1000)</f>
        <v/>
      </c>
      <c r="J1303" s="10" t="str">
        <f>IF(ISNA(VLOOKUP(A1303,'[1]Craig Eval'!A:M,13,FALSE)),"",VLOOKUP(A1303,'[1]Craig Eval'!A:M,13,FALSE))</f>
        <v/>
      </c>
      <c r="K1303" s="17">
        <v>1</v>
      </c>
    </row>
    <row r="1304" spans="1:11" ht="30" x14ac:dyDescent="0.25">
      <c r="A1304" s="3" t="s">
        <v>2626</v>
      </c>
      <c r="B1304" s="4" t="s">
        <v>2627</v>
      </c>
      <c r="C1304" s="14">
        <v>186052</v>
      </c>
      <c r="D1304" s="6" t="s">
        <v>31</v>
      </c>
      <c r="E1304" s="6" t="s">
        <v>17</v>
      </c>
      <c r="F1304" s="7">
        <v>41927</v>
      </c>
      <c r="G1304" s="8">
        <f t="shared" si="20"/>
        <v>41927</v>
      </c>
      <c r="H1304" s="6" t="s">
        <v>13</v>
      </c>
      <c r="I1304" s="9">
        <f>IF(ISNA(VLOOKUP(A1304,'[1]Craig Eval'!A:C,3,FALSE)),"",(VLOOKUP(A1304,'[1]Craig Eval'!A:C,3,FALSE))*1000)</f>
        <v>35901.845533151798</v>
      </c>
      <c r="J1304" s="10">
        <f>IF(ISNA(VLOOKUP(A1304,'[1]Craig Eval'!A:M,13,FALSE)),"",VLOOKUP(A1304,'[1]Craig Eval'!A:M,13,FALSE))</f>
        <v>100.824845831036</v>
      </c>
      <c r="K1304" s="17">
        <v>1</v>
      </c>
    </row>
    <row r="1305" spans="1:11" ht="30" x14ac:dyDescent="0.25">
      <c r="A1305" s="3" t="s">
        <v>2628</v>
      </c>
      <c r="B1305" s="4" t="s">
        <v>2629</v>
      </c>
      <c r="C1305" s="14">
        <v>187348</v>
      </c>
      <c r="D1305" s="6" t="s">
        <v>11</v>
      </c>
      <c r="E1305" s="6" t="s">
        <v>17</v>
      </c>
      <c r="F1305" s="7">
        <v>41934</v>
      </c>
      <c r="G1305" s="8">
        <f t="shared" si="20"/>
        <v>41934</v>
      </c>
      <c r="H1305" s="6" t="s">
        <v>13</v>
      </c>
      <c r="I1305" s="9" t="str">
        <f>IF(ISNA(VLOOKUP(A1305,'[1]Craig Eval'!A:C,3,FALSE)),"",(VLOOKUP(A1305,'[1]Craig Eval'!A:C,3,FALSE))*1000)</f>
        <v/>
      </c>
      <c r="J1305" s="10" t="str">
        <f>IF(ISNA(VLOOKUP(A1305,'[1]Craig Eval'!A:M,13,FALSE)),"",VLOOKUP(A1305,'[1]Craig Eval'!A:M,13,FALSE))</f>
        <v/>
      </c>
      <c r="K1305" s="17">
        <v>2</v>
      </c>
    </row>
    <row r="1306" spans="1:11" ht="30" x14ac:dyDescent="0.25">
      <c r="A1306" s="3" t="s">
        <v>2630</v>
      </c>
      <c r="B1306" s="4" t="s">
        <v>2631</v>
      </c>
      <c r="C1306" s="5">
        <v>205270</v>
      </c>
      <c r="D1306" s="6" t="s">
        <v>11</v>
      </c>
      <c r="E1306" s="6" t="s">
        <v>17</v>
      </c>
      <c r="F1306" s="7">
        <v>41920</v>
      </c>
      <c r="G1306" s="8">
        <f t="shared" si="20"/>
        <v>41920</v>
      </c>
      <c r="H1306" s="6" t="s">
        <v>13</v>
      </c>
      <c r="I1306" s="9" t="str">
        <f>IF(ISNA(VLOOKUP(A1306,'[1]Craig Eval'!A:C,3,FALSE)),"",(VLOOKUP(A1306,'[1]Craig Eval'!A:C,3,FALSE))*1000)</f>
        <v/>
      </c>
      <c r="J1306" s="10" t="str">
        <f>IF(ISNA(VLOOKUP(A1306,'[1]Craig Eval'!A:M,13,FALSE)),"",VLOOKUP(A1306,'[1]Craig Eval'!A:M,13,FALSE))</f>
        <v/>
      </c>
      <c r="K1306" s="11">
        <v>2</v>
      </c>
    </row>
    <row r="1307" spans="1:11" ht="30" x14ac:dyDescent="0.25">
      <c r="A1307" s="3" t="s">
        <v>2632</v>
      </c>
      <c r="B1307" s="4" t="s">
        <v>2633</v>
      </c>
      <c r="C1307" s="5">
        <v>187976</v>
      </c>
      <c r="D1307" s="6" t="s">
        <v>11</v>
      </c>
      <c r="E1307" s="6" t="s">
        <v>12</v>
      </c>
      <c r="F1307" s="7">
        <v>41974</v>
      </c>
      <c r="G1307" s="8">
        <f t="shared" si="20"/>
        <v>41974</v>
      </c>
      <c r="H1307" s="6" t="s">
        <v>39</v>
      </c>
      <c r="I1307" s="9" t="str">
        <f>IF(ISNA(VLOOKUP(A1307,'[1]Craig Eval'!A:C,3,FALSE)),"",(VLOOKUP(A1307,'[1]Craig Eval'!A:C,3,FALSE))*1000)</f>
        <v/>
      </c>
      <c r="J1307" s="10" t="str">
        <f>IF(ISNA(VLOOKUP(A1307,'[1]Craig Eval'!A:M,13,FALSE)),"",VLOOKUP(A1307,'[1]Craig Eval'!A:M,13,FALSE))</f>
        <v/>
      </c>
      <c r="K1307" s="17">
        <v>1</v>
      </c>
    </row>
    <row r="1308" spans="1:11" ht="30" x14ac:dyDescent="0.25">
      <c r="A1308" s="3" t="s">
        <v>2634</v>
      </c>
      <c r="B1308" s="4" t="s">
        <v>2635</v>
      </c>
      <c r="C1308" s="5">
        <v>185413</v>
      </c>
      <c r="D1308" s="6" t="s">
        <v>16</v>
      </c>
      <c r="E1308" s="6" t="s">
        <v>17</v>
      </c>
      <c r="F1308" s="7">
        <v>41992</v>
      </c>
      <c r="G1308" s="8">
        <f t="shared" si="20"/>
        <v>41992</v>
      </c>
      <c r="H1308" s="6" t="s">
        <v>13</v>
      </c>
      <c r="I1308" s="9" t="str">
        <f>IF(ISNA(VLOOKUP(A1308,'[1]Craig Eval'!A:C,3,FALSE)),"",(VLOOKUP(A1308,'[1]Craig Eval'!A:C,3,FALSE))*1000)</f>
        <v/>
      </c>
      <c r="J1308" s="10" t="str">
        <f>IF(ISNA(VLOOKUP(A1308,'[1]Craig Eval'!A:M,13,FALSE)),"",VLOOKUP(A1308,'[1]Craig Eval'!A:M,13,FALSE))</f>
        <v/>
      </c>
      <c r="K1308" s="17">
        <v>1</v>
      </c>
    </row>
    <row r="1309" spans="1:11" ht="30" x14ac:dyDescent="0.25">
      <c r="A1309" s="3" t="s">
        <v>2636</v>
      </c>
      <c r="B1309" s="4" t="s">
        <v>2637</v>
      </c>
      <c r="C1309" s="5">
        <v>205271</v>
      </c>
      <c r="D1309" s="6" t="s">
        <v>37</v>
      </c>
      <c r="E1309" s="6" t="s">
        <v>38</v>
      </c>
      <c r="F1309" s="7">
        <v>41927</v>
      </c>
      <c r="G1309" s="8">
        <f t="shared" si="20"/>
        <v>41927</v>
      </c>
      <c r="H1309" s="6" t="s">
        <v>39</v>
      </c>
      <c r="I1309" s="9" t="str">
        <f>IF(ISNA(VLOOKUP(A1309,'[1]Craig Eval'!A:C,3,FALSE)),"",(VLOOKUP(A1309,'[1]Craig Eval'!A:C,3,FALSE))*1000)</f>
        <v/>
      </c>
      <c r="J1309" s="10" t="str">
        <f>IF(ISNA(VLOOKUP(A1309,'[1]Craig Eval'!A:M,13,FALSE)),"",VLOOKUP(A1309,'[1]Craig Eval'!A:M,13,FALSE))</f>
        <v/>
      </c>
      <c r="K1309" s="40">
        <v>1</v>
      </c>
    </row>
    <row r="1310" spans="1:11" ht="30" x14ac:dyDescent="0.25">
      <c r="A1310" s="3" t="s">
        <v>2638</v>
      </c>
      <c r="B1310" s="4" t="s">
        <v>2639</v>
      </c>
      <c r="C1310" s="5">
        <v>188292</v>
      </c>
      <c r="D1310" s="6" t="s">
        <v>11</v>
      </c>
      <c r="E1310" s="6" t="s">
        <v>17</v>
      </c>
      <c r="F1310" s="7">
        <v>41962</v>
      </c>
      <c r="G1310" s="8">
        <f t="shared" si="20"/>
        <v>41962</v>
      </c>
      <c r="H1310" s="6" t="s">
        <v>13</v>
      </c>
      <c r="I1310" s="9" t="str">
        <f>IF(ISNA(VLOOKUP(A1310,'[1]Craig Eval'!A:C,3,FALSE)),"",(VLOOKUP(A1310,'[1]Craig Eval'!A:C,3,FALSE))*1000)</f>
        <v/>
      </c>
      <c r="J1310" s="10" t="str">
        <f>IF(ISNA(VLOOKUP(A1310,'[1]Craig Eval'!A:M,13,FALSE)),"",VLOOKUP(A1310,'[1]Craig Eval'!A:M,13,FALSE))</f>
        <v/>
      </c>
      <c r="K1310" s="17">
        <v>1</v>
      </c>
    </row>
    <row r="1311" spans="1:11" ht="30" x14ac:dyDescent="0.25">
      <c r="A1311" s="3" t="s">
        <v>2640</v>
      </c>
      <c r="B1311" s="4" t="s">
        <v>2641</v>
      </c>
      <c r="C1311" s="5">
        <v>189252</v>
      </c>
      <c r="D1311" s="6" t="s">
        <v>11</v>
      </c>
      <c r="E1311" s="6" t="s">
        <v>12</v>
      </c>
      <c r="F1311" s="7">
        <v>42016</v>
      </c>
      <c r="G1311" s="8">
        <f t="shared" si="20"/>
        <v>42016</v>
      </c>
      <c r="H1311" s="6" t="s">
        <v>39</v>
      </c>
      <c r="I1311" s="9" t="str">
        <f>IF(ISNA(VLOOKUP(A1311,'[1]Craig Eval'!A:C,3,FALSE)),"",(VLOOKUP(A1311,'[1]Craig Eval'!A:C,3,FALSE))*1000)</f>
        <v/>
      </c>
      <c r="J1311" s="10" t="str">
        <f>IF(ISNA(VLOOKUP(A1311,'[1]Craig Eval'!A:M,13,FALSE)),"",VLOOKUP(A1311,'[1]Craig Eval'!A:M,13,FALSE))</f>
        <v/>
      </c>
      <c r="K1311" s="17">
        <v>1</v>
      </c>
    </row>
    <row r="1312" spans="1:11" ht="30" x14ac:dyDescent="0.25">
      <c r="A1312" s="3" t="s">
        <v>2642</v>
      </c>
      <c r="B1312" s="4" t="s">
        <v>2643</v>
      </c>
      <c r="C1312" s="5">
        <v>201109</v>
      </c>
      <c r="D1312" s="6" t="s">
        <v>31</v>
      </c>
      <c r="E1312" s="6" t="s">
        <v>17</v>
      </c>
      <c r="F1312" s="7">
        <v>41919</v>
      </c>
      <c r="G1312" s="8">
        <f t="shared" si="20"/>
        <v>41919</v>
      </c>
      <c r="H1312" s="6" t="s">
        <v>13</v>
      </c>
      <c r="I1312" s="9">
        <f>IF(ISNA(VLOOKUP(A1312,'[1]Craig Eval'!A:C,3,FALSE)),"",(VLOOKUP(A1312,'[1]Craig Eval'!A:C,3,FALSE))*1000)</f>
        <v>6308.5824430775692</v>
      </c>
      <c r="J1312" s="10">
        <f>IF(ISNA(VLOOKUP(A1312,'[1]Craig Eval'!A:M,13,FALSE)),"",VLOOKUP(A1312,'[1]Craig Eval'!A:M,13,FALSE))</f>
        <v>18.808389668401102</v>
      </c>
      <c r="K1312" s="17">
        <v>1</v>
      </c>
    </row>
    <row r="1313" spans="1:11" ht="30" x14ac:dyDescent="0.25">
      <c r="A1313" s="3" t="s">
        <v>2644</v>
      </c>
      <c r="B1313" s="4" t="s">
        <v>2645</v>
      </c>
      <c r="C1313" s="5">
        <v>188293</v>
      </c>
      <c r="D1313" s="6" t="s">
        <v>11</v>
      </c>
      <c r="E1313" s="6" t="s">
        <v>12</v>
      </c>
      <c r="F1313" s="7">
        <v>42002</v>
      </c>
      <c r="G1313" s="8">
        <f t="shared" si="20"/>
        <v>42002</v>
      </c>
      <c r="H1313" s="6" t="s">
        <v>39</v>
      </c>
      <c r="I1313" s="9" t="str">
        <f>IF(ISNA(VLOOKUP(A1313,'[1]Craig Eval'!A:C,3,FALSE)),"",(VLOOKUP(A1313,'[1]Craig Eval'!A:C,3,FALSE))*1000)</f>
        <v/>
      </c>
      <c r="J1313" s="10" t="str">
        <f>IF(ISNA(VLOOKUP(A1313,'[1]Craig Eval'!A:M,13,FALSE)),"",VLOOKUP(A1313,'[1]Craig Eval'!A:M,13,FALSE))</f>
        <v/>
      </c>
      <c r="K1313" s="17">
        <v>1</v>
      </c>
    </row>
    <row r="1314" spans="1:11" ht="30" x14ac:dyDescent="0.25">
      <c r="A1314" s="3" t="s">
        <v>2646</v>
      </c>
      <c r="B1314" s="4" t="s">
        <v>2647</v>
      </c>
      <c r="C1314" s="5">
        <v>190228</v>
      </c>
      <c r="D1314" s="6" t="s">
        <v>11</v>
      </c>
      <c r="E1314" s="6" t="s">
        <v>12</v>
      </c>
      <c r="F1314" s="7">
        <v>42059</v>
      </c>
      <c r="G1314" s="8">
        <f t="shared" si="20"/>
        <v>42059</v>
      </c>
      <c r="H1314" s="6" t="s">
        <v>39</v>
      </c>
      <c r="I1314" s="9" t="str">
        <f>IF(ISNA(VLOOKUP(A1314,'[1]Craig Eval'!A:C,3,FALSE)),"",(VLOOKUP(A1314,'[1]Craig Eval'!A:C,3,FALSE))*1000)</f>
        <v/>
      </c>
      <c r="J1314" s="10" t="str">
        <f>IF(ISNA(VLOOKUP(A1314,'[1]Craig Eval'!A:M,13,FALSE)),"",VLOOKUP(A1314,'[1]Craig Eval'!A:M,13,FALSE))</f>
        <v/>
      </c>
      <c r="K1314" s="17">
        <v>1</v>
      </c>
    </row>
    <row r="1315" spans="1:11" ht="30" x14ac:dyDescent="0.25">
      <c r="A1315" s="3" t="s">
        <v>2648</v>
      </c>
      <c r="B1315" s="4" t="s">
        <v>2649</v>
      </c>
      <c r="C1315" s="5">
        <v>188948</v>
      </c>
      <c r="D1315" s="6" t="s">
        <v>11</v>
      </c>
      <c r="E1315" s="6" t="s">
        <v>12</v>
      </c>
      <c r="F1315" s="7">
        <v>42034</v>
      </c>
      <c r="G1315" s="8">
        <f t="shared" si="20"/>
        <v>42034</v>
      </c>
      <c r="H1315" s="6" t="s">
        <v>39</v>
      </c>
      <c r="I1315" s="9" t="str">
        <f>IF(ISNA(VLOOKUP(A1315,'[1]Craig Eval'!A:C,3,FALSE)),"",(VLOOKUP(A1315,'[1]Craig Eval'!A:C,3,FALSE))*1000)</f>
        <v/>
      </c>
      <c r="J1315" s="10" t="str">
        <f>IF(ISNA(VLOOKUP(A1315,'[1]Craig Eval'!A:M,13,FALSE)),"",VLOOKUP(A1315,'[1]Craig Eval'!A:M,13,FALSE))</f>
        <v/>
      </c>
      <c r="K1315" s="17">
        <v>1</v>
      </c>
    </row>
    <row r="1316" spans="1:11" ht="30" x14ac:dyDescent="0.25">
      <c r="A1316" s="3" t="s">
        <v>2650</v>
      </c>
      <c r="B1316" s="4" t="s">
        <v>2651</v>
      </c>
      <c r="C1316" s="5">
        <v>191189</v>
      </c>
      <c r="D1316" s="6" t="s">
        <v>11</v>
      </c>
      <c r="E1316" s="6" t="s">
        <v>17</v>
      </c>
      <c r="F1316" s="7">
        <v>42074</v>
      </c>
      <c r="G1316" s="8">
        <f t="shared" si="20"/>
        <v>42074</v>
      </c>
      <c r="H1316" s="6" t="s">
        <v>13</v>
      </c>
      <c r="I1316" s="9" t="str">
        <f>IF(ISNA(VLOOKUP(A1316,'[1]Craig Eval'!A:C,3,FALSE)),"",(VLOOKUP(A1316,'[1]Craig Eval'!A:C,3,FALSE))*1000)</f>
        <v/>
      </c>
      <c r="J1316" s="10" t="str">
        <f>IF(ISNA(VLOOKUP(A1316,'[1]Craig Eval'!A:M,13,FALSE)),"",VLOOKUP(A1316,'[1]Craig Eval'!A:M,13,FALSE))</f>
        <v/>
      </c>
      <c r="K1316" s="17">
        <v>1</v>
      </c>
    </row>
    <row r="1317" spans="1:11" ht="30" x14ac:dyDescent="0.25">
      <c r="A1317" s="3" t="s">
        <v>2652</v>
      </c>
      <c r="B1317" s="4" t="s">
        <v>2653</v>
      </c>
      <c r="C1317" s="5">
        <v>187670</v>
      </c>
      <c r="D1317" s="6" t="s">
        <v>11</v>
      </c>
      <c r="E1317" s="6" t="s">
        <v>12</v>
      </c>
      <c r="F1317" s="7">
        <v>41950</v>
      </c>
      <c r="G1317" s="8">
        <f t="shared" si="20"/>
        <v>41950</v>
      </c>
      <c r="H1317" s="6" t="s">
        <v>776</v>
      </c>
      <c r="I1317" s="9" t="str">
        <f>IF(ISNA(VLOOKUP(A1317,'[1]Craig Eval'!A:C,3,FALSE)),"",(VLOOKUP(A1317,'[1]Craig Eval'!A:C,3,FALSE))*1000)</f>
        <v/>
      </c>
      <c r="J1317" s="10" t="str">
        <f>IF(ISNA(VLOOKUP(A1317,'[1]Craig Eval'!A:M,13,FALSE)),"",VLOOKUP(A1317,'[1]Craig Eval'!A:M,13,FALSE))</f>
        <v/>
      </c>
      <c r="K1317" s="17">
        <v>1</v>
      </c>
    </row>
    <row r="1318" spans="1:11" ht="30" x14ac:dyDescent="0.25">
      <c r="A1318" s="3" t="s">
        <v>2654</v>
      </c>
      <c r="B1318" s="4" t="s">
        <v>2655</v>
      </c>
      <c r="C1318" s="5">
        <v>189924</v>
      </c>
      <c r="D1318" s="6" t="s">
        <v>34</v>
      </c>
      <c r="E1318" s="6" t="s">
        <v>17</v>
      </c>
      <c r="F1318" s="7">
        <v>42011</v>
      </c>
      <c r="G1318" s="8">
        <f t="shared" si="20"/>
        <v>42011</v>
      </c>
      <c r="H1318" s="6" t="s">
        <v>13</v>
      </c>
      <c r="I1318" s="9" t="str">
        <f>IF(ISNA(VLOOKUP(A1318,'[1]Craig Eval'!A:C,3,FALSE)),"",(VLOOKUP(A1318,'[1]Craig Eval'!A:C,3,FALSE))*1000)</f>
        <v/>
      </c>
      <c r="J1318" s="10" t="str">
        <f>IF(ISNA(VLOOKUP(A1318,'[1]Craig Eval'!A:M,13,FALSE)),"",VLOOKUP(A1318,'[1]Craig Eval'!A:M,13,FALSE))</f>
        <v/>
      </c>
      <c r="K1318" s="17">
        <v>1</v>
      </c>
    </row>
    <row r="1319" spans="1:11" ht="30" x14ac:dyDescent="0.25">
      <c r="A1319" s="3" t="s">
        <v>2656</v>
      </c>
      <c r="B1319" s="4" t="s">
        <v>2657</v>
      </c>
      <c r="C1319" s="5">
        <v>190550</v>
      </c>
      <c r="D1319" s="6" t="s">
        <v>34</v>
      </c>
      <c r="E1319" s="6" t="s">
        <v>17</v>
      </c>
      <c r="F1319" s="7">
        <v>41908</v>
      </c>
      <c r="G1319" s="8">
        <f t="shared" si="20"/>
        <v>41908</v>
      </c>
      <c r="H1319" s="6" t="s">
        <v>13</v>
      </c>
      <c r="I1319" s="9" t="str">
        <f>IF(ISNA(VLOOKUP(A1319,'[1]Craig Eval'!A:C,3,FALSE)),"",(VLOOKUP(A1319,'[1]Craig Eval'!A:C,3,FALSE))*1000)</f>
        <v/>
      </c>
      <c r="J1319" s="10" t="str">
        <f>IF(ISNA(VLOOKUP(A1319,'[1]Craig Eval'!A:M,13,FALSE)),"",VLOOKUP(A1319,'[1]Craig Eval'!A:M,13,FALSE))</f>
        <v/>
      </c>
      <c r="K1319" s="17">
        <v>1</v>
      </c>
    </row>
    <row r="1320" spans="1:11" ht="30" x14ac:dyDescent="0.25">
      <c r="A1320" s="3" t="s">
        <v>2658</v>
      </c>
      <c r="B1320" s="4" t="s">
        <v>2659</v>
      </c>
      <c r="C1320" s="5">
        <v>188966</v>
      </c>
      <c r="D1320" s="6" t="s">
        <v>34</v>
      </c>
      <c r="E1320" s="6" t="s">
        <v>17</v>
      </c>
      <c r="F1320" s="7">
        <v>42016</v>
      </c>
      <c r="G1320" s="8">
        <f t="shared" si="20"/>
        <v>42016</v>
      </c>
      <c r="H1320" s="6" t="s">
        <v>13</v>
      </c>
      <c r="I1320" s="9" t="str">
        <f>IF(ISNA(VLOOKUP(A1320,'[1]Craig Eval'!A:C,3,FALSE)),"",(VLOOKUP(A1320,'[1]Craig Eval'!A:C,3,FALSE))*1000)</f>
        <v/>
      </c>
      <c r="J1320" s="10" t="str">
        <f>IF(ISNA(VLOOKUP(A1320,'[1]Craig Eval'!A:M,13,FALSE)),"",VLOOKUP(A1320,'[1]Craig Eval'!A:M,13,FALSE))</f>
        <v/>
      </c>
      <c r="K1320" s="17">
        <v>1</v>
      </c>
    </row>
    <row r="1321" spans="1:11" ht="30" x14ac:dyDescent="0.25">
      <c r="A1321" s="3" t="s">
        <v>2660</v>
      </c>
      <c r="B1321" s="4" t="s">
        <v>2661</v>
      </c>
      <c r="C1321" s="5">
        <v>190551</v>
      </c>
      <c r="D1321" s="6" t="s">
        <v>11</v>
      </c>
      <c r="E1321" s="6" t="s">
        <v>17</v>
      </c>
      <c r="F1321" s="7">
        <v>42096</v>
      </c>
      <c r="G1321" s="8">
        <f t="shared" si="20"/>
        <v>42096</v>
      </c>
      <c r="H1321" s="6" t="s">
        <v>13</v>
      </c>
      <c r="I1321" s="9" t="str">
        <f>IF(ISNA(VLOOKUP(A1321,'[1]Craig Eval'!A:C,3,FALSE)),"",(VLOOKUP(A1321,'[1]Craig Eval'!A:C,3,FALSE))*1000)</f>
        <v/>
      </c>
      <c r="J1321" s="10" t="str">
        <f>IF(ISNA(VLOOKUP(A1321,'[1]Craig Eval'!A:M,13,FALSE)),"",VLOOKUP(A1321,'[1]Craig Eval'!A:M,13,FALSE))</f>
        <v/>
      </c>
      <c r="K1321" s="17">
        <v>1</v>
      </c>
    </row>
    <row r="1322" spans="1:11" ht="30" x14ac:dyDescent="0.25">
      <c r="A1322" s="3" t="s">
        <v>2662</v>
      </c>
      <c r="B1322" s="4" t="s">
        <v>2663</v>
      </c>
      <c r="C1322" s="14">
        <v>192148</v>
      </c>
      <c r="D1322" s="6" t="s">
        <v>11</v>
      </c>
      <c r="E1322" s="6" t="s">
        <v>17</v>
      </c>
      <c r="F1322" s="7">
        <v>42114</v>
      </c>
      <c r="G1322" s="8">
        <f t="shared" si="20"/>
        <v>42114</v>
      </c>
      <c r="H1322" s="6" t="s">
        <v>13</v>
      </c>
      <c r="I1322" s="9" t="str">
        <f>IF(ISNA(VLOOKUP(A1322,'[1]Craig Eval'!A:C,3,FALSE)),"",(VLOOKUP(A1322,'[1]Craig Eval'!A:C,3,FALSE))*1000)</f>
        <v/>
      </c>
      <c r="J1322" s="10" t="str">
        <f>IF(ISNA(VLOOKUP(A1322,'[1]Craig Eval'!A:M,13,FALSE)),"",VLOOKUP(A1322,'[1]Craig Eval'!A:M,13,FALSE))</f>
        <v/>
      </c>
      <c r="K1322" s="17">
        <v>2</v>
      </c>
    </row>
    <row r="1323" spans="1:11" ht="30" x14ac:dyDescent="0.25">
      <c r="A1323" s="3" t="s">
        <v>2664</v>
      </c>
      <c r="B1323" s="4" t="s">
        <v>2665</v>
      </c>
      <c r="C1323" s="5">
        <v>189604</v>
      </c>
      <c r="D1323" s="6" t="s">
        <v>37</v>
      </c>
      <c r="E1323" s="6" t="s">
        <v>38</v>
      </c>
      <c r="F1323" s="7">
        <v>42056</v>
      </c>
      <c r="G1323" s="8">
        <f t="shared" si="20"/>
        <v>42056</v>
      </c>
      <c r="H1323" s="6" t="s">
        <v>39</v>
      </c>
      <c r="I1323" s="9" t="str">
        <f>IF(ISNA(VLOOKUP(A1323,'[1]Craig Eval'!A:C,3,FALSE)),"",(VLOOKUP(A1323,'[1]Craig Eval'!A:C,3,FALSE))*1000)</f>
        <v/>
      </c>
      <c r="J1323" s="10" t="str">
        <f>IF(ISNA(VLOOKUP(A1323,'[1]Craig Eval'!A:M,13,FALSE)),"",VLOOKUP(A1323,'[1]Craig Eval'!A:M,13,FALSE))</f>
        <v/>
      </c>
      <c r="K1323" s="17">
        <v>1</v>
      </c>
    </row>
    <row r="1324" spans="1:11" ht="30" x14ac:dyDescent="0.25">
      <c r="A1324" s="3" t="s">
        <v>2666</v>
      </c>
      <c r="B1324" s="4" t="s">
        <v>2667</v>
      </c>
      <c r="C1324" s="5">
        <v>191844</v>
      </c>
      <c r="D1324" s="6" t="s">
        <v>11</v>
      </c>
      <c r="E1324" s="6" t="s">
        <v>17</v>
      </c>
      <c r="F1324" s="7">
        <v>42109</v>
      </c>
      <c r="G1324" s="8">
        <f t="shared" si="20"/>
        <v>42109</v>
      </c>
      <c r="H1324" s="6" t="s">
        <v>13</v>
      </c>
      <c r="I1324" s="9" t="str">
        <f>IF(ISNA(VLOOKUP(A1324,'[1]Craig Eval'!A:C,3,FALSE)),"",(VLOOKUP(A1324,'[1]Craig Eval'!A:C,3,FALSE))*1000)</f>
        <v/>
      </c>
      <c r="J1324" s="10" t="str">
        <f>IF(ISNA(VLOOKUP(A1324,'[1]Craig Eval'!A:M,13,FALSE)),"",VLOOKUP(A1324,'[1]Craig Eval'!A:M,13,FALSE))</f>
        <v/>
      </c>
      <c r="K1324" s="17">
        <v>1</v>
      </c>
    </row>
    <row r="1325" spans="1:11" ht="30" x14ac:dyDescent="0.25">
      <c r="A1325" s="3" t="s">
        <v>2668</v>
      </c>
      <c r="B1325" s="4" t="s">
        <v>2669</v>
      </c>
      <c r="C1325" s="5">
        <v>191861</v>
      </c>
      <c r="D1325" s="6" t="s">
        <v>16</v>
      </c>
      <c r="E1325" s="6" t="s">
        <v>17</v>
      </c>
      <c r="F1325" s="7">
        <v>42166</v>
      </c>
      <c r="G1325" s="8">
        <f t="shared" si="20"/>
        <v>42166</v>
      </c>
      <c r="H1325" s="6" t="s">
        <v>13</v>
      </c>
      <c r="I1325" s="9" t="str">
        <f>IF(ISNA(VLOOKUP(A1325,'[1]Craig Eval'!A:C,3,FALSE)),"",(VLOOKUP(A1325,'[1]Craig Eval'!A:C,3,FALSE))*1000)</f>
        <v/>
      </c>
      <c r="J1325" s="10" t="str">
        <f>IF(ISNA(VLOOKUP(A1325,'[1]Craig Eval'!A:M,13,FALSE)),"",VLOOKUP(A1325,'[1]Craig Eval'!A:M,13,FALSE))</f>
        <v/>
      </c>
      <c r="K1325" s="17">
        <v>1</v>
      </c>
    </row>
    <row r="1326" spans="1:11" ht="30" x14ac:dyDescent="0.25">
      <c r="A1326" s="26" t="s">
        <v>2670</v>
      </c>
      <c r="B1326" s="27" t="s">
        <v>2671</v>
      </c>
      <c r="C1326" s="34">
        <v>191860</v>
      </c>
      <c r="D1326" s="28" t="s">
        <v>34</v>
      </c>
      <c r="E1326" s="28" t="s">
        <v>17</v>
      </c>
      <c r="F1326" s="29">
        <v>42164</v>
      </c>
      <c r="G1326" s="30">
        <f t="shared" si="20"/>
        <v>42164</v>
      </c>
      <c r="H1326" s="28" t="s">
        <v>13</v>
      </c>
      <c r="I1326" s="31" t="str">
        <f>IF(ISNA(VLOOKUP(A1326,'[1]Craig Eval'!A:C,3,FALSE)),"",(VLOOKUP(A1326,'[1]Craig Eval'!A:C,3,FALSE))*1000)</f>
        <v/>
      </c>
      <c r="J1326" s="32" t="str">
        <f>IF(ISNA(VLOOKUP(A1326,'[1]Craig Eval'!A:M,13,FALSE)),"",VLOOKUP(A1326,'[1]Craig Eval'!A:M,13,FALSE))</f>
        <v/>
      </c>
      <c r="K1326" s="33">
        <v>1</v>
      </c>
    </row>
    <row r="1327" spans="1:11" ht="30" x14ac:dyDescent="0.25">
      <c r="A1327" s="3" t="s">
        <v>2672</v>
      </c>
      <c r="B1327" s="4" t="s">
        <v>2673</v>
      </c>
      <c r="C1327" s="5">
        <v>192149</v>
      </c>
      <c r="D1327" s="6" t="s">
        <v>11</v>
      </c>
      <c r="E1327" s="6" t="s">
        <v>17</v>
      </c>
      <c r="F1327" s="7">
        <v>42114</v>
      </c>
      <c r="G1327" s="8">
        <f t="shared" si="20"/>
        <v>42114</v>
      </c>
      <c r="H1327" s="6" t="s">
        <v>13</v>
      </c>
      <c r="I1327" s="9" t="str">
        <f>IF(ISNA(VLOOKUP(A1327,'[1]Craig Eval'!A:C,3,FALSE)),"",(VLOOKUP(A1327,'[1]Craig Eval'!A:C,3,FALSE))*1000)</f>
        <v/>
      </c>
      <c r="J1327" s="10" t="str">
        <f>IF(ISNA(VLOOKUP(A1327,'[1]Craig Eval'!A:M,13,FALSE)),"",VLOOKUP(A1327,'[1]Craig Eval'!A:M,13,FALSE))</f>
        <v/>
      </c>
      <c r="K1327" s="17">
        <v>1</v>
      </c>
    </row>
    <row r="1328" spans="1:11" ht="30" x14ac:dyDescent="0.25">
      <c r="A1328" s="3" t="s">
        <v>2674</v>
      </c>
      <c r="B1328" s="4" t="s">
        <v>2675</v>
      </c>
      <c r="C1328" s="5">
        <v>191845</v>
      </c>
      <c r="D1328" s="6" t="s">
        <v>28</v>
      </c>
      <c r="E1328" s="6" t="s">
        <v>17</v>
      </c>
      <c r="F1328" s="7">
        <v>42139</v>
      </c>
      <c r="G1328" s="8">
        <f t="shared" si="20"/>
        <v>42139</v>
      </c>
      <c r="H1328" s="6" t="s">
        <v>13</v>
      </c>
      <c r="I1328" s="9">
        <f>IF(ISNA(VLOOKUP(A1328,'[1]Craig Eval'!A:C,3,FALSE)),"",(VLOOKUP(A1328,'[1]Craig Eval'!A:C,3,FALSE))*1000)</f>
        <v>809.28167157113</v>
      </c>
      <c r="J1328" s="10">
        <f>IF(ISNA(VLOOKUP(A1328,'[1]Craig Eval'!A:M,13,FALSE)),"",VLOOKUP(A1328,'[1]Craig Eval'!A:M,13,FALSE))</f>
        <v>2.4857402902341099</v>
      </c>
      <c r="K1328" s="17">
        <v>1</v>
      </c>
    </row>
    <row r="1329" spans="1:11" ht="30" x14ac:dyDescent="0.25">
      <c r="A1329" s="3" t="s">
        <v>2676</v>
      </c>
      <c r="B1329" s="4" t="s">
        <v>2677</v>
      </c>
      <c r="C1329" s="5">
        <v>196660</v>
      </c>
      <c r="D1329" s="6" t="s">
        <v>16</v>
      </c>
      <c r="E1329" s="6" t="s">
        <v>17</v>
      </c>
      <c r="F1329" s="7">
        <v>42180</v>
      </c>
      <c r="G1329" s="8">
        <f t="shared" si="20"/>
        <v>42180</v>
      </c>
      <c r="H1329" s="6" t="s">
        <v>13</v>
      </c>
      <c r="I1329" s="9" t="str">
        <f>IF(ISNA(VLOOKUP(A1329,'[1]Craig Eval'!A:C,3,FALSE)),"",(VLOOKUP(A1329,'[1]Craig Eval'!A:C,3,FALSE))*1000)</f>
        <v/>
      </c>
      <c r="J1329" s="10" t="str">
        <f>IF(ISNA(VLOOKUP(A1329,'[1]Craig Eval'!A:M,13,FALSE)),"",VLOOKUP(A1329,'[1]Craig Eval'!A:M,13,FALSE))</f>
        <v/>
      </c>
      <c r="K1329" s="17">
        <v>1</v>
      </c>
    </row>
    <row r="1330" spans="1:11" ht="30" x14ac:dyDescent="0.25">
      <c r="A1330" s="3" t="s">
        <v>2678</v>
      </c>
      <c r="B1330" s="4" t="s">
        <v>2679</v>
      </c>
      <c r="C1330" s="5">
        <v>192157</v>
      </c>
      <c r="D1330" s="6" t="s">
        <v>11</v>
      </c>
      <c r="E1330" s="6" t="s">
        <v>17</v>
      </c>
      <c r="F1330" s="7">
        <v>42163</v>
      </c>
      <c r="G1330" s="8">
        <f t="shared" si="20"/>
        <v>42163</v>
      </c>
      <c r="H1330" s="6" t="s">
        <v>13</v>
      </c>
      <c r="I1330" s="9" t="str">
        <f>IF(ISNA(VLOOKUP(A1330,'[1]Craig Eval'!A:C,3,FALSE)),"",(VLOOKUP(A1330,'[1]Craig Eval'!A:C,3,FALSE))*1000)</f>
        <v/>
      </c>
      <c r="J1330" s="10" t="str">
        <f>IF(ISNA(VLOOKUP(A1330,'[1]Craig Eval'!A:M,13,FALSE)),"",VLOOKUP(A1330,'[1]Craig Eval'!A:M,13,FALSE))</f>
        <v/>
      </c>
      <c r="K1330" s="17">
        <v>1</v>
      </c>
    </row>
    <row r="1331" spans="1:11" ht="30" x14ac:dyDescent="0.25">
      <c r="A1331" s="3" t="s">
        <v>2680</v>
      </c>
      <c r="B1331" s="4" t="s">
        <v>2681</v>
      </c>
      <c r="C1331" s="5">
        <v>195991</v>
      </c>
      <c r="D1331" s="6" t="s">
        <v>11</v>
      </c>
      <c r="E1331" s="6" t="s">
        <v>17</v>
      </c>
      <c r="F1331" s="7">
        <v>42284</v>
      </c>
      <c r="G1331" s="8">
        <f t="shared" si="20"/>
        <v>42284</v>
      </c>
      <c r="H1331" s="6" t="s">
        <v>13</v>
      </c>
      <c r="I1331" s="9" t="str">
        <f>IF(ISNA(VLOOKUP(A1331,'[1]Craig Eval'!A:C,3,FALSE)),"",(VLOOKUP(A1331,'[1]Craig Eval'!A:C,3,FALSE))*1000)</f>
        <v/>
      </c>
      <c r="J1331" s="10" t="str">
        <f>IF(ISNA(VLOOKUP(A1331,'[1]Craig Eval'!A:M,13,FALSE)),"",VLOOKUP(A1331,'[1]Craig Eval'!A:M,13,FALSE))</f>
        <v/>
      </c>
      <c r="K1331" s="17">
        <v>1</v>
      </c>
    </row>
    <row r="1332" spans="1:11" ht="30" x14ac:dyDescent="0.25">
      <c r="A1332" s="3" t="s">
        <v>2682</v>
      </c>
      <c r="B1332" s="4" t="s">
        <v>2683</v>
      </c>
      <c r="C1332" s="5">
        <v>192150</v>
      </c>
      <c r="D1332" s="6" t="s">
        <v>31</v>
      </c>
      <c r="E1332" s="6" t="s">
        <v>17</v>
      </c>
      <c r="F1332" s="7">
        <v>42101</v>
      </c>
      <c r="G1332" s="8">
        <f t="shared" si="20"/>
        <v>42101</v>
      </c>
      <c r="H1332" s="6" t="s">
        <v>13</v>
      </c>
      <c r="I1332" s="9">
        <f>IF(ISNA(VLOOKUP(A1332,'[1]Craig Eval'!A:C,3,FALSE)),"",(VLOOKUP(A1332,'[1]Craig Eval'!A:C,3,FALSE))*1000)</f>
        <v>286.016028053306</v>
      </c>
      <c r="J1332" s="10">
        <f>IF(ISNA(VLOOKUP(A1332,'[1]Craig Eval'!A:M,13,FALSE)),"",VLOOKUP(A1332,'[1]Craig Eval'!A:M,13,FALSE))</f>
        <v>0.88462810923870006</v>
      </c>
      <c r="K1332" s="17">
        <v>1</v>
      </c>
    </row>
    <row r="1333" spans="1:11" ht="30" x14ac:dyDescent="0.25">
      <c r="A1333" s="3" t="s">
        <v>2684</v>
      </c>
      <c r="B1333" s="4" t="s">
        <v>2685</v>
      </c>
      <c r="C1333" s="14">
        <v>195994</v>
      </c>
      <c r="D1333" s="6" t="s">
        <v>16</v>
      </c>
      <c r="E1333" s="6" t="s">
        <v>17</v>
      </c>
      <c r="F1333" s="7">
        <v>39849</v>
      </c>
      <c r="G1333" s="8">
        <f t="shared" si="20"/>
        <v>39849</v>
      </c>
      <c r="H1333" s="6" t="s">
        <v>13</v>
      </c>
      <c r="I1333" s="9">
        <f>IF(ISNA(VLOOKUP(A1333,'[1]Craig Eval'!A:C,3,FALSE)),"",(VLOOKUP(A1333,'[1]Craig Eval'!A:C,3,FALSE))*1000)</f>
        <v>8378.6558348323488</v>
      </c>
      <c r="J1333" s="10">
        <f>IF(ISNA(VLOOKUP(A1333,'[1]Craig Eval'!A:M,13,FALSE)),"",VLOOKUP(A1333,'[1]Craig Eval'!A:M,13,FALSE))</f>
        <v>24.809053265660399</v>
      </c>
      <c r="K1333" s="17">
        <v>2</v>
      </c>
    </row>
    <row r="1334" spans="1:11" ht="30" x14ac:dyDescent="0.25">
      <c r="A1334" s="3" t="s">
        <v>2686</v>
      </c>
      <c r="B1334" s="4" t="s">
        <v>2687</v>
      </c>
      <c r="C1334" s="5">
        <v>196968</v>
      </c>
      <c r="D1334" s="6" t="s">
        <v>34</v>
      </c>
      <c r="E1334" s="6" t="s">
        <v>17</v>
      </c>
      <c r="F1334" s="7">
        <v>41939</v>
      </c>
      <c r="G1334" s="8">
        <f t="shared" si="20"/>
        <v>41939</v>
      </c>
      <c r="H1334" s="6" t="s">
        <v>13</v>
      </c>
      <c r="I1334" s="9" t="str">
        <f>IF(ISNA(VLOOKUP(A1334,'[1]Craig Eval'!A:C,3,FALSE)),"",(VLOOKUP(A1334,'[1]Craig Eval'!A:C,3,FALSE))*1000)</f>
        <v/>
      </c>
      <c r="J1334" s="10" t="str">
        <f>IF(ISNA(VLOOKUP(A1334,'[1]Craig Eval'!A:M,13,FALSE)),"",VLOOKUP(A1334,'[1]Craig Eval'!A:M,13,FALSE))</f>
        <v/>
      </c>
      <c r="K1334" s="17">
        <v>1</v>
      </c>
    </row>
    <row r="1335" spans="1:11" ht="30" x14ac:dyDescent="0.25">
      <c r="A1335" s="3" t="s">
        <v>2688</v>
      </c>
      <c r="B1335" s="4" t="s">
        <v>2689</v>
      </c>
      <c r="C1335" s="5">
        <v>196308</v>
      </c>
      <c r="D1335" s="6" t="s">
        <v>11</v>
      </c>
      <c r="E1335" s="6" t="s">
        <v>17</v>
      </c>
      <c r="F1335" s="7">
        <v>42345</v>
      </c>
      <c r="G1335" s="8">
        <f t="shared" si="20"/>
        <v>42345</v>
      </c>
      <c r="H1335" s="6" t="s">
        <v>13</v>
      </c>
      <c r="I1335" s="9" t="str">
        <f>IF(ISNA(VLOOKUP(A1335,'[1]Craig Eval'!A:C,3,FALSE)),"",(VLOOKUP(A1335,'[1]Craig Eval'!A:C,3,FALSE))*1000)</f>
        <v/>
      </c>
      <c r="J1335" s="10" t="str">
        <f>IF(ISNA(VLOOKUP(A1335,'[1]Craig Eval'!A:M,13,FALSE)),"",VLOOKUP(A1335,'[1]Craig Eval'!A:M,13,FALSE))</f>
        <v/>
      </c>
      <c r="K1335" s="17">
        <v>1</v>
      </c>
    </row>
    <row r="1336" spans="1:11" ht="30" x14ac:dyDescent="0.25">
      <c r="A1336" s="3" t="s">
        <v>2690</v>
      </c>
      <c r="B1336" s="4" t="s">
        <v>2691</v>
      </c>
      <c r="C1336" s="5">
        <v>195988</v>
      </c>
      <c r="D1336" s="6" t="s">
        <v>11</v>
      </c>
      <c r="E1336" s="6" t="s">
        <v>17</v>
      </c>
      <c r="F1336" s="7">
        <v>42284</v>
      </c>
      <c r="G1336" s="8">
        <f t="shared" si="20"/>
        <v>42284</v>
      </c>
      <c r="H1336" s="6" t="s">
        <v>13</v>
      </c>
      <c r="I1336" s="9" t="str">
        <f>IF(ISNA(VLOOKUP(A1336,'[1]Craig Eval'!A:C,3,FALSE)),"",(VLOOKUP(A1336,'[1]Craig Eval'!A:C,3,FALSE))*1000)</f>
        <v/>
      </c>
      <c r="J1336" s="10" t="str">
        <f>IF(ISNA(VLOOKUP(A1336,'[1]Craig Eval'!A:M,13,FALSE)),"",VLOOKUP(A1336,'[1]Craig Eval'!A:M,13,FALSE))</f>
        <v/>
      </c>
      <c r="K1336" s="17">
        <v>1</v>
      </c>
    </row>
    <row r="1337" spans="1:11" ht="30" x14ac:dyDescent="0.25">
      <c r="A1337" s="3" t="s">
        <v>2692</v>
      </c>
      <c r="B1337" s="4" t="s">
        <v>2693</v>
      </c>
      <c r="C1337" s="5">
        <v>205268</v>
      </c>
      <c r="D1337" s="6" t="s">
        <v>11</v>
      </c>
      <c r="E1337" s="6" t="s">
        <v>17</v>
      </c>
      <c r="F1337" s="7">
        <v>42325</v>
      </c>
      <c r="G1337" s="8">
        <f t="shared" si="20"/>
        <v>42325</v>
      </c>
      <c r="H1337" s="6" t="s">
        <v>13</v>
      </c>
      <c r="I1337" s="9" t="str">
        <f>IF(ISNA(VLOOKUP(A1337,'[1]Craig Eval'!A:C,3,FALSE)),"",(VLOOKUP(A1337,'[1]Craig Eval'!A:C,3,FALSE))*1000)</f>
        <v/>
      </c>
      <c r="J1337" s="10" t="str">
        <f>IF(ISNA(VLOOKUP(A1337,'[1]Craig Eval'!A:M,13,FALSE)),"",VLOOKUP(A1337,'[1]Craig Eval'!A:M,13,FALSE))</f>
        <v/>
      </c>
      <c r="K1337" s="11">
        <v>1</v>
      </c>
    </row>
    <row r="1338" spans="1:11" ht="30" x14ac:dyDescent="0.25">
      <c r="A1338" s="3" t="s">
        <v>2694</v>
      </c>
      <c r="B1338" s="4" t="s">
        <v>2695</v>
      </c>
      <c r="C1338" s="5">
        <v>196309</v>
      </c>
      <c r="D1338" s="6" t="s">
        <v>28</v>
      </c>
      <c r="E1338" s="6" t="s">
        <v>17</v>
      </c>
      <c r="F1338" s="7">
        <v>42307</v>
      </c>
      <c r="G1338" s="8">
        <f t="shared" si="20"/>
        <v>42307</v>
      </c>
      <c r="H1338" s="6" t="s">
        <v>13</v>
      </c>
      <c r="I1338" s="9">
        <f>IF(ISNA(VLOOKUP(A1338,'[1]Craig Eval'!A:C,3,FALSE)),"",(VLOOKUP(A1338,'[1]Craig Eval'!A:C,3,FALSE))*1000)</f>
        <v>5333.9415992635695</v>
      </c>
      <c r="J1338" s="10">
        <f>IF(ISNA(VLOOKUP(A1338,'[1]Craig Eval'!A:M,13,FALSE)),"",VLOOKUP(A1338,'[1]Craig Eval'!A:M,13,FALSE))</f>
        <v>15.9608829589118</v>
      </c>
      <c r="K1338" s="17">
        <v>1</v>
      </c>
    </row>
    <row r="1339" spans="1:11" ht="30" x14ac:dyDescent="0.25">
      <c r="A1339" s="3" t="s">
        <v>2696</v>
      </c>
      <c r="B1339" s="4" t="s">
        <v>2697</v>
      </c>
      <c r="C1339" s="5">
        <v>198548</v>
      </c>
      <c r="D1339" s="6" t="s">
        <v>16</v>
      </c>
      <c r="E1339" s="6" t="s">
        <v>17</v>
      </c>
      <c r="F1339" s="7">
        <v>42332</v>
      </c>
      <c r="G1339" s="8">
        <f t="shared" si="20"/>
        <v>42332</v>
      </c>
      <c r="H1339" s="6" t="s">
        <v>13</v>
      </c>
      <c r="I1339" s="9" t="str">
        <f>IF(ISNA(VLOOKUP(A1339,'[1]Craig Eval'!A:C,3,FALSE)),"",(VLOOKUP(A1339,'[1]Craig Eval'!A:C,3,FALSE))*1000)</f>
        <v/>
      </c>
      <c r="J1339" s="10" t="str">
        <f>IF(ISNA(VLOOKUP(A1339,'[1]Craig Eval'!A:M,13,FALSE)),"",VLOOKUP(A1339,'[1]Craig Eval'!A:M,13,FALSE))</f>
        <v/>
      </c>
      <c r="K1339" s="17">
        <v>1</v>
      </c>
    </row>
    <row r="1340" spans="1:11" ht="30" x14ac:dyDescent="0.25">
      <c r="A1340" s="3" t="s">
        <v>2698</v>
      </c>
      <c r="B1340" s="4" t="s">
        <v>2699</v>
      </c>
      <c r="C1340" s="5">
        <v>196964</v>
      </c>
      <c r="D1340" s="6" t="s">
        <v>11</v>
      </c>
      <c r="E1340" s="6" t="s">
        <v>12</v>
      </c>
      <c r="F1340" s="7">
        <v>42346</v>
      </c>
      <c r="G1340" s="8">
        <f t="shared" si="20"/>
        <v>42346</v>
      </c>
      <c r="H1340" s="6" t="s">
        <v>39</v>
      </c>
      <c r="I1340" s="9" t="str">
        <f>IF(ISNA(VLOOKUP(A1340,'[1]Craig Eval'!A:C,3,FALSE)),"",(VLOOKUP(A1340,'[1]Craig Eval'!A:C,3,FALSE))*1000)</f>
        <v/>
      </c>
      <c r="J1340" s="10" t="str">
        <f>IF(ISNA(VLOOKUP(A1340,'[1]Craig Eval'!A:M,13,FALSE)),"",VLOOKUP(A1340,'[1]Craig Eval'!A:M,13,FALSE))</f>
        <v/>
      </c>
      <c r="K1340" s="17">
        <v>3</v>
      </c>
    </row>
    <row r="1341" spans="1:11" ht="30" x14ac:dyDescent="0.25">
      <c r="A1341" s="3" t="s">
        <v>2700</v>
      </c>
      <c r="B1341" s="4" t="s">
        <v>2701</v>
      </c>
      <c r="C1341" s="5">
        <v>196967</v>
      </c>
      <c r="D1341" s="6" t="s">
        <v>11</v>
      </c>
      <c r="E1341" s="6" t="s">
        <v>12</v>
      </c>
      <c r="F1341" s="7">
        <v>42346</v>
      </c>
      <c r="G1341" s="8">
        <f t="shared" si="20"/>
        <v>42346</v>
      </c>
      <c r="H1341" s="6" t="s">
        <v>39</v>
      </c>
      <c r="I1341" s="9" t="str">
        <f>IF(ISNA(VLOOKUP(A1341,'[1]Craig Eval'!A:C,3,FALSE)),"",(VLOOKUP(A1341,'[1]Craig Eval'!A:C,3,FALSE))*1000)</f>
        <v/>
      </c>
      <c r="J1341" s="10" t="str">
        <f>IF(ISNA(VLOOKUP(A1341,'[1]Craig Eval'!A:M,13,FALSE)),"",VLOOKUP(A1341,'[1]Craig Eval'!A:M,13,FALSE))</f>
        <v/>
      </c>
      <c r="K1341" s="17">
        <v>1</v>
      </c>
    </row>
    <row r="1342" spans="1:11" ht="30" x14ac:dyDescent="0.25">
      <c r="A1342" s="3" t="s">
        <v>2702</v>
      </c>
      <c r="B1342" s="4" t="s">
        <v>2703</v>
      </c>
      <c r="C1342" s="5">
        <v>195995</v>
      </c>
      <c r="D1342" s="6" t="s">
        <v>11</v>
      </c>
      <c r="E1342" s="6" t="s">
        <v>12</v>
      </c>
      <c r="F1342" s="7">
        <v>42327</v>
      </c>
      <c r="G1342" s="8">
        <f t="shared" si="20"/>
        <v>42327</v>
      </c>
      <c r="H1342" s="6" t="s">
        <v>39</v>
      </c>
      <c r="I1342" s="9" t="str">
        <f>IF(ISNA(VLOOKUP(A1342,'[1]Craig Eval'!A:C,3,FALSE)),"",(VLOOKUP(A1342,'[1]Craig Eval'!A:C,3,FALSE))*1000)</f>
        <v/>
      </c>
      <c r="J1342" s="10" t="str">
        <f>IF(ISNA(VLOOKUP(A1342,'[1]Craig Eval'!A:M,13,FALSE)),"",VLOOKUP(A1342,'[1]Craig Eval'!A:M,13,FALSE))</f>
        <v/>
      </c>
      <c r="K1342" s="17">
        <v>1</v>
      </c>
    </row>
    <row r="1343" spans="1:11" ht="30" x14ac:dyDescent="0.25">
      <c r="A1343" s="3" t="s">
        <v>2704</v>
      </c>
      <c r="B1343" s="4" t="s">
        <v>2705</v>
      </c>
      <c r="C1343" s="5">
        <v>198868</v>
      </c>
      <c r="D1343" s="6" t="s">
        <v>16</v>
      </c>
      <c r="E1343" s="6" t="s">
        <v>17</v>
      </c>
      <c r="F1343" s="7">
        <v>42403</v>
      </c>
      <c r="G1343" s="8">
        <f t="shared" si="20"/>
        <v>42403</v>
      </c>
      <c r="H1343" s="6" t="s">
        <v>13</v>
      </c>
      <c r="I1343" s="9" t="str">
        <f>IF(ISNA(VLOOKUP(A1343,'[1]Craig Eval'!A:C,3,FALSE)),"",(VLOOKUP(A1343,'[1]Craig Eval'!A:C,3,FALSE))*1000)</f>
        <v/>
      </c>
      <c r="J1343" s="10" t="str">
        <f>IF(ISNA(VLOOKUP(A1343,'[1]Craig Eval'!A:M,13,FALSE)),"",VLOOKUP(A1343,'[1]Craig Eval'!A:M,13,FALSE))</f>
        <v/>
      </c>
      <c r="K1343" s="17">
        <v>1</v>
      </c>
    </row>
    <row r="1344" spans="1:11" ht="30" x14ac:dyDescent="0.25">
      <c r="A1344" s="3" t="s">
        <v>2706</v>
      </c>
      <c r="B1344" s="4" t="s">
        <v>2707</v>
      </c>
      <c r="C1344" s="5">
        <v>198564</v>
      </c>
      <c r="D1344" s="6" t="s">
        <v>16</v>
      </c>
      <c r="E1344" s="6" t="s">
        <v>17</v>
      </c>
      <c r="F1344" s="7">
        <v>42403</v>
      </c>
      <c r="G1344" s="8">
        <f t="shared" si="20"/>
        <v>42403</v>
      </c>
      <c r="H1344" s="6" t="s">
        <v>13</v>
      </c>
      <c r="I1344" s="9" t="str">
        <f>IF(ISNA(VLOOKUP(A1344,'[1]Craig Eval'!A:C,3,FALSE)),"",(VLOOKUP(A1344,'[1]Craig Eval'!A:C,3,FALSE))*1000)</f>
        <v/>
      </c>
      <c r="J1344" s="10" t="str">
        <f>IF(ISNA(VLOOKUP(A1344,'[1]Craig Eval'!A:M,13,FALSE)),"",VLOOKUP(A1344,'[1]Craig Eval'!A:M,13,FALSE))</f>
        <v/>
      </c>
      <c r="K1344" s="17">
        <v>1</v>
      </c>
    </row>
    <row r="1345" spans="1:11" ht="30" x14ac:dyDescent="0.25">
      <c r="A1345" s="3" t="s">
        <v>2708</v>
      </c>
      <c r="B1345" s="4" t="s">
        <v>2709</v>
      </c>
      <c r="C1345" s="5">
        <v>195996</v>
      </c>
      <c r="D1345" s="6" t="s">
        <v>11</v>
      </c>
      <c r="E1345" s="6" t="s">
        <v>17</v>
      </c>
      <c r="F1345" s="7">
        <v>42376</v>
      </c>
      <c r="G1345" s="8">
        <f t="shared" si="20"/>
        <v>42376</v>
      </c>
      <c r="H1345" s="6" t="s">
        <v>13</v>
      </c>
      <c r="I1345" s="9" t="str">
        <f>IF(ISNA(VLOOKUP(A1345,'[1]Craig Eval'!A:C,3,FALSE)),"",(VLOOKUP(A1345,'[1]Craig Eval'!A:C,3,FALSE))*1000)</f>
        <v/>
      </c>
      <c r="J1345" s="10" t="str">
        <f>IF(ISNA(VLOOKUP(A1345,'[1]Craig Eval'!A:M,13,FALSE)),"",VLOOKUP(A1345,'[1]Craig Eval'!A:M,13,FALSE))</f>
        <v/>
      </c>
      <c r="K1345" s="17">
        <v>1</v>
      </c>
    </row>
    <row r="1346" spans="1:11" ht="30" x14ac:dyDescent="0.25">
      <c r="A1346" s="3" t="s">
        <v>2710</v>
      </c>
      <c r="B1346" s="4" t="s">
        <v>2711</v>
      </c>
      <c r="C1346" s="5">
        <v>198230</v>
      </c>
      <c r="D1346" s="6" t="s">
        <v>11</v>
      </c>
      <c r="E1346" s="6" t="s">
        <v>17</v>
      </c>
      <c r="F1346" s="7">
        <v>42408</v>
      </c>
      <c r="G1346" s="8">
        <f t="shared" ref="G1346:G1409" si="21">F1346</f>
        <v>42408</v>
      </c>
      <c r="H1346" s="6" t="s">
        <v>13</v>
      </c>
      <c r="I1346" s="9" t="str">
        <f>IF(ISNA(VLOOKUP(A1346,'[1]Craig Eval'!A:C,3,FALSE)),"",(VLOOKUP(A1346,'[1]Craig Eval'!A:C,3,FALSE))*1000)</f>
        <v/>
      </c>
      <c r="J1346" s="10" t="str">
        <f>IF(ISNA(VLOOKUP(A1346,'[1]Craig Eval'!A:M,13,FALSE)),"",VLOOKUP(A1346,'[1]Craig Eval'!A:M,13,FALSE))</f>
        <v/>
      </c>
      <c r="K1346" s="17">
        <v>1</v>
      </c>
    </row>
    <row r="1347" spans="1:11" ht="30" x14ac:dyDescent="0.25">
      <c r="A1347" s="3" t="s">
        <v>2712</v>
      </c>
      <c r="B1347" s="4" t="s">
        <v>2713</v>
      </c>
      <c r="C1347" s="5">
        <v>207531</v>
      </c>
      <c r="D1347" s="6" t="s">
        <v>28</v>
      </c>
      <c r="E1347" s="6" t="s">
        <v>17</v>
      </c>
      <c r="F1347" s="7">
        <v>38322</v>
      </c>
      <c r="G1347" s="8">
        <f t="shared" si="21"/>
        <v>38322</v>
      </c>
      <c r="H1347" s="6" t="s">
        <v>13</v>
      </c>
      <c r="I1347" s="9" t="str">
        <f>IF(ISNA(VLOOKUP(A1347,'[1]Craig Eval'!A:C,3,FALSE)),"",(VLOOKUP(A1347,'[1]Craig Eval'!A:C,3,FALSE))*1000)</f>
        <v/>
      </c>
      <c r="J1347" s="10" t="str">
        <f>IF(ISNA(VLOOKUP(A1347,'[1]Craig Eval'!A:M,13,FALSE)),"",VLOOKUP(A1347,'[1]Craig Eval'!A:M,13,FALSE))</f>
        <v/>
      </c>
      <c r="K1347" s="11">
        <v>1</v>
      </c>
    </row>
    <row r="1348" spans="1:11" ht="30" x14ac:dyDescent="0.25">
      <c r="A1348" s="3" t="s">
        <v>2714</v>
      </c>
      <c r="B1348" s="4" t="s">
        <v>2715</v>
      </c>
      <c r="C1348" s="5">
        <v>200468</v>
      </c>
      <c r="D1348" s="6" t="s">
        <v>37</v>
      </c>
      <c r="E1348" s="6" t="s">
        <v>38</v>
      </c>
      <c r="F1348" s="7">
        <v>42423</v>
      </c>
      <c r="G1348" s="8">
        <f t="shared" si="21"/>
        <v>42423</v>
      </c>
      <c r="H1348" s="6" t="s">
        <v>39</v>
      </c>
      <c r="I1348" s="9" t="str">
        <f>IF(ISNA(VLOOKUP(A1348,'[1]Craig Eval'!A:C,3,FALSE)),"",(VLOOKUP(A1348,'[1]Craig Eval'!A:C,3,FALSE))*1000)</f>
        <v/>
      </c>
      <c r="J1348" s="10" t="str">
        <f>IF(ISNA(VLOOKUP(A1348,'[1]Craig Eval'!A:M,13,FALSE)),"",VLOOKUP(A1348,'[1]Craig Eval'!A:M,13,FALSE))</f>
        <v/>
      </c>
      <c r="K1348" s="17">
        <v>1</v>
      </c>
    </row>
    <row r="1349" spans="1:11" ht="30" x14ac:dyDescent="0.25">
      <c r="A1349" s="3" t="s">
        <v>2716</v>
      </c>
      <c r="B1349" s="4" t="s">
        <v>2717</v>
      </c>
      <c r="C1349" s="5">
        <v>194710</v>
      </c>
      <c r="D1349" s="6" t="s">
        <v>11</v>
      </c>
      <c r="E1349" s="6" t="s">
        <v>12</v>
      </c>
      <c r="F1349" s="7">
        <v>42250</v>
      </c>
      <c r="G1349" s="8">
        <f t="shared" si="21"/>
        <v>42250</v>
      </c>
      <c r="H1349" s="6" t="s">
        <v>39</v>
      </c>
      <c r="I1349" s="9" t="str">
        <f>IF(ISNA(VLOOKUP(A1349,'[1]Craig Eval'!A:C,3,FALSE)),"",(VLOOKUP(A1349,'[1]Craig Eval'!A:C,3,FALSE))*1000)</f>
        <v/>
      </c>
      <c r="J1349" s="10" t="str">
        <f>IF(ISNA(VLOOKUP(A1349,'[1]Craig Eval'!A:M,13,FALSE)),"",VLOOKUP(A1349,'[1]Craig Eval'!A:M,13,FALSE))</f>
        <v/>
      </c>
      <c r="K1349" s="17">
        <v>2</v>
      </c>
    </row>
    <row r="1350" spans="1:11" ht="30" x14ac:dyDescent="0.25">
      <c r="A1350" s="3" t="s">
        <v>2718</v>
      </c>
      <c r="B1350" s="4" t="s">
        <v>2719</v>
      </c>
      <c r="C1350" s="5">
        <v>202708</v>
      </c>
      <c r="D1350" s="6" t="s">
        <v>11</v>
      </c>
      <c r="E1350" s="6" t="s">
        <v>17</v>
      </c>
      <c r="F1350" s="7">
        <v>42496</v>
      </c>
      <c r="G1350" s="8">
        <f t="shared" si="21"/>
        <v>42496</v>
      </c>
      <c r="H1350" s="6" t="s">
        <v>13</v>
      </c>
      <c r="I1350" s="9" t="str">
        <f>IF(ISNA(VLOOKUP(A1350,'[1]Craig Eval'!A:C,3,FALSE)),"",(VLOOKUP(A1350,'[1]Craig Eval'!A:C,3,FALSE))*1000)</f>
        <v/>
      </c>
      <c r="J1350" s="10" t="str">
        <f>IF(ISNA(VLOOKUP(A1350,'[1]Craig Eval'!A:M,13,FALSE)),"",VLOOKUP(A1350,'[1]Craig Eval'!A:M,13,FALSE))</f>
        <v/>
      </c>
      <c r="K1350" s="17">
        <v>1</v>
      </c>
    </row>
    <row r="1351" spans="1:11" ht="30" x14ac:dyDescent="0.25">
      <c r="A1351" s="3" t="s">
        <v>2720</v>
      </c>
      <c r="B1351" s="4" t="s">
        <v>2721</v>
      </c>
      <c r="C1351" s="5">
        <v>201124</v>
      </c>
      <c r="D1351" s="6" t="s">
        <v>11</v>
      </c>
      <c r="E1351" s="6" t="s">
        <v>12</v>
      </c>
      <c r="F1351" s="7">
        <v>42451</v>
      </c>
      <c r="G1351" s="8">
        <f t="shared" si="21"/>
        <v>42451</v>
      </c>
      <c r="H1351" s="6" t="s">
        <v>39</v>
      </c>
      <c r="I1351" s="9" t="str">
        <f>IF(ISNA(VLOOKUP(A1351,'[1]Craig Eval'!A:C,3,FALSE)),"",(VLOOKUP(A1351,'[1]Craig Eval'!A:C,3,FALSE))*1000)</f>
        <v/>
      </c>
      <c r="J1351" s="10" t="str">
        <f>IF(ISNA(VLOOKUP(A1351,'[1]Craig Eval'!A:M,13,FALSE)),"",VLOOKUP(A1351,'[1]Craig Eval'!A:M,13,FALSE))</f>
        <v/>
      </c>
      <c r="K1351" s="17">
        <v>1</v>
      </c>
    </row>
    <row r="1352" spans="1:11" ht="30" x14ac:dyDescent="0.25">
      <c r="A1352" s="3" t="s">
        <v>2722</v>
      </c>
      <c r="B1352" s="4" t="s">
        <v>2723</v>
      </c>
      <c r="C1352" s="5">
        <v>200486</v>
      </c>
      <c r="D1352" s="6" t="s">
        <v>16</v>
      </c>
      <c r="E1352" s="6" t="s">
        <v>17</v>
      </c>
      <c r="F1352" s="7">
        <v>42431</v>
      </c>
      <c r="G1352" s="8">
        <f t="shared" si="21"/>
        <v>42431</v>
      </c>
      <c r="H1352" s="6" t="s">
        <v>13</v>
      </c>
      <c r="I1352" s="9" t="str">
        <f>IF(ISNA(VLOOKUP(A1352,'[1]Craig Eval'!A:C,3,FALSE)),"",(VLOOKUP(A1352,'[1]Craig Eval'!A:C,3,FALSE))*1000)</f>
        <v/>
      </c>
      <c r="J1352" s="10" t="str">
        <f>IF(ISNA(VLOOKUP(A1352,'[1]Craig Eval'!A:M,13,FALSE)),"",VLOOKUP(A1352,'[1]Craig Eval'!A:M,13,FALSE))</f>
        <v/>
      </c>
      <c r="K1352" s="17">
        <v>1</v>
      </c>
    </row>
    <row r="1353" spans="1:11" ht="30" x14ac:dyDescent="0.25">
      <c r="A1353" s="3" t="s">
        <v>2724</v>
      </c>
      <c r="B1353" s="4" t="s">
        <v>2725</v>
      </c>
      <c r="C1353" s="5">
        <v>201143</v>
      </c>
      <c r="D1353" s="6" t="s">
        <v>16</v>
      </c>
      <c r="E1353" s="6" t="s">
        <v>17</v>
      </c>
      <c r="F1353" s="7">
        <v>42458</v>
      </c>
      <c r="G1353" s="8">
        <f t="shared" si="21"/>
        <v>42458</v>
      </c>
      <c r="H1353" s="6" t="s">
        <v>13</v>
      </c>
      <c r="I1353" s="9" t="str">
        <f>IF(ISNA(VLOOKUP(A1353,'[1]Craig Eval'!A:C,3,FALSE)),"",(VLOOKUP(A1353,'[1]Craig Eval'!A:C,3,FALSE))*1000)</f>
        <v/>
      </c>
      <c r="J1353" s="10" t="str">
        <f>IF(ISNA(VLOOKUP(A1353,'[1]Craig Eval'!A:M,13,FALSE)),"",VLOOKUP(A1353,'[1]Craig Eval'!A:M,13,FALSE))</f>
        <v/>
      </c>
      <c r="K1353" s="17">
        <v>1</v>
      </c>
    </row>
    <row r="1354" spans="1:11" ht="30" x14ac:dyDescent="0.25">
      <c r="A1354" s="3" t="s">
        <v>2726</v>
      </c>
      <c r="B1354" s="4" t="s">
        <v>2727</v>
      </c>
      <c r="C1354" s="5">
        <v>207530</v>
      </c>
      <c r="D1354" s="6" t="s">
        <v>11</v>
      </c>
      <c r="E1354" s="6" t="s">
        <v>17</v>
      </c>
      <c r="F1354" s="7">
        <v>42755</v>
      </c>
      <c r="G1354" s="8">
        <f t="shared" si="21"/>
        <v>42755</v>
      </c>
      <c r="H1354" s="6" t="s">
        <v>13</v>
      </c>
      <c r="I1354" s="9" t="str">
        <f>IF(ISNA(VLOOKUP(A1354,'[1]Craig Eval'!A:C,3,FALSE)),"",(VLOOKUP(A1354,'[1]Craig Eval'!A:C,3,FALSE))*1000)</f>
        <v/>
      </c>
      <c r="J1354" s="10" t="str">
        <f>IF(ISNA(VLOOKUP(A1354,'[1]Craig Eval'!A:M,13,FALSE)),"",VLOOKUP(A1354,'[1]Craig Eval'!A:M,13,FALSE))</f>
        <v/>
      </c>
      <c r="K1354" s="11">
        <v>1</v>
      </c>
    </row>
    <row r="1355" spans="1:11" ht="30" x14ac:dyDescent="0.25">
      <c r="A1355" s="3" t="s">
        <v>2728</v>
      </c>
      <c r="B1355" s="4" t="s">
        <v>2729</v>
      </c>
      <c r="C1355" s="5">
        <v>199508</v>
      </c>
      <c r="D1355" s="6" t="s">
        <v>37</v>
      </c>
      <c r="E1355" s="6" t="s">
        <v>38</v>
      </c>
      <c r="F1355" s="7">
        <v>42410</v>
      </c>
      <c r="G1355" s="8">
        <f t="shared" si="21"/>
        <v>42410</v>
      </c>
      <c r="H1355" s="6" t="s">
        <v>39</v>
      </c>
      <c r="I1355" s="9" t="str">
        <f>IF(ISNA(VLOOKUP(A1355,'[1]Craig Eval'!A:C,3,FALSE)),"",(VLOOKUP(A1355,'[1]Craig Eval'!A:C,3,FALSE))*1000)</f>
        <v/>
      </c>
      <c r="J1355" s="10" t="str">
        <f>IF(ISNA(VLOOKUP(A1355,'[1]Craig Eval'!A:M,13,FALSE)),"",VLOOKUP(A1355,'[1]Craig Eval'!A:M,13,FALSE))</f>
        <v/>
      </c>
      <c r="K1355" s="17">
        <v>1</v>
      </c>
    </row>
    <row r="1356" spans="1:11" ht="30" x14ac:dyDescent="0.25">
      <c r="A1356" s="3" t="s">
        <v>2730</v>
      </c>
      <c r="B1356" s="4" t="s">
        <v>2731</v>
      </c>
      <c r="C1356" s="5">
        <v>206580</v>
      </c>
      <c r="D1356" s="6" t="s">
        <v>28</v>
      </c>
      <c r="E1356" s="6" t="s">
        <v>508</v>
      </c>
      <c r="F1356" s="7">
        <v>42599</v>
      </c>
      <c r="G1356" s="8">
        <f t="shared" si="21"/>
        <v>42599</v>
      </c>
      <c r="H1356" s="6" t="s">
        <v>509</v>
      </c>
      <c r="I1356" s="9" t="str">
        <f>IF(ISNA(VLOOKUP(A1356,'[1]Craig Eval'!A:C,3,FALSE)),"",(VLOOKUP(A1356,'[1]Craig Eval'!A:C,3,FALSE))*1000)</f>
        <v/>
      </c>
      <c r="J1356" s="10" t="str">
        <f>IF(ISNA(VLOOKUP(A1356,'[1]Craig Eval'!A:M,13,FALSE)),"",VLOOKUP(A1356,'[1]Craig Eval'!A:M,13,FALSE))</f>
        <v/>
      </c>
      <c r="K1356" s="11">
        <v>1</v>
      </c>
    </row>
    <row r="1357" spans="1:11" ht="30" x14ac:dyDescent="0.25">
      <c r="A1357" s="3" t="s">
        <v>2732</v>
      </c>
      <c r="B1357" s="4" t="s">
        <v>2733</v>
      </c>
      <c r="C1357" s="5">
        <v>203989</v>
      </c>
      <c r="D1357" s="6" t="s">
        <v>11</v>
      </c>
      <c r="E1357" s="6" t="s">
        <v>17</v>
      </c>
      <c r="F1357" s="7">
        <v>42530</v>
      </c>
      <c r="G1357" s="8">
        <f t="shared" si="21"/>
        <v>42530</v>
      </c>
      <c r="H1357" s="6" t="s">
        <v>13</v>
      </c>
      <c r="I1357" s="9" t="str">
        <f>IF(ISNA(VLOOKUP(A1357,'[1]Craig Eval'!A:C,3,FALSE)),"",(VLOOKUP(A1357,'[1]Craig Eval'!A:C,3,FALSE))*1000)</f>
        <v/>
      </c>
      <c r="J1357" s="10" t="str">
        <f>IF(ISNA(VLOOKUP(A1357,'[1]Craig Eval'!A:M,13,FALSE)),"",VLOOKUP(A1357,'[1]Craig Eval'!A:M,13,FALSE))</f>
        <v/>
      </c>
      <c r="K1357" s="11">
        <v>2</v>
      </c>
    </row>
    <row r="1358" spans="1:11" ht="30" x14ac:dyDescent="0.25">
      <c r="A1358" s="3" t="s">
        <v>2734</v>
      </c>
      <c r="B1358" s="4" t="s">
        <v>2735</v>
      </c>
      <c r="C1358" s="5">
        <v>203668</v>
      </c>
      <c r="D1358" s="6" t="s">
        <v>34</v>
      </c>
      <c r="E1358" s="6" t="s">
        <v>17</v>
      </c>
      <c r="F1358" s="7">
        <v>42614</v>
      </c>
      <c r="G1358" s="8">
        <f t="shared" si="21"/>
        <v>42614</v>
      </c>
      <c r="H1358" s="6" t="s">
        <v>13</v>
      </c>
      <c r="I1358" s="9" t="str">
        <f>IF(ISNA(VLOOKUP(A1358,'[1]Craig Eval'!A:C,3,FALSE)),"",(VLOOKUP(A1358,'[1]Craig Eval'!A:C,3,FALSE))*1000)</f>
        <v/>
      </c>
      <c r="J1358" s="10" t="str">
        <f>IF(ISNA(VLOOKUP(A1358,'[1]Craig Eval'!A:M,13,FALSE)),"",VLOOKUP(A1358,'[1]Craig Eval'!A:M,13,FALSE))</f>
        <v/>
      </c>
      <c r="K1358" s="11">
        <v>1</v>
      </c>
    </row>
    <row r="1359" spans="1:11" ht="30" x14ac:dyDescent="0.25">
      <c r="A1359" s="3" t="s">
        <v>2736</v>
      </c>
      <c r="B1359" s="4" t="s">
        <v>2737</v>
      </c>
      <c r="C1359" s="5">
        <v>203348</v>
      </c>
      <c r="D1359" s="6" t="s">
        <v>11</v>
      </c>
      <c r="E1359" s="6" t="s">
        <v>12</v>
      </c>
      <c r="F1359" s="7">
        <v>42510</v>
      </c>
      <c r="G1359" s="8">
        <f t="shared" si="21"/>
        <v>42510</v>
      </c>
      <c r="H1359" s="6" t="s">
        <v>39</v>
      </c>
      <c r="I1359" s="9" t="str">
        <f>IF(ISNA(VLOOKUP(A1359,'[1]Craig Eval'!A:C,3,FALSE)),"",(VLOOKUP(A1359,'[1]Craig Eval'!A:C,3,FALSE))*1000)</f>
        <v/>
      </c>
      <c r="J1359" s="10" t="str">
        <f>IF(ISNA(VLOOKUP(A1359,'[1]Craig Eval'!A:M,13,FALSE)),"",VLOOKUP(A1359,'[1]Craig Eval'!A:M,13,FALSE))</f>
        <v/>
      </c>
      <c r="K1359" s="17">
        <v>1</v>
      </c>
    </row>
    <row r="1360" spans="1:11" ht="30" x14ac:dyDescent="0.25">
      <c r="A1360" s="3" t="s">
        <v>2738</v>
      </c>
      <c r="B1360" s="4" t="s">
        <v>2739</v>
      </c>
      <c r="C1360" s="5">
        <v>206548</v>
      </c>
      <c r="D1360" s="6" t="s">
        <v>31</v>
      </c>
      <c r="E1360" s="6" t="s">
        <v>17</v>
      </c>
      <c r="F1360" s="7">
        <v>42600</v>
      </c>
      <c r="G1360" s="8">
        <f t="shared" si="21"/>
        <v>42600</v>
      </c>
      <c r="H1360" s="6" t="s">
        <v>13</v>
      </c>
      <c r="I1360" s="9" t="str">
        <f>IF(ISNA(VLOOKUP(A1360,'[1]Craig Eval'!A:C,3,FALSE)),"",(VLOOKUP(A1360,'[1]Craig Eval'!A:C,3,FALSE))*1000)</f>
        <v/>
      </c>
      <c r="J1360" s="10" t="str">
        <f>IF(ISNA(VLOOKUP(A1360,'[1]Craig Eval'!A:M,13,FALSE)),"",VLOOKUP(A1360,'[1]Craig Eval'!A:M,13,FALSE))</f>
        <v/>
      </c>
      <c r="K1360" s="11">
        <v>1</v>
      </c>
    </row>
    <row r="1361" spans="1:11" ht="30" x14ac:dyDescent="0.25">
      <c r="A1361" s="3" t="s">
        <v>2740</v>
      </c>
      <c r="B1361" s="4" t="s">
        <v>2741</v>
      </c>
      <c r="C1361" s="5">
        <v>206900</v>
      </c>
      <c r="D1361" s="6" t="s">
        <v>11</v>
      </c>
      <c r="E1361" s="6" t="s">
        <v>17</v>
      </c>
      <c r="F1361" s="7">
        <v>42640</v>
      </c>
      <c r="G1361" s="8">
        <f t="shared" si="21"/>
        <v>42640</v>
      </c>
      <c r="H1361" s="6" t="s">
        <v>13</v>
      </c>
      <c r="I1361" s="9" t="str">
        <f>IF(ISNA(VLOOKUP(A1361,'[1]Craig Eval'!A:C,3,FALSE)),"",(VLOOKUP(A1361,'[1]Craig Eval'!A:C,3,FALSE))*1000)</f>
        <v/>
      </c>
      <c r="J1361" s="10" t="str">
        <f>IF(ISNA(VLOOKUP(A1361,'[1]Craig Eval'!A:M,13,FALSE)),"",VLOOKUP(A1361,'[1]Craig Eval'!A:M,13,FALSE))</f>
        <v/>
      </c>
      <c r="K1361" s="11">
        <v>1</v>
      </c>
    </row>
    <row r="1362" spans="1:11" ht="30" x14ac:dyDescent="0.25">
      <c r="A1362" s="48" t="s">
        <v>2742</v>
      </c>
      <c r="B1362" s="4" t="s">
        <v>2743</v>
      </c>
      <c r="C1362" s="5">
        <v>207221</v>
      </c>
      <c r="D1362" s="6" t="s">
        <v>11</v>
      </c>
      <c r="E1362" s="6" t="s">
        <v>12</v>
      </c>
      <c r="F1362" s="7">
        <v>42675</v>
      </c>
      <c r="G1362" s="8">
        <f t="shared" si="21"/>
        <v>42675</v>
      </c>
      <c r="H1362" s="6" t="s">
        <v>39</v>
      </c>
      <c r="I1362" s="9" t="str">
        <f>IF(ISNA(VLOOKUP(A1362,'[1]Craig Eval'!A:C,3,FALSE)),"",(VLOOKUP(A1362,'[1]Craig Eval'!A:C,3,FALSE))*1000)</f>
        <v/>
      </c>
      <c r="J1362" s="10" t="str">
        <f>IF(ISNA(VLOOKUP(A1362,'[1]Craig Eval'!A:M,13,FALSE)),"",VLOOKUP(A1362,'[1]Craig Eval'!A:M,13,FALSE))</f>
        <v/>
      </c>
      <c r="K1362" s="14">
        <v>1</v>
      </c>
    </row>
    <row r="1363" spans="1:11" ht="30" x14ac:dyDescent="0.25">
      <c r="A1363" s="49" t="s">
        <v>2744</v>
      </c>
      <c r="B1363" s="4" t="s">
        <v>2745</v>
      </c>
      <c r="C1363" s="5">
        <v>206948</v>
      </c>
      <c r="D1363" s="6" t="s">
        <v>34</v>
      </c>
      <c r="E1363" s="6" t="s">
        <v>17</v>
      </c>
      <c r="F1363" s="7">
        <v>42726</v>
      </c>
      <c r="G1363" s="8">
        <f t="shared" si="21"/>
        <v>42726</v>
      </c>
      <c r="H1363" s="6" t="s">
        <v>13</v>
      </c>
      <c r="I1363" s="9" t="str">
        <f>IF(ISNA(VLOOKUP(A1363,'[1]Craig Eval'!A:C,3,FALSE)),"",(VLOOKUP(A1363,'[1]Craig Eval'!A:C,3,FALSE))*1000)</f>
        <v/>
      </c>
      <c r="J1363" s="10" t="str">
        <f>IF(ISNA(VLOOKUP(A1363,'[1]Craig Eval'!A:M,13,FALSE)),"",VLOOKUP(A1363,'[1]Craig Eval'!A:M,13,FALSE))</f>
        <v/>
      </c>
      <c r="K1363" s="14">
        <v>1</v>
      </c>
    </row>
    <row r="1364" spans="1:11" ht="30" x14ac:dyDescent="0.25">
      <c r="A1364" s="48" t="s">
        <v>2746</v>
      </c>
      <c r="B1364" s="4" t="s">
        <v>2747</v>
      </c>
      <c r="C1364" s="5">
        <v>207831</v>
      </c>
      <c r="D1364" s="6" t="s">
        <v>11</v>
      </c>
      <c r="E1364" s="6" t="s">
        <v>12</v>
      </c>
      <c r="F1364" s="7">
        <v>42754</v>
      </c>
      <c r="G1364" s="8">
        <f t="shared" si="21"/>
        <v>42754</v>
      </c>
      <c r="H1364" s="6" t="s">
        <v>39</v>
      </c>
      <c r="I1364" s="9" t="str">
        <f>IF(ISNA(VLOOKUP(A1364,'[1]Craig Eval'!A:C,3,FALSE)),"",(VLOOKUP(A1364,'[1]Craig Eval'!A:C,3,FALSE))*1000)</f>
        <v/>
      </c>
      <c r="J1364" s="10" t="str">
        <f>IF(ISNA(VLOOKUP(A1364,'[1]Craig Eval'!A:M,13,FALSE)),"",VLOOKUP(A1364,'[1]Craig Eval'!A:M,13,FALSE))</f>
        <v/>
      </c>
      <c r="K1364" s="14">
        <v>1</v>
      </c>
    </row>
    <row r="1365" spans="1:11" ht="30" x14ac:dyDescent="0.25">
      <c r="A1365" s="49" t="s">
        <v>2748</v>
      </c>
      <c r="B1365" s="4" t="s">
        <v>2749</v>
      </c>
      <c r="C1365" s="5">
        <v>207556</v>
      </c>
      <c r="D1365" s="6" t="s">
        <v>16</v>
      </c>
      <c r="E1365" s="6" t="s">
        <v>17</v>
      </c>
      <c r="F1365" s="7">
        <v>42762</v>
      </c>
      <c r="G1365" s="8">
        <f t="shared" si="21"/>
        <v>42762</v>
      </c>
      <c r="H1365" s="6" t="s">
        <v>13</v>
      </c>
      <c r="I1365" s="9" t="str">
        <f>IF(ISNA(VLOOKUP(A1365,'[1]Craig Eval'!A:C,3,FALSE)),"",(VLOOKUP(A1365,'[1]Craig Eval'!A:C,3,FALSE))*1000)</f>
        <v/>
      </c>
      <c r="J1365" s="10" t="str">
        <f>IF(ISNA(VLOOKUP(A1365,'[1]Craig Eval'!A:M,13,FALSE)),"",VLOOKUP(A1365,'[1]Craig Eval'!A:M,13,FALSE))</f>
        <v/>
      </c>
      <c r="K1365" s="14">
        <v>2</v>
      </c>
    </row>
    <row r="1366" spans="1:11" ht="30" x14ac:dyDescent="0.25">
      <c r="A1366" s="49" t="s">
        <v>2750</v>
      </c>
      <c r="B1366" s="4" t="s">
        <v>2751</v>
      </c>
      <c r="C1366" s="5">
        <v>208148</v>
      </c>
      <c r="D1366" s="6" t="s">
        <v>31</v>
      </c>
      <c r="E1366" s="6" t="s">
        <v>17</v>
      </c>
      <c r="F1366" s="7">
        <v>42741</v>
      </c>
      <c r="G1366" s="8">
        <f t="shared" si="21"/>
        <v>42741</v>
      </c>
      <c r="H1366" s="6" t="s">
        <v>13</v>
      </c>
      <c r="I1366" s="9" t="str">
        <f>IF(ISNA(VLOOKUP(A1366,'[1]Craig Eval'!A:C,3,FALSE)),"",(VLOOKUP(A1366,'[1]Craig Eval'!A:C,3,FALSE))*1000)</f>
        <v/>
      </c>
      <c r="J1366" s="10" t="str">
        <f>IF(ISNA(VLOOKUP(A1366,'[1]Craig Eval'!A:M,13,FALSE)),"",VLOOKUP(A1366,'[1]Craig Eval'!A:M,13,FALSE))</f>
        <v/>
      </c>
      <c r="K1366" s="14">
        <v>1</v>
      </c>
    </row>
    <row r="1367" spans="1:11" ht="30" x14ac:dyDescent="0.25">
      <c r="A1367" s="49" t="s">
        <v>2752</v>
      </c>
      <c r="B1367" s="4" t="s">
        <v>2753</v>
      </c>
      <c r="C1367" s="5">
        <v>209129</v>
      </c>
      <c r="D1367" s="6" t="s">
        <v>37</v>
      </c>
      <c r="E1367" s="6" t="s">
        <v>17</v>
      </c>
      <c r="F1367" s="7">
        <v>42775</v>
      </c>
      <c r="G1367" s="8">
        <f t="shared" si="21"/>
        <v>42775</v>
      </c>
      <c r="H1367" s="6" t="s">
        <v>39</v>
      </c>
      <c r="I1367" s="9" t="str">
        <f>IF(ISNA(VLOOKUP(A1367,'[1]Craig Eval'!A:C,3,FALSE)),"",(VLOOKUP(A1367,'[1]Craig Eval'!A:C,3,FALSE))*1000)</f>
        <v/>
      </c>
      <c r="J1367" s="10" t="str">
        <f>IF(ISNA(VLOOKUP(A1367,'[1]Craig Eval'!A:M,13,FALSE)),"",VLOOKUP(A1367,'[1]Craig Eval'!A:M,13,FALSE))</f>
        <v/>
      </c>
      <c r="K1367" s="14">
        <v>2</v>
      </c>
    </row>
    <row r="1368" spans="1:11" ht="30" x14ac:dyDescent="0.25">
      <c r="A1368" s="49" t="s">
        <v>2754</v>
      </c>
      <c r="B1368" s="4" t="s">
        <v>2755</v>
      </c>
      <c r="C1368" s="5">
        <v>208468</v>
      </c>
      <c r="D1368" s="6" t="s">
        <v>16</v>
      </c>
      <c r="E1368" s="6" t="s">
        <v>17</v>
      </c>
      <c r="F1368" s="7">
        <v>42826</v>
      </c>
      <c r="G1368" s="8">
        <f t="shared" si="21"/>
        <v>42826</v>
      </c>
      <c r="H1368" s="6" t="s">
        <v>13</v>
      </c>
      <c r="I1368" s="9" t="str">
        <f>IF(ISNA(VLOOKUP(A1368,'[1]Craig Eval'!A:C,3,FALSE)),"",(VLOOKUP(A1368,'[1]Craig Eval'!A:C,3,FALSE))*1000)</f>
        <v/>
      </c>
      <c r="J1368" s="10" t="str">
        <f>IF(ISNA(VLOOKUP(A1368,'[1]Craig Eval'!A:M,13,FALSE)),"",VLOOKUP(A1368,'[1]Craig Eval'!A:M,13,FALSE))</f>
        <v/>
      </c>
      <c r="K1368" s="14">
        <v>1</v>
      </c>
    </row>
    <row r="1369" spans="1:11" ht="30" x14ac:dyDescent="0.25">
      <c r="A1369" s="49" t="s">
        <v>2756</v>
      </c>
      <c r="B1369" s="4" t="s">
        <v>2757</v>
      </c>
      <c r="C1369" s="5">
        <v>209444</v>
      </c>
      <c r="D1369" s="6" t="s">
        <v>28</v>
      </c>
      <c r="E1369" s="6" t="s">
        <v>17</v>
      </c>
      <c r="F1369" s="7">
        <v>42821</v>
      </c>
      <c r="G1369" s="8">
        <f t="shared" si="21"/>
        <v>42821</v>
      </c>
      <c r="H1369" s="6" t="s">
        <v>13</v>
      </c>
      <c r="I1369" s="9">
        <f>IF(ISNA(VLOOKUP(A1369,'[1]Craig Eval'!A:C,3,FALSE)),"",(VLOOKUP(A1369,'[1]Craig Eval'!A:C,3,FALSE))*1000)</f>
        <v>1169.1423947471501</v>
      </c>
      <c r="J1369" s="10">
        <f>IF(ISNA(VLOOKUP(A1369,'[1]Craig Eval'!A:M,13,FALSE)),"",VLOOKUP(A1369,'[1]Craig Eval'!A:M,13,FALSE))</f>
        <v>3.5787766627471198</v>
      </c>
      <c r="K1369" s="14">
        <v>1</v>
      </c>
    </row>
    <row r="1370" spans="1:11" ht="30" x14ac:dyDescent="0.25">
      <c r="A1370" s="49" t="s">
        <v>2758</v>
      </c>
      <c r="B1370" s="4" t="s">
        <v>2759</v>
      </c>
      <c r="C1370" s="5">
        <v>209428</v>
      </c>
      <c r="D1370" s="6" t="s">
        <v>34</v>
      </c>
      <c r="E1370" s="6" t="s">
        <v>17</v>
      </c>
      <c r="F1370" s="7">
        <v>42863</v>
      </c>
      <c r="G1370" s="8">
        <f t="shared" si="21"/>
        <v>42863</v>
      </c>
      <c r="H1370" s="6" t="s">
        <v>13</v>
      </c>
      <c r="I1370" s="9" t="str">
        <f>IF(ISNA(VLOOKUP(A1370,'[1]Craig Eval'!A:C,3,FALSE)),"",(VLOOKUP(A1370,'[1]Craig Eval'!A:C,3,FALSE))*1000)</f>
        <v/>
      </c>
      <c r="J1370" s="10" t="str">
        <f>IF(ISNA(VLOOKUP(A1370,'[1]Craig Eval'!A:M,13,FALSE)),"",VLOOKUP(A1370,'[1]Craig Eval'!A:M,13,FALSE))</f>
        <v/>
      </c>
      <c r="K1370" s="14">
        <v>1</v>
      </c>
    </row>
    <row r="1371" spans="1:11" ht="30" x14ac:dyDescent="0.25">
      <c r="A1371" s="49" t="s">
        <v>2760</v>
      </c>
      <c r="B1371" s="4" t="s">
        <v>2761</v>
      </c>
      <c r="C1371" s="5">
        <v>211989</v>
      </c>
      <c r="D1371" s="6" t="s">
        <v>31</v>
      </c>
      <c r="E1371" s="6" t="s">
        <v>17</v>
      </c>
      <c r="F1371" s="7">
        <v>42812</v>
      </c>
      <c r="G1371" s="8">
        <f t="shared" si="21"/>
        <v>42812</v>
      </c>
      <c r="H1371" s="6" t="s">
        <v>13</v>
      </c>
      <c r="I1371" s="9">
        <f>IF(ISNA(VLOOKUP(A1371,'[1]Craig Eval'!A:C,3,FALSE)),"",(VLOOKUP(A1371,'[1]Craig Eval'!A:C,3,FALSE))*1000)</f>
        <v>13404.811495416199</v>
      </c>
      <c r="J1371" s="10">
        <f>IF(ISNA(VLOOKUP(A1371,'[1]Craig Eval'!A:M,13,FALSE)),"",VLOOKUP(A1371,'[1]Craig Eval'!A:M,13,FALSE))</f>
        <v>39.157912137013199</v>
      </c>
      <c r="K1371" s="14">
        <v>1</v>
      </c>
    </row>
    <row r="1372" spans="1:11" ht="30" x14ac:dyDescent="0.25">
      <c r="A1372" s="49" t="s">
        <v>2762</v>
      </c>
      <c r="B1372" s="4" t="s">
        <v>2763</v>
      </c>
      <c r="C1372" s="5">
        <v>211032</v>
      </c>
      <c r="D1372" s="6" t="s">
        <v>34</v>
      </c>
      <c r="E1372" s="6" t="s">
        <v>17</v>
      </c>
      <c r="F1372" s="7">
        <v>42713</v>
      </c>
      <c r="G1372" s="8">
        <f t="shared" si="21"/>
        <v>42713</v>
      </c>
      <c r="H1372" s="6" t="s">
        <v>13</v>
      </c>
      <c r="I1372" s="9" t="str">
        <f>IF(ISNA(VLOOKUP(A1372,'[1]Craig Eval'!A:C,3,FALSE)),"",(VLOOKUP(A1372,'[1]Craig Eval'!A:C,3,FALSE))*1000)</f>
        <v/>
      </c>
      <c r="J1372" s="10" t="str">
        <f>IF(ISNA(VLOOKUP(A1372,'[1]Craig Eval'!A:M,13,FALSE)),"",VLOOKUP(A1372,'[1]Craig Eval'!A:M,13,FALSE))</f>
        <v/>
      </c>
      <c r="K1372" s="14">
        <v>2</v>
      </c>
    </row>
    <row r="1373" spans="1:11" ht="30" x14ac:dyDescent="0.25">
      <c r="A1373" s="49" t="s">
        <v>2764</v>
      </c>
      <c r="B1373" s="4" t="s">
        <v>2765</v>
      </c>
      <c r="C1373" s="5">
        <v>210388</v>
      </c>
      <c r="D1373" s="6" t="s">
        <v>28</v>
      </c>
      <c r="E1373" s="6" t="s">
        <v>17</v>
      </c>
      <c r="F1373" s="7">
        <v>42816</v>
      </c>
      <c r="G1373" s="8">
        <f t="shared" si="21"/>
        <v>42816</v>
      </c>
      <c r="H1373" s="6" t="s">
        <v>13</v>
      </c>
      <c r="I1373" s="9" t="str">
        <f>IF(ISNA(VLOOKUP(A1373,'[1]Craig Eval'!A:C,3,FALSE)),"",(VLOOKUP(A1373,'[1]Craig Eval'!A:C,3,FALSE))*1000)</f>
        <v/>
      </c>
      <c r="J1373" s="10" t="str">
        <f>IF(ISNA(VLOOKUP(A1373,'[1]Craig Eval'!A:M,13,FALSE)),"",VLOOKUP(A1373,'[1]Craig Eval'!A:M,13,FALSE))</f>
        <v/>
      </c>
      <c r="K1373" s="2">
        <v>2</v>
      </c>
    </row>
    <row r="1374" spans="1:11" ht="30" x14ac:dyDescent="0.25">
      <c r="A1374" s="49" t="s">
        <v>2766</v>
      </c>
      <c r="B1374" s="4" t="s">
        <v>2767</v>
      </c>
      <c r="C1374" s="5">
        <v>213268</v>
      </c>
      <c r="D1374" s="6" t="s">
        <v>34</v>
      </c>
      <c r="E1374" s="6" t="s">
        <v>17</v>
      </c>
      <c r="F1374" s="7">
        <v>42793</v>
      </c>
      <c r="G1374" s="8">
        <f t="shared" si="21"/>
        <v>42793</v>
      </c>
      <c r="H1374" s="6" t="s">
        <v>13</v>
      </c>
      <c r="I1374" s="9" t="str">
        <f>IF(ISNA(VLOOKUP(A1374,'[1]Craig Eval'!A:C,3,FALSE)),"",(VLOOKUP(A1374,'[1]Craig Eval'!A:C,3,FALSE))*1000)</f>
        <v/>
      </c>
      <c r="J1374" s="10" t="str">
        <f>IF(ISNA(VLOOKUP(A1374,'[1]Craig Eval'!A:M,13,FALSE)),"",VLOOKUP(A1374,'[1]Craig Eval'!A:M,13,FALSE))</f>
        <v/>
      </c>
      <c r="K1374" s="14">
        <v>1</v>
      </c>
    </row>
    <row r="1375" spans="1:11" ht="30" x14ac:dyDescent="0.25">
      <c r="A1375" s="49" t="s">
        <v>2768</v>
      </c>
      <c r="B1375" s="4" t="s">
        <v>2769</v>
      </c>
      <c r="C1375" s="5">
        <v>210708</v>
      </c>
      <c r="D1375" s="6" t="s">
        <v>11</v>
      </c>
      <c r="E1375" s="6" t="s">
        <v>17</v>
      </c>
      <c r="F1375" s="7">
        <v>42865</v>
      </c>
      <c r="G1375" s="8">
        <f t="shared" si="21"/>
        <v>42865</v>
      </c>
      <c r="H1375" s="6" t="s">
        <v>13</v>
      </c>
      <c r="I1375" s="9" t="str">
        <f>IF(ISNA(VLOOKUP(A1375,'[1]Craig Eval'!A:C,3,FALSE)),"",(VLOOKUP(A1375,'[1]Craig Eval'!A:C,3,FALSE))*1000)</f>
        <v/>
      </c>
      <c r="J1375" s="10" t="str">
        <f>IF(ISNA(VLOOKUP(A1375,'[1]Craig Eval'!A:M,13,FALSE)),"",VLOOKUP(A1375,'[1]Craig Eval'!A:M,13,FALSE))</f>
        <v/>
      </c>
      <c r="K1375" s="2">
        <v>1</v>
      </c>
    </row>
    <row r="1376" spans="1:11" ht="30" x14ac:dyDescent="0.25">
      <c r="A1376" s="49" t="s">
        <v>2770</v>
      </c>
      <c r="B1376" s="4" t="s">
        <v>2771</v>
      </c>
      <c r="C1376" s="5">
        <v>212309</v>
      </c>
      <c r="D1376" s="6" t="s">
        <v>34</v>
      </c>
      <c r="E1376" s="6" t="s">
        <v>17</v>
      </c>
      <c r="F1376" s="7">
        <v>42817</v>
      </c>
      <c r="G1376" s="8">
        <f t="shared" si="21"/>
        <v>42817</v>
      </c>
      <c r="H1376" s="6" t="s">
        <v>13</v>
      </c>
      <c r="I1376" s="9" t="str">
        <f>IF(ISNA(VLOOKUP(A1376,'[1]Craig Eval'!A:C,3,FALSE)),"",(VLOOKUP(A1376,'[1]Craig Eval'!A:C,3,FALSE))*1000)</f>
        <v/>
      </c>
      <c r="J1376" s="10" t="str">
        <f>IF(ISNA(VLOOKUP(A1376,'[1]Craig Eval'!A:M,13,FALSE)),"",VLOOKUP(A1376,'[1]Craig Eval'!A:M,13,FALSE))</f>
        <v/>
      </c>
      <c r="K1376" s="14">
        <v>1</v>
      </c>
    </row>
    <row r="1377" spans="1:11" ht="30" x14ac:dyDescent="0.25">
      <c r="A1377" s="49" t="s">
        <v>2772</v>
      </c>
      <c r="B1377" s="4" t="s">
        <v>2773</v>
      </c>
      <c r="C1377" s="5">
        <v>216164</v>
      </c>
      <c r="D1377" s="6" t="s">
        <v>28</v>
      </c>
      <c r="E1377" s="6" t="s">
        <v>17</v>
      </c>
      <c r="F1377" s="7">
        <v>42928</v>
      </c>
      <c r="G1377" s="8">
        <f t="shared" si="21"/>
        <v>42928</v>
      </c>
      <c r="H1377" s="6" t="s">
        <v>13</v>
      </c>
      <c r="I1377" s="9" t="str">
        <f>IF(ISNA(VLOOKUP(A1377,'[1]Craig Eval'!A:C,3,FALSE)),"",(VLOOKUP(A1377,'[1]Craig Eval'!A:C,3,FALSE))*1000)</f>
        <v/>
      </c>
      <c r="J1377" s="10" t="str">
        <f>IF(ISNA(VLOOKUP(A1377,'[1]Craig Eval'!A:M,13,FALSE)),"",VLOOKUP(A1377,'[1]Craig Eval'!A:M,13,FALSE))</f>
        <v/>
      </c>
      <c r="K1377" s="14">
        <v>1</v>
      </c>
    </row>
    <row r="1378" spans="1:11" ht="30" x14ac:dyDescent="0.25">
      <c r="A1378" s="49" t="s">
        <v>2774</v>
      </c>
      <c r="B1378" s="4" t="s">
        <v>2775</v>
      </c>
      <c r="C1378" s="5">
        <v>214868</v>
      </c>
      <c r="D1378" s="6" t="s">
        <v>11</v>
      </c>
      <c r="E1378" s="6" t="s">
        <v>17</v>
      </c>
      <c r="F1378" s="7">
        <v>42949</v>
      </c>
      <c r="G1378" s="8">
        <f t="shared" si="21"/>
        <v>42949</v>
      </c>
      <c r="H1378" s="6" t="s">
        <v>13</v>
      </c>
      <c r="I1378" s="9" t="str">
        <f>IF(ISNA(VLOOKUP(A1378,'[1]Craig Eval'!A:C,3,FALSE)),"",(VLOOKUP(A1378,'[1]Craig Eval'!A:C,3,FALSE))*1000)</f>
        <v/>
      </c>
      <c r="J1378" s="10" t="str">
        <f>IF(ISNA(VLOOKUP(A1378,'[1]Craig Eval'!A:M,13,FALSE)),"",VLOOKUP(A1378,'[1]Craig Eval'!A:M,13,FALSE))</f>
        <v/>
      </c>
      <c r="K1378" s="14">
        <v>1</v>
      </c>
    </row>
    <row r="1379" spans="1:11" ht="30" x14ac:dyDescent="0.25">
      <c r="A1379" s="49" t="s">
        <v>2776</v>
      </c>
      <c r="B1379" s="4" t="s">
        <v>2777</v>
      </c>
      <c r="C1379" s="5">
        <v>216180</v>
      </c>
      <c r="D1379" s="6" t="s">
        <v>11</v>
      </c>
      <c r="E1379" s="6" t="s">
        <v>12</v>
      </c>
      <c r="F1379" s="7">
        <v>43007</v>
      </c>
      <c r="G1379" s="8">
        <f t="shared" si="21"/>
        <v>43007</v>
      </c>
      <c r="H1379" s="6" t="s">
        <v>13</v>
      </c>
      <c r="I1379" s="9" t="str">
        <f>IF(ISNA(VLOOKUP(A1379,'[1]Craig Eval'!A:C,3,FALSE)),"",(VLOOKUP(A1379,'[1]Craig Eval'!A:C,3,FALSE))*1000)</f>
        <v/>
      </c>
      <c r="J1379" s="10" t="str">
        <f>IF(ISNA(VLOOKUP(A1379,'[1]Craig Eval'!A:M,13,FALSE)),"",VLOOKUP(A1379,'[1]Craig Eval'!A:M,13,FALSE))</f>
        <v/>
      </c>
      <c r="K1379" s="14">
        <v>1</v>
      </c>
    </row>
    <row r="1380" spans="1:11" ht="30" x14ac:dyDescent="0.25">
      <c r="A1380" s="49" t="s">
        <v>2778</v>
      </c>
      <c r="B1380" s="4" t="s">
        <v>2779</v>
      </c>
      <c r="C1380" s="5">
        <v>217764</v>
      </c>
      <c r="D1380" s="6" t="s">
        <v>11</v>
      </c>
      <c r="E1380" s="6" t="s">
        <v>17</v>
      </c>
      <c r="F1380" s="7">
        <v>43069</v>
      </c>
      <c r="G1380" s="8">
        <f t="shared" si="21"/>
        <v>43069</v>
      </c>
      <c r="H1380" s="6" t="s">
        <v>13</v>
      </c>
      <c r="I1380" s="9" t="str">
        <f>IF(ISNA(VLOOKUP(A1380,'[1]Craig Eval'!A:C,3,FALSE)),"",(VLOOKUP(A1380,'[1]Craig Eval'!A:C,3,FALSE))*1000)</f>
        <v/>
      </c>
      <c r="J1380" s="10" t="str">
        <f>IF(ISNA(VLOOKUP(A1380,'[1]Craig Eval'!A:M,13,FALSE)),"",VLOOKUP(A1380,'[1]Craig Eval'!A:M,13,FALSE))</f>
        <v/>
      </c>
      <c r="K1380" s="14">
        <v>2</v>
      </c>
    </row>
    <row r="1381" spans="1:11" ht="30" x14ac:dyDescent="0.25">
      <c r="A1381" s="49" t="s">
        <v>2780</v>
      </c>
      <c r="B1381" s="4" t="s">
        <v>25</v>
      </c>
      <c r="C1381" s="5">
        <v>217124</v>
      </c>
      <c r="D1381" s="6" t="s">
        <v>16</v>
      </c>
      <c r="E1381" s="6" t="s">
        <v>17</v>
      </c>
      <c r="F1381" s="7">
        <v>43033</v>
      </c>
      <c r="G1381" s="8">
        <f t="shared" si="21"/>
        <v>43033</v>
      </c>
      <c r="H1381" s="6" t="s">
        <v>13</v>
      </c>
      <c r="I1381" s="9" t="str">
        <f>IF(ISNA(VLOOKUP(A1381,'[1]Craig Eval'!A:C,3,FALSE)),"",(VLOOKUP(A1381,'[1]Craig Eval'!A:C,3,FALSE))*1000)</f>
        <v/>
      </c>
      <c r="J1381" s="10" t="str">
        <f>IF(ISNA(VLOOKUP(A1381,'[1]Craig Eval'!A:M,13,FALSE)),"",VLOOKUP(A1381,'[1]Craig Eval'!A:M,13,FALSE))</f>
        <v/>
      </c>
      <c r="K1381" s="14">
        <v>1</v>
      </c>
    </row>
    <row r="1382" spans="1:11" ht="30" x14ac:dyDescent="0.25">
      <c r="A1382" s="49" t="s">
        <v>2781</v>
      </c>
      <c r="B1382" s="4" t="s">
        <v>2782</v>
      </c>
      <c r="C1382" s="5">
        <v>216517</v>
      </c>
      <c r="D1382" s="6" t="s">
        <v>11</v>
      </c>
      <c r="E1382" s="6" t="s">
        <v>12</v>
      </c>
      <c r="F1382" s="7">
        <v>43053</v>
      </c>
      <c r="G1382" s="8">
        <f t="shared" si="21"/>
        <v>43053</v>
      </c>
      <c r="H1382" s="6" t="s">
        <v>39</v>
      </c>
      <c r="I1382" s="9" t="str">
        <f>IF(ISNA(VLOOKUP(A1382,'[1]Craig Eval'!A:C,3,FALSE)),"",(VLOOKUP(A1382,'[1]Craig Eval'!A:C,3,FALSE))*1000)</f>
        <v/>
      </c>
      <c r="J1382" s="10" t="str">
        <f>IF(ISNA(VLOOKUP(A1382,'[1]Craig Eval'!A:M,13,FALSE)),"",VLOOKUP(A1382,'[1]Craig Eval'!A:M,13,FALSE))</f>
        <v/>
      </c>
      <c r="K1382" s="14">
        <v>4</v>
      </c>
    </row>
    <row r="1383" spans="1:11" ht="30" x14ac:dyDescent="0.25">
      <c r="A1383" s="49" t="s">
        <v>2783</v>
      </c>
      <c r="B1383" s="4" t="s">
        <v>2784</v>
      </c>
      <c r="C1383" s="5">
        <v>220388</v>
      </c>
      <c r="D1383" s="6" t="s">
        <v>28</v>
      </c>
      <c r="E1383" s="6" t="s">
        <v>17</v>
      </c>
      <c r="F1383" s="7">
        <v>43103</v>
      </c>
      <c r="G1383" s="8">
        <f t="shared" si="21"/>
        <v>43103</v>
      </c>
      <c r="H1383" s="6" t="s">
        <v>13</v>
      </c>
      <c r="I1383" s="9" t="str">
        <f>IF(ISNA(VLOOKUP(A1383,'[1]Craig Eval'!A:C,3,FALSE)),"",(VLOOKUP(A1383,'[1]Craig Eval'!A:C,3,FALSE))*1000)</f>
        <v/>
      </c>
      <c r="J1383" s="10" t="str">
        <f>IF(ISNA(VLOOKUP(A1383,'[1]Craig Eval'!A:M,13,FALSE)),"",VLOOKUP(A1383,'[1]Craig Eval'!A:M,13,FALSE))</f>
        <v/>
      </c>
      <c r="K1383" s="14">
        <v>1</v>
      </c>
    </row>
    <row r="1384" spans="1:11" ht="30" x14ac:dyDescent="0.25">
      <c r="A1384" s="49" t="s">
        <v>2785</v>
      </c>
      <c r="B1384" s="4" t="s">
        <v>2786</v>
      </c>
      <c r="C1384" s="5">
        <v>217444</v>
      </c>
      <c r="D1384" s="6" t="s">
        <v>31</v>
      </c>
      <c r="E1384" s="6" t="s">
        <v>17</v>
      </c>
      <c r="F1384" s="7">
        <v>42975</v>
      </c>
      <c r="G1384" s="8">
        <f t="shared" si="21"/>
        <v>42975</v>
      </c>
      <c r="H1384" s="6" t="s">
        <v>13</v>
      </c>
      <c r="I1384" s="9" t="str">
        <f>IF(ISNA(VLOOKUP(A1384,'[1]Craig Eval'!A:C,3,FALSE)),"",(VLOOKUP(A1384,'[1]Craig Eval'!A:C,3,FALSE))*1000)</f>
        <v/>
      </c>
      <c r="J1384" s="10" t="str">
        <f>IF(ISNA(VLOOKUP(A1384,'[1]Craig Eval'!A:M,13,FALSE)),"",VLOOKUP(A1384,'[1]Craig Eval'!A:M,13,FALSE))</f>
        <v/>
      </c>
      <c r="K1384" s="14">
        <v>1</v>
      </c>
    </row>
    <row r="1385" spans="1:11" ht="30" x14ac:dyDescent="0.25">
      <c r="A1385" s="49" t="s">
        <v>2787</v>
      </c>
      <c r="B1385" s="4" t="s">
        <v>2788</v>
      </c>
      <c r="C1385" s="5">
        <v>219364</v>
      </c>
      <c r="D1385" s="6" t="s">
        <v>11</v>
      </c>
      <c r="E1385" s="6" t="s">
        <v>12</v>
      </c>
      <c r="F1385" s="7">
        <v>43132</v>
      </c>
      <c r="G1385" s="8">
        <f t="shared" si="21"/>
        <v>43132</v>
      </c>
      <c r="H1385" s="6" t="s">
        <v>39</v>
      </c>
      <c r="I1385" s="9" t="str">
        <f>IF(ISNA(VLOOKUP(A1385,'[1]Craig Eval'!A:C,3,FALSE)),"",(VLOOKUP(A1385,'[1]Craig Eval'!A:C,3,FALSE))*1000)</f>
        <v/>
      </c>
      <c r="J1385" s="10" t="str">
        <f>IF(ISNA(VLOOKUP(A1385,'[1]Craig Eval'!A:M,13,FALSE)),"",VLOOKUP(A1385,'[1]Craig Eval'!A:M,13,FALSE))</f>
        <v/>
      </c>
      <c r="K1385" s="14">
        <v>1</v>
      </c>
    </row>
    <row r="1386" spans="1:11" ht="30" x14ac:dyDescent="0.25">
      <c r="A1386" s="49" t="s">
        <v>2789</v>
      </c>
      <c r="B1386" s="4" t="s">
        <v>2790</v>
      </c>
      <c r="C1386" s="5">
        <v>223012</v>
      </c>
      <c r="D1386" s="6" t="s">
        <v>11</v>
      </c>
      <c r="E1386" s="6" t="s">
        <v>17</v>
      </c>
      <c r="F1386" s="7">
        <v>43167</v>
      </c>
      <c r="G1386" s="8">
        <f t="shared" si="21"/>
        <v>43167</v>
      </c>
      <c r="H1386" s="17" t="s">
        <v>13</v>
      </c>
      <c r="I1386" s="9" t="str">
        <f>IF(ISNA(VLOOKUP(A1386,'[1]Craig Eval'!A:C,3,FALSE)),"",(VLOOKUP(A1386,'[1]Craig Eval'!A:C,3,FALSE))*1000)</f>
        <v/>
      </c>
      <c r="J1386" s="10" t="str">
        <f>IF(ISNA(VLOOKUP(A1386,'[1]Craig Eval'!A:M,13,FALSE)),"",VLOOKUP(A1386,'[1]Craig Eval'!A:M,13,FALSE))</f>
        <v/>
      </c>
      <c r="K1386" s="17">
        <v>1</v>
      </c>
    </row>
    <row r="1387" spans="1:11" ht="30" x14ac:dyDescent="0.25">
      <c r="A1387" s="49" t="s">
        <v>2791</v>
      </c>
      <c r="B1387" s="4" t="s">
        <v>2792</v>
      </c>
      <c r="C1387" s="5">
        <v>224932</v>
      </c>
      <c r="D1387" s="6" t="s">
        <v>11</v>
      </c>
      <c r="E1387" s="6" t="s">
        <v>12</v>
      </c>
      <c r="F1387" s="7">
        <v>43132</v>
      </c>
      <c r="G1387" s="8">
        <f t="shared" si="21"/>
        <v>43132</v>
      </c>
      <c r="H1387" s="17" t="s">
        <v>13</v>
      </c>
      <c r="I1387" s="9" t="str">
        <f>IF(ISNA(VLOOKUP(A1387,'[1]Craig Eval'!A:C,3,FALSE)),"",(VLOOKUP(A1387,'[1]Craig Eval'!A:C,3,FALSE))*1000)</f>
        <v/>
      </c>
      <c r="J1387" s="10" t="str">
        <f>IF(ISNA(VLOOKUP(A1387,'[1]Craig Eval'!A:M,13,FALSE)),"",VLOOKUP(A1387,'[1]Craig Eval'!A:M,13,FALSE))</f>
        <v/>
      </c>
      <c r="K1387" s="17">
        <v>1</v>
      </c>
    </row>
    <row r="1388" spans="1:11" ht="30" x14ac:dyDescent="0.25">
      <c r="A1388" s="49" t="s">
        <v>2793</v>
      </c>
      <c r="B1388" s="4" t="s">
        <v>2794</v>
      </c>
      <c r="C1388" s="5">
        <v>217767</v>
      </c>
      <c r="D1388" s="6" t="s">
        <v>16</v>
      </c>
      <c r="E1388" s="6" t="s">
        <v>17</v>
      </c>
      <c r="F1388" s="7">
        <v>43069</v>
      </c>
      <c r="G1388" s="8">
        <f t="shared" si="21"/>
        <v>43069</v>
      </c>
      <c r="H1388" s="17" t="s">
        <v>13</v>
      </c>
      <c r="I1388" s="9" t="str">
        <f>IF(ISNA(VLOOKUP(A1388,'[1]Craig Eval'!A:C,3,FALSE)),"",(VLOOKUP(A1388,'[1]Craig Eval'!A:C,3,FALSE))*1000)</f>
        <v/>
      </c>
      <c r="J1388" s="10" t="str">
        <f>IF(ISNA(VLOOKUP(A1388,'[1]Craig Eval'!A:M,13,FALSE)),"",VLOOKUP(A1388,'[1]Craig Eval'!A:M,13,FALSE))</f>
        <v/>
      </c>
      <c r="K1388" s="17">
        <v>2</v>
      </c>
    </row>
    <row r="1389" spans="1:11" ht="30" x14ac:dyDescent="0.25">
      <c r="A1389" s="49" t="s">
        <v>2795</v>
      </c>
      <c r="B1389" s="4" t="s">
        <v>2796</v>
      </c>
      <c r="C1389" s="5">
        <v>222996</v>
      </c>
      <c r="D1389" s="6" t="s">
        <v>28</v>
      </c>
      <c r="E1389" s="6" t="s">
        <v>17</v>
      </c>
      <c r="F1389" s="7">
        <v>43167</v>
      </c>
      <c r="G1389" s="8">
        <f t="shared" si="21"/>
        <v>43167</v>
      </c>
      <c r="H1389" s="17" t="s">
        <v>13</v>
      </c>
      <c r="I1389" s="9" t="str">
        <f>IF(ISNA(VLOOKUP(A1389,'[1]Craig Eval'!A:C,3,FALSE)),"",(VLOOKUP(A1389,'[1]Craig Eval'!A:C,3,FALSE))*1000)</f>
        <v/>
      </c>
      <c r="J1389" s="10" t="str">
        <f>IF(ISNA(VLOOKUP(A1389,'[1]Craig Eval'!A:M,13,FALSE)),"",VLOOKUP(A1389,'[1]Craig Eval'!A:M,13,FALSE))</f>
        <v/>
      </c>
      <c r="K1389" s="17">
        <v>1</v>
      </c>
    </row>
    <row r="1390" spans="1:11" ht="30" x14ac:dyDescent="0.25">
      <c r="A1390" s="49" t="s">
        <v>2797</v>
      </c>
      <c r="B1390" s="4" t="s">
        <v>2798</v>
      </c>
      <c r="C1390" s="5">
        <v>222004</v>
      </c>
      <c r="D1390" s="6" t="s">
        <v>37</v>
      </c>
      <c r="E1390" s="6" t="s">
        <v>38</v>
      </c>
      <c r="F1390" s="7">
        <v>43105</v>
      </c>
      <c r="G1390" s="8">
        <f t="shared" si="21"/>
        <v>43105</v>
      </c>
      <c r="H1390" s="17" t="s">
        <v>39</v>
      </c>
      <c r="I1390" s="9" t="str">
        <f>IF(ISNA(VLOOKUP(A1390,'[1]Craig Eval'!A:C,3,FALSE)),"",(VLOOKUP(A1390,'[1]Craig Eval'!A:C,3,FALSE))*1000)</f>
        <v/>
      </c>
      <c r="J1390" s="10" t="str">
        <f>IF(ISNA(VLOOKUP(A1390,'[1]Craig Eval'!A:M,13,FALSE)),"",VLOOKUP(A1390,'[1]Craig Eval'!A:M,13,FALSE))</f>
        <v/>
      </c>
      <c r="K1390" s="17">
        <v>2</v>
      </c>
    </row>
    <row r="1391" spans="1:11" ht="30" x14ac:dyDescent="0.25">
      <c r="A1391" s="49" t="s">
        <v>2799</v>
      </c>
      <c r="B1391" s="4" t="s">
        <v>2800</v>
      </c>
      <c r="C1391" s="5">
        <v>226212</v>
      </c>
      <c r="D1391" s="6" t="s">
        <v>11</v>
      </c>
      <c r="E1391" s="6" t="s">
        <v>12</v>
      </c>
      <c r="F1391" s="7">
        <v>43167</v>
      </c>
      <c r="G1391" s="8">
        <f t="shared" si="21"/>
        <v>43167</v>
      </c>
      <c r="H1391" s="17" t="s">
        <v>39</v>
      </c>
      <c r="I1391" s="9" t="str">
        <f>IF(ISNA(VLOOKUP(A1391,'[1]Craig Eval'!A:C,3,FALSE)),"",(VLOOKUP(A1391,'[1]Craig Eval'!A:C,3,FALSE))*1000)</f>
        <v/>
      </c>
      <c r="J1391" s="10" t="str">
        <f>IF(ISNA(VLOOKUP(A1391,'[1]Craig Eval'!A:M,13,FALSE)),"",VLOOKUP(A1391,'[1]Craig Eval'!A:M,13,FALSE))</f>
        <v/>
      </c>
      <c r="K1391" s="17">
        <v>1</v>
      </c>
    </row>
    <row r="1392" spans="1:11" ht="30" x14ac:dyDescent="0.25">
      <c r="A1392" s="49" t="s">
        <v>2801</v>
      </c>
      <c r="B1392" s="4" t="s">
        <v>2802</v>
      </c>
      <c r="C1392" s="5">
        <v>222676</v>
      </c>
      <c r="D1392" s="6" t="s">
        <v>28</v>
      </c>
      <c r="E1392" s="6" t="s">
        <v>17</v>
      </c>
      <c r="F1392" s="7">
        <v>43166</v>
      </c>
      <c r="G1392" s="8">
        <f t="shared" si="21"/>
        <v>43166</v>
      </c>
      <c r="H1392" s="17" t="s">
        <v>13</v>
      </c>
      <c r="I1392" s="9" t="str">
        <f>IF(ISNA(VLOOKUP(A1392,'[1]Craig Eval'!A:C,3,FALSE)),"",(VLOOKUP(A1392,'[1]Craig Eval'!A:C,3,FALSE))*1000)</f>
        <v/>
      </c>
      <c r="J1392" s="10" t="str">
        <f>IF(ISNA(VLOOKUP(A1392,'[1]Craig Eval'!A:M,13,FALSE)),"",VLOOKUP(A1392,'[1]Craig Eval'!A:M,13,FALSE))</f>
        <v/>
      </c>
      <c r="K1392" s="17">
        <v>1</v>
      </c>
    </row>
    <row r="1393" spans="1:11" ht="30" x14ac:dyDescent="0.25">
      <c r="A1393" s="49" t="s">
        <v>2803</v>
      </c>
      <c r="B1393" s="4" t="s">
        <v>2804</v>
      </c>
      <c r="C1393" s="5">
        <v>229845</v>
      </c>
      <c r="D1393" s="6" t="s">
        <v>28</v>
      </c>
      <c r="E1393" s="6" t="s">
        <v>17</v>
      </c>
      <c r="F1393" s="7">
        <v>43178</v>
      </c>
      <c r="G1393" s="8">
        <f t="shared" si="21"/>
        <v>43178</v>
      </c>
      <c r="H1393" s="17" t="s">
        <v>13</v>
      </c>
      <c r="I1393" s="9" t="str">
        <f>IF(ISNA(VLOOKUP(A1393,'[1]Craig Eval'!A:C,3,FALSE)),"",(VLOOKUP(A1393,'[1]Craig Eval'!A:C,3,FALSE))*1000)</f>
        <v/>
      </c>
      <c r="J1393" s="10" t="str">
        <f>IF(ISNA(VLOOKUP(A1393,'[1]Craig Eval'!A:M,13,FALSE)),"",VLOOKUP(A1393,'[1]Craig Eval'!A:M,13,FALSE))</f>
        <v/>
      </c>
      <c r="K1393" s="17">
        <v>1</v>
      </c>
    </row>
    <row r="1394" spans="1:11" ht="30" x14ac:dyDescent="0.25">
      <c r="A1394" s="49" t="s">
        <v>2805</v>
      </c>
      <c r="B1394" s="4" t="s">
        <v>2806</v>
      </c>
      <c r="C1394" s="5">
        <v>225252</v>
      </c>
      <c r="D1394" s="6" t="s">
        <v>37</v>
      </c>
      <c r="E1394" s="6" t="s">
        <v>38</v>
      </c>
      <c r="F1394" s="7">
        <v>43179</v>
      </c>
      <c r="G1394" s="8">
        <f t="shared" si="21"/>
        <v>43179</v>
      </c>
      <c r="H1394" s="17" t="s">
        <v>39</v>
      </c>
      <c r="I1394" s="9" t="str">
        <f>IF(ISNA(VLOOKUP(A1394,'[1]Craig Eval'!A:C,3,FALSE)),"",(VLOOKUP(A1394,'[1]Craig Eval'!A:C,3,FALSE))*1000)</f>
        <v/>
      </c>
      <c r="J1394" s="10" t="str">
        <f>IF(ISNA(VLOOKUP(A1394,'[1]Craig Eval'!A:M,13,FALSE)),"",VLOOKUP(A1394,'[1]Craig Eval'!A:M,13,FALSE))</f>
        <v/>
      </c>
      <c r="K1394" s="17">
        <v>1</v>
      </c>
    </row>
    <row r="1395" spans="1:11" ht="30" x14ac:dyDescent="0.25">
      <c r="A1395" s="49" t="s">
        <v>2807</v>
      </c>
      <c r="B1395" s="4" t="s">
        <v>2808</v>
      </c>
      <c r="C1395" s="5">
        <v>222036</v>
      </c>
      <c r="D1395" s="6" t="s">
        <v>34</v>
      </c>
      <c r="E1395" s="6" t="s">
        <v>17</v>
      </c>
      <c r="F1395" s="7">
        <v>43179</v>
      </c>
      <c r="G1395" s="8">
        <f t="shared" si="21"/>
        <v>43179</v>
      </c>
      <c r="H1395" s="17" t="s">
        <v>13</v>
      </c>
      <c r="I1395" s="9" t="str">
        <f>IF(ISNA(VLOOKUP(A1395,'[1]Craig Eval'!A:C,3,FALSE)),"",(VLOOKUP(A1395,'[1]Craig Eval'!A:C,3,FALSE))*1000)</f>
        <v/>
      </c>
      <c r="J1395" s="10" t="str">
        <f>IF(ISNA(VLOOKUP(A1395,'[1]Craig Eval'!A:M,13,FALSE)),"",VLOOKUP(A1395,'[1]Craig Eval'!A:M,13,FALSE))</f>
        <v/>
      </c>
      <c r="K1395" s="17">
        <v>1</v>
      </c>
    </row>
    <row r="1396" spans="1:11" ht="30" x14ac:dyDescent="0.25">
      <c r="A1396" s="49" t="s">
        <v>2809</v>
      </c>
      <c r="B1396" s="4" t="s">
        <v>2810</v>
      </c>
      <c r="C1396" s="5">
        <v>223668</v>
      </c>
      <c r="D1396" s="6" t="s">
        <v>28</v>
      </c>
      <c r="E1396" s="6" t="s">
        <v>17</v>
      </c>
      <c r="F1396" s="7">
        <v>43187</v>
      </c>
      <c r="G1396" s="8">
        <f t="shared" si="21"/>
        <v>43187</v>
      </c>
      <c r="H1396" s="17" t="s">
        <v>13</v>
      </c>
      <c r="I1396" s="9" t="str">
        <f>IF(ISNA(VLOOKUP(A1396,'[1]Craig Eval'!A:C,3,FALSE)),"",(VLOOKUP(A1396,'[1]Craig Eval'!A:C,3,FALSE))*1000)</f>
        <v/>
      </c>
      <c r="J1396" s="10" t="str">
        <f>IF(ISNA(VLOOKUP(A1396,'[1]Craig Eval'!A:M,13,FALSE)),"",VLOOKUP(A1396,'[1]Craig Eval'!A:M,13,FALSE))</f>
        <v/>
      </c>
      <c r="K1396" s="17">
        <v>1</v>
      </c>
    </row>
    <row r="1397" spans="1:11" ht="30" x14ac:dyDescent="0.25">
      <c r="A1397" s="49" t="s">
        <v>2811</v>
      </c>
      <c r="B1397" s="4" t="s">
        <v>2812</v>
      </c>
      <c r="C1397" s="5">
        <v>222052</v>
      </c>
      <c r="D1397" s="6" t="s">
        <v>16</v>
      </c>
      <c r="E1397" s="6" t="s">
        <v>17</v>
      </c>
      <c r="F1397" s="7">
        <v>43118</v>
      </c>
      <c r="G1397" s="8">
        <f t="shared" si="21"/>
        <v>43118</v>
      </c>
      <c r="H1397" s="17" t="s">
        <v>13</v>
      </c>
      <c r="I1397" s="9" t="str">
        <f>IF(ISNA(VLOOKUP(A1397,'[1]Craig Eval'!A:C,3,FALSE)),"",(VLOOKUP(A1397,'[1]Craig Eval'!A:C,3,FALSE))*1000)</f>
        <v/>
      </c>
      <c r="J1397" s="10" t="str">
        <f>IF(ISNA(VLOOKUP(A1397,'[1]Craig Eval'!A:M,13,FALSE)),"",VLOOKUP(A1397,'[1]Craig Eval'!A:M,13,FALSE))</f>
        <v/>
      </c>
      <c r="K1397" s="17">
        <v>1</v>
      </c>
    </row>
    <row r="1398" spans="1:11" ht="30" x14ac:dyDescent="0.25">
      <c r="A1398" s="49" t="s">
        <v>2813</v>
      </c>
      <c r="B1398" s="4" t="s">
        <v>2814</v>
      </c>
      <c r="C1398" s="5">
        <v>224612</v>
      </c>
      <c r="D1398" s="6" t="s">
        <v>11</v>
      </c>
      <c r="E1398" s="6" t="s">
        <v>17</v>
      </c>
      <c r="F1398" s="7">
        <v>43213</v>
      </c>
      <c r="G1398" s="8">
        <f t="shared" si="21"/>
        <v>43213</v>
      </c>
      <c r="H1398" s="17" t="s">
        <v>13</v>
      </c>
      <c r="I1398" s="9" t="str">
        <f>IF(ISNA(VLOOKUP(A1398,'[1]Craig Eval'!A:C,3,FALSE)),"",(VLOOKUP(A1398,'[1]Craig Eval'!A:C,3,FALSE))*1000)</f>
        <v/>
      </c>
      <c r="J1398" s="10" t="str">
        <f>IF(ISNA(VLOOKUP(A1398,'[1]Craig Eval'!A:M,13,FALSE)),"",VLOOKUP(A1398,'[1]Craig Eval'!A:M,13,FALSE))</f>
        <v/>
      </c>
      <c r="K1398" s="17">
        <v>1</v>
      </c>
    </row>
    <row r="1399" spans="1:11" ht="30" x14ac:dyDescent="0.25">
      <c r="A1399" s="49" t="s">
        <v>2815</v>
      </c>
      <c r="B1399" s="4" t="s">
        <v>2816</v>
      </c>
      <c r="C1399" s="5">
        <v>224308</v>
      </c>
      <c r="D1399" s="6" t="s">
        <v>16</v>
      </c>
      <c r="E1399" s="6" t="s">
        <v>17</v>
      </c>
      <c r="F1399" s="7">
        <v>43206</v>
      </c>
      <c r="G1399" s="8">
        <f t="shared" si="21"/>
        <v>43206</v>
      </c>
      <c r="H1399" s="17" t="s">
        <v>13</v>
      </c>
      <c r="I1399" s="9" t="str">
        <f>IF(ISNA(VLOOKUP(A1399,'[1]Craig Eval'!A:C,3,FALSE)),"",(VLOOKUP(A1399,'[1]Craig Eval'!A:C,3,FALSE))*1000)</f>
        <v/>
      </c>
      <c r="J1399" s="10" t="str">
        <f>IF(ISNA(VLOOKUP(A1399,'[1]Craig Eval'!A:M,13,FALSE)),"",VLOOKUP(A1399,'[1]Craig Eval'!A:M,13,FALSE))</f>
        <v/>
      </c>
      <c r="K1399" s="17">
        <v>1</v>
      </c>
    </row>
    <row r="1400" spans="1:11" ht="30" x14ac:dyDescent="0.25">
      <c r="A1400" s="49" t="s">
        <v>2817</v>
      </c>
      <c r="B1400" s="4" t="s">
        <v>2818</v>
      </c>
      <c r="C1400" s="5">
        <v>223332</v>
      </c>
      <c r="D1400" s="6" t="s">
        <v>31</v>
      </c>
      <c r="E1400" s="6" t="s">
        <v>17</v>
      </c>
      <c r="F1400" s="7">
        <v>43216</v>
      </c>
      <c r="G1400" s="8">
        <f t="shared" si="21"/>
        <v>43216</v>
      </c>
      <c r="H1400" s="17" t="s">
        <v>13</v>
      </c>
      <c r="I1400" s="9" t="str">
        <f>IF(ISNA(VLOOKUP(A1400,'[1]Craig Eval'!A:C,3,FALSE)),"",(VLOOKUP(A1400,'[1]Craig Eval'!A:C,3,FALSE))*1000)</f>
        <v/>
      </c>
      <c r="J1400" s="10" t="str">
        <f>IF(ISNA(VLOOKUP(A1400,'[1]Craig Eval'!A:M,13,FALSE)),"",VLOOKUP(A1400,'[1]Craig Eval'!A:M,13,FALSE))</f>
        <v/>
      </c>
      <c r="K1400" s="17">
        <v>1</v>
      </c>
    </row>
    <row r="1401" spans="1:11" ht="30" x14ac:dyDescent="0.25">
      <c r="A1401" s="49" t="s">
        <v>2819</v>
      </c>
      <c r="B1401" s="4" t="s">
        <v>2820</v>
      </c>
      <c r="C1401" s="5">
        <v>226532</v>
      </c>
      <c r="D1401" s="6" t="s">
        <v>16</v>
      </c>
      <c r="E1401" s="6" t="s">
        <v>17</v>
      </c>
      <c r="F1401" s="7">
        <v>43235</v>
      </c>
      <c r="G1401" s="8">
        <f t="shared" si="21"/>
        <v>43235</v>
      </c>
      <c r="H1401" s="17" t="s">
        <v>13</v>
      </c>
      <c r="I1401" s="9" t="str">
        <f>IF(ISNA(VLOOKUP(A1401,'[1]Craig Eval'!A:C,3,FALSE)),"",(VLOOKUP(A1401,'[1]Craig Eval'!A:C,3,FALSE))*1000)</f>
        <v/>
      </c>
      <c r="J1401" s="10" t="str">
        <f>IF(ISNA(VLOOKUP(A1401,'[1]Craig Eval'!A:M,13,FALSE)),"",VLOOKUP(A1401,'[1]Craig Eval'!A:M,13,FALSE))</f>
        <v/>
      </c>
      <c r="K1401" s="17">
        <v>1</v>
      </c>
    </row>
    <row r="1402" spans="1:11" ht="30" x14ac:dyDescent="0.25">
      <c r="A1402" s="49" t="s">
        <v>2821</v>
      </c>
      <c r="B1402" s="4" t="s">
        <v>2822</v>
      </c>
      <c r="C1402" s="5">
        <v>227605</v>
      </c>
      <c r="D1402" s="6" t="s">
        <v>11</v>
      </c>
      <c r="E1402" s="6" t="s">
        <v>12</v>
      </c>
      <c r="F1402" s="7">
        <v>43246</v>
      </c>
      <c r="G1402" s="8">
        <f t="shared" si="21"/>
        <v>43246</v>
      </c>
      <c r="H1402" s="25" t="s">
        <v>13</v>
      </c>
      <c r="I1402" s="9" t="str">
        <f>IF(ISNA(VLOOKUP(A1402,'[1]Craig Eval'!A:C,3,FALSE)),"",(VLOOKUP(A1402,'[1]Craig Eval'!A:C,3,FALSE))*1000)</f>
        <v/>
      </c>
      <c r="J1402" s="10" t="str">
        <f>IF(ISNA(VLOOKUP(A1402,'[1]Craig Eval'!A:M,13,FALSE)),"",VLOOKUP(A1402,'[1]Craig Eval'!A:M,13,FALSE))</f>
        <v/>
      </c>
      <c r="K1402" s="17">
        <v>1</v>
      </c>
    </row>
    <row r="1403" spans="1:11" ht="30" x14ac:dyDescent="0.25">
      <c r="A1403" s="49" t="s">
        <v>2823</v>
      </c>
      <c r="B1403" s="4" t="s">
        <v>2824</v>
      </c>
      <c r="C1403" s="5">
        <v>235204</v>
      </c>
      <c r="D1403" s="6" t="s">
        <v>11</v>
      </c>
      <c r="E1403" s="6" t="s">
        <v>12</v>
      </c>
      <c r="F1403" s="7">
        <v>42170</v>
      </c>
      <c r="G1403" s="8">
        <f t="shared" si="21"/>
        <v>42170</v>
      </c>
      <c r="H1403" s="17" t="s">
        <v>39</v>
      </c>
      <c r="I1403" s="9" t="str">
        <f>IF(ISNA(VLOOKUP(A1403,'[1]Craig Eval'!A:C,3,FALSE)),"",(VLOOKUP(A1403,'[1]Craig Eval'!A:C,3,FALSE))*1000)</f>
        <v/>
      </c>
      <c r="J1403" s="10" t="str">
        <f>IF(ISNA(VLOOKUP(A1403,'[1]Craig Eval'!A:M,13,FALSE)),"",VLOOKUP(A1403,'[1]Craig Eval'!A:M,13,FALSE))</f>
        <v/>
      </c>
      <c r="K1403" s="17">
        <v>1</v>
      </c>
    </row>
    <row r="1404" spans="1:11" ht="30" x14ac:dyDescent="0.25">
      <c r="A1404" s="49" t="s">
        <v>2825</v>
      </c>
      <c r="B1404" s="4" t="s">
        <v>2826</v>
      </c>
      <c r="C1404" s="5">
        <v>228788</v>
      </c>
      <c r="D1404" s="6" t="s">
        <v>34</v>
      </c>
      <c r="E1404" s="6" t="s">
        <v>17</v>
      </c>
      <c r="F1404" s="7">
        <v>43269</v>
      </c>
      <c r="G1404" s="8">
        <f t="shared" si="21"/>
        <v>43269</v>
      </c>
      <c r="H1404" s="17" t="s">
        <v>13</v>
      </c>
      <c r="I1404" s="9" t="str">
        <f>IF(ISNA(VLOOKUP(A1404,'[1]Craig Eval'!A:C,3,FALSE)),"",(VLOOKUP(A1404,'[1]Craig Eval'!A:C,3,FALSE))*1000)</f>
        <v/>
      </c>
      <c r="J1404" s="10" t="str">
        <f>IF(ISNA(VLOOKUP(A1404,'[1]Craig Eval'!A:M,13,FALSE)),"",VLOOKUP(A1404,'[1]Craig Eval'!A:M,13,FALSE))</f>
        <v/>
      </c>
      <c r="K1404" s="17">
        <v>1</v>
      </c>
    </row>
    <row r="1405" spans="1:11" ht="30" x14ac:dyDescent="0.25">
      <c r="A1405" s="49" t="s">
        <v>2827</v>
      </c>
      <c r="B1405" s="4" t="s">
        <v>2828</v>
      </c>
      <c r="C1405" s="5">
        <v>228151</v>
      </c>
      <c r="D1405" s="6" t="s">
        <v>16</v>
      </c>
      <c r="E1405" s="6" t="s">
        <v>17</v>
      </c>
      <c r="F1405" s="7">
        <v>43276</v>
      </c>
      <c r="G1405" s="8">
        <f t="shared" si="21"/>
        <v>43276</v>
      </c>
      <c r="H1405" s="17" t="s">
        <v>13</v>
      </c>
      <c r="I1405" s="9" t="str">
        <f>IF(ISNA(VLOOKUP(A1405,'[1]Craig Eval'!A:C,3,FALSE)),"",(VLOOKUP(A1405,'[1]Craig Eval'!A:C,3,FALSE))*1000)</f>
        <v/>
      </c>
      <c r="J1405" s="10" t="str">
        <f>IF(ISNA(VLOOKUP(A1405,'[1]Craig Eval'!A:M,13,FALSE)),"",VLOOKUP(A1405,'[1]Craig Eval'!A:M,13,FALSE))</f>
        <v/>
      </c>
      <c r="K1405" s="17">
        <v>1</v>
      </c>
    </row>
    <row r="1406" spans="1:11" ht="30" x14ac:dyDescent="0.25">
      <c r="A1406" s="49" t="s">
        <v>2829</v>
      </c>
      <c r="B1406" s="4" t="s">
        <v>2830</v>
      </c>
      <c r="C1406" s="5">
        <v>229788</v>
      </c>
      <c r="D1406" s="6" t="s">
        <v>11</v>
      </c>
      <c r="E1406" s="6" t="s">
        <v>12</v>
      </c>
      <c r="F1406" s="7">
        <v>43286</v>
      </c>
      <c r="G1406" s="8">
        <f t="shared" si="21"/>
        <v>43286</v>
      </c>
      <c r="H1406" s="25" t="s">
        <v>39</v>
      </c>
      <c r="I1406" s="9" t="str">
        <f>IF(ISNA(VLOOKUP(A1406,'[1]Craig Eval'!A:C,3,FALSE)),"",(VLOOKUP(A1406,'[1]Craig Eval'!A:C,3,FALSE))*1000)</f>
        <v/>
      </c>
      <c r="J1406" s="10" t="str">
        <f>IF(ISNA(VLOOKUP(A1406,'[1]Craig Eval'!A:M,13,FALSE)),"",VLOOKUP(A1406,'[1]Craig Eval'!A:M,13,FALSE))</f>
        <v/>
      </c>
      <c r="K1406" s="17">
        <v>1</v>
      </c>
    </row>
    <row r="1407" spans="1:11" ht="30" x14ac:dyDescent="0.25">
      <c r="A1407" s="49" t="s">
        <v>2831</v>
      </c>
      <c r="B1407" s="4" t="s">
        <v>2832</v>
      </c>
      <c r="C1407" s="5">
        <v>223972</v>
      </c>
      <c r="D1407" s="6" t="s">
        <v>11</v>
      </c>
      <c r="E1407" s="6" t="s">
        <v>12</v>
      </c>
      <c r="F1407" s="7">
        <v>43293</v>
      </c>
      <c r="G1407" s="8">
        <f t="shared" si="21"/>
        <v>43293</v>
      </c>
      <c r="H1407" s="6" t="s">
        <v>13</v>
      </c>
      <c r="I1407" s="9" t="str">
        <f>IF(ISNA(VLOOKUP(A1407,'[1]Craig Eval'!A:C,3,FALSE)),"",(VLOOKUP(A1407,'[1]Craig Eval'!A:C,3,FALSE))*1000)</f>
        <v/>
      </c>
      <c r="J1407" s="10" t="str">
        <f>IF(ISNA(VLOOKUP(A1407,'[1]Craig Eval'!A:M,13,FALSE)),"",VLOOKUP(A1407,'[1]Craig Eval'!A:M,13,FALSE))</f>
        <v/>
      </c>
      <c r="K1407" s="17">
        <v>1</v>
      </c>
    </row>
    <row r="1408" spans="1:11" ht="30" x14ac:dyDescent="0.25">
      <c r="A1408" s="49" t="s">
        <v>2833</v>
      </c>
      <c r="B1408" s="4" t="s">
        <v>2834</v>
      </c>
      <c r="C1408" s="5">
        <v>227174</v>
      </c>
      <c r="D1408" s="6" t="s">
        <v>28</v>
      </c>
      <c r="E1408" s="6" t="s">
        <v>17</v>
      </c>
      <c r="F1408" s="7">
        <v>43294</v>
      </c>
      <c r="G1408" s="8">
        <f t="shared" si="21"/>
        <v>43294</v>
      </c>
      <c r="H1408" s="17" t="s">
        <v>13</v>
      </c>
      <c r="I1408" s="9" t="str">
        <f>IF(ISNA(VLOOKUP(A1408,'[1]Craig Eval'!A:C,3,FALSE)),"",(VLOOKUP(A1408,'[1]Craig Eval'!A:C,3,FALSE))*1000)</f>
        <v/>
      </c>
      <c r="J1408" s="10" t="str">
        <f>IF(ISNA(VLOOKUP(A1408,'[1]Craig Eval'!A:M,13,FALSE)),"",VLOOKUP(A1408,'[1]Craig Eval'!A:M,13,FALSE))</f>
        <v/>
      </c>
      <c r="K1408" s="17">
        <v>1</v>
      </c>
    </row>
    <row r="1409" spans="1:11" ht="30" x14ac:dyDescent="0.25">
      <c r="A1409" s="49" t="s">
        <v>2835</v>
      </c>
      <c r="B1409" s="4" t="s">
        <v>2836</v>
      </c>
      <c r="C1409" s="5">
        <v>231988</v>
      </c>
      <c r="D1409" s="6" t="s">
        <v>11</v>
      </c>
      <c r="E1409" s="6" t="s">
        <v>17</v>
      </c>
      <c r="F1409" s="7">
        <v>43299</v>
      </c>
      <c r="G1409" s="8">
        <f t="shared" si="21"/>
        <v>43299</v>
      </c>
      <c r="H1409" s="25" t="s">
        <v>13</v>
      </c>
      <c r="I1409" s="9" t="str">
        <f>IF(ISNA(VLOOKUP(A1409,'[1]Craig Eval'!A:C,3,FALSE)),"",(VLOOKUP(A1409,'[1]Craig Eval'!A:C,3,FALSE))*1000)</f>
        <v/>
      </c>
      <c r="J1409" s="10" t="str">
        <f>IF(ISNA(VLOOKUP(A1409,'[1]Craig Eval'!A:M,13,FALSE)),"",VLOOKUP(A1409,'[1]Craig Eval'!A:M,13,FALSE))</f>
        <v/>
      </c>
      <c r="K1409" s="17">
        <v>1</v>
      </c>
    </row>
    <row r="1410" spans="1:11" ht="30" x14ac:dyDescent="0.25">
      <c r="A1410" s="49" t="s">
        <v>2837</v>
      </c>
      <c r="B1410" s="4" t="s">
        <v>2838</v>
      </c>
      <c r="C1410" s="5">
        <v>228806</v>
      </c>
      <c r="D1410" s="6" t="s">
        <v>37</v>
      </c>
      <c r="E1410" s="6" t="s">
        <v>38</v>
      </c>
      <c r="F1410" s="7">
        <v>43314</v>
      </c>
      <c r="G1410" s="8">
        <f t="shared" ref="G1410:G1473" si="22">F1410</f>
        <v>43314</v>
      </c>
      <c r="H1410" s="6" t="s">
        <v>39</v>
      </c>
      <c r="I1410" s="9" t="str">
        <f>IF(ISNA(VLOOKUP(A1410,'[1]Craig Eval'!A:C,3,FALSE)),"",(VLOOKUP(A1410,'[1]Craig Eval'!A:C,3,FALSE))*1000)</f>
        <v/>
      </c>
      <c r="J1410" s="10" t="str">
        <f>IF(ISNA(VLOOKUP(A1410,'[1]Craig Eval'!A:M,13,FALSE)),"",VLOOKUP(A1410,'[1]Craig Eval'!A:M,13,FALSE))</f>
        <v/>
      </c>
      <c r="K1410" s="40">
        <v>1</v>
      </c>
    </row>
    <row r="1411" spans="1:11" ht="30" x14ac:dyDescent="0.25">
      <c r="A1411" s="49" t="s">
        <v>2839</v>
      </c>
      <c r="B1411" s="4" t="s">
        <v>2840</v>
      </c>
      <c r="C1411" s="5">
        <v>229430</v>
      </c>
      <c r="D1411" s="6" t="s">
        <v>34</v>
      </c>
      <c r="E1411" s="6" t="s">
        <v>17</v>
      </c>
      <c r="F1411" s="7">
        <v>43318</v>
      </c>
      <c r="G1411" s="8">
        <f t="shared" si="22"/>
        <v>43318</v>
      </c>
      <c r="H1411" s="6" t="s">
        <v>13</v>
      </c>
      <c r="I1411" s="9" t="str">
        <f>IF(ISNA(VLOOKUP(A1411,'[1]Craig Eval'!A:C,3,FALSE)),"",(VLOOKUP(A1411,'[1]Craig Eval'!A:C,3,FALSE))*1000)</f>
        <v/>
      </c>
      <c r="J1411" s="10" t="str">
        <f>IF(ISNA(VLOOKUP(A1411,'[1]Craig Eval'!A:M,13,FALSE)),"",VLOOKUP(A1411,'[1]Craig Eval'!A:M,13,FALSE))</f>
        <v/>
      </c>
      <c r="K1411" s="40">
        <v>1</v>
      </c>
    </row>
    <row r="1412" spans="1:11" ht="30" x14ac:dyDescent="0.25">
      <c r="A1412" s="3" t="s">
        <v>2841</v>
      </c>
      <c r="B1412" s="4" t="s">
        <v>2842</v>
      </c>
      <c r="C1412" s="5">
        <v>232308</v>
      </c>
      <c r="D1412" s="6" t="s">
        <v>34</v>
      </c>
      <c r="E1412" s="6" t="s">
        <v>17</v>
      </c>
      <c r="F1412" s="7">
        <v>43322</v>
      </c>
      <c r="G1412" s="8">
        <f t="shared" si="22"/>
        <v>43322</v>
      </c>
      <c r="H1412" s="6" t="s">
        <v>13</v>
      </c>
      <c r="I1412" s="9" t="str">
        <f>IF(ISNA(VLOOKUP(A1412,'[1]Craig Eval'!A:C,3,FALSE)),"",(VLOOKUP(A1412,'[1]Craig Eval'!A:C,3,FALSE))*1000)</f>
        <v/>
      </c>
      <c r="J1412" s="10" t="str">
        <f>IF(ISNA(VLOOKUP(A1412,'[1]Craig Eval'!A:M,13,FALSE)),"",VLOOKUP(A1412,'[1]Craig Eval'!A:M,13,FALSE))</f>
        <v/>
      </c>
      <c r="K1412" s="17">
        <v>1</v>
      </c>
    </row>
    <row r="1413" spans="1:11" ht="30" x14ac:dyDescent="0.25">
      <c r="A1413" s="3" t="s">
        <v>2843</v>
      </c>
      <c r="B1413" s="4" t="s">
        <v>2844</v>
      </c>
      <c r="C1413" s="5">
        <v>235911</v>
      </c>
      <c r="D1413" s="6" t="s">
        <v>16</v>
      </c>
      <c r="E1413" s="6" t="s">
        <v>17</v>
      </c>
      <c r="F1413" s="7">
        <v>43385</v>
      </c>
      <c r="G1413" s="8">
        <f t="shared" si="22"/>
        <v>43385</v>
      </c>
      <c r="H1413" s="6" t="s">
        <v>13</v>
      </c>
      <c r="I1413" s="9" t="str">
        <f>IF(ISNA(VLOOKUP(A1413,'[1]Craig Eval'!A:C,3,FALSE)),"",(VLOOKUP(A1413,'[1]Craig Eval'!A:C,3,FALSE))*1000)</f>
        <v/>
      </c>
      <c r="J1413" s="10" t="str">
        <f>IF(ISNA(VLOOKUP(A1413,'[1]Craig Eval'!A:M,13,FALSE)),"",VLOOKUP(A1413,'[1]Craig Eval'!A:M,13,FALSE))</f>
        <v/>
      </c>
      <c r="K1413" s="17">
        <v>1</v>
      </c>
    </row>
    <row r="1414" spans="1:11" ht="30" x14ac:dyDescent="0.25">
      <c r="A1414" s="3" t="s">
        <v>2845</v>
      </c>
      <c r="B1414" s="4" t="s">
        <v>2846</v>
      </c>
      <c r="C1414" s="14">
        <v>235222</v>
      </c>
      <c r="D1414" s="6" t="s">
        <v>11</v>
      </c>
      <c r="E1414" s="6" t="s">
        <v>12</v>
      </c>
      <c r="F1414" s="7">
        <v>43385</v>
      </c>
      <c r="G1414" s="8">
        <f t="shared" si="22"/>
        <v>43385</v>
      </c>
      <c r="H1414" s="21" t="s">
        <v>39</v>
      </c>
      <c r="I1414" s="9" t="str">
        <f>IF(ISNA(VLOOKUP(A1414,'[1]Craig Eval'!A:C,3,FALSE)),"",(VLOOKUP(A1414,'[1]Craig Eval'!A:C,3,FALSE))*1000)</f>
        <v/>
      </c>
      <c r="J1414" s="10" t="str">
        <f>IF(ISNA(VLOOKUP(A1414,'[1]Craig Eval'!A:M,13,FALSE)),"",VLOOKUP(A1414,'[1]Craig Eval'!A:M,13,FALSE))</f>
        <v/>
      </c>
      <c r="K1414" s="17">
        <v>1</v>
      </c>
    </row>
    <row r="1415" spans="1:11" ht="30" x14ac:dyDescent="0.25">
      <c r="A1415" s="3" t="s">
        <v>2847</v>
      </c>
      <c r="B1415" s="4" t="s">
        <v>2848</v>
      </c>
      <c r="C1415" s="5">
        <v>235188</v>
      </c>
      <c r="D1415" s="6" t="s">
        <v>34</v>
      </c>
      <c r="E1415" s="6" t="s">
        <v>17</v>
      </c>
      <c r="F1415" s="7">
        <v>43403</v>
      </c>
      <c r="G1415" s="8">
        <f t="shared" si="22"/>
        <v>43403</v>
      </c>
      <c r="H1415" s="6" t="s">
        <v>13</v>
      </c>
      <c r="I1415" s="9" t="str">
        <f>IF(ISNA(VLOOKUP(A1415,'[1]Craig Eval'!A:C,3,FALSE)),"",(VLOOKUP(A1415,'[1]Craig Eval'!A:C,3,FALSE))*1000)</f>
        <v/>
      </c>
      <c r="J1415" s="10" t="str">
        <f>IF(ISNA(VLOOKUP(A1415,'[1]Craig Eval'!A:M,13,FALSE)),"",VLOOKUP(A1415,'[1]Craig Eval'!A:M,13,FALSE))</f>
        <v/>
      </c>
      <c r="K1415" s="17">
        <v>1</v>
      </c>
    </row>
    <row r="1416" spans="1:11" ht="30" x14ac:dyDescent="0.25">
      <c r="A1416" s="3" t="s">
        <v>2849</v>
      </c>
      <c r="B1416" s="4" t="s">
        <v>2850</v>
      </c>
      <c r="C1416" s="5">
        <v>235205</v>
      </c>
      <c r="D1416" s="6" t="s">
        <v>31</v>
      </c>
      <c r="E1416" s="6" t="s">
        <v>17</v>
      </c>
      <c r="F1416" s="7">
        <v>43432</v>
      </c>
      <c r="G1416" s="8">
        <f t="shared" si="22"/>
        <v>43432</v>
      </c>
      <c r="H1416" s="6" t="s">
        <v>13</v>
      </c>
      <c r="I1416" s="9" t="str">
        <f>IF(ISNA(VLOOKUP(A1416,'[1]Craig Eval'!A:C,3,FALSE)),"",(VLOOKUP(A1416,'[1]Craig Eval'!A:C,3,FALSE))*1000)</f>
        <v/>
      </c>
      <c r="J1416" s="10" t="str">
        <f>IF(ISNA(VLOOKUP(A1416,'[1]Craig Eval'!A:M,13,FALSE)),"",VLOOKUP(A1416,'[1]Craig Eval'!A:M,13,FALSE))</f>
        <v/>
      </c>
      <c r="K1416" s="17">
        <v>1</v>
      </c>
    </row>
    <row r="1417" spans="1:11" ht="30" x14ac:dyDescent="0.25">
      <c r="A1417" s="3" t="s">
        <v>2851</v>
      </c>
      <c r="B1417" s="4" t="s">
        <v>2852</v>
      </c>
      <c r="C1417" s="5">
        <v>241684</v>
      </c>
      <c r="D1417" s="6" t="s">
        <v>31</v>
      </c>
      <c r="E1417" s="6" t="s">
        <v>17</v>
      </c>
      <c r="F1417" s="7">
        <v>43441</v>
      </c>
      <c r="G1417" s="8">
        <f t="shared" si="22"/>
        <v>43441</v>
      </c>
      <c r="H1417" s="6" t="s">
        <v>13</v>
      </c>
      <c r="I1417" s="9" t="str">
        <f>IF(ISNA(VLOOKUP(A1417,'[1]Craig Eval'!A:C,3,FALSE)),"",(VLOOKUP(A1417,'[1]Craig Eval'!A:C,3,FALSE))*1000)</f>
        <v/>
      </c>
      <c r="J1417" s="10" t="str">
        <f>IF(ISNA(VLOOKUP(A1417,'[1]Craig Eval'!A:M,13,FALSE)),"",VLOOKUP(A1417,'[1]Craig Eval'!A:M,13,FALSE))</f>
        <v/>
      </c>
      <c r="K1417" s="17">
        <v>1</v>
      </c>
    </row>
    <row r="1418" spans="1:11" ht="30" x14ac:dyDescent="0.25">
      <c r="A1418" s="3" t="s">
        <v>2853</v>
      </c>
      <c r="B1418" s="4" t="s">
        <v>2854</v>
      </c>
      <c r="C1418" s="5">
        <v>255492</v>
      </c>
      <c r="D1418" s="6" t="s">
        <v>34</v>
      </c>
      <c r="E1418" s="6" t="s">
        <v>17</v>
      </c>
      <c r="F1418" s="7">
        <v>43502</v>
      </c>
      <c r="G1418" s="8">
        <f t="shared" si="22"/>
        <v>43502</v>
      </c>
      <c r="H1418" s="6" t="s">
        <v>13</v>
      </c>
      <c r="I1418" s="9" t="str">
        <f>IF(ISNA(VLOOKUP(A1418,'[1]Craig Eval'!A:C,3,FALSE)),"",(VLOOKUP(A1418,'[1]Craig Eval'!A:C,3,FALSE))*1000)</f>
        <v/>
      </c>
      <c r="J1418" s="10" t="str">
        <f>IF(ISNA(VLOOKUP(A1418,'[1]Craig Eval'!A:M,13,FALSE)),"",VLOOKUP(A1418,'[1]Craig Eval'!A:M,13,FALSE))</f>
        <v/>
      </c>
      <c r="K1418" s="17">
        <v>1</v>
      </c>
    </row>
    <row r="1419" spans="1:11" ht="30" x14ac:dyDescent="0.25">
      <c r="A1419" s="3" t="s">
        <v>2855</v>
      </c>
      <c r="B1419" s="4" t="s">
        <v>2856</v>
      </c>
      <c r="C1419" s="5">
        <v>240102</v>
      </c>
      <c r="D1419" s="6" t="s">
        <v>34</v>
      </c>
      <c r="E1419" s="6" t="s">
        <v>17</v>
      </c>
      <c r="F1419" s="7">
        <v>43504</v>
      </c>
      <c r="G1419" s="8">
        <f t="shared" si="22"/>
        <v>43504</v>
      </c>
      <c r="H1419" s="6" t="s">
        <v>13</v>
      </c>
      <c r="I1419" s="9" t="str">
        <f>IF(ISNA(VLOOKUP(A1419,'[1]Craig Eval'!A:C,3,FALSE)),"",(VLOOKUP(A1419,'[1]Craig Eval'!A:C,3,FALSE))*1000)</f>
        <v/>
      </c>
      <c r="J1419" s="10" t="str">
        <f>IF(ISNA(VLOOKUP(A1419,'[1]Craig Eval'!A:M,13,FALSE)),"",VLOOKUP(A1419,'[1]Craig Eval'!A:M,13,FALSE))</f>
        <v/>
      </c>
      <c r="K1419" s="17">
        <v>1</v>
      </c>
    </row>
    <row r="1420" spans="1:11" ht="30" x14ac:dyDescent="0.25">
      <c r="A1420" s="3" t="s">
        <v>2857</v>
      </c>
      <c r="B1420" s="4" t="s">
        <v>2858</v>
      </c>
      <c r="C1420" s="5">
        <v>240404</v>
      </c>
      <c r="D1420" s="6" t="s">
        <v>37</v>
      </c>
      <c r="E1420" s="6" t="s">
        <v>38</v>
      </c>
      <c r="F1420" s="7">
        <v>43505</v>
      </c>
      <c r="G1420" s="8">
        <f t="shared" si="22"/>
        <v>43505</v>
      </c>
      <c r="H1420" s="6" t="s">
        <v>39</v>
      </c>
      <c r="I1420" s="9" t="str">
        <f>IF(ISNA(VLOOKUP(A1420,'[1]Craig Eval'!A:C,3,FALSE)),"",(VLOOKUP(A1420,'[1]Craig Eval'!A:C,3,FALSE))*1000)</f>
        <v/>
      </c>
      <c r="J1420" s="10" t="str">
        <f>IF(ISNA(VLOOKUP(A1420,'[1]Craig Eval'!A:M,13,FALSE)),"",VLOOKUP(A1420,'[1]Craig Eval'!A:M,13,FALSE))</f>
        <v/>
      </c>
      <c r="K1420" s="17">
        <v>1</v>
      </c>
    </row>
    <row r="1421" spans="1:11" ht="30" x14ac:dyDescent="0.25">
      <c r="A1421" s="3" t="s">
        <v>2859</v>
      </c>
      <c r="B1421" s="4" t="s">
        <v>2860</v>
      </c>
      <c r="C1421" s="5">
        <v>242660</v>
      </c>
      <c r="D1421" s="6" t="s">
        <v>11</v>
      </c>
      <c r="E1421" s="6" t="s">
        <v>12</v>
      </c>
      <c r="F1421" s="7">
        <v>43506</v>
      </c>
      <c r="G1421" s="8">
        <f t="shared" si="22"/>
        <v>43506</v>
      </c>
      <c r="H1421" s="21" t="s">
        <v>39</v>
      </c>
      <c r="I1421" s="9" t="str">
        <f>IF(ISNA(VLOOKUP(A1421,'[1]Craig Eval'!A:C,3,FALSE)),"",(VLOOKUP(A1421,'[1]Craig Eval'!A:C,3,FALSE))*1000)</f>
        <v/>
      </c>
      <c r="J1421" s="10" t="str">
        <f>IF(ISNA(VLOOKUP(A1421,'[1]Craig Eval'!A:M,13,FALSE)),"",VLOOKUP(A1421,'[1]Craig Eval'!A:M,13,FALSE))</f>
        <v/>
      </c>
      <c r="K1421" s="17">
        <v>1</v>
      </c>
    </row>
    <row r="1422" spans="1:11" ht="30" x14ac:dyDescent="0.25">
      <c r="A1422" s="3" t="s">
        <v>2861</v>
      </c>
      <c r="B1422" s="4" t="s">
        <v>2862</v>
      </c>
      <c r="C1422" s="5">
        <v>239780</v>
      </c>
      <c r="D1422" s="6" t="s">
        <v>37</v>
      </c>
      <c r="E1422" s="6" t="s">
        <v>38</v>
      </c>
      <c r="F1422" s="7">
        <v>43505</v>
      </c>
      <c r="G1422" s="8">
        <f t="shared" si="22"/>
        <v>43505</v>
      </c>
      <c r="H1422" s="6" t="s">
        <v>39</v>
      </c>
      <c r="I1422" s="9" t="str">
        <f>IF(ISNA(VLOOKUP(A1422,'[1]Craig Eval'!A:C,3,FALSE)),"",(VLOOKUP(A1422,'[1]Craig Eval'!A:C,3,FALSE))*1000)</f>
        <v/>
      </c>
      <c r="J1422" s="10" t="str">
        <f>IF(ISNA(VLOOKUP(A1422,'[1]Craig Eval'!A:M,13,FALSE)),"",VLOOKUP(A1422,'[1]Craig Eval'!A:M,13,FALSE))</f>
        <v/>
      </c>
      <c r="K1422" s="17">
        <v>1</v>
      </c>
    </row>
    <row r="1423" spans="1:11" ht="30" x14ac:dyDescent="0.25">
      <c r="A1423" s="3" t="s">
        <v>2863</v>
      </c>
      <c r="B1423" s="4" t="s">
        <v>2864</v>
      </c>
      <c r="C1423" s="5">
        <v>238484</v>
      </c>
      <c r="D1423" s="6" t="s">
        <v>37</v>
      </c>
      <c r="E1423" s="6" t="s">
        <v>38</v>
      </c>
      <c r="F1423" s="7">
        <v>43505</v>
      </c>
      <c r="G1423" s="8">
        <f t="shared" si="22"/>
        <v>43505</v>
      </c>
      <c r="H1423" s="6" t="s">
        <v>39</v>
      </c>
      <c r="I1423" s="9" t="str">
        <f>IF(ISNA(VLOOKUP(A1423,'[1]Craig Eval'!A:C,3,FALSE)),"",(VLOOKUP(A1423,'[1]Craig Eval'!A:C,3,FALSE))*1000)</f>
        <v/>
      </c>
      <c r="J1423" s="10" t="str">
        <f>IF(ISNA(VLOOKUP(A1423,'[1]Craig Eval'!A:M,13,FALSE)),"",VLOOKUP(A1423,'[1]Craig Eval'!A:M,13,FALSE))</f>
        <v/>
      </c>
      <c r="K1423" s="17">
        <v>1</v>
      </c>
    </row>
    <row r="1424" spans="1:11" ht="30" x14ac:dyDescent="0.25">
      <c r="A1424" s="3" t="s">
        <v>2865</v>
      </c>
      <c r="B1424" s="4" t="s">
        <v>2866</v>
      </c>
      <c r="C1424" s="5">
        <v>255172</v>
      </c>
      <c r="D1424" s="6" t="s">
        <v>11</v>
      </c>
      <c r="E1424" s="6" t="s">
        <v>12</v>
      </c>
      <c r="F1424" s="7">
        <v>43508</v>
      </c>
      <c r="G1424" s="8">
        <f t="shared" si="22"/>
        <v>43508</v>
      </c>
      <c r="H1424" s="21" t="s">
        <v>13</v>
      </c>
      <c r="I1424" s="9" t="str">
        <f>IF(ISNA(VLOOKUP(A1424,'[1]Craig Eval'!A:C,3,FALSE)),"",(VLOOKUP(A1424,'[1]Craig Eval'!A:C,3,FALSE))*1000)</f>
        <v/>
      </c>
      <c r="J1424" s="10" t="str">
        <f>IF(ISNA(VLOOKUP(A1424,'[1]Craig Eval'!A:M,13,FALSE)),"",VLOOKUP(A1424,'[1]Craig Eval'!A:M,13,FALSE))</f>
        <v/>
      </c>
      <c r="K1424" s="17">
        <v>1</v>
      </c>
    </row>
    <row r="1425" spans="1:11" ht="30" x14ac:dyDescent="0.25">
      <c r="A1425" s="3" t="s">
        <v>2867</v>
      </c>
      <c r="B1425" s="4" t="s">
        <v>2868</v>
      </c>
      <c r="C1425" s="5">
        <v>242004</v>
      </c>
      <c r="D1425" s="6" t="s">
        <v>28</v>
      </c>
      <c r="E1425" s="6" t="s">
        <v>17</v>
      </c>
      <c r="F1425" s="7">
        <v>43522</v>
      </c>
      <c r="G1425" s="8">
        <f t="shared" si="22"/>
        <v>43522</v>
      </c>
      <c r="H1425" s="6" t="s">
        <v>13</v>
      </c>
      <c r="I1425" s="9" t="str">
        <f>IF(ISNA(VLOOKUP(A1425,'[1]Craig Eval'!A:C,3,FALSE)),"",(VLOOKUP(A1425,'[1]Craig Eval'!A:C,3,FALSE))*1000)</f>
        <v/>
      </c>
      <c r="J1425" s="10" t="str">
        <f>IF(ISNA(VLOOKUP(A1425,'[1]Craig Eval'!A:M,13,FALSE)),"",VLOOKUP(A1425,'[1]Craig Eval'!A:M,13,FALSE))</f>
        <v/>
      </c>
      <c r="K1425" s="17">
        <v>1</v>
      </c>
    </row>
    <row r="1426" spans="1:11" ht="30" x14ac:dyDescent="0.25">
      <c r="A1426" s="3" t="s">
        <v>2869</v>
      </c>
      <c r="B1426" s="4" t="s">
        <v>2870</v>
      </c>
      <c r="C1426" s="14">
        <v>241044</v>
      </c>
      <c r="D1426" s="6" t="s">
        <v>31</v>
      </c>
      <c r="E1426" s="6" t="s">
        <v>17</v>
      </c>
      <c r="F1426" s="7">
        <v>43523</v>
      </c>
      <c r="G1426" s="8">
        <f t="shared" si="22"/>
        <v>43523</v>
      </c>
      <c r="H1426" s="6" t="s">
        <v>13</v>
      </c>
      <c r="I1426" s="9" t="str">
        <f>IF(ISNA(VLOOKUP(A1426,'[1]Craig Eval'!A:C,3,FALSE)),"",(VLOOKUP(A1426,'[1]Craig Eval'!A:C,3,FALSE))*1000)</f>
        <v/>
      </c>
      <c r="J1426" s="10" t="str">
        <f>IF(ISNA(VLOOKUP(A1426,'[1]Craig Eval'!A:M,13,FALSE)),"",VLOOKUP(A1426,'[1]Craig Eval'!A:M,13,FALSE))</f>
        <v/>
      </c>
      <c r="K1426" s="17">
        <v>1</v>
      </c>
    </row>
    <row r="1427" spans="1:11" ht="30" x14ac:dyDescent="0.25">
      <c r="A1427" s="3" t="s">
        <v>2871</v>
      </c>
      <c r="B1427" s="4" t="s">
        <v>2872</v>
      </c>
      <c r="C1427" s="5">
        <v>239140</v>
      </c>
      <c r="D1427" s="6" t="s">
        <v>34</v>
      </c>
      <c r="E1427" s="6" t="s">
        <v>17</v>
      </c>
      <c r="F1427" s="7">
        <v>43524</v>
      </c>
      <c r="G1427" s="8">
        <f t="shared" si="22"/>
        <v>43524</v>
      </c>
      <c r="H1427" s="6" t="s">
        <v>13</v>
      </c>
      <c r="I1427" s="9" t="str">
        <f>IF(ISNA(VLOOKUP(A1427,'[1]Craig Eval'!A:C,3,FALSE)),"",(VLOOKUP(A1427,'[1]Craig Eval'!A:C,3,FALSE))*1000)</f>
        <v/>
      </c>
      <c r="J1427" s="10" t="str">
        <f>IF(ISNA(VLOOKUP(A1427,'[1]Craig Eval'!A:M,13,FALSE)),"",VLOOKUP(A1427,'[1]Craig Eval'!A:M,13,FALSE))</f>
        <v/>
      </c>
      <c r="K1427" s="17">
        <v>1</v>
      </c>
    </row>
    <row r="1428" spans="1:11" ht="30" x14ac:dyDescent="0.25">
      <c r="A1428" s="3" t="s">
        <v>2873</v>
      </c>
      <c r="B1428" s="4" t="s">
        <v>2874</v>
      </c>
      <c r="C1428" s="5">
        <v>250708</v>
      </c>
      <c r="D1428" s="6" t="s">
        <v>34</v>
      </c>
      <c r="E1428" s="6" t="s">
        <v>17</v>
      </c>
      <c r="F1428" s="7">
        <v>43537</v>
      </c>
      <c r="G1428" s="8">
        <f t="shared" si="22"/>
        <v>43537</v>
      </c>
      <c r="H1428" s="6" t="s">
        <v>13</v>
      </c>
      <c r="I1428" s="9" t="str">
        <f>IF(ISNA(VLOOKUP(A1428,'[1]Craig Eval'!A:C,3,FALSE)),"",(VLOOKUP(A1428,'[1]Craig Eval'!A:C,3,FALSE))*1000)</f>
        <v/>
      </c>
      <c r="J1428" s="10" t="str">
        <f>IF(ISNA(VLOOKUP(A1428,'[1]Craig Eval'!A:M,13,FALSE)),"",VLOOKUP(A1428,'[1]Craig Eval'!A:M,13,FALSE))</f>
        <v/>
      </c>
      <c r="K1428" s="17">
        <v>1</v>
      </c>
    </row>
    <row r="1429" spans="1:11" ht="30" x14ac:dyDescent="0.25">
      <c r="A1429" s="3" t="s">
        <v>2875</v>
      </c>
      <c r="B1429" s="4" t="s">
        <v>2876</v>
      </c>
      <c r="C1429" s="5">
        <v>236565</v>
      </c>
      <c r="D1429" s="6" t="s">
        <v>16</v>
      </c>
      <c r="E1429" s="6" t="s">
        <v>17</v>
      </c>
      <c r="F1429" s="7">
        <v>43572</v>
      </c>
      <c r="G1429" s="8">
        <f t="shared" si="22"/>
        <v>43572</v>
      </c>
      <c r="H1429" s="6" t="s">
        <v>13</v>
      </c>
      <c r="I1429" s="9" t="str">
        <f>IF(ISNA(VLOOKUP(A1429,'[1]Craig Eval'!A:C,3,FALSE)),"",(VLOOKUP(A1429,'[1]Craig Eval'!A:C,3,FALSE))*1000)</f>
        <v/>
      </c>
      <c r="J1429" s="10" t="str">
        <f>IF(ISNA(VLOOKUP(A1429,'[1]Craig Eval'!A:M,13,FALSE)),"",VLOOKUP(A1429,'[1]Craig Eval'!A:M,13,FALSE))</f>
        <v/>
      </c>
      <c r="K1429" s="17">
        <v>1</v>
      </c>
    </row>
    <row r="1430" spans="1:11" ht="30" x14ac:dyDescent="0.25">
      <c r="A1430" s="3" t="s">
        <v>2877</v>
      </c>
      <c r="B1430" s="4" t="s">
        <v>2878</v>
      </c>
      <c r="C1430" s="5">
        <v>230740</v>
      </c>
      <c r="D1430" s="6" t="s">
        <v>11</v>
      </c>
      <c r="E1430" s="6" t="s">
        <v>12</v>
      </c>
      <c r="F1430" s="7">
        <v>43178</v>
      </c>
      <c r="G1430" s="8">
        <f t="shared" si="22"/>
        <v>43178</v>
      </c>
      <c r="H1430" s="21" t="s">
        <v>39</v>
      </c>
      <c r="I1430" s="9" t="str">
        <f>IF(ISNA(VLOOKUP(A1430,'[1]Craig Eval'!A:C,3,FALSE)),"",(VLOOKUP(A1430,'[1]Craig Eval'!A:C,3,FALSE))*1000)</f>
        <v/>
      </c>
      <c r="J1430" s="10" t="str">
        <f>IF(ISNA(VLOOKUP(A1430,'[1]Craig Eval'!A:M,13,FALSE)),"",VLOOKUP(A1430,'[1]Craig Eval'!A:M,13,FALSE))</f>
        <v/>
      </c>
      <c r="K1430" s="17">
        <v>1</v>
      </c>
    </row>
    <row r="1431" spans="1:11" ht="30" x14ac:dyDescent="0.25">
      <c r="A1431" s="3" t="s">
        <v>2879</v>
      </c>
      <c r="B1431" s="4" t="s">
        <v>2880</v>
      </c>
      <c r="C1431" s="14">
        <v>243285</v>
      </c>
      <c r="D1431" s="6" t="s">
        <v>34</v>
      </c>
      <c r="E1431" s="6" t="s">
        <v>17</v>
      </c>
      <c r="F1431" s="7">
        <v>43545</v>
      </c>
      <c r="G1431" s="8">
        <f t="shared" si="22"/>
        <v>43545</v>
      </c>
      <c r="H1431" s="6" t="s">
        <v>13</v>
      </c>
      <c r="I1431" s="9" t="str">
        <f>IF(ISNA(VLOOKUP(A1431,'[1]Craig Eval'!A:C,3,FALSE)),"",(VLOOKUP(A1431,'[1]Craig Eval'!A:C,3,FALSE))*1000)</f>
        <v/>
      </c>
      <c r="J1431" s="10" t="str">
        <f>IF(ISNA(VLOOKUP(A1431,'[1]Craig Eval'!A:M,13,FALSE)),"",VLOOKUP(A1431,'[1]Craig Eval'!A:M,13,FALSE))</f>
        <v/>
      </c>
      <c r="K1431" s="17">
        <v>1</v>
      </c>
    </row>
    <row r="1432" spans="1:11" ht="30" x14ac:dyDescent="0.25">
      <c r="A1432" s="3" t="s">
        <v>2881</v>
      </c>
      <c r="B1432" s="4" t="s">
        <v>2882</v>
      </c>
      <c r="C1432" s="5">
        <v>243284</v>
      </c>
      <c r="D1432" s="6" t="s">
        <v>34</v>
      </c>
      <c r="E1432" s="6" t="s">
        <v>17</v>
      </c>
      <c r="F1432" s="7">
        <v>43545</v>
      </c>
      <c r="G1432" s="8">
        <f t="shared" si="22"/>
        <v>43545</v>
      </c>
      <c r="H1432" s="6" t="s">
        <v>13</v>
      </c>
      <c r="I1432" s="9" t="str">
        <f>IF(ISNA(VLOOKUP(A1432,'[1]Craig Eval'!A:C,3,FALSE)),"",(VLOOKUP(A1432,'[1]Craig Eval'!A:C,3,FALSE))*1000)</f>
        <v/>
      </c>
      <c r="J1432" s="10" t="str">
        <f>IF(ISNA(VLOOKUP(A1432,'[1]Craig Eval'!A:M,13,FALSE)),"",VLOOKUP(A1432,'[1]Craig Eval'!A:M,13,FALSE))</f>
        <v/>
      </c>
      <c r="K1432" s="17">
        <v>1</v>
      </c>
    </row>
    <row r="1433" spans="1:11" ht="30" x14ac:dyDescent="0.25">
      <c r="A1433" s="3" t="s">
        <v>2883</v>
      </c>
      <c r="B1433" s="4" t="s">
        <v>2884</v>
      </c>
      <c r="C1433" s="5">
        <v>261252</v>
      </c>
      <c r="D1433" s="6" t="s">
        <v>28</v>
      </c>
      <c r="E1433" s="6" t="s">
        <v>17</v>
      </c>
      <c r="F1433" s="7">
        <v>43558</v>
      </c>
      <c r="G1433" s="8">
        <f t="shared" si="22"/>
        <v>43558</v>
      </c>
      <c r="H1433" s="6" t="s">
        <v>13</v>
      </c>
      <c r="I1433" s="9" t="str">
        <f>IF(ISNA(VLOOKUP(A1433,'[1]Craig Eval'!A:C,3,FALSE)),"",(VLOOKUP(A1433,'[1]Craig Eval'!A:C,3,FALSE))*1000)</f>
        <v/>
      </c>
      <c r="J1433" s="10" t="str">
        <f>IF(ISNA(VLOOKUP(A1433,'[1]Craig Eval'!A:M,13,FALSE)),"",VLOOKUP(A1433,'[1]Craig Eval'!A:M,13,FALSE))</f>
        <v/>
      </c>
      <c r="K1433" s="17">
        <v>1</v>
      </c>
    </row>
    <row r="1434" spans="1:11" ht="30" x14ac:dyDescent="0.25">
      <c r="A1434" s="3" t="s">
        <v>2885</v>
      </c>
      <c r="B1434" s="4" t="s">
        <v>2886</v>
      </c>
      <c r="C1434" s="14">
        <v>242967</v>
      </c>
      <c r="D1434" s="6" t="s">
        <v>16</v>
      </c>
      <c r="E1434" s="6" t="s">
        <v>17</v>
      </c>
      <c r="F1434" s="7">
        <v>43558</v>
      </c>
      <c r="G1434" s="8">
        <f t="shared" si="22"/>
        <v>43558</v>
      </c>
      <c r="H1434" s="6" t="s">
        <v>13</v>
      </c>
      <c r="I1434" s="9" t="str">
        <f>IF(ISNA(VLOOKUP(A1434,'[1]Craig Eval'!A:C,3,FALSE)),"",(VLOOKUP(A1434,'[1]Craig Eval'!A:C,3,FALSE))*1000)</f>
        <v/>
      </c>
      <c r="J1434" s="10" t="str">
        <f>IF(ISNA(VLOOKUP(A1434,'[1]Craig Eval'!A:M,13,FALSE)),"",VLOOKUP(A1434,'[1]Craig Eval'!A:M,13,FALSE))</f>
        <v/>
      </c>
      <c r="K1434" s="17">
        <v>2</v>
      </c>
    </row>
    <row r="1435" spans="1:11" ht="30" x14ac:dyDescent="0.25">
      <c r="A1435" s="3" t="s">
        <v>2887</v>
      </c>
      <c r="B1435" s="4" t="s">
        <v>2888</v>
      </c>
      <c r="C1435" s="14">
        <v>235924</v>
      </c>
      <c r="D1435" s="6" t="s">
        <v>11</v>
      </c>
      <c r="E1435" s="6" t="s">
        <v>12</v>
      </c>
      <c r="F1435" s="7">
        <v>43425</v>
      </c>
      <c r="G1435" s="8">
        <f t="shared" si="22"/>
        <v>43425</v>
      </c>
      <c r="H1435" s="6" t="s">
        <v>13</v>
      </c>
      <c r="I1435" s="9" t="str">
        <f>IF(ISNA(VLOOKUP(A1435,'[1]Craig Eval'!A:C,3,FALSE)),"",(VLOOKUP(A1435,'[1]Craig Eval'!A:C,3,FALSE))*1000)</f>
        <v/>
      </c>
      <c r="J1435" s="10" t="str">
        <f>IF(ISNA(VLOOKUP(A1435,'[1]Craig Eval'!A:M,13,FALSE)),"",VLOOKUP(A1435,'[1]Craig Eval'!A:M,13,FALSE))</f>
        <v/>
      </c>
      <c r="K1435" s="40">
        <v>1</v>
      </c>
    </row>
    <row r="1436" spans="1:11" ht="30" x14ac:dyDescent="0.25">
      <c r="A1436" s="3" t="s">
        <v>2889</v>
      </c>
      <c r="B1436" s="4" t="s">
        <v>2890</v>
      </c>
      <c r="C1436" s="5">
        <v>246804</v>
      </c>
      <c r="D1436" s="6" t="s">
        <v>11</v>
      </c>
      <c r="E1436" s="6" t="s">
        <v>12</v>
      </c>
      <c r="F1436" s="7">
        <v>43567</v>
      </c>
      <c r="G1436" s="8">
        <f t="shared" si="22"/>
        <v>43567</v>
      </c>
      <c r="H1436" s="6" t="s">
        <v>13</v>
      </c>
      <c r="I1436" s="9" t="str">
        <f>IF(ISNA(VLOOKUP(A1436,'[1]Craig Eval'!A:C,3,FALSE)),"",(VLOOKUP(A1436,'[1]Craig Eval'!A:C,3,FALSE))*1000)</f>
        <v/>
      </c>
      <c r="J1436" s="10" t="str">
        <f>IF(ISNA(VLOOKUP(A1436,'[1]Craig Eval'!A:M,13,FALSE)),"",VLOOKUP(A1436,'[1]Craig Eval'!A:M,13,FALSE))</f>
        <v/>
      </c>
      <c r="K1436" s="40">
        <v>1</v>
      </c>
    </row>
    <row r="1437" spans="1:11" ht="30" x14ac:dyDescent="0.25">
      <c r="A1437" s="3" t="s">
        <v>2891</v>
      </c>
      <c r="B1437" s="4" t="s">
        <v>2892</v>
      </c>
      <c r="C1437" s="14">
        <v>244564</v>
      </c>
      <c r="D1437" s="6" t="s">
        <v>28</v>
      </c>
      <c r="E1437" s="6" t="s">
        <v>17</v>
      </c>
      <c r="F1437" s="7">
        <v>43572</v>
      </c>
      <c r="G1437" s="8">
        <f t="shared" si="22"/>
        <v>43572</v>
      </c>
      <c r="H1437" s="6" t="s">
        <v>13</v>
      </c>
      <c r="I1437" s="9" t="str">
        <f>IF(ISNA(VLOOKUP(A1437,'[1]Craig Eval'!A:C,3,FALSE)),"",(VLOOKUP(A1437,'[1]Craig Eval'!A:C,3,FALSE))*1000)</f>
        <v/>
      </c>
      <c r="J1437" s="10" t="str">
        <f>IF(ISNA(VLOOKUP(A1437,'[1]Craig Eval'!A:M,13,FALSE)),"",VLOOKUP(A1437,'[1]Craig Eval'!A:M,13,FALSE))</f>
        <v/>
      </c>
      <c r="K1437" s="40">
        <v>2</v>
      </c>
    </row>
    <row r="1438" spans="1:11" ht="30" x14ac:dyDescent="0.25">
      <c r="A1438" s="3" t="s">
        <v>2893</v>
      </c>
      <c r="B1438" s="4" t="s">
        <v>2894</v>
      </c>
      <c r="C1438" s="5">
        <v>246196</v>
      </c>
      <c r="D1438" s="6" t="s">
        <v>11</v>
      </c>
      <c r="E1438" s="6" t="s">
        <v>12</v>
      </c>
      <c r="F1438" s="7">
        <v>43577</v>
      </c>
      <c r="G1438" s="8">
        <f t="shared" si="22"/>
        <v>43577</v>
      </c>
      <c r="H1438" s="6" t="s">
        <v>39</v>
      </c>
      <c r="I1438" s="9" t="str">
        <f>IF(ISNA(VLOOKUP(A1438,'[1]Craig Eval'!A:C,3,FALSE)),"",(VLOOKUP(A1438,'[1]Craig Eval'!A:C,3,FALSE))*1000)</f>
        <v/>
      </c>
      <c r="J1438" s="10" t="str">
        <f>IF(ISNA(VLOOKUP(A1438,'[1]Craig Eval'!A:M,13,FALSE)),"",VLOOKUP(A1438,'[1]Craig Eval'!A:M,13,FALSE))</f>
        <v/>
      </c>
      <c r="K1438" s="40">
        <v>1</v>
      </c>
    </row>
    <row r="1439" spans="1:11" ht="30" x14ac:dyDescent="0.25">
      <c r="A1439" s="3" t="s">
        <v>2895</v>
      </c>
      <c r="B1439" s="4" t="s">
        <v>2896</v>
      </c>
      <c r="C1439" s="50">
        <v>253252</v>
      </c>
      <c r="D1439" s="6" t="s">
        <v>16</v>
      </c>
      <c r="E1439" s="6" t="s">
        <v>17</v>
      </c>
      <c r="F1439" s="7">
        <v>43577</v>
      </c>
      <c r="G1439" s="8">
        <f t="shared" si="22"/>
        <v>43577</v>
      </c>
      <c r="H1439" s="6" t="s">
        <v>13</v>
      </c>
      <c r="I1439" s="9" t="str">
        <f>IF(ISNA(VLOOKUP(A1439,'[1]Craig Eval'!A:C,3,FALSE)),"",(VLOOKUP(A1439,'[1]Craig Eval'!A:C,3,FALSE))*1000)</f>
        <v/>
      </c>
      <c r="J1439" s="10" t="str">
        <f>IF(ISNA(VLOOKUP(A1439,'[1]Craig Eval'!A:M,13,FALSE)),"",VLOOKUP(A1439,'[1]Craig Eval'!A:M,13,FALSE))</f>
        <v/>
      </c>
      <c r="K1439" s="40">
        <v>1</v>
      </c>
    </row>
    <row r="1440" spans="1:11" ht="30" x14ac:dyDescent="0.25">
      <c r="A1440" s="3" t="s">
        <v>2897</v>
      </c>
      <c r="B1440" s="4" t="s">
        <v>2898</v>
      </c>
      <c r="C1440" s="5">
        <v>247124</v>
      </c>
      <c r="D1440" s="6" t="s">
        <v>31</v>
      </c>
      <c r="E1440" s="6" t="s">
        <v>17</v>
      </c>
      <c r="F1440" s="7">
        <v>43585</v>
      </c>
      <c r="G1440" s="8">
        <f t="shared" si="22"/>
        <v>43585</v>
      </c>
      <c r="H1440" s="6" t="s">
        <v>13</v>
      </c>
      <c r="I1440" s="9" t="str">
        <f>IF(ISNA(VLOOKUP(A1440,'[1]Craig Eval'!A:C,3,FALSE)),"",(VLOOKUP(A1440,'[1]Craig Eval'!A:C,3,FALSE))*1000)</f>
        <v/>
      </c>
      <c r="J1440" s="10" t="str">
        <f>IF(ISNA(VLOOKUP(A1440,'[1]Craig Eval'!A:M,13,FALSE)),"",VLOOKUP(A1440,'[1]Craig Eval'!A:M,13,FALSE))</f>
        <v/>
      </c>
      <c r="K1440" s="40">
        <v>1</v>
      </c>
    </row>
    <row r="1441" spans="1:11" ht="30" x14ac:dyDescent="0.25">
      <c r="A1441" s="3" t="s">
        <v>2899</v>
      </c>
      <c r="B1441" s="4" t="s">
        <v>2900</v>
      </c>
      <c r="C1441" s="50">
        <v>252293</v>
      </c>
      <c r="D1441" s="6" t="s">
        <v>11</v>
      </c>
      <c r="E1441" s="6" t="s">
        <v>12</v>
      </c>
      <c r="F1441" s="7">
        <v>43597</v>
      </c>
      <c r="G1441" s="8">
        <f t="shared" si="22"/>
        <v>43597</v>
      </c>
      <c r="H1441" s="6" t="s">
        <v>13</v>
      </c>
      <c r="I1441" s="9" t="str">
        <f>IF(ISNA(VLOOKUP(A1441,'[1]Craig Eval'!A:C,3,FALSE)),"",(VLOOKUP(A1441,'[1]Craig Eval'!A:C,3,FALSE))*1000)</f>
        <v/>
      </c>
      <c r="J1441" s="10" t="str">
        <f>IF(ISNA(VLOOKUP(A1441,'[1]Craig Eval'!A:M,13,FALSE)),"",VLOOKUP(A1441,'[1]Craig Eval'!A:M,13,FALSE))</f>
        <v/>
      </c>
      <c r="K1441" s="40">
        <v>1</v>
      </c>
    </row>
    <row r="1442" spans="1:11" ht="30" x14ac:dyDescent="0.25">
      <c r="A1442" s="3" t="s">
        <v>2901</v>
      </c>
      <c r="B1442" s="4" t="s">
        <v>2902</v>
      </c>
      <c r="C1442" s="14">
        <v>249109</v>
      </c>
      <c r="D1442" s="6" t="s">
        <v>28</v>
      </c>
      <c r="E1442" s="6" t="s">
        <v>17</v>
      </c>
      <c r="F1442" s="7">
        <v>43602</v>
      </c>
      <c r="G1442" s="8">
        <f t="shared" si="22"/>
        <v>43602</v>
      </c>
      <c r="H1442" s="6" t="s">
        <v>13</v>
      </c>
      <c r="I1442" s="9" t="str">
        <f>IF(ISNA(VLOOKUP(A1442,'[1]Craig Eval'!A:C,3,FALSE)),"",(VLOOKUP(A1442,'[1]Craig Eval'!A:C,3,FALSE))*1000)</f>
        <v/>
      </c>
      <c r="J1442" s="10" t="str">
        <f>IF(ISNA(VLOOKUP(A1442,'[1]Craig Eval'!A:M,13,FALSE)),"",VLOOKUP(A1442,'[1]Craig Eval'!A:M,13,FALSE))</f>
        <v/>
      </c>
      <c r="K1442" s="11">
        <v>2</v>
      </c>
    </row>
    <row r="1443" spans="1:11" ht="30" x14ac:dyDescent="0.25">
      <c r="A1443" s="3" t="s">
        <v>2903</v>
      </c>
      <c r="B1443" s="4" t="s">
        <v>2904</v>
      </c>
      <c r="C1443" s="5">
        <v>248452</v>
      </c>
      <c r="D1443" s="6" t="s">
        <v>16</v>
      </c>
      <c r="E1443" s="6" t="s">
        <v>17</v>
      </c>
      <c r="F1443" s="7">
        <v>43602</v>
      </c>
      <c r="G1443" s="8">
        <f t="shared" si="22"/>
        <v>43602</v>
      </c>
      <c r="H1443" s="6" t="s">
        <v>13</v>
      </c>
      <c r="I1443" s="9" t="str">
        <f>IF(ISNA(VLOOKUP(A1443,'[1]Craig Eval'!A:C,3,FALSE)),"",(VLOOKUP(A1443,'[1]Craig Eval'!A:C,3,FALSE))*1000)</f>
        <v/>
      </c>
      <c r="J1443" s="10" t="str">
        <f>IF(ISNA(VLOOKUP(A1443,'[1]Craig Eval'!A:M,13,FALSE)),"",VLOOKUP(A1443,'[1]Craig Eval'!A:M,13,FALSE))</f>
        <v/>
      </c>
      <c r="K1443" s="11">
        <v>1</v>
      </c>
    </row>
    <row r="1444" spans="1:11" ht="30" x14ac:dyDescent="0.25">
      <c r="A1444" s="3" t="s">
        <v>2905</v>
      </c>
      <c r="B1444" s="4" t="s">
        <v>2906</v>
      </c>
      <c r="C1444" s="5">
        <v>250692</v>
      </c>
      <c r="D1444" s="6" t="s">
        <v>16</v>
      </c>
      <c r="E1444" s="6" t="s">
        <v>17</v>
      </c>
      <c r="F1444" s="7">
        <v>43602</v>
      </c>
      <c r="G1444" s="8">
        <f t="shared" si="22"/>
        <v>43602</v>
      </c>
      <c r="H1444" s="6" t="s">
        <v>13</v>
      </c>
      <c r="I1444" s="9" t="str">
        <f>IF(ISNA(VLOOKUP(A1444,'[1]Craig Eval'!A:C,3,FALSE)),"",(VLOOKUP(A1444,'[1]Craig Eval'!A:C,3,FALSE))*1000)</f>
        <v/>
      </c>
      <c r="J1444" s="10" t="str">
        <f>IF(ISNA(VLOOKUP(A1444,'[1]Craig Eval'!A:M,13,FALSE)),"",VLOOKUP(A1444,'[1]Craig Eval'!A:M,13,FALSE))</f>
        <v/>
      </c>
      <c r="K1444" s="11">
        <v>1</v>
      </c>
    </row>
    <row r="1445" spans="1:11" ht="30" x14ac:dyDescent="0.25">
      <c r="A1445" s="3" t="s">
        <v>2907</v>
      </c>
      <c r="B1445" s="4" t="s">
        <v>2908</v>
      </c>
      <c r="C1445" s="5">
        <v>254903</v>
      </c>
      <c r="D1445" s="16" t="s">
        <v>31</v>
      </c>
      <c r="E1445" s="16" t="s">
        <v>17</v>
      </c>
      <c r="F1445" s="15">
        <v>43609</v>
      </c>
      <c r="G1445" s="8">
        <f t="shared" si="22"/>
        <v>43609</v>
      </c>
      <c r="H1445" s="16" t="s">
        <v>13</v>
      </c>
      <c r="I1445" s="9" t="str">
        <f>IF(ISNA(VLOOKUP(A1445,'[1]Craig Eval'!A:C,3,FALSE)),"",(VLOOKUP(A1445,'[1]Craig Eval'!A:C,3,FALSE))*1000)</f>
        <v/>
      </c>
      <c r="J1445" s="10" t="str">
        <f>IF(ISNA(VLOOKUP(A1445,'[1]Craig Eval'!A:M,13,FALSE)),"",VLOOKUP(A1445,'[1]Craig Eval'!A:M,13,FALSE))</f>
        <v/>
      </c>
      <c r="K1445" s="17">
        <v>1</v>
      </c>
    </row>
    <row r="1446" spans="1:11" ht="30" x14ac:dyDescent="0.25">
      <c r="A1446" s="3" t="s">
        <v>2909</v>
      </c>
      <c r="B1446" s="4" t="s">
        <v>2910</v>
      </c>
      <c r="C1446" s="5">
        <v>259653</v>
      </c>
      <c r="D1446" s="16" t="s">
        <v>37</v>
      </c>
      <c r="E1446" s="16" t="s">
        <v>38</v>
      </c>
      <c r="F1446" s="15">
        <v>43621</v>
      </c>
      <c r="G1446" s="8">
        <f t="shared" si="22"/>
        <v>43621</v>
      </c>
      <c r="H1446" s="16" t="s">
        <v>39</v>
      </c>
      <c r="I1446" s="9" t="str">
        <f>IF(ISNA(VLOOKUP(A1446,'[1]Craig Eval'!A:C,3,FALSE)),"",(VLOOKUP(A1446,'[1]Craig Eval'!A:C,3,FALSE))*1000)</f>
        <v/>
      </c>
      <c r="J1446" s="10" t="str">
        <f>IF(ISNA(VLOOKUP(A1446,'[1]Craig Eval'!A:M,13,FALSE)),"",VLOOKUP(A1446,'[1]Craig Eval'!A:M,13,FALSE))</f>
        <v/>
      </c>
      <c r="K1446" s="17">
        <v>1</v>
      </c>
    </row>
    <row r="1447" spans="1:11" ht="30" x14ac:dyDescent="0.25">
      <c r="A1447" s="3" t="s">
        <v>2911</v>
      </c>
      <c r="B1447" s="4" t="s">
        <v>2912</v>
      </c>
      <c r="C1447" s="14">
        <v>247494</v>
      </c>
      <c r="D1447" s="16" t="s">
        <v>11</v>
      </c>
      <c r="E1447" s="16" t="s">
        <v>12</v>
      </c>
      <c r="F1447" s="15">
        <v>43635</v>
      </c>
      <c r="G1447" s="8">
        <f t="shared" si="22"/>
        <v>43635</v>
      </c>
      <c r="H1447" s="16" t="s">
        <v>13</v>
      </c>
      <c r="I1447" s="9" t="str">
        <f>IF(ISNA(VLOOKUP(A1447,'[1]Craig Eval'!A:C,3,FALSE)),"",(VLOOKUP(A1447,'[1]Craig Eval'!A:C,3,FALSE))*1000)</f>
        <v/>
      </c>
      <c r="J1447" s="10" t="str">
        <f>IF(ISNA(VLOOKUP(A1447,'[1]Craig Eval'!A:M,13,FALSE)),"",VLOOKUP(A1447,'[1]Craig Eval'!A:M,13,FALSE))</f>
        <v/>
      </c>
      <c r="K1447" s="17">
        <v>2</v>
      </c>
    </row>
    <row r="1448" spans="1:11" ht="30" x14ac:dyDescent="0.25">
      <c r="A1448" s="3" t="s">
        <v>2913</v>
      </c>
      <c r="B1448" s="4" t="s">
        <v>2914</v>
      </c>
      <c r="C1448" s="14">
        <v>248132</v>
      </c>
      <c r="D1448" s="16" t="s">
        <v>11</v>
      </c>
      <c r="E1448" s="16" t="s">
        <v>12</v>
      </c>
      <c r="F1448" s="15">
        <v>43631</v>
      </c>
      <c r="G1448" s="8">
        <f t="shared" si="22"/>
        <v>43631</v>
      </c>
      <c r="H1448" s="16" t="s">
        <v>13</v>
      </c>
      <c r="I1448" s="9" t="str">
        <f>IF(ISNA(VLOOKUP(A1448,'[1]Craig Eval'!A:C,3,FALSE)),"",(VLOOKUP(A1448,'[1]Craig Eval'!A:C,3,FALSE))*1000)</f>
        <v/>
      </c>
      <c r="J1448" s="10" t="str">
        <f>IF(ISNA(VLOOKUP(A1448,'[1]Craig Eval'!A:M,13,FALSE)),"",VLOOKUP(A1448,'[1]Craig Eval'!A:M,13,FALSE))</f>
        <v/>
      </c>
      <c r="K1448" s="17">
        <v>1</v>
      </c>
    </row>
    <row r="1449" spans="1:11" ht="30" x14ac:dyDescent="0.25">
      <c r="A1449" s="3" t="s">
        <v>2915</v>
      </c>
      <c r="B1449" s="4" t="s">
        <v>2916</v>
      </c>
      <c r="C1449" s="5">
        <v>252308</v>
      </c>
      <c r="D1449" s="16" t="s">
        <v>37</v>
      </c>
      <c r="E1449" s="16" t="s">
        <v>38</v>
      </c>
      <c r="F1449" s="15">
        <v>43662</v>
      </c>
      <c r="G1449" s="8">
        <f t="shared" si="22"/>
        <v>43662</v>
      </c>
      <c r="H1449" s="16" t="s">
        <v>39</v>
      </c>
      <c r="I1449" s="9" t="str">
        <f>IF(ISNA(VLOOKUP(A1449,'[1]Craig Eval'!A:C,3,FALSE)),"",(VLOOKUP(A1449,'[1]Craig Eval'!A:C,3,FALSE))*1000)</f>
        <v/>
      </c>
      <c r="J1449" s="10" t="str">
        <f>IF(ISNA(VLOOKUP(A1449,'[1]Craig Eval'!A:M,13,FALSE)),"",VLOOKUP(A1449,'[1]Craig Eval'!A:M,13,FALSE))</f>
        <v/>
      </c>
      <c r="K1449" s="17">
        <v>1</v>
      </c>
    </row>
    <row r="1450" spans="1:11" ht="30" x14ac:dyDescent="0.25">
      <c r="A1450" s="3" t="s">
        <v>2917</v>
      </c>
      <c r="B1450" s="4" t="s">
        <v>2918</v>
      </c>
      <c r="C1450" s="14">
        <v>253588</v>
      </c>
      <c r="D1450" s="16" t="s">
        <v>11</v>
      </c>
      <c r="E1450" s="16" t="s">
        <v>12</v>
      </c>
      <c r="F1450" s="15">
        <v>43662</v>
      </c>
      <c r="G1450" s="8">
        <f t="shared" si="22"/>
        <v>43662</v>
      </c>
      <c r="H1450" s="16" t="s">
        <v>39</v>
      </c>
      <c r="I1450" s="9" t="str">
        <f>IF(ISNA(VLOOKUP(A1450,'[1]Craig Eval'!A:C,3,FALSE)),"",(VLOOKUP(A1450,'[1]Craig Eval'!A:C,3,FALSE))*1000)</f>
        <v/>
      </c>
      <c r="J1450" s="10" t="str">
        <f>IF(ISNA(VLOOKUP(A1450,'[1]Craig Eval'!A:M,13,FALSE)),"",VLOOKUP(A1450,'[1]Craig Eval'!A:M,13,FALSE))</f>
        <v/>
      </c>
      <c r="K1450" s="17">
        <v>1</v>
      </c>
    </row>
    <row r="1451" spans="1:11" ht="30" x14ac:dyDescent="0.25">
      <c r="A1451" s="3" t="s">
        <v>2919</v>
      </c>
      <c r="B1451" s="4" t="s">
        <v>2920</v>
      </c>
      <c r="C1451" s="5">
        <v>254532</v>
      </c>
      <c r="D1451" s="16" t="s">
        <v>28</v>
      </c>
      <c r="E1451" s="16" t="s">
        <v>17</v>
      </c>
      <c r="F1451" s="15">
        <v>43672</v>
      </c>
      <c r="G1451" s="8">
        <f t="shared" si="22"/>
        <v>43672</v>
      </c>
      <c r="H1451" s="16" t="s">
        <v>13</v>
      </c>
      <c r="I1451" s="9" t="str">
        <f>IF(ISNA(VLOOKUP(A1451,'[1]Craig Eval'!A:C,3,FALSE)),"",(VLOOKUP(A1451,'[1]Craig Eval'!A:C,3,FALSE))*1000)</f>
        <v/>
      </c>
      <c r="J1451" s="10" t="str">
        <f>IF(ISNA(VLOOKUP(A1451,'[1]Craig Eval'!A:M,13,FALSE)),"",VLOOKUP(A1451,'[1]Craig Eval'!A:M,13,FALSE))</f>
        <v/>
      </c>
      <c r="K1451" s="17">
        <v>2</v>
      </c>
    </row>
    <row r="1452" spans="1:11" ht="30" x14ac:dyDescent="0.25">
      <c r="A1452" s="3" t="s">
        <v>2921</v>
      </c>
      <c r="B1452" s="4" t="s">
        <v>2922</v>
      </c>
      <c r="C1452" s="14">
        <v>251332</v>
      </c>
      <c r="D1452" s="16" t="s">
        <v>28</v>
      </c>
      <c r="E1452" s="16" t="s">
        <v>17</v>
      </c>
      <c r="F1452" s="15">
        <v>43672</v>
      </c>
      <c r="G1452" s="8">
        <f t="shared" si="22"/>
        <v>43672</v>
      </c>
      <c r="H1452" s="16" t="s">
        <v>13</v>
      </c>
      <c r="I1452" s="9" t="str">
        <f>IF(ISNA(VLOOKUP(A1452,'[1]Craig Eval'!A:C,3,FALSE)),"",(VLOOKUP(A1452,'[1]Craig Eval'!A:C,3,FALSE))*1000)</f>
        <v/>
      </c>
      <c r="J1452" s="10" t="str">
        <f>IF(ISNA(VLOOKUP(A1452,'[1]Craig Eval'!A:M,13,FALSE)),"",VLOOKUP(A1452,'[1]Craig Eval'!A:M,13,FALSE))</f>
        <v/>
      </c>
      <c r="K1452" s="17">
        <v>1</v>
      </c>
    </row>
    <row r="1453" spans="1:11" ht="30" x14ac:dyDescent="0.25">
      <c r="A1453" s="3" t="s">
        <v>2923</v>
      </c>
      <c r="B1453" s="4" t="s">
        <v>2924</v>
      </c>
      <c r="C1453" s="14">
        <v>261253</v>
      </c>
      <c r="D1453" s="16" t="s">
        <v>28</v>
      </c>
      <c r="E1453" s="16" t="s">
        <v>17</v>
      </c>
      <c r="F1453" s="15">
        <v>43698</v>
      </c>
      <c r="G1453" s="8">
        <f t="shared" si="22"/>
        <v>43698</v>
      </c>
      <c r="H1453" s="16" t="s">
        <v>13</v>
      </c>
      <c r="I1453" s="9" t="str">
        <f>IF(ISNA(VLOOKUP(A1453,'[1]Craig Eval'!A:C,3,FALSE)),"",(VLOOKUP(A1453,'[1]Craig Eval'!A:C,3,FALSE))*1000)</f>
        <v/>
      </c>
      <c r="J1453" s="10" t="str">
        <f>IF(ISNA(VLOOKUP(A1453,'[1]Craig Eval'!A:M,13,FALSE)),"",VLOOKUP(A1453,'[1]Craig Eval'!A:M,13,FALSE))</f>
        <v/>
      </c>
      <c r="K1453" s="17">
        <v>1</v>
      </c>
    </row>
    <row r="1454" spans="1:11" ht="30" x14ac:dyDescent="0.25">
      <c r="A1454" s="3" t="s">
        <v>2925</v>
      </c>
      <c r="B1454" s="4" t="s">
        <v>2926</v>
      </c>
      <c r="C1454" s="14">
        <v>257108</v>
      </c>
      <c r="D1454" s="16" t="s">
        <v>37</v>
      </c>
      <c r="E1454" s="16" t="s">
        <v>38</v>
      </c>
      <c r="F1454" s="15">
        <v>43718</v>
      </c>
      <c r="G1454" s="8">
        <f t="shared" si="22"/>
        <v>43718</v>
      </c>
      <c r="H1454" s="16" t="s">
        <v>39</v>
      </c>
      <c r="I1454" s="9" t="str">
        <f>IF(ISNA(VLOOKUP(A1454,'[1]Craig Eval'!A:C,3,FALSE)),"",(VLOOKUP(A1454,'[1]Craig Eval'!A:C,3,FALSE))*1000)</f>
        <v/>
      </c>
      <c r="J1454" s="10" t="str">
        <f>IF(ISNA(VLOOKUP(A1454,'[1]Craig Eval'!A:M,13,FALSE)),"",VLOOKUP(A1454,'[1]Craig Eval'!A:M,13,FALSE))</f>
        <v/>
      </c>
      <c r="K1454" s="17">
        <v>1</v>
      </c>
    </row>
    <row r="1455" spans="1:11" ht="30" x14ac:dyDescent="0.25">
      <c r="A1455" s="3" t="s">
        <v>2927</v>
      </c>
      <c r="B1455" s="4" t="s">
        <v>2928</v>
      </c>
      <c r="C1455" s="5">
        <v>252932</v>
      </c>
      <c r="D1455" s="16" t="s">
        <v>34</v>
      </c>
      <c r="E1455" s="16" t="s">
        <v>17</v>
      </c>
      <c r="F1455" s="15">
        <v>43718</v>
      </c>
      <c r="G1455" s="8">
        <f t="shared" si="22"/>
        <v>43718</v>
      </c>
      <c r="H1455" s="16" t="s">
        <v>13</v>
      </c>
      <c r="I1455" s="9" t="str">
        <f>IF(ISNA(VLOOKUP(A1455,'[1]Craig Eval'!A:C,3,FALSE)),"",(VLOOKUP(A1455,'[1]Craig Eval'!A:C,3,FALSE))*1000)</f>
        <v/>
      </c>
      <c r="J1455" s="10" t="str">
        <f>IF(ISNA(VLOOKUP(A1455,'[1]Craig Eval'!A:M,13,FALSE)),"",VLOOKUP(A1455,'[1]Craig Eval'!A:M,13,FALSE))</f>
        <v/>
      </c>
      <c r="K1455" s="17">
        <v>1</v>
      </c>
    </row>
    <row r="1456" spans="1:11" x14ac:dyDescent="0.25">
      <c r="A1456" s="3" t="s">
        <v>2929</v>
      </c>
      <c r="B1456" s="4" t="s">
        <v>2930</v>
      </c>
      <c r="C1456" s="5">
        <v>253892</v>
      </c>
      <c r="D1456" s="16" t="s">
        <v>34</v>
      </c>
      <c r="E1456" s="16" t="s">
        <v>17</v>
      </c>
      <c r="F1456" s="15">
        <v>43718</v>
      </c>
      <c r="G1456" s="8">
        <f t="shared" si="22"/>
        <v>43718</v>
      </c>
      <c r="H1456" s="16" t="s">
        <v>13</v>
      </c>
      <c r="I1456" s="9" t="str">
        <f>IF(ISNA(VLOOKUP(A1456,'[1]Craig Eval'!A:C,3,FALSE)),"",(VLOOKUP(A1456,'[1]Craig Eval'!A:C,3,FALSE))*1000)</f>
        <v/>
      </c>
      <c r="J1456" s="10" t="str">
        <f>IF(ISNA(VLOOKUP(A1456,'[1]Craig Eval'!A:M,13,FALSE)),"",VLOOKUP(A1456,'[1]Craig Eval'!A:M,13,FALSE))</f>
        <v/>
      </c>
      <c r="K1456" s="17">
        <v>1</v>
      </c>
    </row>
    <row r="1457" spans="1:11" ht="30" x14ac:dyDescent="0.25">
      <c r="A1457" s="3" t="s">
        <v>2931</v>
      </c>
      <c r="B1457" s="4" t="s">
        <v>2932</v>
      </c>
      <c r="C1457" s="14">
        <v>258052</v>
      </c>
      <c r="D1457" s="16" t="s">
        <v>16</v>
      </c>
      <c r="E1457" s="16" t="s">
        <v>17</v>
      </c>
      <c r="F1457" s="15">
        <v>43724</v>
      </c>
      <c r="G1457" s="8">
        <f t="shared" si="22"/>
        <v>43724</v>
      </c>
      <c r="H1457" s="16" t="s">
        <v>13</v>
      </c>
      <c r="I1457" s="9" t="str">
        <f>IF(ISNA(VLOOKUP(A1457,'[1]Craig Eval'!A:C,3,FALSE)),"",(VLOOKUP(A1457,'[1]Craig Eval'!A:C,3,FALSE))*1000)</f>
        <v/>
      </c>
      <c r="J1457" s="10" t="str">
        <f>IF(ISNA(VLOOKUP(A1457,'[1]Craig Eval'!A:M,13,FALSE)),"",VLOOKUP(A1457,'[1]Craig Eval'!A:M,13,FALSE))</f>
        <v/>
      </c>
      <c r="K1457" s="17">
        <v>3</v>
      </c>
    </row>
    <row r="1458" spans="1:11" ht="30" x14ac:dyDescent="0.25">
      <c r="A1458" s="3" t="s">
        <v>2933</v>
      </c>
      <c r="B1458" s="4" t="s">
        <v>2934</v>
      </c>
      <c r="C1458" s="5">
        <v>1875</v>
      </c>
      <c r="D1458" s="16" t="s">
        <v>34</v>
      </c>
      <c r="E1458" s="16" t="s">
        <v>17</v>
      </c>
      <c r="F1458" s="15">
        <v>43800</v>
      </c>
      <c r="G1458" s="8">
        <f t="shared" si="22"/>
        <v>43800</v>
      </c>
      <c r="H1458" s="16" t="s">
        <v>13</v>
      </c>
      <c r="I1458" s="9" t="str">
        <f>IF(ISNA(VLOOKUP(A1458,'[1]Craig Eval'!A:C,3,FALSE)),"",(VLOOKUP(A1458,'[1]Craig Eval'!A:C,3,FALSE))*1000)</f>
        <v/>
      </c>
      <c r="J1458" s="10" t="str">
        <f>IF(ISNA(VLOOKUP(A1458,'[1]Craig Eval'!A:M,13,FALSE)),"",VLOOKUP(A1458,'[1]Craig Eval'!A:M,13,FALSE))</f>
        <v/>
      </c>
      <c r="K1458" s="17">
        <v>1</v>
      </c>
    </row>
    <row r="1459" spans="1:11" ht="30" x14ac:dyDescent="0.25">
      <c r="A1459" s="3" t="s">
        <v>2935</v>
      </c>
      <c r="B1459" s="4" t="s">
        <v>2936</v>
      </c>
      <c r="C1459" s="5">
        <v>264452</v>
      </c>
      <c r="D1459" s="16" t="s">
        <v>37</v>
      </c>
      <c r="E1459" s="16" t="s">
        <v>38</v>
      </c>
      <c r="F1459" s="15">
        <v>43771</v>
      </c>
      <c r="G1459" s="8">
        <f t="shared" si="22"/>
        <v>43771</v>
      </c>
      <c r="H1459" s="16" t="s">
        <v>39</v>
      </c>
      <c r="I1459" s="9"/>
      <c r="J1459" s="10"/>
      <c r="K1459" s="17">
        <v>1</v>
      </c>
    </row>
    <row r="1460" spans="1:11" ht="30" x14ac:dyDescent="0.25">
      <c r="A1460" s="3" t="s">
        <v>2937</v>
      </c>
      <c r="B1460" s="4" t="s">
        <v>2938</v>
      </c>
      <c r="C1460" s="5">
        <v>268004</v>
      </c>
      <c r="D1460" s="16" t="s">
        <v>16</v>
      </c>
      <c r="E1460" s="16" t="s">
        <v>17</v>
      </c>
      <c r="F1460" s="15">
        <v>43772</v>
      </c>
      <c r="G1460" s="8">
        <f t="shared" si="22"/>
        <v>43772</v>
      </c>
      <c r="H1460" s="16" t="s">
        <v>13</v>
      </c>
      <c r="I1460" s="9"/>
      <c r="J1460" s="10"/>
      <c r="K1460" s="17">
        <v>1</v>
      </c>
    </row>
    <row r="1461" spans="1:11" ht="30" x14ac:dyDescent="0.25">
      <c r="A1461" s="3" t="s">
        <v>2939</v>
      </c>
      <c r="B1461" s="4" t="s">
        <v>2940</v>
      </c>
      <c r="C1461" s="5">
        <v>262548</v>
      </c>
      <c r="D1461" s="16" t="s">
        <v>34</v>
      </c>
      <c r="E1461" s="16" t="s">
        <v>17</v>
      </c>
      <c r="F1461" s="15">
        <v>43773</v>
      </c>
      <c r="G1461" s="8">
        <f t="shared" si="22"/>
        <v>43773</v>
      </c>
      <c r="H1461" s="16" t="s">
        <v>13</v>
      </c>
      <c r="I1461" s="9"/>
      <c r="J1461" s="10"/>
      <c r="K1461" s="17">
        <v>1</v>
      </c>
    </row>
    <row r="1462" spans="1:11" ht="30" x14ac:dyDescent="0.25">
      <c r="A1462" s="3" t="s">
        <v>2941</v>
      </c>
      <c r="B1462" s="4" t="s">
        <v>2942</v>
      </c>
      <c r="C1462" s="14">
        <v>257140</v>
      </c>
      <c r="D1462" s="16" t="s">
        <v>37</v>
      </c>
      <c r="E1462" s="16" t="s">
        <v>38</v>
      </c>
      <c r="F1462" s="15">
        <v>43774</v>
      </c>
      <c r="G1462" s="8">
        <f t="shared" si="22"/>
        <v>43774</v>
      </c>
      <c r="H1462" s="16" t="s">
        <v>39</v>
      </c>
      <c r="I1462" s="9"/>
      <c r="J1462" s="10"/>
      <c r="K1462" s="17">
        <v>1</v>
      </c>
    </row>
    <row r="1463" spans="1:11" ht="30" x14ac:dyDescent="0.25">
      <c r="A1463" s="3" t="s">
        <v>2943</v>
      </c>
      <c r="B1463" s="4" t="s">
        <v>2944</v>
      </c>
      <c r="C1463" s="14">
        <v>260292</v>
      </c>
      <c r="D1463" s="16" t="s">
        <v>16</v>
      </c>
      <c r="E1463" s="16" t="s">
        <v>17</v>
      </c>
      <c r="F1463" s="15">
        <v>43775</v>
      </c>
      <c r="G1463" s="8">
        <f t="shared" si="22"/>
        <v>43775</v>
      </c>
      <c r="H1463" s="16" t="s">
        <v>13</v>
      </c>
      <c r="I1463" s="9"/>
      <c r="J1463" s="10"/>
      <c r="K1463" s="17">
        <v>2</v>
      </c>
    </row>
    <row r="1464" spans="1:11" ht="30" x14ac:dyDescent="0.25">
      <c r="A1464" s="3" t="s">
        <v>2945</v>
      </c>
      <c r="B1464" s="4" t="s">
        <v>2946</v>
      </c>
      <c r="C1464" s="50">
        <v>262564</v>
      </c>
      <c r="D1464" s="16" t="s">
        <v>11</v>
      </c>
      <c r="E1464" s="16" t="s">
        <v>12</v>
      </c>
      <c r="F1464" s="15">
        <v>43801</v>
      </c>
      <c r="G1464" s="8">
        <f t="shared" si="22"/>
        <v>43801</v>
      </c>
      <c r="H1464" s="16" t="s">
        <v>13</v>
      </c>
      <c r="I1464" s="9"/>
      <c r="J1464" s="10"/>
      <c r="K1464" s="17">
        <v>1</v>
      </c>
    </row>
    <row r="1465" spans="1:11" ht="30" x14ac:dyDescent="0.25">
      <c r="A1465" s="3" t="s">
        <v>2947</v>
      </c>
      <c r="B1465" s="4" t="s">
        <v>2948</v>
      </c>
      <c r="C1465" s="5">
        <v>255828</v>
      </c>
      <c r="D1465" s="16" t="s">
        <v>34</v>
      </c>
      <c r="E1465" s="16" t="s">
        <v>17</v>
      </c>
      <c r="F1465" s="15">
        <v>43800</v>
      </c>
      <c r="G1465" s="8">
        <f t="shared" si="22"/>
        <v>43800</v>
      </c>
      <c r="H1465" s="16" t="s">
        <v>13</v>
      </c>
      <c r="I1465" s="9"/>
      <c r="J1465" s="10"/>
      <c r="K1465" s="17">
        <v>1</v>
      </c>
    </row>
    <row r="1466" spans="1:11" ht="30" x14ac:dyDescent="0.25">
      <c r="A1466" s="3" t="s">
        <v>2949</v>
      </c>
      <c r="B1466" s="4" t="s">
        <v>2950</v>
      </c>
      <c r="C1466" s="50">
        <v>266068</v>
      </c>
      <c r="D1466" s="16" t="s">
        <v>11</v>
      </c>
      <c r="E1466" s="16" t="s">
        <v>17</v>
      </c>
      <c r="F1466" s="15">
        <v>43800</v>
      </c>
      <c r="G1466" s="8">
        <f t="shared" si="22"/>
        <v>43800</v>
      </c>
      <c r="H1466" s="16" t="s">
        <v>13</v>
      </c>
      <c r="I1466" s="9"/>
      <c r="J1466" s="10"/>
      <c r="K1466" s="17">
        <v>1</v>
      </c>
    </row>
    <row r="1467" spans="1:11" ht="30" x14ac:dyDescent="0.25">
      <c r="A1467" s="3" t="s">
        <v>2951</v>
      </c>
      <c r="B1467" s="4" t="s">
        <v>2952</v>
      </c>
      <c r="C1467" s="50">
        <v>270532</v>
      </c>
      <c r="D1467" s="16" t="s">
        <v>16</v>
      </c>
      <c r="E1467" s="16" t="s">
        <v>17</v>
      </c>
      <c r="F1467" s="15">
        <v>43800</v>
      </c>
      <c r="G1467" s="8">
        <f t="shared" si="22"/>
        <v>43800</v>
      </c>
      <c r="H1467" s="16" t="s">
        <v>13</v>
      </c>
      <c r="I1467" s="9"/>
      <c r="J1467" s="10"/>
      <c r="K1467" s="17">
        <v>1</v>
      </c>
    </row>
    <row r="1468" spans="1:11" ht="30" x14ac:dyDescent="0.25">
      <c r="A1468" s="3" t="s">
        <v>2953</v>
      </c>
      <c r="B1468" s="4" t="s">
        <v>2954</v>
      </c>
      <c r="C1468" s="5">
        <v>259972</v>
      </c>
      <c r="D1468" s="16" t="s">
        <v>11</v>
      </c>
      <c r="E1468" s="16" t="s">
        <v>12</v>
      </c>
      <c r="F1468" s="15">
        <v>43800</v>
      </c>
      <c r="G1468" s="8">
        <f t="shared" si="22"/>
        <v>43800</v>
      </c>
      <c r="H1468" s="16" t="s">
        <v>39</v>
      </c>
      <c r="I1468" s="9"/>
      <c r="J1468" s="10"/>
      <c r="K1468" s="17">
        <v>1</v>
      </c>
    </row>
    <row r="1469" spans="1:11" ht="30" x14ac:dyDescent="0.25">
      <c r="A1469" s="3" t="s">
        <v>2955</v>
      </c>
      <c r="B1469" s="4" t="s">
        <v>2956</v>
      </c>
      <c r="C1469" s="5">
        <v>265092</v>
      </c>
      <c r="D1469" s="16" t="s">
        <v>28</v>
      </c>
      <c r="E1469" s="16" t="s">
        <v>17</v>
      </c>
      <c r="F1469" s="15">
        <v>43949</v>
      </c>
      <c r="G1469" s="8">
        <f t="shared" si="22"/>
        <v>43949</v>
      </c>
      <c r="H1469" s="16" t="s">
        <v>13</v>
      </c>
      <c r="I1469" s="9"/>
      <c r="J1469" s="10"/>
      <c r="K1469" s="17">
        <v>1</v>
      </c>
    </row>
    <row r="1470" spans="1:11" ht="30" x14ac:dyDescent="0.25">
      <c r="A1470" s="3" t="s">
        <v>2957</v>
      </c>
      <c r="B1470" s="4" t="s">
        <v>2958</v>
      </c>
      <c r="C1470" s="14">
        <v>265732</v>
      </c>
      <c r="D1470" s="16" t="s">
        <v>28</v>
      </c>
      <c r="E1470" s="16" t="s">
        <v>17</v>
      </c>
      <c r="F1470" s="15">
        <v>43885</v>
      </c>
      <c r="G1470" s="8">
        <f t="shared" si="22"/>
        <v>43885</v>
      </c>
      <c r="H1470" s="16" t="s">
        <v>13</v>
      </c>
      <c r="I1470" s="9"/>
      <c r="J1470" s="10"/>
      <c r="K1470" s="17">
        <v>1</v>
      </c>
    </row>
    <row r="1471" spans="1:11" ht="30" x14ac:dyDescent="0.25">
      <c r="A1471" s="3" t="s">
        <v>2959</v>
      </c>
      <c r="B1471" s="4" t="s">
        <v>2960</v>
      </c>
      <c r="C1471" s="5">
        <v>267012</v>
      </c>
      <c r="D1471" s="16" t="s">
        <v>28</v>
      </c>
      <c r="E1471" s="16" t="s">
        <v>17</v>
      </c>
      <c r="F1471" s="15">
        <v>43885</v>
      </c>
      <c r="G1471" s="8">
        <f t="shared" si="22"/>
        <v>43885</v>
      </c>
      <c r="H1471" s="16" t="s">
        <v>13</v>
      </c>
      <c r="I1471" s="9"/>
      <c r="J1471" s="10"/>
      <c r="K1471" s="17">
        <v>1</v>
      </c>
    </row>
    <row r="1472" spans="1:11" ht="30" x14ac:dyDescent="0.25">
      <c r="A1472" s="3" t="s">
        <v>2961</v>
      </c>
      <c r="B1472" s="4" t="s">
        <v>2962</v>
      </c>
      <c r="C1472" s="5">
        <v>270580</v>
      </c>
      <c r="D1472" s="16" t="s">
        <v>16</v>
      </c>
      <c r="E1472" s="16" t="s">
        <v>17</v>
      </c>
      <c r="F1472" s="15">
        <v>43887</v>
      </c>
      <c r="G1472" s="8">
        <f t="shared" si="22"/>
        <v>43887</v>
      </c>
      <c r="H1472" s="16" t="s">
        <v>13</v>
      </c>
      <c r="I1472" s="9"/>
      <c r="J1472" s="10"/>
      <c r="K1472" s="17">
        <v>1</v>
      </c>
    </row>
    <row r="1473" spans="1:11" ht="30" x14ac:dyDescent="0.25">
      <c r="A1473" s="3" t="s">
        <v>2963</v>
      </c>
      <c r="B1473" s="4" t="s">
        <v>2964</v>
      </c>
      <c r="C1473" s="5">
        <v>267332</v>
      </c>
      <c r="D1473" s="16" t="s">
        <v>37</v>
      </c>
      <c r="E1473" s="16" t="s">
        <v>38</v>
      </c>
      <c r="F1473" s="15">
        <v>43885</v>
      </c>
      <c r="G1473" s="8">
        <f t="shared" si="22"/>
        <v>43885</v>
      </c>
      <c r="H1473" s="16" t="s">
        <v>39</v>
      </c>
      <c r="I1473" s="9"/>
      <c r="J1473" s="10"/>
      <c r="K1473" s="17">
        <v>1</v>
      </c>
    </row>
    <row r="1474" spans="1:11" ht="30" x14ac:dyDescent="0.25">
      <c r="A1474" s="3" t="s">
        <v>2965</v>
      </c>
      <c r="B1474" s="4" t="s">
        <v>2966</v>
      </c>
      <c r="C1474" s="5">
        <v>262535</v>
      </c>
      <c r="D1474" s="16" t="s">
        <v>28</v>
      </c>
      <c r="E1474" s="16" t="s">
        <v>17</v>
      </c>
      <c r="F1474" s="15">
        <v>43899</v>
      </c>
      <c r="G1474" s="8">
        <f t="shared" ref="G1474:G1537" si="23">F1474</f>
        <v>43899</v>
      </c>
      <c r="H1474" s="16" t="s">
        <v>13</v>
      </c>
      <c r="I1474" s="9"/>
      <c r="J1474" s="10"/>
      <c r="K1474" s="17">
        <v>1</v>
      </c>
    </row>
    <row r="1475" spans="1:11" ht="30" x14ac:dyDescent="0.25">
      <c r="A1475" s="3" t="s">
        <v>2967</v>
      </c>
      <c r="B1475" s="4" t="s">
        <v>2968</v>
      </c>
      <c r="C1475" s="14">
        <v>263525</v>
      </c>
      <c r="D1475" s="16" t="s">
        <v>34</v>
      </c>
      <c r="E1475" s="16" t="s">
        <v>17</v>
      </c>
      <c r="F1475" s="15">
        <v>43901</v>
      </c>
      <c r="G1475" s="8">
        <f t="shared" si="23"/>
        <v>43901</v>
      </c>
      <c r="H1475" s="16" t="s">
        <v>13</v>
      </c>
      <c r="I1475" s="9"/>
      <c r="J1475" s="10"/>
      <c r="K1475" s="17">
        <v>1</v>
      </c>
    </row>
    <row r="1476" spans="1:11" ht="30" x14ac:dyDescent="0.25">
      <c r="A1476" s="3" t="s">
        <v>2969</v>
      </c>
      <c r="B1476" s="4" t="s">
        <v>2970</v>
      </c>
      <c r="C1476" s="5">
        <v>263846</v>
      </c>
      <c r="D1476" s="16" t="s">
        <v>31</v>
      </c>
      <c r="E1476" s="16" t="s">
        <v>17</v>
      </c>
      <c r="F1476" s="15">
        <v>43908</v>
      </c>
      <c r="G1476" s="8">
        <f t="shared" si="23"/>
        <v>43908</v>
      </c>
      <c r="H1476" s="16" t="s">
        <v>13</v>
      </c>
      <c r="I1476" s="9"/>
      <c r="J1476" s="10"/>
      <c r="K1476" s="17">
        <v>1</v>
      </c>
    </row>
    <row r="1477" spans="1:11" ht="30" x14ac:dyDescent="0.25">
      <c r="A1477" s="3" t="s">
        <v>2971</v>
      </c>
      <c r="B1477" s="4" t="s">
        <v>2972</v>
      </c>
      <c r="C1477" s="5">
        <v>264772</v>
      </c>
      <c r="D1477" s="16" t="s">
        <v>16</v>
      </c>
      <c r="E1477" s="16" t="s">
        <v>17</v>
      </c>
      <c r="F1477" s="15">
        <v>43921</v>
      </c>
      <c r="G1477" s="8">
        <f t="shared" si="23"/>
        <v>43921</v>
      </c>
      <c r="H1477" s="16" t="s">
        <v>13</v>
      </c>
      <c r="I1477" s="9"/>
      <c r="J1477" s="10"/>
      <c r="K1477" s="17">
        <v>1</v>
      </c>
    </row>
    <row r="1478" spans="1:11" ht="30" x14ac:dyDescent="0.25">
      <c r="A1478" s="3" t="s">
        <v>2973</v>
      </c>
      <c r="B1478" s="4" t="s">
        <v>2974</v>
      </c>
      <c r="C1478" s="50">
        <v>267652</v>
      </c>
      <c r="D1478" s="16" t="s">
        <v>31</v>
      </c>
      <c r="E1478" s="16" t="s">
        <v>17</v>
      </c>
      <c r="F1478" s="15">
        <v>43923</v>
      </c>
      <c r="G1478" s="8">
        <f t="shared" si="23"/>
        <v>43923</v>
      </c>
      <c r="H1478" s="16" t="s">
        <v>13</v>
      </c>
      <c r="I1478" s="9"/>
      <c r="J1478" s="10"/>
      <c r="K1478" s="17">
        <v>1</v>
      </c>
    </row>
    <row r="1479" spans="1:11" ht="30" x14ac:dyDescent="0.25">
      <c r="A1479" s="3" t="s">
        <v>2975</v>
      </c>
      <c r="B1479" s="4" t="s">
        <v>2976</v>
      </c>
      <c r="C1479" s="14">
        <v>265412</v>
      </c>
      <c r="D1479" s="16" t="s">
        <v>11</v>
      </c>
      <c r="E1479" s="16" t="s">
        <v>12</v>
      </c>
      <c r="F1479" s="15">
        <v>43941</v>
      </c>
      <c r="G1479" s="8">
        <f t="shared" si="23"/>
        <v>43941</v>
      </c>
      <c r="H1479" s="16" t="s">
        <v>39</v>
      </c>
      <c r="I1479" s="9"/>
      <c r="J1479" s="10"/>
      <c r="K1479" s="17">
        <v>2</v>
      </c>
    </row>
    <row r="1480" spans="1:11" ht="30" x14ac:dyDescent="0.25">
      <c r="A1480" s="3" t="s">
        <v>2977</v>
      </c>
      <c r="B1480" s="4" t="s">
        <v>2978</v>
      </c>
      <c r="C1480" s="50">
        <v>269924</v>
      </c>
      <c r="D1480" s="16" t="s">
        <v>11</v>
      </c>
      <c r="E1480" s="16" t="s">
        <v>12</v>
      </c>
      <c r="F1480" s="15">
        <v>43941</v>
      </c>
      <c r="G1480" s="8">
        <f t="shared" si="23"/>
        <v>43941</v>
      </c>
      <c r="H1480" s="16" t="s">
        <v>39</v>
      </c>
      <c r="I1480" s="9"/>
      <c r="J1480" s="10"/>
      <c r="K1480" s="17">
        <v>1</v>
      </c>
    </row>
    <row r="1481" spans="1:11" x14ac:dyDescent="0.25">
      <c r="A1481" s="4" t="s">
        <v>2979</v>
      </c>
      <c r="B1481" s="4" t="s">
        <v>2980</v>
      </c>
      <c r="C1481" s="14">
        <v>267669</v>
      </c>
      <c r="D1481" s="16" t="s">
        <v>11</v>
      </c>
      <c r="E1481" s="16" t="s">
        <v>12</v>
      </c>
      <c r="F1481" s="15">
        <v>43956</v>
      </c>
      <c r="G1481" s="8">
        <f t="shared" si="23"/>
        <v>43956</v>
      </c>
      <c r="H1481" s="16" t="s">
        <v>39</v>
      </c>
      <c r="I1481" s="46"/>
      <c r="J1481" s="46"/>
      <c r="K1481" s="17">
        <v>2</v>
      </c>
    </row>
    <row r="1482" spans="1:11" x14ac:dyDescent="0.25">
      <c r="A1482" s="4" t="s">
        <v>2981</v>
      </c>
      <c r="B1482" s="4" t="s">
        <v>2982</v>
      </c>
      <c r="C1482" s="50">
        <v>277033</v>
      </c>
      <c r="D1482" s="16" t="s">
        <v>16</v>
      </c>
      <c r="E1482" s="16" t="s">
        <v>17</v>
      </c>
      <c r="F1482" s="15">
        <v>43981</v>
      </c>
      <c r="G1482" s="8">
        <f t="shared" si="23"/>
        <v>43981</v>
      </c>
      <c r="H1482" s="16" t="s">
        <v>13</v>
      </c>
      <c r="I1482" s="46"/>
      <c r="J1482" s="46"/>
      <c r="K1482" s="17">
        <v>1</v>
      </c>
    </row>
    <row r="1483" spans="1:11" x14ac:dyDescent="0.25">
      <c r="A1483" s="4" t="s">
        <v>2983</v>
      </c>
      <c r="B1483" s="4" t="s">
        <v>2984</v>
      </c>
      <c r="C1483" s="50">
        <v>269588</v>
      </c>
      <c r="D1483" s="16" t="s">
        <v>34</v>
      </c>
      <c r="E1483" s="16" t="s">
        <v>17</v>
      </c>
      <c r="F1483" s="15">
        <v>43981</v>
      </c>
      <c r="G1483" s="8">
        <f t="shared" si="23"/>
        <v>43981</v>
      </c>
      <c r="H1483" s="16" t="s">
        <v>13</v>
      </c>
      <c r="I1483" s="46"/>
      <c r="J1483" s="46"/>
      <c r="K1483" s="17">
        <v>1</v>
      </c>
    </row>
    <row r="1484" spans="1:11" x14ac:dyDescent="0.25">
      <c r="A1484" s="4" t="s">
        <v>2985</v>
      </c>
      <c r="B1484" s="4" t="s">
        <v>2986</v>
      </c>
      <c r="C1484" s="5">
        <v>270564</v>
      </c>
      <c r="D1484" s="16" t="s">
        <v>34</v>
      </c>
      <c r="E1484" s="16" t="s">
        <v>17</v>
      </c>
      <c r="F1484" s="15">
        <v>43981</v>
      </c>
      <c r="G1484" s="8">
        <f t="shared" si="23"/>
        <v>43981</v>
      </c>
      <c r="H1484" s="16" t="s">
        <v>13</v>
      </c>
      <c r="I1484" s="46"/>
      <c r="J1484" s="46"/>
      <c r="K1484" s="17">
        <v>1</v>
      </c>
    </row>
    <row r="1485" spans="1:11" x14ac:dyDescent="0.25">
      <c r="A1485" s="4" t="s">
        <v>2987</v>
      </c>
      <c r="B1485" s="4" t="s">
        <v>2988</v>
      </c>
      <c r="C1485" s="5">
        <v>272180</v>
      </c>
      <c r="D1485" s="16" t="s">
        <v>31</v>
      </c>
      <c r="E1485" s="16" t="s">
        <v>17</v>
      </c>
      <c r="F1485" s="15">
        <v>43981</v>
      </c>
      <c r="G1485" s="8">
        <f t="shared" si="23"/>
        <v>43981</v>
      </c>
      <c r="H1485" s="16" t="s">
        <v>13</v>
      </c>
      <c r="I1485" s="46"/>
      <c r="J1485" s="46"/>
      <c r="K1485" s="17">
        <v>1</v>
      </c>
    </row>
    <row r="1486" spans="1:11" x14ac:dyDescent="0.25">
      <c r="A1486" s="4" t="s">
        <v>2989</v>
      </c>
      <c r="B1486" s="4" t="s">
        <v>2990</v>
      </c>
      <c r="C1486" s="5">
        <v>274756</v>
      </c>
      <c r="D1486" s="16" t="s">
        <v>11</v>
      </c>
      <c r="E1486" s="16" t="s">
        <v>17</v>
      </c>
      <c r="F1486" s="15">
        <v>43981</v>
      </c>
      <c r="G1486" s="8">
        <f t="shared" si="23"/>
        <v>43981</v>
      </c>
      <c r="H1486" s="16" t="s">
        <v>13</v>
      </c>
      <c r="I1486" s="46"/>
      <c r="J1486" s="46"/>
      <c r="K1486" s="17">
        <v>1</v>
      </c>
    </row>
    <row r="1487" spans="1:11" x14ac:dyDescent="0.25">
      <c r="A1487" s="4" t="s">
        <v>2991</v>
      </c>
      <c r="B1487" s="4" t="s">
        <v>2992</v>
      </c>
      <c r="C1487" s="5">
        <v>271220</v>
      </c>
      <c r="D1487" s="16" t="s">
        <v>37</v>
      </c>
      <c r="E1487" s="16" t="s">
        <v>38</v>
      </c>
      <c r="F1487" s="15">
        <v>43977</v>
      </c>
      <c r="G1487" s="8">
        <f t="shared" si="23"/>
        <v>43977</v>
      </c>
      <c r="H1487" s="16" t="s">
        <v>39</v>
      </c>
      <c r="I1487" s="46"/>
      <c r="J1487" s="46"/>
      <c r="K1487" s="17">
        <v>2</v>
      </c>
    </row>
    <row r="1488" spans="1:11" x14ac:dyDescent="0.25">
      <c r="A1488" s="4" t="s">
        <v>2993</v>
      </c>
      <c r="B1488" s="4" t="s">
        <v>2994</v>
      </c>
      <c r="C1488" s="5">
        <v>270900</v>
      </c>
      <c r="D1488" s="16" t="s">
        <v>11</v>
      </c>
      <c r="E1488" s="16" t="s">
        <v>12</v>
      </c>
      <c r="F1488" s="15">
        <v>43994</v>
      </c>
      <c r="G1488" s="8">
        <f t="shared" si="23"/>
        <v>43994</v>
      </c>
      <c r="H1488" s="16" t="s">
        <v>39</v>
      </c>
      <c r="I1488" s="9"/>
      <c r="J1488" s="10"/>
      <c r="K1488" s="17">
        <v>1</v>
      </c>
    </row>
    <row r="1489" spans="1:11" ht="30" x14ac:dyDescent="0.25">
      <c r="A1489" s="3" t="s">
        <v>2995</v>
      </c>
      <c r="B1489" s="4" t="s">
        <v>2996</v>
      </c>
      <c r="C1489" s="5">
        <v>213268</v>
      </c>
      <c r="D1489" s="16" t="s">
        <v>34</v>
      </c>
      <c r="E1489" s="16" t="s">
        <v>17</v>
      </c>
      <c r="F1489" s="15">
        <v>44018</v>
      </c>
      <c r="G1489" s="8">
        <f t="shared" si="23"/>
        <v>44018</v>
      </c>
      <c r="H1489" s="16" t="s">
        <v>13</v>
      </c>
      <c r="I1489" s="9"/>
      <c r="J1489" s="10"/>
      <c r="K1489" s="17">
        <v>1</v>
      </c>
    </row>
    <row r="1490" spans="1:11" ht="30" x14ac:dyDescent="0.25">
      <c r="A1490" s="3" t="s">
        <v>2997</v>
      </c>
      <c r="B1490" s="4" t="s">
        <v>2998</v>
      </c>
      <c r="C1490" s="5">
        <v>275076</v>
      </c>
      <c r="D1490" s="16" t="s">
        <v>11</v>
      </c>
      <c r="E1490" s="16" t="s">
        <v>12</v>
      </c>
      <c r="F1490" s="15">
        <v>44029</v>
      </c>
      <c r="G1490" s="8">
        <f t="shared" si="23"/>
        <v>44029</v>
      </c>
      <c r="H1490" s="16" t="s">
        <v>39</v>
      </c>
      <c r="I1490" s="9"/>
      <c r="J1490" s="10"/>
      <c r="K1490" s="17">
        <v>1</v>
      </c>
    </row>
    <row r="1491" spans="1:11" ht="30" x14ac:dyDescent="0.25">
      <c r="A1491" s="3" t="s">
        <v>2999</v>
      </c>
      <c r="B1491" s="4" t="s">
        <v>3000</v>
      </c>
      <c r="C1491" s="5">
        <v>273828</v>
      </c>
      <c r="D1491" s="16" t="s">
        <v>28</v>
      </c>
      <c r="E1491" s="16" t="s">
        <v>17</v>
      </c>
      <c r="F1491" s="15">
        <v>44123</v>
      </c>
      <c r="G1491" s="8">
        <f t="shared" si="23"/>
        <v>44123</v>
      </c>
      <c r="H1491" s="16" t="s">
        <v>13</v>
      </c>
      <c r="I1491" s="9"/>
      <c r="J1491" s="10"/>
      <c r="K1491" s="17">
        <v>1</v>
      </c>
    </row>
    <row r="1492" spans="1:11" ht="30" x14ac:dyDescent="0.25">
      <c r="A1492" s="3" t="s">
        <v>3001</v>
      </c>
      <c r="B1492" s="4" t="s">
        <v>3002</v>
      </c>
      <c r="C1492" s="5">
        <v>275172</v>
      </c>
      <c r="D1492" s="16" t="s">
        <v>28</v>
      </c>
      <c r="E1492" s="16" t="s">
        <v>17</v>
      </c>
      <c r="F1492" s="15">
        <v>44036</v>
      </c>
      <c r="G1492" s="8">
        <f t="shared" si="23"/>
        <v>44036</v>
      </c>
      <c r="H1492" s="16" t="s">
        <v>13</v>
      </c>
      <c r="I1492" s="9"/>
      <c r="J1492" s="10"/>
      <c r="K1492" s="17">
        <v>1</v>
      </c>
    </row>
    <row r="1493" spans="1:11" ht="30" x14ac:dyDescent="0.25">
      <c r="A1493" s="3" t="s">
        <v>3003</v>
      </c>
      <c r="B1493" s="4" t="s">
        <v>3004</v>
      </c>
      <c r="C1493" s="5">
        <v>272820</v>
      </c>
      <c r="D1493" s="16" t="s">
        <v>34</v>
      </c>
      <c r="E1493" s="16" t="s">
        <v>17</v>
      </c>
      <c r="F1493" s="15">
        <v>44040</v>
      </c>
      <c r="G1493" s="8">
        <f t="shared" si="23"/>
        <v>44040</v>
      </c>
      <c r="H1493" s="16" t="s">
        <v>13</v>
      </c>
      <c r="I1493" s="9"/>
      <c r="J1493" s="10"/>
      <c r="K1493" s="17">
        <v>1</v>
      </c>
    </row>
    <row r="1494" spans="1:11" ht="30" x14ac:dyDescent="0.25">
      <c r="A1494" s="3" t="s">
        <v>3005</v>
      </c>
      <c r="B1494" s="4" t="s">
        <v>3006</v>
      </c>
      <c r="C1494" s="5">
        <v>272196</v>
      </c>
      <c r="D1494" s="16" t="s">
        <v>11</v>
      </c>
      <c r="E1494" s="16" t="s">
        <v>12</v>
      </c>
      <c r="F1494" s="15">
        <v>44060</v>
      </c>
      <c r="G1494" s="8">
        <f t="shared" si="23"/>
        <v>44060</v>
      </c>
      <c r="H1494" s="16" t="s">
        <v>39</v>
      </c>
      <c r="I1494" s="9"/>
      <c r="J1494" s="10"/>
      <c r="K1494" s="17">
        <v>1</v>
      </c>
    </row>
    <row r="1495" spans="1:11" ht="30" x14ac:dyDescent="0.25">
      <c r="A1495" s="3" t="s">
        <v>3007</v>
      </c>
      <c r="B1495" s="4" t="s">
        <v>3008</v>
      </c>
      <c r="C1495" s="5">
        <v>273844</v>
      </c>
      <c r="D1495" s="16" t="s">
        <v>11</v>
      </c>
      <c r="E1495" s="16" t="s">
        <v>17</v>
      </c>
      <c r="F1495" s="15">
        <v>44060</v>
      </c>
      <c r="G1495" s="8">
        <f t="shared" si="23"/>
        <v>44060</v>
      </c>
      <c r="H1495" s="16" t="s">
        <v>13</v>
      </c>
      <c r="I1495" s="9"/>
      <c r="J1495" s="10"/>
      <c r="K1495" s="17">
        <v>1</v>
      </c>
    </row>
    <row r="1496" spans="1:11" ht="30" x14ac:dyDescent="0.25">
      <c r="A1496" s="3" t="s">
        <v>3009</v>
      </c>
      <c r="B1496" s="4" t="s">
        <v>3010</v>
      </c>
      <c r="C1496" s="5">
        <v>273460</v>
      </c>
      <c r="D1496" s="16" t="s">
        <v>37</v>
      </c>
      <c r="E1496" s="16" t="s">
        <v>38</v>
      </c>
      <c r="F1496" s="15">
        <v>44064</v>
      </c>
      <c r="G1496" s="8">
        <f t="shared" si="23"/>
        <v>44064</v>
      </c>
      <c r="H1496" s="16" t="s">
        <v>39</v>
      </c>
      <c r="I1496" s="9"/>
      <c r="J1496" s="10"/>
      <c r="K1496" s="17">
        <v>4</v>
      </c>
    </row>
    <row r="1497" spans="1:11" ht="30" x14ac:dyDescent="0.25">
      <c r="A1497" s="3" t="s">
        <v>3011</v>
      </c>
      <c r="B1497" s="4" t="s">
        <v>3012</v>
      </c>
      <c r="C1497" s="5">
        <v>277036</v>
      </c>
      <c r="D1497" s="16" t="s">
        <v>11</v>
      </c>
      <c r="E1497" s="16" t="s">
        <v>12</v>
      </c>
      <c r="F1497" s="15">
        <v>44082</v>
      </c>
      <c r="G1497" s="8">
        <f t="shared" si="23"/>
        <v>44082</v>
      </c>
      <c r="H1497" s="16" t="s">
        <v>39</v>
      </c>
      <c r="I1497" s="9"/>
      <c r="J1497" s="10"/>
      <c r="K1497" s="17">
        <v>1</v>
      </c>
    </row>
    <row r="1498" spans="1:11" ht="30" x14ac:dyDescent="0.25">
      <c r="A1498" s="3" t="s">
        <v>3013</v>
      </c>
      <c r="B1498" s="4" t="s">
        <v>3014</v>
      </c>
      <c r="C1498" s="5">
        <v>271540</v>
      </c>
      <c r="D1498" s="16" t="s">
        <v>34</v>
      </c>
      <c r="E1498" s="16" t="s">
        <v>17</v>
      </c>
      <c r="F1498" s="15">
        <v>44126</v>
      </c>
      <c r="G1498" s="8">
        <f t="shared" si="23"/>
        <v>44126</v>
      </c>
      <c r="H1498" s="16" t="s">
        <v>13</v>
      </c>
      <c r="I1498" s="9"/>
      <c r="J1498" s="10"/>
      <c r="K1498" s="17">
        <v>1</v>
      </c>
    </row>
    <row r="1499" spans="1:11" ht="30" x14ac:dyDescent="0.25">
      <c r="A1499" s="3" t="s">
        <v>3015</v>
      </c>
      <c r="B1499" s="4" t="s">
        <v>3016</v>
      </c>
      <c r="C1499" s="5">
        <v>277030</v>
      </c>
      <c r="D1499" s="16" t="s">
        <v>37</v>
      </c>
      <c r="E1499" s="16" t="s">
        <v>38</v>
      </c>
      <c r="F1499" s="15">
        <v>44127</v>
      </c>
      <c r="G1499" s="8">
        <f t="shared" si="23"/>
        <v>44127</v>
      </c>
      <c r="H1499" s="16" t="s">
        <v>39</v>
      </c>
      <c r="I1499" s="9"/>
      <c r="J1499" s="10"/>
      <c r="K1499" s="17">
        <v>1</v>
      </c>
    </row>
    <row r="1500" spans="1:11" ht="30" x14ac:dyDescent="0.25">
      <c r="A1500" s="3" t="s">
        <v>3017</v>
      </c>
      <c r="B1500" s="4" t="s">
        <v>3018</v>
      </c>
      <c r="C1500" s="14">
        <v>219364</v>
      </c>
      <c r="D1500" s="16" t="s">
        <v>11</v>
      </c>
      <c r="E1500" s="16" t="s">
        <v>12</v>
      </c>
      <c r="F1500" s="15">
        <v>44159</v>
      </c>
      <c r="G1500" s="8">
        <f t="shared" si="23"/>
        <v>44159</v>
      </c>
      <c r="H1500" s="16" t="s">
        <v>39</v>
      </c>
      <c r="I1500" s="9"/>
      <c r="J1500" s="10"/>
      <c r="K1500" s="17">
        <v>1</v>
      </c>
    </row>
    <row r="1501" spans="1:11" ht="30" x14ac:dyDescent="0.25">
      <c r="A1501" s="3" t="s">
        <v>3019</v>
      </c>
      <c r="B1501" s="4" t="s">
        <v>3020</v>
      </c>
      <c r="C1501" s="5">
        <v>277038</v>
      </c>
      <c r="D1501" s="16" t="s">
        <v>11</v>
      </c>
      <c r="E1501" s="16" t="s">
        <v>12</v>
      </c>
      <c r="F1501" s="15">
        <v>44159</v>
      </c>
      <c r="G1501" s="8">
        <f t="shared" si="23"/>
        <v>44159</v>
      </c>
      <c r="H1501" s="16" t="s">
        <v>39</v>
      </c>
      <c r="I1501" s="9"/>
      <c r="J1501" s="10"/>
      <c r="K1501" s="17">
        <v>1</v>
      </c>
    </row>
    <row r="1502" spans="1:11" ht="30" x14ac:dyDescent="0.25">
      <c r="A1502" s="3" t="s">
        <v>3021</v>
      </c>
      <c r="B1502" s="4" t="s">
        <v>3022</v>
      </c>
      <c r="C1502" s="14">
        <v>224932</v>
      </c>
      <c r="D1502" s="16" t="s">
        <v>28</v>
      </c>
      <c r="E1502" s="16" t="s">
        <v>17</v>
      </c>
      <c r="F1502" s="15">
        <v>44169</v>
      </c>
      <c r="G1502" s="8">
        <f t="shared" si="23"/>
        <v>44169</v>
      </c>
      <c r="H1502" s="16" t="s">
        <v>13</v>
      </c>
      <c r="I1502" s="9"/>
      <c r="J1502" s="10"/>
      <c r="K1502" s="17">
        <v>1</v>
      </c>
    </row>
    <row r="1503" spans="1:11" ht="30" x14ac:dyDescent="0.25">
      <c r="A1503" s="3" t="s">
        <v>3023</v>
      </c>
      <c r="B1503" s="4" t="s">
        <v>3024</v>
      </c>
      <c r="C1503" s="14">
        <v>217767</v>
      </c>
      <c r="D1503" s="16" t="s">
        <v>31</v>
      </c>
      <c r="E1503" s="16" t="s">
        <v>17</v>
      </c>
      <c r="F1503" s="15">
        <v>44176</v>
      </c>
      <c r="G1503" s="8">
        <f t="shared" si="23"/>
        <v>44176</v>
      </c>
      <c r="H1503" s="16" t="s">
        <v>13</v>
      </c>
      <c r="I1503" s="9"/>
      <c r="J1503" s="10"/>
      <c r="K1503" s="17">
        <v>1</v>
      </c>
    </row>
    <row r="1504" spans="1:11" ht="30" x14ac:dyDescent="0.25">
      <c r="A1504" s="3" t="s">
        <v>3025</v>
      </c>
      <c r="B1504" s="4" t="s">
        <v>3026</v>
      </c>
      <c r="C1504" s="14">
        <v>222996</v>
      </c>
      <c r="D1504" s="16" t="s">
        <v>34</v>
      </c>
      <c r="E1504" s="16" t="s">
        <v>17</v>
      </c>
      <c r="F1504" s="15">
        <v>44201</v>
      </c>
      <c r="G1504" s="8">
        <f t="shared" si="23"/>
        <v>44201</v>
      </c>
      <c r="H1504" s="16" t="s">
        <v>13</v>
      </c>
      <c r="I1504" s="9"/>
      <c r="J1504" s="10"/>
      <c r="K1504" s="17">
        <v>1</v>
      </c>
    </row>
    <row r="1505" spans="1:11" ht="30" x14ac:dyDescent="0.25">
      <c r="A1505" s="3" t="s">
        <v>3027</v>
      </c>
      <c r="B1505" s="4" t="s">
        <v>3028</v>
      </c>
      <c r="C1505" s="14">
        <v>222004</v>
      </c>
      <c r="D1505" s="16" t="s">
        <v>28</v>
      </c>
      <c r="E1505" s="16" t="s">
        <v>17</v>
      </c>
      <c r="F1505" s="15">
        <v>44169</v>
      </c>
      <c r="G1505" s="8">
        <f t="shared" si="23"/>
        <v>44169</v>
      </c>
      <c r="H1505" s="16" t="s">
        <v>13</v>
      </c>
      <c r="I1505" s="9"/>
      <c r="J1505" s="10"/>
      <c r="K1505" s="17">
        <v>1</v>
      </c>
    </row>
    <row r="1506" spans="1:11" ht="30" x14ac:dyDescent="0.25">
      <c r="A1506" s="3" t="s">
        <v>3029</v>
      </c>
      <c r="B1506" s="4" t="s">
        <v>3030</v>
      </c>
      <c r="C1506" s="14">
        <v>226212</v>
      </c>
      <c r="D1506" s="16" t="s">
        <v>28</v>
      </c>
      <c r="E1506" s="16" t="s">
        <v>17</v>
      </c>
      <c r="F1506" s="15">
        <v>44169</v>
      </c>
      <c r="G1506" s="8">
        <f t="shared" si="23"/>
        <v>44169</v>
      </c>
      <c r="H1506" s="16" t="s">
        <v>13</v>
      </c>
      <c r="I1506" s="9"/>
      <c r="J1506" s="10"/>
      <c r="K1506" s="17">
        <v>1</v>
      </c>
    </row>
    <row r="1507" spans="1:11" ht="30" x14ac:dyDescent="0.25">
      <c r="A1507" s="3" t="s">
        <v>3031</v>
      </c>
      <c r="B1507" s="4" t="s">
        <v>3032</v>
      </c>
      <c r="C1507" s="14">
        <v>222676</v>
      </c>
      <c r="D1507" s="16" t="s">
        <v>34</v>
      </c>
      <c r="E1507" s="16" t="s">
        <v>17</v>
      </c>
      <c r="F1507" s="15">
        <v>44237</v>
      </c>
      <c r="G1507" s="8">
        <f t="shared" si="23"/>
        <v>44237</v>
      </c>
      <c r="H1507" s="16" t="s">
        <v>13</v>
      </c>
      <c r="I1507" s="9"/>
      <c r="J1507" s="10"/>
      <c r="K1507" s="17">
        <v>1</v>
      </c>
    </row>
    <row r="1508" spans="1:11" ht="30" x14ac:dyDescent="0.25">
      <c r="A1508" s="3" t="s">
        <v>3033</v>
      </c>
      <c r="B1508" s="4" t="s">
        <v>3034</v>
      </c>
      <c r="C1508" s="14">
        <v>229845</v>
      </c>
      <c r="D1508" s="16" t="s">
        <v>11</v>
      </c>
      <c r="E1508" s="16" t="s">
        <v>12</v>
      </c>
      <c r="F1508" s="15">
        <v>44285</v>
      </c>
      <c r="G1508" s="8">
        <f t="shared" si="23"/>
        <v>44285</v>
      </c>
      <c r="H1508" s="16" t="s">
        <v>39</v>
      </c>
      <c r="I1508" s="9"/>
      <c r="J1508" s="10"/>
      <c r="K1508" s="17">
        <v>1</v>
      </c>
    </row>
    <row r="1509" spans="1:11" ht="30" x14ac:dyDescent="0.25">
      <c r="A1509" s="3" t="s">
        <v>3035</v>
      </c>
      <c r="B1509" s="4" t="s">
        <v>3036</v>
      </c>
      <c r="C1509" s="14">
        <v>225252</v>
      </c>
      <c r="D1509" s="16" t="s">
        <v>31</v>
      </c>
      <c r="E1509" s="16" t="s">
        <v>17</v>
      </c>
      <c r="F1509" s="15">
        <v>44283</v>
      </c>
      <c r="G1509" s="8">
        <f t="shared" si="23"/>
        <v>44283</v>
      </c>
      <c r="H1509" s="16" t="s">
        <v>13</v>
      </c>
      <c r="I1509" s="9"/>
      <c r="J1509" s="10"/>
      <c r="K1509" s="17">
        <v>1</v>
      </c>
    </row>
    <row r="1510" spans="1:11" ht="30" x14ac:dyDescent="0.25">
      <c r="A1510" s="3" t="s">
        <v>3037</v>
      </c>
      <c r="B1510" s="4" t="s">
        <v>3038</v>
      </c>
      <c r="C1510" s="14">
        <v>222036</v>
      </c>
      <c r="D1510" s="16" t="s">
        <v>11</v>
      </c>
      <c r="E1510" s="16" t="s">
        <v>12</v>
      </c>
      <c r="F1510" s="15">
        <v>44284</v>
      </c>
      <c r="G1510" s="8">
        <f t="shared" si="23"/>
        <v>44284</v>
      </c>
      <c r="H1510" s="16" t="s">
        <v>39</v>
      </c>
      <c r="I1510" s="9"/>
      <c r="J1510" s="10"/>
      <c r="K1510" s="17">
        <v>1</v>
      </c>
    </row>
    <row r="1511" spans="1:11" ht="30" x14ac:dyDescent="0.25">
      <c r="A1511" s="3" t="s">
        <v>3039</v>
      </c>
      <c r="B1511" s="4" t="s">
        <v>3040</v>
      </c>
      <c r="C1511" s="14">
        <v>223668</v>
      </c>
      <c r="D1511" s="16" t="s">
        <v>31</v>
      </c>
      <c r="E1511" s="16" t="s">
        <v>17</v>
      </c>
      <c r="F1511" s="15">
        <v>44287</v>
      </c>
      <c r="G1511" s="8">
        <f t="shared" si="23"/>
        <v>44287</v>
      </c>
      <c r="H1511" s="16" t="s">
        <v>13</v>
      </c>
      <c r="I1511" s="9"/>
      <c r="J1511" s="10"/>
      <c r="K1511" s="17">
        <v>1</v>
      </c>
    </row>
    <row r="1512" spans="1:11" ht="30" x14ac:dyDescent="0.25">
      <c r="A1512" s="3" t="s">
        <v>3041</v>
      </c>
      <c r="B1512" s="39" t="s">
        <v>3042</v>
      </c>
      <c r="C1512" s="14">
        <v>222052</v>
      </c>
      <c r="D1512" s="16" t="s">
        <v>28</v>
      </c>
      <c r="E1512" s="16" t="s">
        <v>17</v>
      </c>
      <c r="F1512" s="51">
        <v>44287</v>
      </c>
      <c r="G1512" s="8">
        <f t="shared" si="23"/>
        <v>44287</v>
      </c>
      <c r="H1512" s="52" t="s">
        <v>13</v>
      </c>
      <c r="I1512" s="9"/>
      <c r="J1512" s="10"/>
      <c r="K1512" s="17">
        <v>1</v>
      </c>
    </row>
    <row r="1513" spans="1:11" ht="30" x14ac:dyDescent="0.25">
      <c r="A1513" s="3" t="s">
        <v>3043</v>
      </c>
      <c r="B1513" s="4" t="s">
        <v>3044</v>
      </c>
      <c r="C1513" s="5">
        <v>277051</v>
      </c>
      <c r="D1513" s="16" t="s">
        <v>11</v>
      </c>
      <c r="E1513" s="16" t="s">
        <v>12</v>
      </c>
      <c r="F1513" s="15">
        <v>44312</v>
      </c>
      <c r="G1513" s="8">
        <f t="shared" si="23"/>
        <v>44312</v>
      </c>
      <c r="H1513" s="16" t="s">
        <v>39</v>
      </c>
      <c r="I1513" s="9"/>
      <c r="J1513" s="10"/>
      <c r="K1513" s="17">
        <v>2</v>
      </c>
    </row>
    <row r="1514" spans="1:11" ht="30" x14ac:dyDescent="0.25">
      <c r="A1514" s="3" t="s">
        <v>3045</v>
      </c>
      <c r="B1514" s="4" t="s">
        <v>3046</v>
      </c>
      <c r="C1514" s="14">
        <v>224308</v>
      </c>
      <c r="D1514" s="16" t="s">
        <v>37</v>
      </c>
      <c r="E1514" s="16" t="s">
        <v>3047</v>
      </c>
      <c r="F1514" s="15">
        <v>44312</v>
      </c>
      <c r="G1514" s="8">
        <f t="shared" si="23"/>
        <v>44312</v>
      </c>
      <c r="H1514" s="16" t="s">
        <v>39</v>
      </c>
      <c r="I1514" s="9"/>
      <c r="J1514" s="10"/>
      <c r="K1514" s="17">
        <v>1</v>
      </c>
    </row>
    <row r="1515" spans="1:11" ht="30" x14ac:dyDescent="0.25">
      <c r="A1515" s="3" t="s">
        <v>3048</v>
      </c>
      <c r="B1515" s="4" t="s">
        <v>3049</v>
      </c>
      <c r="C1515" s="14">
        <v>277044</v>
      </c>
      <c r="D1515" s="16" t="s">
        <v>28</v>
      </c>
      <c r="E1515" s="16" t="s">
        <v>17</v>
      </c>
      <c r="F1515" s="15">
        <v>44311</v>
      </c>
      <c r="G1515" s="8">
        <f t="shared" si="23"/>
        <v>44311</v>
      </c>
      <c r="H1515" s="16" t="s">
        <v>13</v>
      </c>
      <c r="I1515" s="9"/>
      <c r="J1515" s="10"/>
      <c r="K1515" s="17">
        <v>1</v>
      </c>
    </row>
    <row r="1516" spans="1:11" ht="30" x14ac:dyDescent="0.25">
      <c r="A1516" s="3" t="s">
        <v>3050</v>
      </c>
      <c r="B1516" s="4" t="s">
        <v>3051</v>
      </c>
      <c r="C1516" s="14">
        <v>226532</v>
      </c>
      <c r="D1516" s="16" t="s">
        <v>11</v>
      </c>
      <c r="E1516" s="16" t="s">
        <v>12</v>
      </c>
      <c r="F1516" s="15">
        <v>44316</v>
      </c>
      <c r="G1516" s="8">
        <f t="shared" si="23"/>
        <v>44316</v>
      </c>
      <c r="H1516" s="16" t="s">
        <v>13</v>
      </c>
      <c r="I1516" s="9"/>
      <c r="J1516" s="10"/>
      <c r="K1516" s="17">
        <v>1</v>
      </c>
    </row>
    <row r="1517" spans="1:11" ht="30" x14ac:dyDescent="0.25">
      <c r="A1517" s="3" t="s">
        <v>3052</v>
      </c>
      <c r="B1517" s="4" t="s">
        <v>3053</v>
      </c>
      <c r="C1517" s="14">
        <v>284077</v>
      </c>
      <c r="D1517" s="16" t="s">
        <v>28</v>
      </c>
      <c r="E1517" s="16" t="s">
        <v>17</v>
      </c>
      <c r="F1517" s="15">
        <v>44317</v>
      </c>
      <c r="G1517" s="8">
        <f t="shared" si="23"/>
        <v>44317</v>
      </c>
      <c r="H1517" s="16" t="s">
        <v>13</v>
      </c>
      <c r="I1517" s="9"/>
      <c r="J1517" s="10"/>
      <c r="K1517" s="17">
        <v>1</v>
      </c>
    </row>
    <row r="1518" spans="1:11" ht="30" x14ac:dyDescent="0.25">
      <c r="A1518" s="3" t="s">
        <v>3054</v>
      </c>
      <c r="B1518" s="4" t="s">
        <v>3055</v>
      </c>
      <c r="C1518" s="14">
        <v>281924</v>
      </c>
      <c r="D1518" s="16" t="s">
        <v>31</v>
      </c>
      <c r="E1518" s="16" t="s">
        <v>17</v>
      </c>
      <c r="F1518" s="15">
        <v>44318</v>
      </c>
      <c r="G1518" s="8">
        <f t="shared" si="23"/>
        <v>44318</v>
      </c>
      <c r="H1518" s="16" t="s">
        <v>13</v>
      </c>
      <c r="I1518" s="9"/>
      <c r="J1518" s="10"/>
      <c r="K1518" s="17">
        <v>1</v>
      </c>
    </row>
    <row r="1519" spans="1:11" ht="30" x14ac:dyDescent="0.25">
      <c r="A1519" s="3" t="s">
        <v>3056</v>
      </c>
      <c r="B1519" s="4" t="s">
        <v>3057</v>
      </c>
      <c r="C1519" s="14">
        <v>278292</v>
      </c>
      <c r="D1519" s="16" t="s">
        <v>11</v>
      </c>
      <c r="E1519" s="16" t="s">
        <v>12</v>
      </c>
      <c r="F1519" s="15">
        <v>44320</v>
      </c>
      <c r="G1519" s="8">
        <f t="shared" si="23"/>
        <v>44320</v>
      </c>
      <c r="H1519" s="16" t="s">
        <v>13</v>
      </c>
      <c r="I1519" s="9"/>
      <c r="J1519" s="10"/>
      <c r="K1519" s="17">
        <v>1</v>
      </c>
    </row>
    <row r="1520" spans="1:11" ht="30" x14ac:dyDescent="0.25">
      <c r="A1520" s="3" t="s">
        <v>3058</v>
      </c>
      <c r="B1520" s="4" t="s">
        <v>3059</v>
      </c>
      <c r="C1520" s="14">
        <v>282132</v>
      </c>
      <c r="D1520" s="16" t="s">
        <v>34</v>
      </c>
      <c r="E1520" s="16" t="s">
        <v>17</v>
      </c>
      <c r="F1520" s="15">
        <v>44369</v>
      </c>
      <c r="G1520" s="8">
        <f t="shared" si="23"/>
        <v>44369</v>
      </c>
      <c r="H1520" s="16" t="s">
        <v>13</v>
      </c>
      <c r="I1520" s="9"/>
      <c r="J1520" s="10"/>
      <c r="K1520" s="17">
        <v>1</v>
      </c>
    </row>
    <row r="1521" spans="1:11" ht="30" x14ac:dyDescent="0.25">
      <c r="A1521" s="3" t="s">
        <v>3060</v>
      </c>
      <c r="B1521" s="4" t="s">
        <v>3061</v>
      </c>
      <c r="C1521" s="14">
        <v>282469</v>
      </c>
      <c r="D1521" s="16" t="s">
        <v>11</v>
      </c>
      <c r="E1521" s="16" t="s">
        <v>12</v>
      </c>
      <c r="F1521" s="15">
        <v>44369</v>
      </c>
      <c r="G1521" s="8">
        <f t="shared" si="23"/>
        <v>44369</v>
      </c>
      <c r="H1521" s="16" t="s">
        <v>13</v>
      </c>
      <c r="I1521" s="9"/>
      <c r="J1521" s="10"/>
      <c r="K1521" s="17">
        <v>1</v>
      </c>
    </row>
    <row r="1522" spans="1:11" ht="30" x14ac:dyDescent="0.25">
      <c r="A1522" s="3" t="s">
        <v>3062</v>
      </c>
      <c r="B1522" s="4" t="s">
        <v>3063</v>
      </c>
      <c r="C1522" s="14">
        <v>284076</v>
      </c>
      <c r="D1522" s="16" t="s">
        <v>34</v>
      </c>
      <c r="E1522" s="16" t="s">
        <v>17</v>
      </c>
      <c r="F1522" s="15">
        <v>44376</v>
      </c>
      <c r="G1522" s="8">
        <f t="shared" si="23"/>
        <v>44376</v>
      </c>
      <c r="H1522" s="16" t="s">
        <v>13</v>
      </c>
      <c r="I1522" s="9"/>
      <c r="J1522" s="10"/>
      <c r="K1522" s="17">
        <v>1</v>
      </c>
    </row>
    <row r="1523" spans="1:11" ht="30" x14ac:dyDescent="0.25">
      <c r="A1523" s="3" t="s">
        <v>3064</v>
      </c>
      <c r="B1523" s="4" t="s">
        <v>3065</v>
      </c>
      <c r="C1523" s="14">
        <v>281812</v>
      </c>
      <c r="D1523" s="16" t="s">
        <v>11</v>
      </c>
      <c r="E1523" s="16" t="s">
        <v>12</v>
      </c>
      <c r="F1523" s="15">
        <v>44376</v>
      </c>
      <c r="G1523" s="8">
        <f t="shared" si="23"/>
        <v>44376</v>
      </c>
      <c r="H1523" s="16" t="s">
        <v>39</v>
      </c>
      <c r="I1523" s="9"/>
      <c r="J1523" s="10"/>
      <c r="K1523" s="17">
        <v>1</v>
      </c>
    </row>
    <row r="1524" spans="1:11" ht="30" x14ac:dyDescent="0.25">
      <c r="A1524" s="3" t="s">
        <v>3066</v>
      </c>
      <c r="B1524" s="4" t="s">
        <v>3067</v>
      </c>
      <c r="C1524" s="14">
        <v>281813</v>
      </c>
      <c r="D1524" s="16" t="s">
        <v>11</v>
      </c>
      <c r="E1524" s="16" t="s">
        <v>12</v>
      </c>
      <c r="F1524" s="15">
        <v>44376</v>
      </c>
      <c r="G1524" s="8">
        <f t="shared" si="23"/>
        <v>44376</v>
      </c>
      <c r="H1524" s="16" t="s">
        <v>39</v>
      </c>
      <c r="I1524" s="9"/>
      <c r="J1524" s="10"/>
      <c r="K1524" s="17">
        <v>1</v>
      </c>
    </row>
    <row r="1525" spans="1:11" ht="30" x14ac:dyDescent="0.25">
      <c r="A1525" s="3" t="s">
        <v>3068</v>
      </c>
      <c r="B1525" s="4" t="s">
        <v>3069</v>
      </c>
      <c r="C1525" s="14">
        <v>284075</v>
      </c>
      <c r="D1525" s="16" t="s">
        <v>28</v>
      </c>
      <c r="E1525" s="16" t="s">
        <v>17</v>
      </c>
      <c r="F1525" s="15">
        <v>44376</v>
      </c>
      <c r="G1525" s="8">
        <f t="shared" si="23"/>
        <v>44376</v>
      </c>
      <c r="H1525" s="16" t="s">
        <v>13</v>
      </c>
      <c r="I1525" s="9"/>
      <c r="J1525" s="10"/>
      <c r="K1525" s="17">
        <v>1</v>
      </c>
    </row>
    <row r="1526" spans="1:11" ht="30" x14ac:dyDescent="0.25">
      <c r="A1526" s="3" t="s">
        <v>3070</v>
      </c>
      <c r="B1526" s="4" t="s">
        <v>3071</v>
      </c>
      <c r="C1526" s="14">
        <v>282500</v>
      </c>
      <c r="D1526" s="16" t="s">
        <v>16</v>
      </c>
      <c r="E1526" s="16" t="s">
        <v>17</v>
      </c>
      <c r="F1526" s="15">
        <v>44377</v>
      </c>
      <c r="G1526" s="8">
        <f t="shared" si="23"/>
        <v>44377</v>
      </c>
      <c r="H1526" s="16" t="s">
        <v>13</v>
      </c>
      <c r="I1526" s="9"/>
      <c r="J1526" s="10"/>
      <c r="K1526" s="17">
        <v>1</v>
      </c>
    </row>
    <row r="1527" spans="1:11" ht="30" x14ac:dyDescent="0.25">
      <c r="A1527" s="3" t="s">
        <v>3072</v>
      </c>
      <c r="B1527" s="4" t="s">
        <v>3073</v>
      </c>
      <c r="C1527" s="14">
        <v>283412</v>
      </c>
      <c r="D1527" s="16" t="s">
        <v>34</v>
      </c>
      <c r="E1527" s="16" t="s">
        <v>17</v>
      </c>
      <c r="F1527" s="15">
        <v>44431</v>
      </c>
      <c r="G1527" s="8">
        <f t="shared" si="23"/>
        <v>44431</v>
      </c>
      <c r="H1527" s="16" t="s">
        <v>13</v>
      </c>
      <c r="I1527" s="9"/>
      <c r="J1527" s="10"/>
      <c r="K1527" s="17">
        <v>1</v>
      </c>
    </row>
    <row r="1528" spans="1:11" ht="30" x14ac:dyDescent="0.25">
      <c r="A1528" s="3" t="s">
        <v>3074</v>
      </c>
      <c r="B1528" s="4" t="s">
        <v>3075</v>
      </c>
      <c r="C1528" s="5">
        <v>284074</v>
      </c>
      <c r="D1528" s="16" t="s">
        <v>11</v>
      </c>
      <c r="E1528" s="16" t="s">
        <v>12</v>
      </c>
      <c r="F1528" s="15">
        <v>44431</v>
      </c>
      <c r="G1528" s="8">
        <f t="shared" si="23"/>
        <v>44431</v>
      </c>
      <c r="H1528" s="16" t="s">
        <v>13</v>
      </c>
      <c r="I1528" s="9"/>
      <c r="J1528" s="10"/>
      <c r="K1528" s="17">
        <v>2</v>
      </c>
    </row>
    <row r="1529" spans="1:11" ht="30" x14ac:dyDescent="0.25">
      <c r="A1529" s="3" t="s">
        <v>3076</v>
      </c>
      <c r="B1529" s="4" t="s">
        <v>3077</v>
      </c>
      <c r="C1529" s="5">
        <v>284073</v>
      </c>
      <c r="D1529" s="16" t="s">
        <v>28</v>
      </c>
      <c r="E1529" s="16" t="s">
        <v>17</v>
      </c>
      <c r="F1529" s="15">
        <v>44434</v>
      </c>
      <c r="G1529" s="8">
        <f t="shared" si="23"/>
        <v>44434</v>
      </c>
      <c r="H1529" s="16" t="s">
        <v>13</v>
      </c>
      <c r="I1529" s="9"/>
      <c r="J1529" s="10"/>
      <c r="K1529" s="17"/>
    </row>
    <row r="1530" spans="1:11" ht="30" x14ac:dyDescent="0.25">
      <c r="A1530" s="3" t="s">
        <v>3078</v>
      </c>
      <c r="B1530" s="4" t="s">
        <v>3079</v>
      </c>
      <c r="C1530" s="14">
        <v>284072</v>
      </c>
      <c r="D1530" s="16" t="s">
        <v>37</v>
      </c>
      <c r="E1530" s="16" t="s">
        <v>38</v>
      </c>
      <c r="F1530" s="15">
        <v>44453</v>
      </c>
      <c r="G1530" s="8">
        <f t="shared" si="23"/>
        <v>44453</v>
      </c>
      <c r="H1530" s="16" t="s">
        <v>39</v>
      </c>
      <c r="I1530" s="9"/>
      <c r="J1530" s="10"/>
      <c r="K1530" s="17">
        <v>1</v>
      </c>
    </row>
    <row r="1531" spans="1:11" ht="30" x14ac:dyDescent="0.25">
      <c r="A1531" s="3" t="s">
        <v>3080</v>
      </c>
      <c r="B1531" s="4" t="s">
        <v>3081</v>
      </c>
      <c r="C1531" s="14">
        <v>284071</v>
      </c>
      <c r="D1531" s="16" t="s">
        <v>28</v>
      </c>
      <c r="E1531" s="16" t="s">
        <v>508</v>
      </c>
      <c r="F1531" s="15">
        <v>44476</v>
      </c>
      <c r="G1531" s="8">
        <f t="shared" si="23"/>
        <v>44476</v>
      </c>
      <c r="H1531" s="16" t="s">
        <v>509</v>
      </c>
      <c r="I1531" s="9"/>
      <c r="J1531" s="10"/>
      <c r="K1531" s="17">
        <v>1</v>
      </c>
    </row>
    <row r="1532" spans="1:11" ht="30" x14ac:dyDescent="0.25">
      <c r="A1532" s="3" t="s">
        <v>3082</v>
      </c>
      <c r="B1532" s="4" t="s">
        <v>3083</v>
      </c>
      <c r="C1532" s="5">
        <v>284070</v>
      </c>
      <c r="D1532" s="16" t="s">
        <v>16</v>
      </c>
      <c r="E1532" s="16" t="s">
        <v>17</v>
      </c>
      <c r="F1532" s="15">
        <v>44494</v>
      </c>
      <c r="G1532" s="8">
        <f t="shared" si="23"/>
        <v>44494</v>
      </c>
      <c r="H1532" s="16" t="s">
        <v>13</v>
      </c>
      <c r="I1532" s="9"/>
      <c r="J1532" s="10"/>
      <c r="K1532" s="17">
        <v>1</v>
      </c>
    </row>
    <row r="1533" spans="1:11" ht="30" x14ac:dyDescent="0.25">
      <c r="A1533" s="3" t="s">
        <v>3084</v>
      </c>
      <c r="B1533" s="4" t="s">
        <v>3085</v>
      </c>
      <c r="C1533" s="14">
        <v>284069</v>
      </c>
      <c r="D1533" s="16" t="s">
        <v>11</v>
      </c>
      <c r="E1533" s="16" t="s">
        <v>17</v>
      </c>
      <c r="F1533" s="15">
        <v>44504</v>
      </c>
      <c r="G1533" s="8">
        <f t="shared" si="23"/>
        <v>44504</v>
      </c>
      <c r="H1533" s="16" t="s">
        <v>13</v>
      </c>
      <c r="I1533" s="9"/>
      <c r="J1533" s="10"/>
      <c r="K1533" s="17">
        <v>1</v>
      </c>
    </row>
    <row r="1534" spans="1:11" ht="30" x14ac:dyDescent="0.25">
      <c r="A1534" s="3" t="s">
        <v>3086</v>
      </c>
      <c r="B1534" s="4" t="s">
        <v>3087</v>
      </c>
      <c r="C1534" s="14">
        <v>284068</v>
      </c>
      <c r="D1534" s="16" t="s">
        <v>34</v>
      </c>
      <c r="E1534" s="16" t="s">
        <v>17</v>
      </c>
      <c r="F1534" s="15">
        <v>44504</v>
      </c>
      <c r="G1534" s="8">
        <f t="shared" si="23"/>
        <v>44504</v>
      </c>
      <c r="H1534" s="16" t="s">
        <v>13</v>
      </c>
      <c r="I1534" s="9"/>
      <c r="J1534" s="10"/>
      <c r="K1534" s="17">
        <v>1</v>
      </c>
    </row>
    <row r="1535" spans="1:11" ht="30" x14ac:dyDescent="0.25">
      <c r="A1535" s="3" t="s">
        <v>3088</v>
      </c>
      <c r="B1535" s="4" t="s">
        <v>3089</v>
      </c>
      <c r="C1535" s="14">
        <v>284067</v>
      </c>
      <c r="D1535" s="16" t="s">
        <v>16</v>
      </c>
      <c r="E1535" s="16" t="s">
        <v>17</v>
      </c>
      <c r="F1535" s="15">
        <v>44531</v>
      </c>
      <c r="G1535" s="8">
        <f t="shared" si="23"/>
        <v>44531</v>
      </c>
      <c r="H1535" s="16" t="s">
        <v>13</v>
      </c>
      <c r="I1535" s="9"/>
      <c r="J1535" s="10"/>
      <c r="K1535" s="17">
        <v>1</v>
      </c>
    </row>
    <row r="1536" spans="1:11" ht="30" x14ac:dyDescent="0.25">
      <c r="A1536" s="3" t="s">
        <v>3090</v>
      </c>
      <c r="B1536" s="4" t="s">
        <v>3091</v>
      </c>
      <c r="C1536" s="5">
        <v>283764</v>
      </c>
      <c r="D1536" s="16" t="s">
        <v>11</v>
      </c>
      <c r="E1536" s="16" t="s">
        <v>17</v>
      </c>
      <c r="F1536" s="15">
        <v>44531</v>
      </c>
      <c r="G1536" s="8">
        <f t="shared" si="23"/>
        <v>44531</v>
      </c>
      <c r="H1536" s="16" t="s">
        <v>13</v>
      </c>
      <c r="I1536" s="9"/>
      <c r="J1536" s="10"/>
      <c r="K1536" s="17"/>
    </row>
    <row r="1537" spans="1:11" ht="30" x14ac:dyDescent="0.25">
      <c r="A1537" s="3" t="s">
        <v>3092</v>
      </c>
      <c r="B1537" s="4" t="s">
        <v>3093</v>
      </c>
      <c r="C1537" s="14">
        <v>284066</v>
      </c>
      <c r="D1537" s="16" t="s">
        <v>11</v>
      </c>
      <c r="E1537" s="16" t="s">
        <v>17</v>
      </c>
      <c r="F1537" s="15">
        <v>44621</v>
      </c>
      <c r="G1537" s="8">
        <f t="shared" si="23"/>
        <v>44621</v>
      </c>
      <c r="H1537" s="16" t="s">
        <v>13</v>
      </c>
      <c r="I1537" s="9"/>
      <c r="J1537" s="10"/>
      <c r="K1537" s="17"/>
    </row>
    <row r="1538" spans="1:11" ht="30" x14ac:dyDescent="0.25">
      <c r="A1538" s="3" t="s">
        <v>3094</v>
      </c>
      <c r="B1538" s="4" t="s">
        <v>3095</v>
      </c>
      <c r="C1538" s="5">
        <v>284065</v>
      </c>
      <c r="D1538" s="16" t="s">
        <v>11</v>
      </c>
      <c r="E1538" s="16" t="s">
        <v>17</v>
      </c>
      <c r="F1538" s="15">
        <v>44622</v>
      </c>
      <c r="G1538" s="8">
        <f t="shared" ref="G1538:G1601" si="24">F1538</f>
        <v>44622</v>
      </c>
      <c r="H1538" s="16" t="s">
        <v>13</v>
      </c>
      <c r="I1538" s="9"/>
      <c r="J1538" s="10"/>
      <c r="K1538" s="17"/>
    </row>
    <row r="1539" spans="1:11" ht="30" x14ac:dyDescent="0.25">
      <c r="A1539" s="3" t="s">
        <v>3096</v>
      </c>
      <c r="B1539" s="4" t="s">
        <v>3097</v>
      </c>
      <c r="C1539" s="14">
        <v>284078</v>
      </c>
      <c r="D1539" s="16" t="s">
        <v>16</v>
      </c>
      <c r="E1539" s="16" t="s">
        <v>17</v>
      </c>
      <c r="F1539" s="15">
        <v>44635</v>
      </c>
      <c r="G1539" s="8">
        <f t="shared" si="24"/>
        <v>44635</v>
      </c>
      <c r="H1539" s="16" t="s">
        <v>13</v>
      </c>
      <c r="I1539" s="9"/>
      <c r="J1539" s="10"/>
      <c r="K1539" s="17" t="s">
        <v>3098</v>
      </c>
    </row>
    <row r="1540" spans="1:11" ht="30" x14ac:dyDescent="0.25">
      <c r="A1540" s="3" t="s">
        <v>3099</v>
      </c>
      <c r="B1540" s="4" t="s">
        <v>3100</v>
      </c>
      <c r="C1540" s="14">
        <v>284084</v>
      </c>
      <c r="D1540" s="17" t="s">
        <v>16</v>
      </c>
      <c r="E1540" s="17" t="s">
        <v>17</v>
      </c>
      <c r="F1540" s="15">
        <v>44636</v>
      </c>
      <c r="G1540" s="8">
        <f t="shared" si="24"/>
        <v>44636</v>
      </c>
      <c r="H1540" s="17" t="s">
        <v>13</v>
      </c>
      <c r="I1540" s="53"/>
      <c r="J1540" s="10"/>
      <c r="K1540" s="17">
        <v>1</v>
      </c>
    </row>
    <row r="1541" spans="1:11" ht="30" x14ac:dyDescent="0.25">
      <c r="A1541" s="3" t="s">
        <v>3101</v>
      </c>
      <c r="B1541" s="4" t="s">
        <v>3102</v>
      </c>
      <c r="C1541" s="14">
        <v>285013</v>
      </c>
      <c r="D1541" s="17" t="s">
        <v>28</v>
      </c>
      <c r="E1541" s="17" t="s">
        <v>17</v>
      </c>
      <c r="F1541" s="15">
        <v>44652</v>
      </c>
      <c r="G1541" s="8">
        <f t="shared" si="24"/>
        <v>44652</v>
      </c>
      <c r="H1541" s="17" t="s">
        <v>13</v>
      </c>
      <c r="I1541" s="53"/>
      <c r="J1541" s="10"/>
      <c r="K1541" s="17"/>
    </row>
    <row r="1542" spans="1:11" ht="30" x14ac:dyDescent="0.25">
      <c r="A1542" s="3" t="s">
        <v>3103</v>
      </c>
      <c r="B1542" s="4" t="s">
        <v>3104</v>
      </c>
      <c r="C1542" s="14">
        <v>285012</v>
      </c>
      <c r="D1542" s="17" t="s">
        <v>11</v>
      </c>
      <c r="E1542" s="17" t="s">
        <v>12</v>
      </c>
      <c r="F1542" s="15">
        <v>44652</v>
      </c>
      <c r="G1542" s="8">
        <f t="shared" si="24"/>
        <v>44652</v>
      </c>
      <c r="H1542" s="17" t="s">
        <v>39</v>
      </c>
      <c r="I1542" s="53"/>
      <c r="J1542" s="10"/>
      <c r="K1542" s="17">
        <v>1</v>
      </c>
    </row>
    <row r="1543" spans="1:11" ht="30" x14ac:dyDescent="0.25">
      <c r="A1543" s="3" t="s">
        <v>3105</v>
      </c>
      <c r="B1543" s="4" t="s">
        <v>3106</v>
      </c>
      <c r="C1543" s="54">
        <v>286004</v>
      </c>
      <c r="D1543" s="17" t="s">
        <v>3107</v>
      </c>
      <c r="E1543" s="17" t="s">
        <v>17</v>
      </c>
      <c r="F1543" s="15">
        <v>44682</v>
      </c>
      <c r="G1543" s="8">
        <f t="shared" si="24"/>
        <v>44682</v>
      </c>
      <c r="H1543" s="8" t="s">
        <v>13</v>
      </c>
      <c r="I1543" s="17"/>
      <c r="J1543" s="10"/>
      <c r="K1543" s="17">
        <v>1</v>
      </c>
    </row>
    <row r="1544" spans="1:11" ht="30" x14ac:dyDescent="0.25">
      <c r="A1544" s="3" t="s">
        <v>3108</v>
      </c>
      <c r="B1544" s="4" t="s">
        <v>3109</v>
      </c>
      <c r="C1544" s="54">
        <v>286629</v>
      </c>
      <c r="D1544" s="17" t="s">
        <v>16</v>
      </c>
      <c r="E1544" s="17" t="s">
        <v>17</v>
      </c>
      <c r="F1544" s="15">
        <v>44687</v>
      </c>
      <c r="G1544" s="8">
        <f t="shared" si="24"/>
        <v>44687</v>
      </c>
      <c r="H1544" s="8" t="s">
        <v>13</v>
      </c>
      <c r="I1544" s="17"/>
      <c r="J1544" s="10"/>
      <c r="K1544" s="17">
        <v>1</v>
      </c>
    </row>
    <row r="1545" spans="1:11" ht="30" x14ac:dyDescent="0.25">
      <c r="A1545" s="3" t="s">
        <v>3110</v>
      </c>
      <c r="B1545" s="4" t="s">
        <v>3111</v>
      </c>
      <c r="C1545" s="5">
        <v>286628</v>
      </c>
      <c r="D1545" s="17" t="s">
        <v>37</v>
      </c>
      <c r="E1545" s="17" t="s">
        <v>38</v>
      </c>
      <c r="F1545" s="15">
        <v>44687</v>
      </c>
      <c r="G1545" s="8">
        <f t="shared" si="24"/>
        <v>44687</v>
      </c>
      <c r="H1545" s="8" t="s">
        <v>39</v>
      </c>
      <c r="I1545" s="17"/>
      <c r="J1545" s="10"/>
      <c r="K1545" s="17">
        <v>1</v>
      </c>
    </row>
    <row r="1546" spans="1:11" ht="30" x14ac:dyDescent="0.25">
      <c r="A1546" s="3" t="s">
        <v>3112</v>
      </c>
      <c r="B1546" s="4" t="s">
        <v>3113</v>
      </c>
      <c r="C1546" s="5">
        <v>286613</v>
      </c>
      <c r="D1546" s="17" t="s">
        <v>11</v>
      </c>
      <c r="E1546" s="17" t="s">
        <v>12</v>
      </c>
      <c r="F1546" s="15">
        <v>44691</v>
      </c>
      <c r="G1546" s="8">
        <f t="shared" si="24"/>
        <v>44691</v>
      </c>
      <c r="H1546" s="8" t="s">
        <v>39</v>
      </c>
      <c r="I1546" s="17"/>
      <c r="J1546" s="10"/>
      <c r="K1546" s="17">
        <v>1</v>
      </c>
    </row>
    <row r="1547" spans="1:11" ht="30" x14ac:dyDescent="0.25">
      <c r="A1547" s="3" t="s">
        <v>3114</v>
      </c>
      <c r="B1547" s="4" t="s">
        <v>3115</v>
      </c>
      <c r="C1547" s="54">
        <v>286948</v>
      </c>
      <c r="D1547" s="17" t="s">
        <v>3116</v>
      </c>
      <c r="E1547" s="17" t="s">
        <v>17</v>
      </c>
      <c r="F1547" s="15">
        <v>44713</v>
      </c>
      <c r="G1547" s="8">
        <f t="shared" si="24"/>
        <v>44713</v>
      </c>
      <c r="H1547" s="8" t="s">
        <v>13</v>
      </c>
      <c r="I1547" s="17"/>
      <c r="J1547" s="10"/>
      <c r="K1547" s="17">
        <v>1</v>
      </c>
    </row>
    <row r="1548" spans="1:11" ht="30" x14ac:dyDescent="0.25">
      <c r="A1548" s="3" t="s">
        <v>3117</v>
      </c>
      <c r="B1548" s="4" t="s">
        <v>3118</v>
      </c>
      <c r="C1548" s="54">
        <v>286949</v>
      </c>
      <c r="D1548" s="17" t="s">
        <v>3119</v>
      </c>
      <c r="E1548" s="17" t="s">
        <v>17</v>
      </c>
      <c r="F1548" s="15">
        <v>44714</v>
      </c>
      <c r="G1548" s="8">
        <f t="shared" si="24"/>
        <v>44714</v>
      </c>
      <c r="H1548" s="8" t="s">
        <v>13</v>
      </c>
      <c r="I1548" s="17"/>
      <c r="J1548" s="10"/>
      <c r="K1548" s="17">
        <v>1</v>
      </c>
    </row>
    <row r="1549" spans="1:11" ht="30" x14ac:dyDescent="0.25">
      <c r="A1549" s="3" t="s">
        <v>3120</v>
      </c>
      <c r="B1549" s="4" t="s">
        <v>3121</v>
      </c>
      <c r="C1549" s="5">
        <v>288980</v>
      </c>
      <c r="D1549" s="17" t="s">
        <v>3119</v>
      </c>
      <c r="E1549" s="17" t="s">
        <v>17</v>
      </c>
      <c r="F1549" s="15">
        <v>44715</v>
      </c>
      <c r="G1549" s="8">
        <f t="shared" si="24"/>
        <v>44715</v>
      </c>
      <c r="H1549" s="8" t="s">
        <v>13</v>
      </c>
      <c r="I1549" s="17"/>
      <c r="J1549" s="10"/>
      <c r="K1549" s="17">
        <v>1</v>
      </c>
    </row>
    <row r="1550" spans="1:11" ht="30" x14ac:dyDescent="0.25">
      <c r="A1550" s="3" t="s">
        <v>3122</v>
      </c>
      <c r="B1550" s="4" t="s">
        <v>3123</v>
      </c>
      <c r="C1550" s="5">
        <v>287252</v>
      </c>
      <c r="D1550" s="17" t="s">
        <v>3124</v>
      </c>
      <c r="E1550" s="17" t="s">
        <v>12</v>
      </c>
      <c r="F1550" s="15">
        <v>44716</v>
      </c>
      <c r="G1550" s="8">
        <f t="shared" si="24"/>
        <v>44716</v>
      </c>
      <c r="H1550" s="8" t="s">
        <v>39</v>
      </c>
      <c r="I1550" s="17"/>
      <c r="J1550" s="10"/>
      <c r="K1550" s="17">
        <v>1</v>
      </c>
    </row>
    <row r="1551" spans="1:11" ht="30" x14ac:dyDescent="0.25">
      <c r="A1551" s="3" t="s">
        <v>3125</v>
      </c>
      <c r="B1551" s="4" t="s">
        <v>3126</v>
      </c>
      <c r="C1551" s="54">
        <v>287268</v>
      </c>
      <c r="D1551" s="17" t="s">
        <v>3116</v>
      </c>
      <c r="E1551" s="17" t="s">
        <v>17</v>
      </c>
      <c r="F1551" s="15">
        <v>44717</v>
      </c>
      <c r="G1551" s="8">
        <f t="shared" si="24"/>
        <v>44717</v>
      </c>
      <c r="H1551" s="8" t="s">
        <v>13</v>
      </c>
      <c r="I1551" s="17"/>
      <c r="J1551" s="10"/>
      <c r="K1551" s="17">
        <v>2</v>
      </c>
    </row>
    <row r="1552" spans="1:11" ht="30" x14ac:dyDescent="0.25">
      <c r="A1552" s="3" t="s">
        <v>3127</v>
      </c>
      <c r="B1552" s="4" t="s">
        <v>3128</v>
      </c>
      <c r="C1552" s="54">
        <v>287572</v>
      </c>
      <c r="D1552" s="17" t="s">
        <v>3129</v>
      </c>
      <c r="E1552" s="17" t="s">
        <v>38</v>
      </c>
      <c r="F1552" s="15">
        <v>44718</v>
      </c>
      <c r="G1552" s="8">
        <f t="shared" si="24"/>
        <v>44718</v>
      </c>
      <c r="H1552" s="8" t="s">
        <v>39</v>
      </c>
      <c r="I1552" s="17"/>
      <c r="J1552" s="10"/>
      <c r="K1552" s="17">
        <v>1</v>
      </c>
    </row>
    <row r="1553" spans="1:11" ht="30" x14ac:dyDescent="0.25">
      <c r="A1553" s="3" t="s">
        <v>3130</v>
      </c>
      <c r="B1553" s="4" t="s">
        <v>3131</v>
      </c>
      <c r="C1553" s="54">
        <v>288212</v>
      </c>
      <c r="D1553" s="17" t="s">
        <v>11</v>
      </c>
      <c r="E1553" s="17" t="s">
        <v>12</v>
      </c>
      <c r="F1553" s="15">
        <v>44719</v>
      </c>
      <c r="G1553" s="8">
        <f t="shared" si="24"/>
        <v>44719</v>
      </c>
      <c r="H1553" s="8" t="s">
        <v>39</v>
      </c>
      <c r="I1553" s="17"/>
      <c r="J1553" s="10"/>
      <c r="K1553" s="17">
        <v>2</v>
      </c>
    </row>
    <row r="1554" spans="1:11" ht="30" x14ac:dyDescent="0.25">
      <c r="A1554" s="3" t="s">
        <v>3132</v>
      </c>
      <c r="B1554" s="4" t="s">
        <v>3133</v>
      </c>
      <c r="C1554" s="54">
        <v>288852</v>
      </c>
      <c r="D1554" s="17" t="s">
        <v>11</v>
      </c>
      <c r="E1554" s="17" t="s">
        <v>12</v>
      </c>
      <c r="F1554" s="15">
        <v>44720</v>
      </c>
      <c r="G1554" s="8">
        <f t="shared" si="24"/>
        <v>44720</v>
      </c>
      <c r="H1554" s="8" t="s">
        <v>39</v>
      </c>
      <c r="I1554" s="17"/>
      <c r="J1554" s="10"/>
      <c r="K1554" s="17">
        <v>1</v>
      </c>
    </row>
    <row r="1555" spans="1:11" ht="30" x14ac:dyDescent="0.25">
      <c r="A1555" s="3" t="s">
        <v>3134</v>
      </c>
      <c r="B1555" s="4" t="s">
        <v>3135</v>
      </c>
      <c r="C1555" s="5">
        <v>288853</v>
      </c>
      <c r="D1555" s="17" t="s">
        <v>31</v>
      </c>
      <c r="E1555" s="17" t="s">
        <v>17</v>
      </c>
      <c r="F1555" s="15">
        <v>44721</v>
      </c>
      <c r="G1555" s="8">
        <f t="shared" si="24"/>
        <v>44721</v>
      </c>
      <c r="H1555" s="8" t="s">
        <v>13</v>
      </c>
      <c r="I1555" s="17"/>
      <c r="J1555" s="10"/>
      <c r="K1555" s="17">
        <v>2</v>
      </c>
    </row>
    <row r="1556" spans="1:11" ht="30" x14ac:dyDescent="0.25">
      <c r="A1556" s="3" t="s">
        <v>3136</v>
      </c>
      <c r="B1556" s="4" t="s">
        <v>3137</v>
      </c>
      <c r="C1556" s="54">
        <v>288916</v>
      </c>
      <c r="D1556" s="17" t="s">
        <v>11</v>
      </c>
      <c r="E1556" s="17" t="s">
        <v>12</v>
      </c>
      <c r="F1556" s="15">
        <v>44722</v>
      </c>
      <c r="G1556" s="8">
        <f t="shared" si="24"/>
        <v>44722</v>
      </c>
      <c r="H1556" s="8" t="s">
        <v>39</v>
      </c>
      <c r="I1556" s="17"/>
      <c r="J1556" s="10"/>
      <c r="K1556" s="17">
        <v>1</v>
      </c>
    </row>
    <row r="1557" spans="1:11" ht="30" x14ac:dyDescent="0.25">
      <c r="A1557" s="3" t="s">
        <v>3138</v>
      </c>
      <c r="B1557" s="4" t="s">
        <v>3139</v>
      </c>
      <c r="C1557" s="5">
        <v>288932</v>
      </c>
      <c r="D1557" s="17" t="s">
        <v>34</v>
      </c>
      <c r="E1557" s="17" t="s">
        <v>17</v>
      </c>
      <c r="F1557" s="15">
        <v>44723</v>
      </c>
      <c r="G1557" s="8">
        <f t="shared" si="24"/>
        <v>44723</v>
      </c>
      <c r="H1557" s="8" t="s">
        <v>13</v>
      </c>
      <c r="I1557" s="17"/>
      <c r="J1557" s="10"/>
      <c r="K1557" s="17">
        <v>1</v>
      </c>
    </row>
    <row r="1558" spans="1:11" ht="30" x14ac:dyDescent="0.25">
      <c r="A1558" s="3" t="s">
        <v>3140</v>
      </c>
      <c r="B1558" s="4" t="s">
        <v>3141</v>
      </c>
      <c r="C1558" s="54">
        <v>288933</v>
      </c>
      <c r="D1558" s="17" t="s">
        <v>34</v>
      </c>
      <c r="E1558" s="17" t="s">
        <v>17</v>
      </c>
      <c r="F1558" s="15">
        <v>44724</v>
      </c>
      <c r="G1558" s="8">
        <f t="shared" si="24"/>
        <v>44724</v>
      </c>
      <c r="H1558" s="8" t="s">
        <v>13</v>
      </c>
      <c r="I1558" s="17"/>
      <c r="J1558" s="10"/>
      <c r="K1558" s="17">
        <v>2</v>
      </c>
    </row>
    <row r="1559" spans="1:11" ht="30" x14ac:dyDescent="0.25">
      <c r="A1559" s="3" t="s">
        <v>3142</v>
      </c>
      <c r="B1559" s="4" t="s">
        <v>3143</v>
      </c>
      <c r="C1559" s="54">
        <v>288884</v>
      </c>
      <c r="D1559" s="17" t="s">
        <v>16</v>
      </c>
      <c r="E1559" s="17" t="s">
        <v>17</v>
      </c>
      <c r="F1559" s="15">
        <v>44725</v>
      </c>
      <c r="G1559" s="8">
        <f t="shared" si="24"/>
        <v>44725</v>
      </c>
      <c r="H1559" s="8" t="s">
        <v>13</v>
      </c>
      <c r="I1559" s="17"/>
      <c r="J1559" s="10"/>
      <c r="K1559" s="17">
        <v>2</v>
      </c>
    </row>
    <row r="1560" spans="1:11" ht="30" x14ac:dyDescent="0.25">
      <c r="A1560" s="3" t="s">
        <v>3144</v>
      </c>
      <c r="B1560" s="4" t="s">
        <v>3145</v>
      </c>
      <c r="C1560" s="54">
        <v>289188</v>
      </c>
      <c r="D1560" s="17" t="s">
        <v>11</v>
      </c>
      <c r="E1560" s="17" t="s">
        <v>12</v>
      </c>
      <c r="F1560" s="15">
        <v>44726</v>
      </c>
      <c r="G1560" s="8">
        <f t="shared" si="24"/>
        <v>44726</v>
      </c>
      <c r="H1560" s="8" t="s">
        <v>39</v>
      </c>
      <c r="I1560" s="17"/>
      <c r="J1560" s="10"/>
      <c r="K1560" s="17">
        <v>1</v>
      </c>
    </row>
    <row r="1561" spans="1:11" ht="30" x14ac:dyDescent="0.25">
      <c r="A1561" s="3" t="s">
        <v>3146</v>
      </c>
      <c r="B1561" s="4" t="s">
        <v>3147</v>
      </c>
      <c r="C1561" s="5">
        <v>289204</v>
      </c>
      <c r="D1561" s="17" t="s">
        <v>31</v>
      </c>
      <c r="E1561" s="17" t="s">
        <v>17</v>
      </c>
      <c r="F1561" s="15">
        <v>44797</v>
      </c>
      <c r="G1561" s="8">
        <f t="shared" si="24"/>
        <v>44797</v>
      </c>
      <c r="H1561" s="8" t="s">
        <v>13</v>
      </c>
      <c r="I1561" s="17"/>
      <c r="J1561" s="10"/>
      <c r="K1561" s="17">
        <v>2</v>
      </c>
    </row>
    <row r="1562" spans="1:11" ht="30" x14ac:dyDescent="0.25">
      <c r="A1562" s="3" t="s">
        <v>3148</v>
      </c>
      <c r="B1562" s="4" t="s">
        <v>3149</v>
      </c>
      <c r="C1562" s="54">
        <v>289622</v>
      </c>
      <c r="D1562" s="17" t="s">
        <v>11</v>
      </c>
      <c r="E1562" s="17" t="s">
        <v>12</v>
      </c>
      <c r="F1562" s="15">
        <v>44802</v>
      </c>
      <c r="G1562" s="8">
        <f t="shared" si="24"/>
        <v>44802</v>
      </c>
      <c r="H1562" s="8" t="s">
        <v>39</v>
      </c>
      <c r="I1562" s="17"/>
      <c r="J1562" s="10"/>
      <c r="K1562" s="17">
        <v>1</v>
      </c>
    </row>
    <row r="1563" spans="1:11" ht="30" x14ac:dyDescent="0.25">
      <c r="A1563" s="3" t="s">
        <v>3150</v>
      </c>
      <c r="B1563" s="4" t="s">
        <v>3151</v>
      </c>
      <c r="C1563" s="54">
        <v>289631</v>
      </c>
      <c r="D1563" s="17" t="s">
        <v>34</v>
      </c>
      <c r="E1563" s="17" t="s">
        <v>17</v>
      </c>
      <c r="F1563" s="15">
        <v>44805</v>
      </c>
      <c r="G1563" s="8">
        <f t="shared" si="24"/>
        <v>44805</v>
      </c>
      <c r="H1563" s="8" t="s">
        <v>13</v>
      </c>
      <c r="I1563" s="17"/>
      <c r="J1563" s="10"/>
      <c r="K1563" s="17">
        <v>1</v>
      </c>
    </row>
    <row r="1564" spans="1:11" ht="30" x14ac:dyDescent="0.25">
      <c r="A1564" s="3" t="s">
        <v>3152</v>
      </c>
      <c r="B1564" s="4" t="s">
        <v>3153</v>
      </c>
      <c r="C1564" s="54">
        <v>293231</v>
      </c>
      <c r="D1564" s="17" t="s">
        <v>3129</v>
      </c>
      <c r="E1564" s="17" t="s">
        <v>38</v>
      </c>
      <c r="F1564" s="15">
        <v>44868</v>
      </c>
      <c r="G1564" s="8">
        <f t="shared" si="24"/>
        <v>44868</v>
      </c>
      <c r="H1564" s="8" t="s">
        <v>39</v>
      </c>
      <c r="I1564" s="17"/>
      <c r="J1564" s="10"/>
      <c r="K1564" s="17"/>
    </row>
    <row r="1565" spans="1:11" ht="30" x14ac:dyDescent="0.25">
      <c r="A1565" s="3" t="s">
        <v>3154</v>
      </c>
      <c r="B1565" s="4" t="s">
        <v>3155</v>
      </c>
      <c r="C1565" s="5">
        <v>296432</v>
      </c>
      <c r="D1565" s="17" t="s">
        <v>28</v>
      </c>
      <c r="E1565" s="17" t="s">
        <v>17</v>
      </c>
      <c r="F1565" s="15">
        <v>44916</v>
      </c>
      <c r="G1565" s="8">
        <f t="shared" si="24"/>
        <v>44916</v>
      </c>
      <c r="H1565" s="8" t="s">
        <v>13</v>
      </c>
      <c r="I1565" s="17"/>
      <c r="J1565" s="10"/>
      <c r="K1565" s="17">
        <v>1</v>
      </c>
    </row>
    <row r="1566" spans="1:11" ht="30" x14ac:dyDescent="0.25">
      <c r="A1566" s="3" t="s">
        <v>3156</v>
      </c>
      <c r="B1566" s="4" t="s">
        <v>3157</v>
      </c>
      <c r="C1566" s="54">
        <v>298433</v>
      </c>
      <c r="D1566" s="17" t="s">
        <v>11</v>
      </c>
      <c r="E1566" s="17" t="s">
        <v>12</v>
      </c>
      <c r="F1566" s="15">
        <v>44924</v>
      </c>
      <c r="G1566" s="8">
        <f t="shared" si="24"/>
        <v>44924</v>
      </c>
      <c r="H1566" s="8" t="s">
        <v>39</v>
      </c>
      <c r="I1566" s="17"/>
      <c r="J1566" s="10"/>
      <c r="K1566" s="17">
        <v>1</v>
      </c>
    </row>
    <row r="1567" spans="1:11" ht="30" x14ac:dyDescent="0.25">
      <c r="A1567" s="3" t="s">
        <v>3158</v>
      </c>
      <c r="B1567" s="4" t="s">
        <v>3159</v>
      </c>
      <c r="C1567" s="5">
        <v>298434</v>
      </c>
      <c r="D1567" s="17" t="s">
        <v>16</v>
      </c>
      <c r="E1567" s="17" t="s">
        <v>17</v>
      </c>
      <c r="F1567" s="15">
        <v>44945</v>
      </c>
      <c r="G1567" s="8">
        <f t="shared" si="24"/>
        <v>44945</v>
      </c>
      <c r="H1567" s="8" t="s">
        <v>13</v>
      </c>
      <c r="I1567" s="17"/>
      <c r="J1567" s="10"/>
      <c r="K1567" s="17">
        <v>2</v>
      </c>
    </row>
    <row r="1568" spans="1:11" ht="30" x14ac:dyDescent="0.25">
      <c r="A1568" s="3" t="s">
        <v>3160</v>
      </c>
      <c r="B1568" s="4" t="s">
        <v>3161</v>
      </c>
      <c r="C1568" s="54">
        <v>301633</v>
      </c>
      <c r="D1568" s="17" t="s">
        <v>11</v>
      </c>
      <c r="E1568" s="17" t="s">
        <v>12</v>
      </c>
      <c r="F1568" s="15">
        <v>44946</v>
      </c>
      <c r="G1568" s="8">
        <f t="shared" si="24"/>
        <v>44946</v>
      </c>
      <c r="H1568" s="8" t="s">
        <v>39</v>
      </c>
      <c r="I1568" s="17"/>
      <c r="J1568" s="10"/>
      <c r="K1568" s="17">
        <v>1</v>
      </c>
    </row>
    <row r="1569" spans="1:11" ht="30" x14ac:dyDescent="0.25">
      <c r="A1569" s="3" t="s">
        <v>3162</v>
      </c>
      <c r="B1569" s="4" t="s">
        <v>3163</v>
      </c>
      <c r="C1569" s="54">
        <v>301635</v>
      </c>
      <c r="D1569" s="17" t="s">
        <v>11</v>
      </c>
      <c r="E1569" s="17" t="s">
        <v>12</v>
      </c>
      <c r="F1569" s="15">
        <v>44958</v>
      </c>
      <c r="G1569" s="8">
        <f t="shared" si="24"/>
        <v>44958</v>
      </c>
      <c r="H1569" s="8" t="s">
        <v>39</v>
      </c>
      <c r="I1569" s="17"/>
      <c r="J1569" s="10"/>
      <c r="K1569" s="17">
        <v>1</v>
      </c>
    </row>
    <row r="1570" spans="1:11" ht="30" x14ac:dyDescent="0.25">
      <c r="A1570" s="3" t="s">
        <v>3164</v>
      </c>
      <c r="B1570" s="4" t="s">
        <v>3165</v>
      </c>
      <c r="C1570" s="54">
        <v>301634</v>
      </c>
      <c r="D1570" s="17" t="s">
        <v>11</v>
      </c>
      <c r="E1570" s="17" t="s">
        <v>12</v>
      </c>
      <c r="F1570" s="15">
        <v>44946</v>
      </c>
      <c r="G1570" s="8">
        <f t="shared" si="24"/>
        <v>44946</v>
      </c>
      <c r="H1570" s="8" t="s">
        <v>39</v>
      </c>
      <c r="I1570" s="17"/>
      <c r="J1570" s="10"/>
      <c r="K1570" s="17">
        <v>1</v>
      </c>
    </row>
    <row r="1571" spans="1:11" ht="30" x14ac:dyDescent="0.25">
      <c r="A1571" s="3" t="s">
        <v>3166</v>
      </c>
      <c r="B1571" s="4" t="s">
        <v>3167</v>
      </c>
      <c r="C1571" s="54">
        <v>302433</v>
      </c>
      <c r="D1571" s="17" t="s">
        <v>34</v>
      </c>
      <c r="E1571" s="17" t="s">
        <v>17</v>
      </c>
      <c r="F1571" s="15">
        <v>44951</v>
      </c>
      <c r="G1571" s="8">
        <f t="shared" si="24"/>
        <v>44951</v>
      </c>
      <c r="H1571" s="8" t="s">
        <v>13</v>
      </c>
      <c r="I1571" s="17"/>
      <c r="J1571" s="10"/>
      <c r="K1571" s="17">
        <v>1</v>
      </c>
    </row>
    <row r="1572" spans="1:11" ht="30" x14ac:dyDescent="0.25">
      <c r="A1572" s="3" t="s">
        <v>3168</v>
      </c>
      <c r="B1572" s="4" t="s">
        <v>3169</v>
      </c>
      <c r="C1572" s="5">
        <v>304433</v>
      </c>
      <c r="D1572" s="17" t="s">
        <v>34</v>
      </c>
      <c r="E1572" s="17" t="s">
        <v>17</v>
      </c>
      <c r="F1572" s="15">
        <v>44970</v>
      </c>
      <c r="G1572" s="8">
        <f t="shared" si="24"/>
        <v>44970</v>
      </c>
      <c r="H1572" s="8" t="s">
        <v>13</v>
      </c>
      <c r="I1572" s="17"/>
      <c r="J1572" s="10"/>
      <c r="K1572" s="17">
        <v>1</v>
      </c>
    </row>
    <row r="1573" spans="1:11" ht="30" x14ac:dyDescent="0.25">
      <c r="A1573" s="3" t="s">
        <v>3170</v>
      </c>
      <c r="B1573" s="4" t="s">
        <v>3171</v>
      </c>
      <c r="C1573" s="54">
        <v>304833</v>
      </c>
      <c r="D1573" s="17" t="s">
        <v>28</v>
      </c>
      <c r="E1573" s="17" t="s">
        <v>17</v>
      </c>
      <c r="F1573" s="15">
        <v>44971</v>
      </c>
      <c r="G1573" s="8">
        <f t="shared" si="24"/>
        <v>44971</v>
      </c>
      <c r="H1573" s="8" t="s">
        <v>13</v>
      </c>
      <c r="I1573" s="17"/>
      <c r="J1573" s="10"/>
      <c r="K1573" s="17"/>
    </row>
    <row r="1574" spans="1:11" ht="30" x14ac:dyDescent="0.25">
      <c r="A1574" s="3" t="s">
        <v>3172</v>
      </c>
      <c r="B1574" s="4" t="s">
        <v>3173</v>
      </c>
      <c r="C1574" s="54">
        <v>305233</v>
      </c>
      <c r="D1574" s="17" t="s">
        <v>11</v>
      </c>
      <c r="E1574" s="17" t="s">
        <v>12</v>
      </c>
      <c r="F1574" s="15">
        <v>44972</v>
      </c>
      <c r="G1574" s="8">
        <f t="shared" si="24"/>
        <v>44972</v>
      </c>
      <c r="H1574" s="8" t="s">
        <v>39</v>
      </c>
      <c r="I1574" s="17"/>
      <c r="J1574" s="10"/>
      <c r="K1574" s="17">
        <v>1</v>
      </c>
    </row>
    <row r="1575" spans="1:11" ht="30" x14ac:dyDescent="0.25">
      <c r="A1575" s="3" t="s">
        <v>3174</v>
      </c>
      <c r="B1575" s="4" t="s">
        <v>3175</v>
      </c>
      <c r="C1575" s="5">
        <v>304033</v>
      </c>
      <c r="D1575" s="17" t="s">
        <v>11</v>
      </c>
      <c r="E1575" s="17" t="s">
        <v>12</v>
      </c>
      <c r="F1575" s="15">
        <v>44837</v>
      </c>
      <c r="G1575" s="8">
        <f t="shared" si="24"/>
        <v>44837</v>
      </c>
      <c r="H1575" s="8" t="s">
        <v>39</v>
      </c>
      <c r="I1575" s="17"/>
      <c r="J1575" s="10"/>
      <c r="K1575" s="17">
        <v>3</v>
      </c>
    </row>
    <row r="1576" spans="1:11" ht="30" x14ac:dyDescent="0.25">
      <c r="A1576" s="3" t="s">
        <v>3176</v>
      </c>
      <c r="B1576" s="4" t="s">
        <v>3177</v>
      </c>
      <c r="C1576" s="54">
        <v>306833</v>
      </c>
      <c r="D1576" s="17" t="s">
        <v>28</v>
      </c>
      <c r="E1576" s="17" t="s">
        <v>17</v>
      </c>
      <c r="F1576" s="15">
        <v>44981</v>
      </c>
      <c r="G1576" s="8">
        <f t="shared" si="24"/>
        <v>44981</v>
      </c>
      <c r="H1576" s="8" t="s">
        <v>13</v>
      </c>
      <c r="I1576" s="17"/>
      <c r="J1576" s="10"/>
      <c r="K1576" s="17">
        <v>1</v>
      </c>
    </row>
    <row r="1577" spans="1:11" ht="30" x14ac:dyDescent="0.25">
      <c r="A1577" s="3" t="s">
        <v>3178</v>
      </c>
      <c r="B1577" s="4" t="s">
        <v>3179</v>
      </c>
      <c r="C1577" s="5">
        <v>309633</v>
      </c>
      <c r="D1577" s="17" t="s">
        <v>11</v>
      </c>
      <c r="E1577" s="17" t="s">
        <v>12</v>
      </c>
      <c r="F1577" s="15">
        <v>45031</v>
      </c>
      <c r="G1577" s="8">
        <f t="shared" si="24"/>
        <v>45031</v>
      </c>
      <c r="H1577" s="8" t="s">
        <v>13</v>
      </c>
      <c r="I1577" s="17"/>
      <c r="J1577" s="10"/>
      <c r="K1577" s="17">
        <v>2</v>
      </c>
    </row>
    <row r="1578" spans="1:11" ht="30" x14ac:dyDescent="0.25">
      <c r="A1578" s="3" t="s">
        <v>3180</v>
      </c>
      <c r="B1578" s="4" t="s">
        <v>3181</v>
      </c>
      <c r="C1578" s="54">
        <v>309634</v>
      </c>
      <c r="D1578" s="17" t="s">
        <v>34</v>
      </c>
      <c r="E1578" s="17" t="s">
        <v>17</v>
      </c>
      <c r="F1578" s="15">
        <v>45031</v>
      </c>
      <c r="G1578" s="8">
        <f t="shared" si="24"/>
        <v>45031</v>
      </c>
      <c r="H1578" s="8" t="s">
        <v>13</v>
      </c>
      <c r="I1578" s="17"/>
      <c r="J1578" s="10"/>
      <c r="K1578" s="17">
        <v>2</v>
      </c>
    </row>
    <row r="1579" spans="1:11" ht="30" x14ac:dyDescent="0.25">
      <c r="A1579" s="3" t="s">
        <v>3182</v>
      </c>
      <c r="B1579" s="4" t="s">
        <v>3183</v>
      </c>
      <c r="C1579" s="54">
        <v>310433</v>
      </c>
      <c r="D1579" s="17" t="s">
        <v>11</v>
      </c>
      <c r="E1579" s="17" t="s">
        <v>12</v>
      </c>
      <c r="F1579" s="15">
        <v>45031</v>
      </c>
      <c r="G1579" s="8">
        <f t="shared" si="24"/>
        <v>45031</v>
      </c>
      <c r="H1579" s="8" t="s">
        <v>39</v>
      </c>
      <c r="I1579" s="17"/>
      <c r="J1579" s="10"/>
      <c r="K1579" s="17">
        <v>1</v>
      </c>
    </row>
    <row r="1580" spans="1:11" ht="30" x14ac:dyDescent="0.25">
      <c r="A1580" s="3" t="s">
        <v>3184</v>
      </c>
      <c r="B1580" s="4" t="s">
        <v>3185</v>
      </c>
      <c r="C1580" s="5">
        <v>311233</v>
      </c>
      <c r="D1580" s="17" t="s">
        <v>28</v>
      </c>
      <c r="E1580" s="17" t="s">
        <v>17</v>
      </c>
      <c r="F1580" s="15">
        <v>45031</v>
      </c>
      <c r="G1580" s="8">
        <f t="shared" si="24"/>
        <v>45031</v>
      </c>
      <c r="H1580" s="8" t="s">
        <v>13</v>
      </c>
      <c r="I1580" s="17"/>
      <c r="J1580" s="10"/>
      <c r="K1580" s="17">
        <v>2</v>
      </c>
    </row>
    <row r="1581" spans="1:11" ht="30" x14ac:dyDescent="0.25">
      <c r="A1581" s="3" t="s">
        <v>3186</v>
      </c>
      <c r="B1581" s="4" t="s">
        <v>3187</v>
      </c>
      <c r="C1581" s="54">
        <v>312433</v>
      </c>
      <c r="D1581" s="17" t="s">
        <v>28</v>
      </c>
      <c r="E1581" s="17" t="s">
        <v>17</v>
      </c>
      <c r="F1581" s="15">
        <v>45034</v>
      </c>
      <c r="G1581" s="8">
        <f t="shared" si="24"/>
        <v>45034</v>
      </c>
      <c r="H1581" s="8" t="s">
        <v>13</v>
      </c>
      <c r="I1581" s="17"/>
      <c r="J1581" s="10"/>
      <c r="K1581" s="17">
        <v>1</v>
      </c>
    </row>
    <row r="1582" spans="1:11" ht="30" x14ac:dyDescent="0.25">
      <c r="A1582" s="3" t="s">
        <v>3188</v>
      </c>
      <c r="B1582" s="4" t="s">
        <v>3189</v>
      </c>
      <c r="C1582" s="5">
        <v>312434</v>
      </c>
      <c r="D1582" s="17" t="s">
        <v>37</v>
      </c>
      <c r="E1582" s="17" t="s">
        <v>38</v>
      </c>
      <c r="F1582" s="15">
        <v>45031</v>
      </c>
      <c r="G1582" s="8">
        <f t="shared" si="24"/>
        <v>45031</v>
      </c>
      <c r="H1582" s="8" t="s">
        <v>39</v>
      </c>
      <c r="I1582" s="17"/>
      <c r="J1582" s="10"/>
      <c r="K1582" s="17"/>
    </row>
    <row r="1583" spans="1:11" ht="30" x14ac:dyDescent="0.25">
      <c r="A1583" s="3" t="s">
        <v>3190</v>
      </c>
      <c r="B1583" s="4" t="s">
        <v>3191</v>
      </c>
      <c r="C1583" s="54">
        <v>312834</v>
      </c>
      <c r="D1583" s="17" t="s">
        <v>37</v>
      </c>
      <c r="E1583" s="17" t="s">
        <v>38</v>
      </c>
      <c r="F1583" s="15">
        <v>45078</v>
      </c>
      <c r="G1583" s="8">
        <f t="shared" si="24"/>
        <v>45078</v>
      </c>
      <c r="H1583" s="8" t="s">
        <v>39</v>
      </c>
      <c r="I1583" s="17"/>
      <c r="J1583" s="10"/>
      <c r="K1583" s="17">
        <v>1</v>
      </c>
    </row>
    <row r="1584" spans="1:11" ht="30" x14ac:dyDescent="0.25">
      <c r="A1584" s="3" t="s">
        <v>3192</v>
      </c>
      <c r="B1584" s="4" t="s">
        <v>3193</v>
      </c>
      <c r="C1584" s="54">
        <v>312033</v>
      </c>
      <c r="D1584" s="17" t="s">
        <v>16</v>
      </c>
      <c r="E1584" s="17" t="s">
        <v>17</v>
      </c>
      <c r="F1584" s="15">
        <v>45078</v>
      </c>
      <c r="G1584" s="8">
        <f t="shared" si="24"/>
        <v>45078</v>
      </c>
      <c r="H1584" s="8" t="s">
        <v>13</v>
      </c>
      <c r="I1584" s="17"/>
      <c r="J1584" s="10"/>
      <c r="K1584" s="17">
        <v>1</v>
      </c>
    </row>
    <row r="1585" spans="1:11" ht="30" x14ac:dyDescent="0.25">
      <c r="A1585" s="3" t="s">
        <v>3194</v>
      </c>
      <c r="B1585" s="4" t="s">
        <v>3195</v>
      </c>
      <c r="C1585" s="5">
        <v>313233</v>
      </c>
      <c r="D1585" s="17" t="s">
        <v>28</v>
      </c>
      <c r="E1585" s="17" t="s">
        <v>17</v>
      </c>
      <c r="F1585" s="15">
        <v>45078</v>
      </c>
      <c r="G1585" s="8">
        <f t="shared" si="24"/>
        <v>45078</v>
      </c>
      <c r="H1585" s="8" t="s">
        <v>13</v>
      </c>
      <c r="I1585" s="17"/>
      <c r="J1585" s="10"/>
      <c r="K1585" s="17">
        <v>1</v>
      </c>
    </row>
    <row r="1586" spans="1:11" ht="30" x14ac:dyDescent="0.25">
      <c r="A1586" s="3" t="s">
        <v>3196</v>
      </c>
      <c r="B1586" s="4" t="s">
        <v>3197</v>
      </c>
      <c r="C1586" s="5">
        <v>314433</v>
      </c>
      <c r="D1586" s="17" t="s">
        <v>28</v>
      </c>
      <c r="E1586" s="17" t="s">
        <v>17</v>
      </c>
      <c r="F1586" s="15">
        <v>45050</v>
      </c>
      <c r="G1586" s="8">
        <f t="shared" si="24"/>
        <v>45050</v>
      </c>
      <c r="H1586" s="8" t="s">
        <v>13</v>
      </c>
      <c r="I1586" s="17"/>
      <c r="J1586" s="10"/>
      <c r="K1586" s="17">
        <v>2</v>
      </c>
    </row>
    <row r="1587" spans="1:11" ht="30" x14ac:dyDescent="0.25">
      <c r="A1587" s="3" t="s">
        <v>3198</v>
      </c>
      <c r="B1587" s="4" t="s">
        <v>3199</v>
      </c>
      <c r="C1587" s="54">
        <v>315633</v>
      </c>
      <c r="D1587" s="17" t="s">
        <v>31</v>
      </c>
      <c r="E1587" s="17" t="s">
        <v>17</v>
      </c>
      <c r="F1587" s="15">
        <v>45078</v>
      </c>
      <c r="G1587" s="8">
        <f t="shared" si="24"/>
        <v>45078</v>
      </c>
      <c r="H1587" s="8" t="s">
        <v>13</v>
      </c>
      <c r="I1587" s="17"/>
      <c r="J1587" s="10"/>
      <c r="K1587" s="17">
        <v>1</v>
      </c>
    </row>
    <row r="1588" spans="1:11" ht="30" x14ac:dyDescent="0.25">
      <c r="A1588" s="3" t="s">
        <v>3200</v>
      </c>
      <c r="B1588" s="4" t="s">
        <v>3201</v>
      </c>
      <c r="C1588" s="54">
        <v>316833</v>
      </c>
      <c r="D1588" s="17" t="s">
        <v>11</v>
      </c>
      <c r="E1588" s="17" t="s">
        <v>12</v>
      </c>
      <c r="F1588" s="15">
        <v>45078</v>
      </c>
      <c r="G1588" s="8">
        <f t="shared" si="24"/>
        <v>45078</v>
      </c>
      <c r="H1588" s="8" t="s">
        <v>39</v>
      </c>
      <c r="I1588" s="17"/>
      <c r="J1588" s="10"/>
      <c r="K1588" s="17">
        <v>1</v>
      </c>
    </row>
    <row r="1589" spans="1:11" ht="30" x14ac:dyDescent="0.25">
      <c r="A1589" s="3" t="s">
        <v>3202</v>
      </c>
      <c r="B1589" s="4" t="s">
        <v>3203</v>
      </c>
      <c r="C1589" s="54">
        <v>319633</v>
      </c>
      <c r="D1589" s="17" t="s">
        <v>11</v>
      </c>
      <c r="E1589" s="17" t="s">
        <v>12</v>
      </c>
      <c r="F1589" s="15">
        <v>45086</v>
      </c>
      <c r="G1589" s="8">
        <f t="shared" si="24"/>
        <v>45086</v>
      </c>
      <c r="H1589" s="8" t="s">
        <v>13</v>
      </c>
      <c r="I1589" s="17"/>
      <c r="J1589" s="10"/>
      <c r="K1589" s="17">
        <v>1</v>
      </c>
    </row>
    <row r="1590" spans="1:11" ht="30" x14ac:dyDescent="0.25">
      <c r="A1590" s="3" t="s">
        <v>3204</v>
      </c>
      <c r="B1590" s="4" t="s">
        <v>3205</v>
      </c>
      <c r="C1590" s="54">
        <v>321233</v>
      </c>
      <c r="D1590" s="17" t="s">
        <v>34</v>
      </c>
      <c r="E1590" s="17" t="s">
        <v>17</v>
      </c>
      <c r="F1590" s="15">
        <v>45098</v>
      </c>
      <c r="G1590" s="8">
        <f t="shared" si="24"/>
        <v>45098</v>
      </c>
      <c r="H1590" s="8" t="s">
        <v>13</v>
      </c>
      <c r="I1590" s="17"/>
      <c r="J1590" s="10"/>
      <c r="K1590" s="17">
        <v>1</v>
      </c>
    </row>
    <row r="1591" spans="1:11" ht="30" x14ac:dyDescent="0.25">
      <c r="A1591" s="3" t="s">
        <v>3206</v>
      </c>
      <c r="B1591" s="4" t="s">
        <v>3207</v>
      </c>
      <c r="C1591" s="54">
        <v>321234</v>
      </c>
      <c r="D1591" s="17" t="s">
        <v>28</v>
      </c>
      <c r="E1591" s="17" t="s">
        <v>17</v>
      </c>
      <c r="F1591" s="15">
        <v>45098</v>
      </c>
      <c r="G1591" s="8">
        <f t="shared" si="24"/>
        <v>45098</v>
      </c>
      <c r="H1591" s="8" t="s">
        <v>13</v>
      </c>
      <c r="I1591" s="17"/>
      <c r="J1591" s="10"/>
      <c r="K1591" s="17">
        <v>1</v>
      </c>
    </row>
    <row r="1592" spans="1:11" ht="30" x14ac:dyDescent="0.25">
      <c r="A1592" s="3" t="s">
        <v>3208</v>
      </c>
      <c r="B1592" s="4" t="s">
        <v>3209</v>
      </c>
      <c r="C1592" s="54">
        <v>323233</v>
      </c>
      <c r="D1592" s="17" t="s">
        <v>37</v>
      </c>
      <c r="E1592" s="17" t="s">
        <v>3047</v>
      </c>
      <c r="F1592" s="15">
        <v>45103</v>
      </c>
      <c r="G1592" s="8">
        <f t="shared" si="24"/>
        <v>45103</v>
      </c>
      <c r="H1592" s="8" t="s">
        <v>39</v>
      </c>
      <c r="I1592" s="17"/>
      <c r="J1592" s="10"/>
      <c r="K1592" s="17">
        <v>1</v>
      </c>
    </row>
    <row r="1593" spans="1:11" ht="30" x14ac:dyDescent="0.25">
      <c r="A1593" s="3" t="s">
        <v>3210</v>
      </c>
      <c r="B1593" s="4" t="s">
        <v>3211</v>
      </c>
      <c r="C1593" s="5">
        <v>325633</v>
      </c>
      <c r="D1593" s="17" t="s">
        <v>11</v>
      </c>
      <c r="E1593" s="17" t="s">
        <v>12</v>
      </c>
      <c r="F1593" s="15">
        <v>45125</v>
      </c>
      <c r="G1593" s="8">
        <f t="shared" si="24"/>
        <v>45125</v>
      </c>
      <c r="H1593" s="8" t="s">
        <v>39</v>
      </c>
      <c r="I1593" s="17"/>
      <c r="J1593" s="10"/>
      <c r="K1593" s="17">
        <v>2</v>
      </c>
    </row>
    <row r="1594" spans="1:11" ht="30" x14ac:dyDescent="0.25">
      <c r="A1594" s="3" t="s">
        <v>3212</v>
      </c>
      <c r="B1594" s="4" t="s">
        <v>3213</v>
      </c>
      <c r="C1594" s="5">
        <v>325233</v>
      </c>
      <c r="D1594" s="17" t="s">
        <v>38</v>
      </c>
      <c r="E1594" s="17" t="s">
        <v>3047</v>
      </c>
      <c r="F1594" s="15">
        <v>45126</v>
      </c>
      <c r="G1594" s="8">
        <f t="shared" si="24"/>
        <v>45126</v>
      </c>
      <c r="H1594" s="8" t="s">
        <v>39</v>
      </c>
      <c r="I1594" s="17"/>
      <c r="J1594" s="10"/>
      <c r="K1594" s="17"/>
    </row>
    <row r="1595" spans="1:11" ht="30" x14ac:dyDescent="0.25">
      <c r="A1595" s="3" t="s">
        <v>3214</v>
      </c>
      <c r="B1595" s="4" t="s">
        <v>3215</v>
      </c>
      <c r="C1595" s="5">
        <v>323633</v>
      </c>
      <c r="D1595" s="17" t="s">
        <v>31</v>
      </c>
      <c r="E1595" s="17" t="s">
        <v>17</v>
      </c>
      <c r="F1595" s="15">
        <v>45127</v>
      </c>
      <c r="G1595" s="8">
        <f t="shared" si="24"/>
        <v>45127</v>
      </c>
      <c r="H1595" s="8" t="s">
        <v>13</v>
      </c>
      <c r="I1595" s="17"/>
      <c r="J1595" s="10"/>
      <c r="K1595" s="17">
        <v>1</v>
      </c>
    </row>
    <row r="1596" spans="1:11" ht="30" x14ac:dyDescent="0.25">
      <c r="A1596" s="3" t="s">
        <v>3216</v>
      </c>
      <c r="B1596" s="4" t="s">
        <v>3217</v>
      </c>
      <c r="C1596" s="54">
        <v>326003</v>
      </c>
      <c r="D1596" s="17" t="s">
        <v>11</v>
      </c>
      <c r="E1596" s="17" t="s">
        <v>12</v>
      </c>
      <c r="F1596" s="15">
        <v>45139</v>
      </c>
      <c r="G1596" s="8">
        <f t="shared" si="24"/>
        <v>45139</v>
      </c>
      <c r="H1596" s="8" t="s">
        <v>39</v>
      </c>
      <c r="I1596" s="17"/>
      <c r="J1596" s="10"/>
      <c r="K1596" s="17"/>
    </row>
    <row r="1597" spans="1:11" ht="30" x14ac:dyDescent="0.25">
      <c r="A1597" s="3" t="s">
        <v>3218</v>
      </c>
      <c r="B1597" s="4" t="s">
        <v>3219</v>
      </c>
      <c r="C1597" s="54">
        <v>326034</v>
      </c>
      <c r="D1597" s="17" t="s">
        <v>34</v>
      </c>
      <c r="E1597" s="17" t="s">
        <v>17</v>
      </c>
      <c r="F1597" s="15">
        <v>45133</v>
      </c>
      <c r="G1597" s="8">
        <f t="shared" si="24"/>
        <v>45133</v>
      </c>
      <c r="H1597" s="8" t="s">
        <v>13</v>
      </c>
      <c r="I1597" s="17"/>
      <c r="J1597" s="10"/>
      <c r="K1597" s="17">
        <v>1</v>
      </c>
    </row>
    <row r="1598" spans="1:11" ht="30" x14ac:dyDescent="0.25">
      <c r="A1598" s="3" t="s">
        <v>3220</v>
      </c>
      <c r="B1598" s="4" t="s">
        <v>3221</v>
      </c>
      <c r="C1598" s="54">
        <v>327233</v>
      </c>
      <c r="D1598" s="17" t="s">
        <v>16</v>
      </c>
      <c r="E1598" s="17" t="s">
        <v>17</v>
      </c>
      <c r="F1598" s="15">
        <v>45142</v>
      </c>
      <c r="G1598" s="8">
        <f t="shared" si="24"/>
        <v>45142</v>
      </c>
      <c r="H1598" s="8" t="s">
        <v>13</v>
      </c>
      <c r="I1598" s="17"/>
      <c r="J1598" s="10"/>
      <c r="K1598" s="17">
        <v>1</v>
      </c>
    </row>
    <row r="1599" spans="1:11" ht="30" x14ac:dyDescent="0.25">
      <c r="A1599" s="3" t="s">
        <v>3222</v>
      </c>
      <c r="B1599" s="4" t="s">
        <v>3223</v>
      </c>
      <c r="C1599" s="54">
        <v>316576</v>
      </c>
      <c r="D1599" s="17" t="s">
        <v>11</v>
      </c>
      <c r="E1599" s="17" t="s">
        <v>12</v>
      </c>
      <c r="F1599" s="15">
        <v>45152</v>
      </c>
      <c r="G1599" s="8">
        <f t="shared" si="24"/>
        <v>45152</v>
      </c>
      <c r="H1599" s="8" t="s">
        <v>39</v>
      </c>
      <c r="I1599" s="17"/>
      <c r="J1599" s="10"/>
      <c r="K1599" s="17">
        <v>1</v>
      </c>
    </row>
    <row r="1600" spans="1:11" ht="30" x14ac:dyDescent="0.25">
      <c r="A1600" s="3" t="s">
        <v>3224</v>
      </c>
      <c r="B1600" s="4" t="s">
        <v>3225</v>
      </c>
      <c r="C1600" s="5">
        <v>316552</v>
      </c>
      <c r="D1600" s="17" t="s">
        <v>34</v>
      </c>
      <c r="E1600" s="17" t="s">
        <v>17</v>
      </c>
      <c r="F1600" s="15">
        <v>45156</v>
      </c>
      <c r="G1600" s="8">
        <f t="shared" si="24"/>
        <v>45156</v>
      </c>
      <c r="H1600" s="8" t="s">
        <v>13</v>
      </c>
      <c r="I1600" s="17"/>
      <c r="J1600" s="10"/>
      <c r="K1600" s="17">
        <v>2</v>
      </c>
    </row>
    <row r="1601" spans="1:11" ht="30" x14ac:dyDescent="0.25">
      <c r="A1601" s="3" t="s">
        <v>3226</v>
      </c>
      <c r="B1601" s="4" t="s">
        <v>3227</v>
      </c>
      <c r="C1601" s="5">
        <v>331233</v>
      </c>
      <c r="D1601" s="17" t="s">
        <v>31</v>
      </c>
      <c r="E1601" s="17" t="s">
        <v>17</v>
      </c>
      <c r="F1601" s="15">
        <v>45155</v>
      </c>
      <c r="G1601" s="8">
        <f t="shared" si="24"/>
        <v>45155</v>
      </c>
      <c r="H1601" s="8" t="s">
        <v>13</v>
      </c>
      <c r="I1601" s="17"/>
      <c r="J1601" s="10"/>
      <c r="K1601" s="17">
        <v>2</v>
      </c>
    </row>
    <row r="1602" spans="1:11" ht="30" x14ac:dyDescent="0.25">
      <c r="A1602" s="3" t="s">
        <v>3228</v>
      </c>
      <c r="B1602" s="4" t="s">
        <v>3229</v>
      </c>
      <c r="C1602" s="5">
        <v>316575</v>
      </c>
      <c r="D1602" s="17" t="s">
        <v>28</v>
      </c>
      <c r="E1602" s="17" t="s">
        <v>17</v>
      </c>
      <c r="F1602" s="15">
        <v>45160</v>
      </c>
      <c r="G1602" s="8">
        <f t="shared" ref="G1602:G1665" si="25">F1602</f>
        <v>45160</v>
      </c>
      <c r="H1602" s="8" t="s">
        <v>13</v>
      </c>
      <c r="I1602" s="17"/>
      <c r="J1602" s="10"/>
      <c r="K1602" s="17">
        <v>2</v>
      </c>
    </row>
    <row r="1603" spans="1:11" ht="30" x14ac:dyDescent="0.25">
      <c r="A1603" s="3" t="s">
        <v>3230</v>
      </c>
      <c r="B1603" s="4" t="s">
        <v>3231</v>
      </c>
      <c r="C1603" s="5">
        <v>316565</v>
      </c>
      <c r="D1603" s="17" t="s">
        <v>11</v>
      </c>
      <c r="E1603" s="17" t="s">
        <v>17</v>
      </c>
      <c r="F1603" s="15">
        <v>45181</v>
      </c>
      <c r="G1603" s="8">
        <f t="shared" si="25"/>
        <v>45181</v>
      </c>
      <c r="H1603" s="8" t="s">
        <v>13</v>
      </c>
      <c r="I1603" s="17"/>
      <c r="J1603" s="10"/>
      <c r="K1603" s="17">
        <v>1</v>
      </c>
    </row>
    <row r="1604" spans="1:11" ht="30" x14ac:dyDescent="0.25">
      <c r="A1604" s="3" t="s">
        <v>3232</v>
      </c>
      <c r="B1604" s="4" t="s">
        <v>3233</v>
      </c>
      <c r="C1604" s="5">
        <v>316479</v>
      </c>
      <c r="D1604" s="17" t="s">
        <v>28</v>
      </c>
      <c r="E1604" s="17" t="s">
        <v>17</v>
      </c>
      <c r="F1604" s="15">
        <v>45161</v>
      </c>
      <c r="G1604" s="8">
        <f t="shared" si="25"/>
        <v>45161</v>
      </c>
      <c r="H1604" s="8" t="s">
        <v>13</v>
      </c>
      <c r="I1604" s="17"/>
      <c r="J1604" s="10"/>
      <c r="K1604" s="17">
        <v>1</v>
      </c>
    </row>
    <row r="1605" spans="1:11" ht="30" x14ac:dyDescent="0.25">
      <c r="A1605" s="3" t="s">
        <v>3234</v>
      </c>
      <c r="B1605" s="4" t="s">
        <v>3235</v>
      </c>
      <c r="C1605" s="54">
        <v>336833</v>
      </c>
      <c r="D1605" s="17" t="s">
        <v>11</v>
      </c>
      <c r="E1605" s="17" t="s">
        <v>12</v>
      </c>
      <c r="F1605" s="15">
        <v>45181</v>
      </c>
      <c r="G1605" s="8">
        <f t="shared" si="25"/>
        <v>45181</v>
      </c>
      <c r="H1605" s="8" t="s">
        <v>39</v>
      </c>
      <c r="I1605" s="17"/>
      <c r="J1605" s="10"/>
      <c r="K1605" s="17"/>
    </row>
    <row r="1606" spans="1:11" ht="30" x14ac:dyDescent="0.25">
      <c r="A1606" s="3" t="s">
        <v>3236</v>
      </c>
      <c r="B1606" s="4" t="s">
        <v>3237</v>
      </c>
      <c r="C1606" s="5">
        <v>336033</v>
      </c>
      <c r="D1606" s="17" t="s">
        <v>28</v>
      </c>
      <c r="E1606" s="17" t="s">
        <v>17</v>
      </c>
      <c r="F1606" s="15">
        <v>45210</v>
      </c>
      <c r="G1606" s="8">
        <f t="shared" si="25"/>
        <v>45210</v>
      </c>
      <c r="H1606" s="8" t="s">
        <v>13</v>
      </c>
      <c r="I1606" s="17"/>
      <c r="J1606" s="10"/>
      <c r="K1606" s="17">
        <v>1</v>
      </c>
    </row>
    <row r="1607" spans="1:11" ht="30" x14ac:dyDescent="0.25">
      <c r="A1607" s="3" t="s">
        <v>3238</v>
      </c>
      <c r="B1607" s="4" t="s">
        <v>3239</v>
      </c>
      <c r="C1607" s="5">
        <v>337633</v>
      </c>
      <c r="D1607" s="17" t="s">
        <v>16</v>
      </c>
      <c r="E1607" s="17" t="s">
        <v>17</v>
      </c>
      <c r="F1607" s="15">
        <v>45183</v>
      </c>
      <c r="G1607" s="8">
        <f t="shared" si="25"/>
        <v>45183</v>
      </c>
      <c r="H1607" s="8" t="s">
        <v>13</v>
      </c>
      <c r="I1607" s="17"/>
      <c r="J1607" s="10"/>
      <c r="K1607" s="17"/>
    </row>
    <row r="1608" spans="1:11" ht="30" x14ac:dyDescent="0.25">
      <c r="A1608" s="3" t="s">
        <v>3240</v>
      </c>
      <c r="B1608" s="4" t="s">
        <v>3241</v>
      </c>
      <c r="C1608" s="54">
        <v>337638</v>
      </c>
      <c r="D1608" s="17" t="s">
        <v>34</v>
      </c>
      <c r="E1608" s="17" t="s">
        <v>17</v>
      </c>
      <c r="F1608" s="15">
        <v>45184</v>
      </c>
      <c r="G1608" s="8">
        <f t="shared" si="25"/>
        <v>45184</v>
      </c>
      <c r="H1608" s="8" t="s">
        <v>13</v>
      </c>
      <c r="I1608" s="17"/>
      <c r="J1608" s="10"/>
      <c r="K1608" s="17">
        <v>1</v>
      </c>
    </row>
    <row r="1609" spans="1:11" ht="30" x14ac:dyDescent="0.25">
      <c r="A1609" s="3" t="s">
        <v>3242</v>
      </c>
      <c r="B1609" s="4" t="s">
        <v>3243</v>
      </c>
      <c r="C1609" s="54">
        <v>338033</v>
      </c>
      <c r="D1609" s="17" t="s">
        <v>34</v>
      </c>
      <c r="E1609" s="17" t="s">
        <v>17</v>
      </c>
      <c r="F1609" s="15">
        <v>45186</v>
      </c>
      <c r="G1609" s="8">
        <f t="shared" si="25"/>
        <v>45186</v>
      </c>
      <c r="H1609" s="8" t="s">
        <v>13</v>
      </c>
      <c r="I1609" s="17"/>
      <c r="J1609" s="10"/>
      <c r="K1609" s="17"/>
    </row>
    <row r="1610" spans="1:11" ht="30" x14ac:dyDescent="0.25">
      <c r="A1610" s="3" t="s">
        <v>3244</v>
      </c>
      <c r="B1610" s="4" t="s">
        <v>3245</v>
      </c>
      <c r="C1610" s="54">
        <v>338433</v>
      </c>
      <c r="D1610" s="17" t="s">
        <v>11</v>
      </c>
      <c r="E1610" s="17"/>
      <c r="F1610" s="15">
        <v>45200</v>
      </c>
      <c r="G1610" s="8">
        <f t="shared" si="25"/>
        <v>45200</v>
      </c>
      <c r="H1610" s="8" t="s">
        <v>39</v>
      </c>
      <c r="I1610" s="17"/>
      <c r="J1610" s="10"/>
      <c r="K1610" s="17"/>
    </row>
    <row r="1611" spans="1:11" ht="30" x14ac:dyDescent="0.25">
      <c r="A1611" s="3" t="s">
        <v>3246</v>
      </c>
      <c r="B1611" s="4" t="s">
        <v>3247</v>
      </c>
      <c r="C1611" s="54">
        <v>340433</v>
      </c>
      <c r="D1611" s="17" t="s">
        <v>16</v>
      </c>
      <c r="E1611" s="17" t="s">
        <v>17</v>
      </c>
      <c r="F1611" s="15">
        <v>45202</v>
      </c>
      <c r="G1611" s="8">
        <f t="shared" si="25"/>
        <v>45202</v>
      </c>
      <c r="H1611" s="8" t="s">
        <v>13</v>
      </c>
      <c r="I1611" s="17"/>
      <c r="J1611" s="10"/>
      <c r="K1611" s="17">
        <v>1</v>
      </c>
    </row>
    <row r="1612" spans="1:11" x14ac:dyDescent="0.25">
      <c r="A1612" s="3" t="s">
        <v>3248</v>
      </c>
      <c r="B1612" s="4" t="s">
        <v>3249</v>
      </c>
      <c r="C1612" s="54" t="s">
        <v>3250</v>
      </c>
      <c r="D1612" s="17" t="s">
        <v>11</v>
      </c>
      <c r="E1612" s="17" t="s">
        <v>12</v>
      </c>
      <c r="F1612" s="15">
        <v>45108</v>
      </c>
      <c r="G1612" s="8">
        <f t="shared" si="25"/>
        <v>45108</v>
      </c>
      <c r="H1612" s="8" t="s">
        <v>13</v>
      </c>
      <c r="I1612" s="17"/>
      <c r="J1612" s="10"/>
      <c r="K1612" s="17">
        <v>1</v>
      </c>
    </row>
    <row r="1613" spans="1:11" ht="30" x14ac:dyDescent="0.25">
      <c r="A1613" s="3" t="s">
        <v>3251</v>
      </c>
      <c r="B1613" s="4" t="s">
        <v>3252</v>
      </c>
      <c r="C1613" s="54">
        <v>342833</v>
      </c>
      <c r="D1613" s="17" t="s">
        <v>34</v>
      </c>
      <c r="E1613" s="17" t="s">
        <v>17</v>
      </c>
      <c r="F1613" s="15">
        <v>45230</v>
      </c>
      <c r="G1613" s="8">
        <f t="shared" si="25"/>
        <v>45230</v>
      </c>
      <c r="H1613" s="8" t="s">
        <v>13</v>
      </c>
      <c r="I1613" s="17"/>
      <c r="J1613" s="10"/>
      <c r="K1613" s="17"/>
    </row>
    <row r="1614" spans="1:11" ht="30" x14ac:dyDescent="0.25">
      <c r="A1614" s="3" t="s">
        <v>3253</v>
      </c>
      <c r="B1614" s="4" t="s">
        <v>3254</v>
      </c>
      <c r="C1614" s="54">
        <v>343233</v>
      </c>
      <c r="D1614" s="17" t="s">
        <v>34</v>
      </c>
      <c r="E1614" s="17" t="s">
        <v>17</v>
      </c>
      <c r="F1614" s="15">
        <v>45230</v>
      </c>
      <c r="G1614" s="8">
        <f t="shared" si="25"/>
        <v>45230</v>
      </c>
      <c r="H1614" s="8" t="s">
        <v>13</v>
      </c>
      <c r="I1614" s="17"/>
      <c r="J1614" s="10"/>
      <c r="K1614" s="17">
        <v>1</v>
      </c>
    </row>
    <row r="1615" spans="1:11" ht="30" x14ac:dyDescent="0.25">
      <c r="A1615" s="3" t="s">
        <v>3255</v>
      </c>
      <c r="B1615" s="4" t="s">
        <v>3256</v>
      </c>
      <c r="C1615" s="54">
        <v>322833</v>
      </c>
      <c r="D1615" s="17" t="s">
        <v>28</v>
      </c>
      <c r="E1615" s="17" t="s">
        <v>17</v>
      </c>
      <c r="F1615" s="15">
        <v>45231</v>
      </c>
      <c r="G1615" s="8">
        <f t="shared" si="25"/>
        <v>45231</v>
      </c>
      <c r="H1615" s="8" t="s">
        <v>13</v>
      </c>
      <c r="I1615" s="17"/>
      <c r="J1615" s="10"/>
      <c r="K1615" s="17"/>
    </row>
    <row r="1616" spans="1:11" ht="30" x14ac:dyDescent="0.25">
      <c r="A1616" s="3" t="s">
        <v>3257</v>
      </c>
      <c r="B1616" s="4" t="s">
        <v>3258</v>
      </c>
      <c r="C1616" s="54"/>
      <c r="D1616" s="17" t="s">
        <v>31</v>
      </c>
      <c r="E1616" s="17" t="s">
        <v>17</v>
      </c>
      <c r="F1616" s="15">
        <v>45266</v>
      </c>
      <c r="G1616" s="8">
        <f t="shared" si="25"/>
        <v>45266</v>
      </c>
      <c r="H1616" s="8" t="s">
        <v>13</v>
      </c>
      <c r="I1616" s="17"/>
      <c r="J1616" s="10"/>
      <c r="K1616" s="17">
        <v>1</v>
      </c>
    </row>
    <row r="1617" spans="1:11" ht="30" x14ac:dyDescent="0.25">
      <c r="A1617" s="3" t="s">
        <v>3259</v>
      </c>
      <c r="B1617" s="4" t="s">
        <v>3260</v>
      </c>
      <c r="C1617" s="54">
        <v>345634</v>
      </c>
      <c r="D1617" s="17" t="s">
        <v>11</v>
      </c>
      <c r="E1617" s="17" t="s">
        <v>12</v>
      </c>
      <c r="F1617" s="15">
        <v>45258</v>
      </c>
      <c r="G1617" s="8">
        <f t="shared" si="25"/>
        <v>45258</v>
      </c>
      <c r="H1617" s="8" t="s">
        <v>39</v>
      </c>
      <c r="I1617" s="17"/>
      <c r="J1617" s="10"/>
      <c r="K1617" s="17">
        <v>2</v>
      </c>
    </row>
    <row r="1618" spans="1:11" ht="30" x14ac:dyDescent="0.25">
      <c r="A1618" s="3" t="s">
        <v>3261</v>
      </c>
      <c r="B1618" s="4" t="s">
        <v>3262</v>
      </c>
      <c r="C1618" s="54">
        <v>345234</v>
      </c>
      <c r="D1618" s="17" t="s">
        <v>34</v>
      </c>
      <c r="E1618" s="17" t="s">
        <v>17</v>
      </c>
      <c r="F1618" s="15">
        <v>45279</v>
      </c>
      <c r="G1618" s="8">
        <f t="shared" si="25"/>
        <v>45279</v>
      </c>
      <c r="H1618" s="8" t="s">
        <v>13</v>
      </c>
      <c r="I1618" s="17"/>
      <c r="J1618" s="10"/>
      <c r="K1618" s="17">
        <v>1</v>
      </c>
    </row>
    <row r="1619" spans="1:11" ht="30" x14ac:dyDescent="0.25">
      <c r="A1619" s="3" t="s">
        <v>3263</v>
      </c>
      <c r="B1619" s="4" t="s">
        <v>3264</v>
      </c>
      <c r="C1619" s="5">
        <v>346835</v>
      </c>
      <c r="D1619" s="17" t="s">
        <v>11</v>
      </c>
      <c r="E1619" s="17" t="s">
        <v>17</v>
      </c>
      <c r="F1619" s="15">
        <v>45372</v>
      </c>
      <c r="G1619" s="8">
        <f t="shared" si="25"/>
        <v>45372</v>
      </c>
      <c r="H1619" s="8" t="s">
        <v>13</v>
      </c>
      <c r="I1619" s="17"/>
      <c r="J1619" s="10"/>
      <c r="K1619" s="17">
        <v>2</v>
      </c>
    </row>
    <row r="1620" spans="1:11" ht="30" x14ac:dyDescent="0.25">
      <c r="A1620" s="3" t="s">
        <v>3265</v>
      </c>
      <c r="B1620" s="4" t="s">
        <v>3266</v>
      </c>
      <c r="C1620" s="54">
        <v>347634</v>
      </c>
      <c r="D1620" s="17" t="s">
        <v>28</v>
      </c>
      <c r="E1620" s="17" t="s">
        <v>17</v>
      </c>
      <c r="F1620" s="15">
        <v>45275</v>
      </c>
      <c r="G1620" s="8">
        <f t="shared" si="25"/>
        <v>45275</v>
      </c>
      <c r="H1620" s="8" t="s">
        <v>13</v>
      </c>
      <c r="I1620" s="17"/>
      <c r="J1620" s="10"/>
      <c r="K1620" s="17">
        <v>1</v>
      </c>
    </row>
    <row r="1621" spans="1:11" ht="30" x14ac:dyDescent="0.25">
      <c r="A1621" s="3" t="s">
        <v>3267</v>
      </c>
      <c r="B1621" s="4" t="s">
        <v>3268</v>
      </c>
      <c r="C1621" s="5">
        <v>347635</v>
      </c>
      <c r="D1621" s="17" t="s">
        <v>16</v>
      </c>
      <c r="E1621" s="17" t="s">
        <v>17</v>
      </c>
      <c r="F1621" s="15">
        <v>44913</v>
      </c>
      <c r="G1621" s="8">
        <f t="shared" si="25"/>
        <v>44913</v>
      </c>
      <c r="H1621" s="8" t="s">
        <v>13</v>
      </c>
      <c r="I1621" s="17"/>
      <c r="J1621" s="10"/>
      <c r="K1621" s="17">
        <v>2</v>
      </c>
    </row>
    <row r="1622" spans="1:11" ht="30" x14ac:dyDescent="0.25">
      <c r="A1622" s="3" t="s">
        <v>3269</v>
      </c>
      <c r="B1622" s="4" t="s">
        <v>3270</v>
      </c>
      <c r="C1622" s="54">
        <v>348434</v>
      </c>
      <c r="D1622" s="17" t="s">
        <v>34</v>
      </c>
      <c r="E1622" s="17" t="s">
        <v>17</v>
      </c>
      <c r="F1622" s="15">
        <v>45302</v>
      </c>
      <c r="G1622" s="8">
        <f t="shared" si="25"/>
        <v>45302</v>
      </c>
      <c r="H1622" s="8" t="s">
        <v>13</v>
      </c>
      <c r="I1622" s="17"/>
      <c r="J1622" s="10"/>
      <c r="K1622" s="17">
        <v>1</v>
      </c>
    </row>
    <row r="1623" spans="1:11" ht="30" x14ac:dyDescent="0.25">
      <c r="A1623" s="3" t="s">
        <v>3271</v>
      </c>
      <c r="B1623" s="4" t="s">
        <v>3272</v>
      </c>
      <c r="C1623" s="54">
        <v>351235</v>
      </c>
      <c r="D1623" s="17" t="s">
        <v>11</v>
      </c>
      <c r="E1623" s="17" t="s">
        <v>12</v>
      </c>
      <c r="F1623" s="15">
        <v>45300</v>
      </c>
      <c r="G1623" s="8">
        <f t="shared" si="25"/>
        <v>45300</v>
      </c>
      <c r="H1623" s="8" t="s">
        <v>39</v>
      </c>
      <c r="I1623" s="17"/>
      <c r="J1623" s="10"/>
      <c r="K1623" s="17">
        <v>1</v>
      </c>
    </row>
    <row r="1624" spans="1:11" ht="30" x14ac:dyDescent="0.25">
      <c r="A1624" s="3" t="s">
        <v>3273</v>
      </c>
      <c r="B1624" s="4" t="s">
        <v>3274</v>
      </c>
      <c r="C1624" s="5">
        <v>349234</v>
      </c>
      <c r="D1624" s="17" t="s">
        <v>11</v>
      </c>
      <c r="E1624" s="17" t="s">
        <v>17</v>
      </c>
      <c r="F1624" s="15">
        <v>45300</v>
      </c>
      <c r="G1624" s="8">
        <f t="shared" si="25"/>
        <v>45300</v>
      </c>
      <c r="H1624" s="8" t="s">
        <v>13</v>
      </c>
      <c r="I1624" s="17"/>
      <c r="J1624" s="10"/>
      <c r="K1624" s="17">
        <v>2</v>
      </c>
    </row>
    <row r="1625" spans="1:11" ht="30" x14ac:dyDescent="0.25">
      <c r="A1625" s="3" t="s">
        <v>3275</v>
      </c>
      <c r="B1625" s="4" t="s">
        <v>3276</v>
      </c>
      <c r="C1625" s="5">
        <v>349235</v>
      </c>
      <c r="D1625" s="17" t="s">
        <v>11</v>
      </c>
      <c r="E1625" s="17" t="s">
        <v>12</v>
      </c>
      <c r="F1625" s="15">
        <v>45293</v>
      </c>
      <c r="G1625" s="8">
        <f t="shared" si="25"/>
        <v>45293</v>
      </c>
      <c r="H1625" s="8" t="s">
        <v>13</v>
      </c>
      <c r="I1625" s="17"/>
      <c r="J1625" s="10"/>
      <c r="K1625" s="17">
        <v>2</v>
      </c>
    </row>
    <row r="1626" spans="1:11" ht="30" x14ac:dyDescent="0.25">
      <c r="A1626" s="3" t="s">
        <v>3277</v>
      </c>
      <c r="B1626" s="4" t="s">
        <v>3278</v>
      </c>
      <c r="C1626" s="54">
        <v>354435</v>
      </c>
      <c r="D1626" s="17" t="s">
        <v>28</v>
      </c>
      <c r="E1626" s="17" t="s">
        <v>17</v>
      </c>
      <c r="F1626" s="15">
        <v>45303</v>
      </c>
      <c r="G1626" s="8">
        <f t="shared" si="25"/>
        <v>45303</v>
      </c>
      <c r="H1626" s="8" t="s">
        <v>13</v>
      </c>
      <c r="I1626" s="17"/>
      <c r="J1626" s="10"/>
      <c r="K1626" s="17"/>
    </row>
    <row r="1627" spans="1:11" ht="30" x14ac:dyDescent="0.25">
      <c r="A1627" s="3" t="s">
        <v>3279</v>
      </c>
      <c r="B1627" s="4" t="s">
        <v>3280</v>
      </c>
      <c r="C1627" s="54">
        <v>351234</v>
      </c>
      <c r="D1627" s="17" t="s">
        <v>11</v>
      </c>
      <c r="E1627" s="17" t="s">
        <v>12</v>
      </c>
      <c r="F1627" s="15">
        <v>45308</v>
      </c>
      <c r="G1627" s="8">
        <f t="shared" si="25"/>
        <v>45308</v>
      </c>
      <c r="H1627" s="8" t="s">
        <v>39</v>
      </c>
      <c r="I1627" s="17"/>
      <c r="J1627" s="10"/>
      <c r="K1627" s="17">
        <v>1</v>
      </c>
    </row>
    <row r="1628" spans="1:11" ht="30" x14ac:dyDescent="0.25">
      <c r="A1628" s="3" t="s">
        <v>3281</v>
      </c>
      <c r="B1628" s="4" t="s">
        <v>3282</v>
      </c>
      <c r="C1628" s="54">
        <v>350834</v>
      </c>
      <c r="D1628" s="17" t="s">
        <v>28</v>
      </c>
      <c r="E1628" s="17" t="s">
        <v>17</v>
      </c>
      <c r="F1628" s="15">
        <v>45317</v>
      </c>
      <c r="G1628" s="8">
        <f t="shared" si="25"/>
        <v>45317</v>
      </c>
      <c r="H1628" s="8" t="s">
        <v>13</v>
      </c>
      <c r="I1628" s="17"/>
      <c r="J1628" s="10"/>
      <c r="K1628" s="17">
        <v>2</v>
      </c>
    </row>
    <row r="1629" spans="1:11" ht="30" x14ac:dyDescent="0.25">
      <c r="A1629" s="3" t="s">
        <v>3283</v>
      </c>
      <c r="B1629" s="4" t="s">
        <v>3284</v>
      </c>
      <c r="C1629" s="5">
        <v>352434</v>
      </c>
      <c r="D1629" s="17" t="s">
        <v>37</v>
      </c>
      <c r="E1629" s="17" t="s">
        <v>38</v>
      </c>
      <c r="F1629" s="15">
        <v>45343</v>
      </c>
      <c r="G1629" s="8">
        <f t="shared" si="25"/>
        <v>45343</v>
      </c>
      <c r="H1629" s="8" t="s">
        <v>39</v>
      </c>
      <c r="I1629" s="17"/>
      <c r="J1629" s="10"/>
      <c r="K1629" s="17">
        <v>2</v>
      </c>
    </row>
    <row r="1630" spans="1:11" ht="30" x14ac:dyDescent="0.25">
      <c r="A1630" s="3" t="s">
        <v>3285</v>
      </c>
      <c r="B1630" s="4" t="s">
        <v>3286</v>
      </c>
      <c r="C1630" s="54">
        <v>346835</v>
      </c>
      <c r="D1630" s="17" t="s">
        <v>11</v>
      </c>
      <c r="E1630" s="17" t="s">
        <v>17</v>
      </c>
      <c r="F1630" s="15">
        <v>45371</v>
      </c>
      <c r="G1630" s="8">
        <f t="shared" si="25"/>
        <v>45371</v>
      </c>
      <c r="H1630" s="8" t="s">
        <v>13</v>
      </c>
      <c r="I1630" s="17"/>
      <c r="J1630" s="10"/>
      <c r="K1630" s="17">
        <v>1</v>
      </c>
    </row>
    <row r="1631" spans="1:11" ht="30" x14ac:dyDescent="0.25">
      <c r="A1631" s="3" t="s">
        <v>3287</v>
      </c>
      <c r="B1631" s="4" t="s">
        <v>3288</v>
      </c>
      <c r="C1631" s="5">
        <v>359244</v>
      </c>
      <c r="D1631" s="17" t="s">
        <v>34</v>
      </c>
      <c r="E1631" s="17" t="s">
        <v>17</v>
      </c>
      <c r="F1631" s="15">
        <v>45385</v>
      </c>
      <c r="G1631" s="8">
        <f t="shared" si="25"/>
        <v>45385</v>
      </c>
      <c r="H1631" s="8" t="s">
        <v>13</v>
      </c>
      <c r="I1631" s="17"/>
      <c r="J1631" s="10"/>
      <c r="K1631" s="17">
        <v>3</v>
      </c>
    </row>
    <row r="1632" spans="1:11" ht="30" x14ac:dyDescent="0.25">
      <c r="A1632" s="3" t="s">
        <v>3289</v>
      </c>
      <c r="B1632" s="4" t="s">
        <v>3290</v>
      </c>
      <c r="C1632" s="54">
        <v>360844</v>
      </c>
      <c r="D1632" s="17" t="s">
        <v>11</v>
      </c>
      <c r="E1632" s="17" t="s">
        <v>12</v>
      </c>
      <c r="F1632" s="15">
        <v>45385</v>
      </c>
      <c r="G1632" s="8">
        <f t="shared" si="25"/>
        <v>45385</v>
      </c>
      <c r="H1632" s="8" t="s">
        <v>39</v>
      </c>
      <c r="I1632" s="17"/>
      <c r="J1632" s="10"/>
      <c r="K1632" s="17">
        <v>1</v>
      </c>
    </row>
    <row r="1633" spans="1:11" ht="30" x14ac:dyDescent="0.25">
      <c r="A1633" s="3" t="s">
        <v>3291</v>
      </c>
      <c r="B1633" s="4" t="s">
        <v>3292</v>
      </c>
      <c r="C1633" s="54">
        <v>360444</v>
      </c>
      <c r="D1633" s="17" t="s">
        <v>28</v>
      </c>
      <c r="E1633" s="17" t="s">
        <v>17</v>
      </c>
      <c r="F1633" s="15">
        <v>45394.558969907404</v>
      </c>
      <c r="G1633" s="8">
        <f t="shared" si="25"/>
        <v>45394.558969907404</v>
      </c>
      <c r="H1633" s="8" t="s">
        <v>13</v>
      </c>
      <c r="I1633" s="17"/>
      <c r="J1633" s="10"/>
      <c r="K1633" s="17">
        <v>1</v>
      </c>
    </row>
    <row r="1634" spans="1:11" ht="30" x14ac:dyDescent="0.25">
      <c r="A1634" s="3" t="s">
        <v>3293</v>
      </c>
      <c r="B1634" s="4" t="s">
        <v>3294</v>
      </c>
      <c r="C1634" s="54">
        <v>361644</v>
      </c>
      <c r="D1634" s="17" t="s">
        <v>34</v>
      </c>
      <c r="E1634" s="17" t="s">
        <v>17</v>
      </c>
      <c r="F1634" s="15">
        <v>45399.317418981482</v>
      </c>
      <c r="G1634" s="8">
        <f t="shared" si="25"/>
        <v>45399.317418981482</v>
      </c>
      <c r="H1634" s="8" t="s">
        <v>13</v>
      </c>
      <c r="I1634" s="17"/>
      <c r="J1634" s="10"/>
      <c r="K1634" s="17">
        <v>1</v>
      </c>
    </row>
    <row r="1635" spans="1:11" ht="30" x14ac:dyDescent="0.25">
      <c r="A1635" s="3" t="s">
        <v>3295</v>
      </c>
      <c r="B1635" s="4" t="s">
        <v>3296</v>
      </c>
      <c r="C1635" s="5">
        <v>362044</v>
      </c>
      <c r="D1635" s="17" t="s">
        <v>16</v>
      </c>
      <c r="E1635" s="17" t="s">
        <v>17</v>
      </c>
      <c r="F1635" s="15">
        <v>45404.310439814813</v>
      </c>
      <c r="G1635" s="8">
        <f t="shared" si="25"/>
        <v>45404.310439814813</v>
      </c>
      <c r="H1635" s="8" t="s">
        <v>13</v>
      </c>
      <c r="I1635" s="17"/>
      <c r="J1635" s="10"/>
      <c r="K1635" s="17"/>
    </row>
    <row r="1636" spans="1:11" ht="30" x14ac:dyDescent="0.25">
      <c r="A1636" s="3" t="s">
        <v>3297</v>
      </c>
      <c r="B1636" s="4" t="s">
        <v>3298</v>
      </c>
      <c r="C1636" s="54">
        <v>362444</v>
      </c>
      <c r="D1636" s="17" t="s">
        <v>31</v>
      </c>
      <c r="E1636" s="17" t="s">
        <v>17</v>
      </c>
      <c r="F1636" s="15">
        <v>45404.610613425924</v>
      </c>
      <c r="G1636" s="8">
        <f t="shared" si="25"/>
        <v>45404.610613425924</v>
      </c>
      <c r="H1636" s="8" t="s">
        <v>13</v>
      </c>
      <c r="I1636" s="17"/>
      <c r="J1636" s="10"/>
      <c r="K1636" s="17">
        <v>1</v>
      </c>
    </row>
    <row r="1637" spans="1:11" ht="30" x14ac:dyDescent="0.25">
      <c r="A1637" s="3" t="s">
        <v>3299</v>
      </c>
      <c r="B1637" s="4" t="s">
        <v>3300</v>
      </c>
      <c r="C1637" s="5">
        <v>363244</v>
      </c>
      <c r="D1637" s="17" t="s">
        <v>37</v>
      </c>
      <c r="E1637" s="17" t="s">
        <v>38</v>
      </c>
      <c r="F1637" s="15">
        <v>45413.411770833336</v>
      </c>
      <c r="G1637" s="8">
        <f t="shared" si="25"/>
        <v>45413.411770833336</v>
      </c>
      <c r="H1637" s="8" t="s">
        <v>39</v>
      </c>
      <c r="I1637" s="17"/>
      <c r="J1637" s="10"/>
      <c r="K1637" s="17">
        <v>1</v>
      </c>
    </row>
    <row r="1638" spans="1:11" ht="30" x14ac:dyDescent="0.25">
      <c r="A1638" s="3" t="s">
        <v>3301</v>
      </c>
      <c r="B1638" s="4" t="s">
        <v>3302</v>
      </c>
      <c r="C1638" s="54">
        <v>364044</v>
      </c>
      <c r="D1638" s="17" t="s">
        <v>16</v>
      </c>
      <c r="E1638" s="17" t="s">
        <v>17</v>
      </c>
      <c r="F1638" s="15">
        <v>45433.624699074076</v>
      </c>
      <c r="G1638" s="8">
        <f t="shared" si="25"/>
        <v>45433.624699074076</v>
      </c>
      <c r="H1638" s="8" t="s">
        <v>13</v>
      </c>
      <c r="I1638" s="17"/>
      <c r="J1638" s="10"/>
      <c r="K1638" s="17">
        <v>1</v>
      </c>
    </row>
    <row r="1639" spans="1:11" ht="30" x14ac:dyDescent="0.25">
      <c r="A1639" s="3" t="s">
        <v>3303</v>
      </c>
      <c r="B1639" s="4" t="s">
        <v>3304</v>
      </c>
      <c r="C1639" s="54">
        <v>637645</v>
      </c>
      <c r="D1639" s="17" t="s">
        <v>28</v>
      </c>
      <c r="E1639" s="17" t="s">
        <v>17</v>
      </c>
      <c r="F1639" s="15">
        <v>45450.630833333336</v>
      </c>
      <c r="G1639" s="8">
        <f t="shared" si="25"/>
        <v>45450.630833333336</v>
      </c>
      <c r="H1639" s="8" t="s">
        <v>13</v>
      </c>
      <c r="I1639" s="17"/>
      <c r="J1639" s="10"/>
      <c r="K1639" s="17"/>
    </row>
    <row r="1640" spans="1:11" ht="30" x14ac:dyDescent="0.25">
      <c r="A1640" s="3" t="s">
        <v>3305</v>
      </c>
      <c r="B1640" s="4" t="s">
        <v>3306</v>
      </c>
      <c r="C1640" s="54">
        <v>366444</v>
      </c>
      <c r="D1640" s="17" t="s">
        <v>34</v>
      </c>
      <c r="E1640" s="17" t="s">
        <v>17</v>
      </c>
      <c r="F1640" s="15">
        <v>45453.325358796297</v>
      </c>
      <c r="G1640" s="8">
        <f t="shared" si="25"/>
        <v>45453.325358796297</v>
      </c>
      <c r="H1640" s="8" t="s">
        <v>13</v>
      </c>
      <c r="I1640" s="17"/>
      <c r="J1640" s="10"/>
      <c r="K1640" s="17">
        <v>1</v>
      </c>
    </row>
    <row r="1641" spans="1:11" ht="30" x14ac:dyDescent="0.25">
      <c r="A1641" s="3" t="s">
        <v>3307</v>
      </c>
      <c r="B1641" s="4" t="s">
        <v>3308</v>
      </c>
      <c r="C1641" s="5">
        <v>367644</v>
      </c>
      <c r="D1641" s="17" t="s">
        <v>31</v>
      </c>
      <c r="E1641" s="17" t="s">
        <v>17</v>
      </c>
      <c r="F1641" s="15">
        <v>45455.321006944447</v>
      </c>
      <c r="G1641" s="8">
        <f t="shared" si="25"/>
        <v>45455.321006944447</v>
      </c>
      <c r="H1641" s="8" t="s">
        <v>13</v>
      </c>
      <c r="I1641" s="17"/>
      <c r="J1641" s="10"/>
      <c r="K1641" s="17">
        <v>2</v>
      </c>
    </row>
    <row r="1642" spans="1:11" ht="30" x14ac:dyDescent="0.25">
      <c r="A1642" s="3" t="s">
        <v>3309</v>
      </c>
      <c r="B1642" s="4" t="s">
        <v>3310</v>
      </c>
      <c r="C1642" s="5">
        <v>368444</v>
      </c>
      <c r="D1642" s="17" t="s">
        <v>34</v>
      </c>
      <c r="E1642" s="17" t="s">
        <v>17</v>
      </c>
      <c r="F1642" s="15">
        <v>45460.311909722222</v>
      </c>
      <c r="G1642" s="8">
        <f t="shared" si="25"/>
        <v>45460.311909722222</v>
      </c>
      <c r="H1642" s="8" t="s">
        <v>13</v>
      </c>
      <c r="I1642" s="17"/>
      <c r="J1642" s="10"/>
      <c r="K1642" s="17"/>
    </row>
    <row r="1643" spans="1:11" ht="30" x14ac:dyDescent="0.25">
      <c r="A1643" s="3" t="s">
        <v>3311</v>
      </c>
      <c r="B1643" s="4" t="s">
        <v>3312</v>
      </c>
      <c r="C1643" s="54">
        <v>369644</v>
      </c>
      <c r="D1643" s="17" t="s">
        <v>37</v>
      </c>
      <c r="E1643" s="17" t="s">
        <v>38</v>
      </c>
      <c r="F1643" s="15">
        <v>45467.485335648147</v>
      </c>
      <c r="G1643" s="8">
        <f t="shared" si="25"/>
        <v>45467.485335648147</v>
      </c>
      <c r="H1643" s="8" t="s">
        <v>39</v>
      </c>
      <c r="I1643" s="17"/>
      <c r="J1643" s="10"/>
      <c r="K1643" s="17"/>
    </row>
    <row r="1644" spans="1:11" ht="30" x14ac:dyDescent="0.25">
      <c r="A1644" s="3" t="s">
        <v>3313</v>
      </c>
      <c r="B1644" s="4" t="s">
        <v>3314</v>
      </c>
      <c r="C1644" s="54">
        <v>370044</v>
      </c>
      <c r="D1644" s="17" t="s">
        <v>28</v>
      </c>
      <c r="E1644" s="17" t="s">
        <v>17</v>
      </c>
      <c r="F1644" s="15">
        <v>45474.317303240743</v>
      </c>
      <c r="G1644" s="8">
        <f t="shared" si="25"/>
        <v>45474.317303240743</v>
      </c>
      <c r="H1644" s="8" t="s">
        <v>13</v>
      </c>
      <c r="I1644" s="17"/>
      <c r="J1644" s="10"/>
      <c r="K1644" s="17">
        <v>1</v>
      </c>
    </row>
    <row r="1645" spans="1:11" ht="30" x14ac:dyDescent="0.25">
      <c r="A1645" s="3" t="s">
        <v>3315</v>
      </c>
      <c r="B1645" s="4" t="s">
        <v>3316</v>
      </c>
      <c r="C1645" s="54">
        <v>370844</v>
      </c>
      <c r="D1645" s="17" t="s">
        <v>34</v>
      </c>
      <c r="E1645" s="17" t="s">
        <v>17</v>
      </c>
      <c r="F1645" s="15">
        <v>45489.580995370372</v>
      </c>
      <c r="G1645" s="8">
        <f t="shared" si="25"/>
        <v>45489.580995370372</v>
      </c>
      <c r="H1645" s="8" t="s">
        <v>13</v>
      </c>
      <c r="I1645" s="17"/>
      <c r="J1645" s="10"/>
      <c r="K1645" s="17">
        <v>1</v>
      </c>
    </row>
    <row r="1646" spans="1:11" ht="30" x14ac:dyDescent="0.25">
      <c r="A1646" s="3" t="s">
        <v>3317</v>
      </c>
      <c r="B1646" s="4" t="s">
        <v>3318</v>
      </c>
      <c r="C1646" s="54">
        <v>371244</v>
      </c>
      <c r="D1646" s="17" t="s">
        <v>11</v>
      </c>
      <c r="E1646" s="17" t="s">
        <v>12</v>
      </c>
      <c r="F1646" s="15">
        <v>45491.576226851852</v>
      </c>
      <c r="G1646" s="8">
        <f t="shared" si="25"/>
        <v>45491.576226851852</v>
      </c>
      <c r="H1646" s="8" t="s">
        <v>39</v>
      </c>
      <c r="I1646" s="17"/>
      <c r="J1646" s="10"/>
      <c r="K1646" s="17"/>
    </row>
    <row r="1647" spans="1:11" ht="30" x14ac:dyDescent="0.25">
      <c r="A1647" s="3" t="s">
        <v>3319</v>
      </c>
      <c r="B1647" s="4" t="s">
        <v>3320</v>
      </c>
      <c r="C1647" s="54">
        <v>372844</v>
      </c>
      <c r="D1647" s="17" t="s">
        <v>37</v>
      </c>
      <c r="E1647" s="17" t="s">
        <v>38</v>
      </c>
      <c r="F1647" s="15">
        <v>45505.406180555554</v>
      </c>
      <c r="G1647" s="8">
        <f t="shared" si="25"/>
        <v>45505.406180555554</v>
      </c>
      <c r="H1647" s="8" t="s">
        <v>39</v>
      </c>
      <c r="I1647" s="17"/>
      <c r="J1647" s="10"/>
      <c r="K1647" s="17">
        <v>1</v>
      </c>
    </row>
    <row r="1648" spans="1:11" ht="30" x14ac:dyDescent="0.25">
      <c r="A1648" s="3" t="s">
        <v>3321</v>
      </c>
      <c r="B1648" s="4" t="s">
        <v>3322</v>
      </c>
      <c r="C1648" s="5">
        <v>373644</v>
      </c>
      <c r="D1648" s="17" t="s">
        <v>34</v>
      </c>
      <c r="E1648" s="17" t="s">
        <v>17</v>
      </c>
      <c r="F1648" s="15">
        <v>45510.605717592596</v>
      </c>
      <c r="G1648" s="8">
        <f t="shared" si="25"/>
        <v>45510.605717592596</v>
      </c>
      <c r="H1648" s="8" t="s">
        <v>13</v>
      </c>
      <c r="I1648" s="17"/>
      <c r="J1648" s="10"/>
      <c r="K1648" s="17">
        <v>1</v>
      </c>
    </row>
    <row r="1649" spans="1:11" ht="30" x14ac:dyDescent="0.25">
      <c r="A1649" s="3" t="s">
        <v>3323</v>
      </c>
      <c r="B1649" s="4" t="s">
        <v>3324</v>
      </c>
      <c r="C1649" s="54">
        <v>374044</v>
      </c>
      <c r="D1649" s="17" t="s">
        <v>34</v>
      </c>
      <c r="E1649" s="17" t="s">
        <v>17</v>
      </c>
      <c r="F1649" s="15">
        <v>45519</v>
      </c>
      <c r="G1649" s="8">
        <f t="shared" si="25"/>
        <v>45519</v>
      </c>
      <c r="H1649" s="8" t="s">
        <v>13</v>
      </c>
      <c r="I1649" s="17"/>
      <c r="J1649" s="10"/>
      <c r="K1649" s="17">
        <v>1</v>
      </c>
    </row>
    <row r="1650" spans="1:11" x14ac:dyDescent="0.25">
      <c r="A1650" s="3" t="s">
        <v>3325</v>
      </c>
      <c r="B1650" s="4" t="s">
        <v>3326</v>
      </c>
      <c r="C1650" s="5">
        <v>374444</v>
      </c>
      <c r="D1650" s="17" t="s">
        <v>34</v>
      </c>
      <c r="E1650" s="17" t="s">
        <v>17</v>
      </c>
      <c r="F1650" s="15">
        <v>45480</v>
      </c>
      <c r="G1650" s="8">
        <f t="shared" si="25"/>
        <v>45480</v>
      </c>
      <c r="H1650" s="8" t="s">
        <v>13</v>
      </c>
      <c r="I1650" s="17"/>
      <c r="J1650" s="10"/>
      <c r="K1650" s="17"/>
    </row>
    <row r="1651" spans="1:11" x14ac:dyDescent="0.25">
      <c r="A1651" s="3" t="s">
        <v>3327</v>
      </c>
      <c r="B1651" s="4" t="s">
        <v>3328</v>
      </c>
      <c r="C1651" s="5">
        <v>380444</v>
      </c>
      <c r="D1651" s="17" t="s">
        <v>11</v>
      </c>
      <c r="E1651" s="17" t="s">
        <v>12</v>
      </c>
      <c r="F1651" s="15">
        <v>45585</v>
      </c>
      <c r="G1651" s="8">
        <f t="shared" si="25"/>
        <v>45585</v>
      </c>
      <c r="H1651" s="8" t="s">
        <v>39</v>
      </c>
      <c r="I1651" s="17"/>
      <c r="J1651" s="10"/>
      <c r="K1651" s="17"/>
    </row>
    <row r="1652" spans="1:11" x14ac:dyDescent="0.25">
      <c r="A1652" s="3" t="s">
        <v>3329</v>
      </c>
      <c r="B1652" s="4" t="s">
        <v>3330</v>
      </c>
      <c r="C1652" s="54">
        <v>381244</v>
      </c>
      <c r="D1652" s="17" t="s">
        <v>28</v>
      </c>
      <c r="E1652" s="17" t="s">
        <v>17</v>
      </c>
      <c r="F1652" s="15">
        <v>45593</v>
      </c>
      <c r="G1652" s="8">
        <f t="shared" si="25"/>
        <v>45593</v>
      </c>
      <c r="H1652" s="8" t="s">
        <v>13</v>
      </c>
      <c r="I1652" s="17"/>
      <c r="J1652" s="10"/>
      <c r="K1652" s="17">
        <v>1</v>
      </c>
    </row>
    <row r="1653" spans="1:11" x14ac:dyDescent="0.25">
      <c r="A1653" s="3" t="s">
        <v>3331</v>
      </c>
      <c r="B1653" s="4" t="s">
        <v>3332</v>
      </c>
      <c r="C1653" s="54">
        <v>382444</v>
      </c>
      <c r="D1653" s="17" t="s">
        <v>11</v>
      </c>
      <c r="E1653" s="17" t="s">
        <v>12</v>
      </c>
      <c r="F1653" s="15">
        <v>45594</v>
      </c>
      <c r="G1653" s="8">
        <f t="shared" si="25"/>
        <v>45594</v>
      </c>
      <c r="H1653" s="8" t="s">
        <v>39</v>
      </c>
      <c r="I1653" s="17"/>
      <c r="J1653" s="10"/>
      <c r="K1653" s="17"/>
    </row>
    <row r="1654" spans="1:11" x14ac:dyDescent="0.25">
      <c r="A1654" s="3" t="s">
        <v>3333</v>
      </c>
      <c r="B1654" s="4" t="s">
        <v>3334</v>
      </c>
      <c r="C1654" s="54">
        <v>383244</v>
      </c>
      <c r="D1654" s="17" t="s">
        <v>28</v>
      </c>
      <c r="E1654" s="17" t="s">
        <v>17</v>
      </c>
      <c r="F1654" s="15">
        <v>45602.454293981478</v>
      </c>
      <c r="G1654" s="8">
        <f t="shared" si="25"/>
        <v>45602.454293981478</v>
      </c>
      <c r="H1654" s="8" t="s">
        <v>13</v>
      </c>
      <c r="I1654" s="17"/>
      <c r="J1654" s="10"/>
      <c r="K1654" s="17">
        <v>1</v>
      </c>
    </row>
    <row r="1655" spans="1:11" x14ac:dyDescent="0.25">
      <c r="A1655" s="3" t="s">
        <v>3335</v>
      </c>
      <c r="B1655" s="4" t="s">
        <v>3336</v>
      </c>
      <c r="C1655" s="5">
        <v>383644</v>
      </c>
      <c r="D1655" s="17" t="s">
        <v>11</v>
      </c>
      <c r="E1655" s="17" t="s">
        <v>12</v>
      </c>
      <c r="F1655" s="15">
        <v>45602.529074074075</v>
      </c>
      <c r="G1655" s="8">
        <f t="shared" si="25"/>
        <v>45602.529074074075</v>
      </c>
      <c r="H1655" s="8" t="s">
        <v>39</v>
      </c>
      <c r="I1655" s="17"/>
      <c r="J1655" s="10"/>
      <c r="K1655" s="17">
        <v>1</v>
      </c>
    </row>
    <row r="1656" spans="1:11" x14ac:dyDescent="0.25">
      <c r="A1656" s="3" t="s">
        <v>3337</v>
      </c>
      <c r="B1656" s="4" t="s">
        <v>3338</v>
      </c>
      <c r="C1656" s="54">
        <v>386444</v>
      </c>
      <c r="D1656" s="17" t="s">
        <v>11</v>
      </c>
      <c r="E1656" s="17" t="s">
        <v>12</v>
      </c>
      <c r="F1656" s="15">
        <v>45631.659236111111</v>
      </c>
      <c r="G1656" s="8">
        <f t="shared" si="25"/>
        <v>45631.659236111111</v>
      </c>
      <c r="H1656" s="8" t="s">
        <v>39</v>
      </c>
      <c r="I1656" s="17"/>
      <c r="J1656" s="10"/>
      <c r="K1656" s="17">
        <v>1</v>
      </c>
    </row>
    <row r="1657" spans="1:11" x14ac:dyDescent="0.25">
      <c r="A1657" s="3" t="s">
        <v>3339</v>
      </c>
      <c r="B1657" s="4" t="s">
        <v>3340</v>
      </c>
      <c r="C1657" s="5">
        <v>386445</v>
      </c>
      <c r="D1657" s="17" t="s">
        <v>11</v>
      </c>
      <c r="E1657" s="17" t="s">
        <v>12</v>
      </c>
      <c r="F1657" s="15">
        <v>45635.571898148148</v>
      </c>
      <c r="G1657" s="8">
        <f t="shared" si="25"/>
        <v>45635.571898148148</v>
      </c>
      <c r="H1657" s="8" t="s">
        <v>39</v>
      </c>
      <c r="I1657" s="17"/>
      <c r="J1657" s="10"/>
      <c r="K1657" s="17">
        <v>1</v>
      </c>
    </row>
    <row r="1658" spans="1:11" x14ac:dyDescent="0.25">
      <c r="A1658" s="3" t="s">
        <v>3341</v>
      </c>
      <c r="B1658" s="4" t="s">
        <v>3342</v>
      </c>
      <c r="C1658" s="54">
        <v>389644</v>
      </c>
      <c r="D1658" s="17" t="s">
        <v>11</v>
      </c>
      <c r="E1658" s="17" t="s">
        <v>12</v>
      </c>
      <c r="F1658" s="15">
        <v>45664.616249999999</v>
      </c>
      <c r="G1658" s="8">
        <f t="shared" si="25"/>
        <v>45664.616249999999</v>
      </c>
      <c r="H1658" s="8" t="s">
        <v>39</v>
      </c>
      <c r="I1658" s="17"/>
      <c r="J1658" s="10"/>
      <c r="K1658" s="17">
        <v>1</v>
      </c>
    </row>
    <row r="1659" spans="1:11" x14ac:dyDescent="0.25">
      <c r="A1659" s="3" t="s">
        <v>3343</v>
      </c>
      <c r="B1659" s="4" t="s">
        <v>3344</v>
      </c>
      <c r="C1659" s="54">
        <v>392445</v>
      </c>
      <c r="D1659" s="17" t="s">
        <v>28</v>
      </c>
      <c r="E1659" s="17" t="s">
        <v>17</v>
      </c>
      <c r="F1659" s="15">
        <v>45670.620532407411</v>
      </c>
      <c r="G1659" s="8">
        <f t="shared" si="25"/>
        <v>45670.620532407411</v>
      </c>
      <c r="H1659" s="8" t="s">
        <v>13</v>
      </c>
      <c r="I1659" s="17"/>
      <c r="J1659" s="10"/>
      <c r="K1659" s="17">
        <v>1</v>
      </c>
    </row>
    <row r="1660" spans="1:11" x14ac:dyDescent="0.25">
      <c r="A1660" s="3" t="s">
        <v>3345</v>
      </c>
      <c r="B1660" s="4" t="s">
        <v>3346</v>
      </c>
      <c r="C1660" s="54">
        <v>395645</v>
      </c>
      <c r="D1660" s="17" t="s">
        <v>28</v>
      </c>
      <c r="E1660" s="17" t="s">
        <v>17</v>
      </c>
      <c r="F1660" s="15">
        <v>45687.652094907404</v>
      </c>
      <c r="G1660" s="8">
        <f t="shared" si="25"/>
        <v>45687.652094907404</v>
      </c>
      <c r="H1660" s="8" t="s">
        <v>13</v>
      </c>
      <c r="I1660" s="17"/>
      <c r="J1660" s="10"/>
      <c r="K1660" s="17"/>
    </row>
    <row r="1661" spans="1:11" x14ac:dyDescent="0.25">
      <c r="A1661" s="3" t="s">
        <v>3347</v>
      </c>
      <c r="B1661" s="4" t="s">
        <v>3348</v>
      </c>
      <c r="C1661" s="5">
        <v>396045</v>
      </c>
      <c r="D1661" s="17" t="s">
        <v>37</v>
      </c>
      <c r="E1661" s="17" t="s">
        <v>38</v>
      </c>
      <c r="F1661" s="15">
        <v>45692.650185185186</v>
      </c>
      <c r="G1661" s="8">
        <f t="shared" si="25"/>
        <v>45692.650185185186</v>
      </c>
      <c r="H1661" s="8" t="s">
        <v>39</v>
      </c>
      <c r="I1661" s="17"/>
      <c r="J1661" s="10"/>
      <c r="K1661" s="17">
        <v>1</v>
      </c>
    </row>
    <row r="1662" spans="1:11" x14ac:dyDescent="0.25">
      <c r="A1662" s="3" t="s">
        <v>3349</v>
      </c>
      <c r="B1662" s="4" t="s">
        <v>3350</v>
      </c>
      <c r="C1662" s="54">
        <v>396845</v>
      </c>
      <c r="D1662" s="17" t="s">
        <v>28</v>
      </c>
      <c r="E1662" s="17" t="s">
        <v>17</v>
      </c>
      <c r="F1662" s="15">
        <v>45698.660474537035</v>
      </c>
      <c r="G1662" s="8">
        <f t="shared" si="25"/>
        <v>45698.660474537035</v>
      </c>
      <c r="H1662" s="8" t="s">
        <v>13</v>
      </c>
      <c r="I1662" s="17"/>
      <c r="J1662" s="10"/>
      <c r="K1662" s="17">
        <v>1</v>
      </c>
    </row>
    <row r="1663" spans="1:11" x14ac:dyDescent="0.25">
      <c r="A1663" s="3" t="s">
        <v>3351</v>
      </c>
      <c r="B1663" s="4" t="s">
        <v>3352</v>
      </c>
      <c r="C1663" s="54">
        <v>398845</v>
      </c>
      <c r="D1663" s="17" t="s">
        <v>11</v>
      </c>
      <c r="E1663" s="17" t="s">
        <v>12</v>
      </c>
      <c r="F1663" s="15">
        <v>45720.631527777776</v>
      </c>
      <c r="G1663" s="8">
        <f t="shared" si="25"/>
        <v>45720.631527777776</v>
      </c>
      <c r="H1663" s="8" t="s">
        <v>39</v>
      </c>
      <c r="I1663" s="17"/>
      <c r="J1663" s="10"/>
      <c r="K1663" s="17">
        <v>1</v>
      </c>
    </row>
    <row r="1664" spans="1:11" x14ac:dyDescent="0.25">
      <c r="A1664" s="3" t="s">
        <v>3353</v>
      </c>
      <c r="B1664" s="4" t="s">
        <v>3354</v>
      </c>
      <c r="C1664" s="5">
        <v>404045</v>
      </c>
      <c r="D1664" s="17" t="s">
        <v>34</v>
      </c>
      <c r="E1664" s="17" t="s">
        <v>17</v>
      </c>
      <c r="F1664" s="15">
        <v>45782.585601851853</v>
      </c>
      <c r="G1664" s="8">
        <f t="shared" si="25"/>
        <v>45782.585601851853</v>
      </c>
      <c r="H1664" s="8" t="s">
        <v>13</v>
      </c>
      <c r="I1664" s="17"/>
      <c r="J1664" s="10"/>
      <c r="K1664" s="17"/>
    </row>
    <row r="1665" spans="1:11" x14ac:dyDescent="0.25">
      <c r="A1665" s="3" t="s">
        <v>3355</v>
      </c>
      <c r="B1665" s="4" t="s">
        <v>3356</v>
      </c>
      <c r="C1665" s="5">
        <v>403646</v>
      </c>
      <c r="D1665" s="17" t="s">
        <v>28</v>
      </c>
      <c r="E1665" s="17" t="s">
        <v>17</v>
      </c>
      <c r="F1665" s="15">
        <v>45775.307164351849</v>
      </c>
      <c r="G1665" s="8">
        <f t="shared" si="25"/>
        <v>45775.307164351849</v>
      </c>
      <c r="H1665" s="8" t="s">
        <v>13</v>
      </c>
      <c r="I1665" s="17"/>
      <c r="J1665" s="10"/>
      <c r="K1665" s="17">
        <v>1</v>
      </c>
    </row>
    <row r="1666" spans="1:11" x14ac:dyDescent="0.25">
      <c r="A1666" s="3" t="s">
        <v>3357</v>
      </c>
      <c r="B1666" s="4" t="s">
        <v>3358</v>
      </c>
      <c r="C1666" s="54">
        <v>403647</v>
      </c>
      <c r="D1666" s="17" t="s">
        <v>28</v>
      </c>
      <c r="E1666" s="17" t="s">
        <v>17</v>
      </c>
      <c r="F1666" s="15">
        <v>45775.615393518521</v>
      </c>
      <c r="G1666" s="8">
        <f t="shared" ref="G1666:G1729" si="26">F1666</f>
        <v>45775.615393518521</v>
      </c>
      <c r="H1666" s="8" t="s">
        <v>13</v>
      </c>
      <c r="I1666" s="17"/>
      <c r="J1666" s="10"/>
      <c r="K1666" s="17">
        <v>1</v>
      </c>
    </row>
    <row r="1667" spans="1:11" x14ac:dyDescent="0.25">
      <c r="A1667" s="3" t="s">
        <v>3359</v>
      </c>
      <c r="B1667" s="4" t="s">
        <v>3360</v>
      </c>
      <c r="C1667" s="5">
        <v>404445</v>
      </c>
      <c r="D1667" s="17" t="s">
        <v>37</v>
      </c>
      <c r="E1667" s="17" t="s">
        <v>38</v>
      </c>
      <c r="F1667" s="15">
        <v>45776.395254629628</v>
      </c>
      <c r="G1667" s="8">
        <f t="shared" si="26"/>
        <v>45776.395254629628</v>
      </c>
      <c r="H1667" s="8" t="s">
        <v>39</v>
      </c>
      <c r="I1667" s="17"/>
      <c r="J1667" s="10"/>
      <c r="K1667" s="17"/>
    </row>
    <row r="1668" spans="1:11" ht="37.5" customHeight="1" x14ac:dyDescent="0.25">
      <c r="A1668" s="3" t="s">
        <v>3361</v>
      </c>
      <c r="B1668" s="4" t="s">
        <v>3362</v>
      </c>
      <c r="C1668" s="54">
        <v>405245</v>
      </c>
      <c r="D1668" s="17" t="s">
        <v>28</v>
      </c>
      <c r="E1668" s="17" t="s">
        <v>17</v>
      </c>
      <c r="F1668" s="15">
        <v>45782.641030092593</v>
      </c>
      <c r="G1668" s="8">
        <f t="shared" si="26"/>
        <v>45782.641030092593</v>
      </c>
      <c r="H1668" s="8" t="s">
        <v>13</v>
      </c>
      <c r="I1668" s="17"/>
      <c r="J1668" s="10"/>
      <c r="K1668" s="17"/>
    </row>
    <row r="1669" spans="1:11" ht="36" customHeight="1" x14ac:dyDescent="0.25">
      <c r="A1669" s="3" t="s">
        <v>3363</v>
      </c>
      <c r="B1669" s="4" t="s">
        <v>3364</v>
      </c>
      <c r="C1669" s="54">
        <v>406045</v>
      </c>
      <c r="D1669" s="17" t="s">
        <v>34</v>
      </c>
      <c r="E1669" s="17" t="s">
        <v>17</v>
      </c>
      <c r="F1669" s="15">
        <v>45784</v>
      </c>
      <c r="G1669" s="8">
        <f t="shared" si="26"/>
        <v>45784</v>
      </c>
      <c r="H1669" s="8" t="s">
        <v>13</v>
      </c>
      <c r="I1669" s="17"/>
      <c r="J1669" s="10"/>
      <c r="K1669" s="17"/>
    </row>
    <row r="1670" spans="1:11" ht="30" x14ac:dyDescent="0.25">
      <c r="A1670" s="3" t="s">
        <v>3365</v>
      </c>
      <c r="B1670" s="4" t="s">
        <v>3366</v>
      </c>
      <c r="C1670" s="54">
        <v>80418</v>
      </c>
      <c r="D1670" s="17" t="s">
        <v>16</v>
      </c>
      <c r="E1670" s="17" t="s">
        <v>17</v>
      </c>
      <c r="F1670" s="15">
        <v>39727</v>
      </c>
      <c r="G1670" s="8">
        <f t="shared" si="26"/>
        <v>39727</v>
      </c>
      <c r="H1670" s="8" t="s">
        <v>13</v>
      </c>
      <c r="I1670" s="17" t="str">
        <f>IF(ISNA(VLOOKUP(A1670,'[1]Craig Eval'!A:C,3,FALSE)),"",(VLOOKUP(A1670,'[1]Craig Eval'!A:C,3,FALSE))*1000)</f>
        <v/>
      </c>
      <c r="J1670" s="10" t="str">
        <f>IF(ISNA(VLOOKUP(A1670,'[1]Craig Eval'!A:M,13,FALSE)),"",VLOOKUP(A1670,'[1]Craig Eval'!A:M,13,FALSE))</f>
        <v/>
      </c>
      <c r="K1670" s="17">
        <v>4</v>
      </c>
    </row>
    <row r="1671" spans="1:11" ht="30" x14ac:dyDescent="0.25">
      <c r="A1671" s="3" t="s">
        <v>3367</v>
      </c>
      <c r="B1671" s="4" t="s">
        <v>3368</v>
      </c>
      <c r="C1671" s="54">
        <v>111156</v>
      </c>
      <c r="D1671" s="17" t="s">
        <v>34</v>
      </c>
      <c r="E1671" s="17" t="s">
        <v>17</v>
      </c>
      <c r="F1671" s="15">
        <v>39756</v>
      </c>
      <c r="G1671" s="8">
        <f t="shared" si="26"/>
        <v>39756</v>
      </c>
      <c r="H1671" s="8" t="s">
        <v>13</v>
      </c>
      <c r="I1671" s="17" t="str">
        <f>IF(ISNA(VLOOKUP(A1671,'[1]Craig Eval'!A:C,3,FALSE)),"",(VLOOKUP(A1671,'[1]Craig Eval'!A:C,3,FALSE))*1000)</f>
        <v/>
      </c>
      <c r="J1671" s="10" t="str">
        <f>IF(ISNA(VLOOKUP(A1671,'[1]Craig Eval'!A:M,13,FALSE)),"",VLOOKUP(A1671,'[1]Craig Eval'!A:M,13,FALSE))</f>
        <v/>
      </c>
      <c r="K1671" s="17">
        <v>4</v>
      </c>
    </row>
    <row r="1672" spans="1:11" ht="30" x14ac:dyDescent="0.25">
      <c r="A1672" s="3" t="s">
        <v>3369</v>
      </c>
      <c r="B1672" s="4" t="s">
        <v>3370</v>
      </c>
      <c r="C1672" s="54">
        <v>54801</v>
      </c>
      <c r="D1672" s="17" t="s">
        <v>11</v>
      </c>
      <c r="E1672" s="17" t="s">
        <v>17</v>
      </c>
      <c r="F1672" s="15">
        <v>38210</v>
      </c>
      <c r="G1672" s="8">
        <f t="shared" si="26"/>
        <v>38210</v>
      </c>
      <c r="H1672" s="8" t="s">
        <v>39</v>
      </c>
      <c r="I1672" s="17" t="str">
        <f>IF(ISNA(VLOOKUP(A1672,'[1]Craig Eval'!A:C,3,FALSE)),"",(VLOOKUP(A1672,'[1]Craig Eval'!A:C,3,FALSE))*1000)</f>
        <v/>
      </c>
      <c r="J1672" s="10" t="str">
        <f>IF(ISNA(VLOOKUP(A1672,'[1]Craig Eval'!A:M,13,FALSE)),"",VLOOKUP(A1672,'[1]Craig Eval'!A:M,13,FALSE))</f>
        <v/>
      </c>
      <c r="K1672" s="17">
        <v>4</v>
      </c>
    </row>
    <row r="1673" spans="1:11" ht="30" x14ac:dyDescent="0.25">
      <c r="A1673" s="3" t="s">
        <v>3371</v>
      </c>
      <c r="B1673" s="4" t="s">
        <v>3372</v>
      </c>
      <c r="C1673" s="54">
        <v>110838</v>
      </c>
      <c r="D1673" s="17" t="s">
        <v>31</v>
      </c>
      <c r="E1673" s="17" t="s">
        <v>17</v>
      </c>
      <c r="F1673" s="15">
        <v>40094</v>
      </c>
      <c r="G1673" s="8">
        <f t="shared" si="26"/>
        <v>40094</v>
      </c>
      <c r="H1673" s="8" t="s">
        <v>13</v>
      </c>
      <c r="I1673" s="17" t="str">
        <f>IF(ISNA(VLOOKUP(A1673,'[1]Craig Eval'!A:C,3,FALSE)),"",(VLOOKUP(A1673,'[1]Craig Eval'!A:C,3,FALSE))*1000)</f>
        <v/>
      </c>
      <c r="J1673" s="10" t="str">
        <f>IF(ISNA(VLOOKUP(A1673,'[1]Craig Eval'!A:M,13,FALSE)),"",VLOOKUP(A1673,'[1]Craig Eval'!A:M,13,FALSE))</f>
        <v/>
      </c>
      <c r="K1673" s="17">
        <v>4</v>
      </c>
    </row>
    <row r="1674" spans="1:11" ht="30" x14ac:dyDescent="0.25">
      <c r="A1674" s="3" t="s">
        <v>3373</v>
      </c>
      <c r="B1674" s="4" t="s">
        <v>3374</v>
      </c>
      <c r="C1674" s="54">
        <v>72143</v>
      </c>
      <c r="D1674" s="17" t="s">
        <v>37</v>
      </c>
      <c r="E1674" s="17" t="s">
        <v>38</v>
      </c>
      <c r="F1674" s="15">
        <v>38931</v>
      </c>
      <c r="G1674" s="8">
        <f t="shared" si="26"/>
        <v>38931</v>
      </c>
      <c r="H1674" s="8" t="s">
        <v>39</v>
      </c>
      <c r="I1674" s="17" t="str">
        <f>IF(ISNA(VLOOKUP(A1674,'[1]Craig Eval'!A:C,3,FALSE)),"",(VLOOKUP(A1674,'[1]Craig Eval'!A:C,3,FALSE))*1000)</f>
        <v/>
      </c>
      <c r="J1674" s="10" t="str">
        <f>IF(ISNA(VLOOKUP(A1674,'[1]Craig Eval'!A:M,13,FALSE)),"",VLOOKUP(A1674,'[1]Craig Eval'!A:M,13,FALSE))</f>
        <v/>
      </c>
      <c r="K1674" s="17">
        <v>4</v>
      </c>
    </row>
  </sheetData>
  <conditionalFormatting sqref="A3">
    <cfRule type="duplicateValues" dxfId="225" priority="48"/>
    <cfRule type="duplicateValues" dxfId="224" priority="47"/>
  </conditionalFormatting>
  <conditionalFormatting sqref="A34:A42">
    <cfRule type="duplicateValues" dxfId="223" priority="63"/>
  </conditionalFormatting>
  <conditionalFormatting sqref="A43:A46">
    <cfRule type="duplicateValues" dxfId="222" priority="53"/>
  </conditionalFormatting>
  <conditionalFormatting sqref="A260">
    <cfRule type="duplicateValues" dxfId="221" priority="51"/>
  </conditionalFormatting>
  <conditionalFormatting sqref="A1313">
    <cfRule type="duplicateValues" dxfId="220" priority="49"/>
  </conditionalFormatting>
  <conditionalFormatting sqref="A1392">
    <cfRule type="duplicateValues" dxfId="219" priority="55"/>
  </conditionalFormatting>
  <conditionalFormatting sqref="A1393 A57:A189 A1 A261:A1312 A1314:A1391 A191:A259">
    <cfRule type="duplicateValues" dxfId="218" priority="56"/>
  </conditionalFormatting>
  <conditionalFormatting sqref="A1394:A1396 A1412:A1416">
    <cfRule type="duplicateValues" dxfId="217" priority="54"/>
  </conditionalFormatting>
  <conditionalFormatting sqref="A1417:A1419">
    <cfRule type="duplicateValues" dxfId="216" priority="52"/>
  </conditionalFormatting>
  <conditionalFormatting sqref="A1420">
    <cfRule type="duplicateValues" dxfId="215" priority="50"/>
  </conditionalFormatting>
  <conditionalFormatting sqref="A1468:A1474">
    <cfRule type="duplicateValues" dxfId="214" priority="60"/>
  </conditionalFormatting>
  <conditionalFormatting sqref="A1475">
    <cfRule type="duplicateValues" dxfId="213" priority="61"/>
  </conditionalFormatting>
  <conditionalFormatting sqref="A1476:A1482">
    <cfRule type="duplicateValues" dxfId="212" priority="68"/>
  </conditionalFormatting>
  <conditionalFormatting sqref="A1483">
    <cfRule type="duplicateValues" dxfId="211" priority="46"/>
  </conditionalFormatting>
  <conditionalFormatting sqref="A1484:A1491">
    <cfRule type="duplicateValues" dxfId="210" priority="62"/>
  </conditionalFormatting>
  <conditionalFormatting sqref="A1492:A1516">
    <cfRule type="duplicateValues" dxfId="209" priority="65"/>
  </conditionalFormatting>
  <conditionalFormatting sqref="A1517:A1522">
    <cfRule type="duplicateValues" dxfId="208" priority="66"/>
  </conditionalFormatting>
  <conditionalFormatting sqref="A1523:A1526">
    <cfRule type="duplicateValues" dxfId="207" priority="45"/>
  </conditionalFormatting>
  <conditionalFormatting sqref="A1527:A1532">
    <cfRule type="duplicateValues" dxfId="206" priority="44"/>
  </conditionalFormatting>
  <conditionalFormatting sqref="A1533:A1537">
    <cfRule type="duplicateValues" dxfId="205" priority="43"/>
  </conditionalFormatting>
  <conditionalFormatting sqref="A1538">
    <cfRule type="duplicateValues" dxfId="204" priority="42"/>
  </conditionalFormatting>
  <conditionalFormatting sqref="A1539">
    <cfRule type="duplicateValues" dxfId="203" priority="33"/>
  </conditionalFormatting>
  <conditionalFormatting sqref="A1540:A1542">
    <cfRule type="duplicateValues" dxfId="202" priority="31"/>
  </conditionalFormatting>
  <conditionalFormatting sqref="A1543">
    <cfRule type="duplicateValues" dxfId="201" priority="28"/>
  </conditionalFormatting>
  <conditionalFormatting sqref="A1544:A1545">
    <cfRule type="duplicateValues" dxfId="200" priority="29"/>
  </conditionalFormatting>
  <conditionalFormatting sqref="A1546:A1582">
    <cfRule type="duplicateValues" dxfId="199" priority="25"/>
  </conditionalFormatting>
  <conditionalFormatting sqref="A1583:A1588">
    <cfRule type="duplicateValues" dxfId="198" priority="70"/>
  </conditionalFormatting>
  <conditionalFormatting sqref="A1589">
    <cfRule type="duplicateValues" dxfId="197" priority="13"/>
  </conditionalFormatting>
  <conditionalFormatting sqref="A1590:A1591">
    <cfRule type="duplicateValues" dxfId="196" priority="16"/>
  </conditionalFormatting>
  <conditionalFormatting sqref="A1592">
    <cfRule type="duplicateValues" dxfId="195" priority="4"/>
  </conditionalFormatting>
  <conditionalFormatting sqref="A1593">
    <cfRule type="duplicateValues" dxfId="194" priority="7"/>
  </conditionalFormatting>
  <conditionalFormatting sqref="A1597:A1669">
    <cfRule type="duplicateValues" dxfId="193" priority="73"/>
  </conditionalFormatting>
  <conditionalFormatting sqref="A1670:A1673 A1594:A1596">
    <cfRule type="duplicateValues" dxfId="192" priority="10"/>
  </conditionalFormatting>
  <conditionalFormatting sqref="A1674">
    <cfRule type="duplicateValues" dxfId="191" priority="2"/>
  </conditionalFormatting>
  <conditionalFormatting sqref="B1:B9 B12:B1545">
    <cfRule type="duplicateValues" dxfId="190" priority="27"/>
  </conditionalFormatting>
  <conditionalFormatting sqref="B10:B11">
    <cfRule type="duplicateValues" dxfId="189" priority="76"/>
  </conditionalFormatting>
  <conditionalFormatting sqref="B1546:B1582">
    <cfRule type="duplicateValues" dxfId="188" priority="24"/>
  </conditionalFormatting>
  <conditionalFormatting sqref="B1583:B1588">
    <cfRule type="duplicateValues" dxfId="187" priority="71"/>
  </conditionalFormatting>
  <conditionalFormatting sqref="B1589">
    <cfRule type="duplicateValues" dxfId="186" priority="14"/>
  </conditionalFormatting>
  <conditionalFormatting sqref="B1590:B1591">
    <cfRule type="duplicateValues" dxfId="185" priority="17"/>
  </conditionalFormatting>
  <conditionalFormatting sqref="B1592">
    <cfRule type="duplicateValues" dxfId="184" priority="5"/>
  </conditionalFormatting>
  <conditionalFormatting sqref="B1593">
    <cfRule type="duplicateValues" dxfId="183" priority="8"/>
  </conditionalFormatting>
  <conditionalFormatting sqref="B1597:B1669">
    <cfRule type="duplicateValues" dxfId="182" priority="74"/>
  </conditionalFormatting>
  <conditionalFormatting sqref="B1670:B1673 B1594:B1596">
    <cfRule type="duplicateValues" dxfId="181" priority="11"/>
  </conditionalFormatting>
  <conditionalFormatting sqref="B1674">
    <cfRule type="duplicateValues" dxfId="180" priority="3"/>
  </conditionalFormatting>
  <conditionalFormatting sqref="C5:C6">
    <cfRule type="duplicateValues" dxfId="179" priority="67"/>
  </conditionalFormatting>
  <conditionalFormatting sqref="C7">
    <cfRule type="duplicateValues" dxfId="178" priority="36"/>
  </conditionalFormatting>
  <conditionalFormatting sqref="C8">
    <cfRule type="duplicateValues" dxfId="177" priority="35"/>
  </conditionalFormatting>
  <conditionalFormatting sqref="C10:C11">
    <cfRule type="duplicateValues" dxfId="176" priority="22"/>
  </conditionalFormatting>
  <conditionalFormatting sqref="C15">
    <cfRule type="duplicateValues" dxfId="175" priority="38"/>
  </conditionalFormatting>
  <conditionalFormatting sqref="C16:C30 C9 C12:C14">
    <cfRule type="duplicateValues" dxfId="174" priority="69"/>
  </conditionalFormatting>
  <conditionalFormatting sqref="C31:C115">
    <cfRule type="duplicateValues" dxfId="173" priority="64"/>
  </conditionalFormatting>
  <conditionalFormatting sqref="C1387">
    <cfRule type="duplicateValues" dxfId="172" priority="58"/>
  </conditionalFormatting>
  <conditionalFormatting sqref="C1388:C1394 C1:C4 C1412:C1415 C116:C1303 C1305:C1386">
    <cfRule type="duplicateValues" dxfId="171" priority="57"/>
  </conditionalFormatting>
  <conditionalFormatting sqref="C1395:C1411">
    <cfRule type="duplicateValues" dxfId="170" priority="59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55B8B-47D8-4D2A-A408-E728EFFFE0A8}">
  <sheetPr>
    <tabColor rgb="FF0070C0"/>
  </sheetPr>
  <dimension ref="A1:Q1674"/>
  <sheetViews>
    <sheetView workbookViewId="0">
      <pane ySplit="1" topLeftCell="A2" activePane="bottomLeft" state="frozen"/>
      <selection activeCell="N247" sqref="N247"/>
      <selection pane="bottomLeft" activeCell="N247" sqref="N247"/>
    </sheetView>
  </sheetViews>
  <sheetFormatPr defaultColWidth="9.7109375" defaultRowHeight="15" x14ac:dyDescent="0.25"/>
  <cols>
    <col min="1" max="1" width="11" style="55" bestFit="1" customWidth="1"/>
    <col min="2" max="2" width="37" style="55" bestFit="1" customWidth="1"/>
    <col min="3" max="3" width="9.42578125" style="55" bestFit="1" customWidth="1"/>
    <col min="4" max="4" width="12.28515625" style="55" bestFit="1" customWidth="1"/>
    <col min="5" max="5" width="10" style="55" customWidth="1"/>
    <col min="6" max="6" width="9" style="55" bestFit="1" customWidth="1"/>
    <col min="7" max="7" width="7.28515625" style="55" bestFit="1" customWidth="1"/>
    <col min="8" max="8" width="9.42578125" style="55" bestFit="1" customWidth="1"/>
    <col min="9" max="9" width="13.5703125" style="55" customWidth="1"/>
    <col min="10" max="10" width="12.140625" style="55" customWidth="1"/>
    <col min="11" max="11" width="10.7109375" style="55" customWidth="1"/>
    <col min="12" max="14" width="9.7109375" style="1"/>
    <col min="18" max="16384" width="9.7109375" style="1"/>
  </cols>
  <sheetData>
    <row r="1" spans="1:11" ht="75" x14ac:dyDescent="0.25">
      <c r="A1" s="56" t="s">
        <v>0</v>
      </c>
      <c r="B1" s="56" t="s">
        <v>1</v>
      </c>
      <c r="C1" s="57" t="s">
        <v>2</v>
      </c>
      <c r="D1" s="58" t="s">
        <v>3</v>
      </c>
      <c r="E1" s="58" t="s">
        <v>4</v>
      </c>
      <c r="F1" s="59" t="s">
        <v>5</v>
      </c>
      <c r="G1" s="60" t="s">
        <v>6</v>
      </c>
      <c r="H1" s="58" t="s">
        <v>7</v>
      </c>
      <c r="I1" s="61" t="s">
        <v>3375</v>
      </c>
      <c r="J1" s="61" t="s">
        <v>3376</v>
      </c>
      <c r="K1" s="61" t="s">
        <v>8</v>
      </c>
    </row>
    <row r="2" spans="1:11" x14ac:dyDescent="0.25">
      <c r="A2" s="3" t="s">
        <v>9</v>
      </c>
      <c r="B2" s="4" t="s">
        <v>10</v>
      </c>
      <c r="C2" s="5">
        <v>205269</v>
      </c>
      <c r="D2" s="6" t="s">
        <v>11</v>
      </c>
      <c r="E2" s="6" t="s">
        <v>12</v>
      </c>
      <c r="F2" s="7">
        <v>42676</v>
      </c>
      <c r="G2" s="8">
        <f t="shared" ref="G2:G65" si="0">F2</f>
        <v>42676</v>
      </c>
      <c r="H2" s="6" t="s">
        <v>13</v>
      </c>
      <c r="I2" s="9" t="s">
        <v>3380</v>
      </c>
      <c r="J2" s="62" t="s">
        <v>3380</v>
      </c>
      <c r="K2" s="11">
        <v>4</v>
      </c>
    </row>
    <row r="3" spans="1:11" x14ac:dyDescent="0.25">
      <c r="A3" s="12" t="s">
        <v>14</v>
      </c>
      <c r="B3" s="4" t="s">
        <v>15</v>
      </c>
      <c r="C3" s="5">
        <v>1729</v>
      </c>
      <c r="D3" s="6" t="s">
        <v>16</v>
      </c>
      <c r="E3" s="6" t="s">
        <v>17</v>
      </c>
      <c r="F3" s="7">
        <v>42755</v>
      </c>
      <c r="G3" s="8">
        <f t="shared" si="0"/>
        <v>42755</v>
      </c>
      <c r="H3" s="6" t="s">
        <v>13</v>
      </c>
      <c r="I3" s="9" t="s">
        <v>3380</v>
      </c>
      <c r="J3" s="62" t="s">
        <v>3380</v>
      </c>
      <c r="K3" s="11">
        <v>4</v>
      </c>
    </row>
    <row r="4" spans="1:11" x14ac:dyDescent="0.25">
      <c r="A4" s="13" t="s">
        <v>18</v>
      </c>
      <c r="B4" s="4" t="s">
        <v>19</v>
      </c>
      <c r="C4" s="5">
        <v>16966</v>
      </c>
      <c r="D4" s="6" t="s">
        <v>16</v>
      </c>
      <c r="E4" s="6" t="s">
        <v>17</v>
      </c>
      <c r="F4" s="7">
        <v>41143</v>
      </c>
      <c r="G4" s="8">
        <f t="shared" si="0"/>
        <v>41143</v>
      </c>
      <c r="H4" s="6" t="s">
        <v>13</v>
      </c>
      <c r="I4" s="9" t="s">
        <v>3380</v>
      </c>
      <c r="J4" s="62" t="s">
        <v>3380</v>
      </c>
      <c r="K4" s="11">
        <v>4</v>
      </c>
    </row>
    <row r="5" spans="1:11" x14ac:dyDescent="0.25">
      <c r="A5" s="3" t="s">
        <v>20</v>
      </c>
      <c r="B5" s="4" t="s">
        <v>21</v>
      </c>
      <c r="C5" s="5">
        <v>204646</v>
      </c>
      <c r="D5" s="6" t="s">
        <v>16</v>
      </c>
      <c r="E5" s="6" t="s">
        <v>17</v>
      </c>
      <c r="F5" s="7">
        <v>38533</v>
      </c>
      <c r="G5" s="8">
        <f t="shared" si="0"/>
        <v>38533</v>
      </c>
      <c r="H5" s="6" t="s">
        <v>13</v>
      </c>
      <c r="I5" s="9" t="s">
        <v>3380</v>
      </c>
      <c r="J5" s="62" t="s">
        <v>3380</v>
      </c>
      <c r="K5" s="11">
        <v>4</v>
      </c>
    </row>
    <row r="6" spans="1:11" x14ac:dyDescent="0.25">
      <c r="A6" s="3" t="s">
        <v>22</v>
      </c>
      <c r="B6" s="4" t="s">
        <v>23</v>
      </c>
      <c r="C6" s="5">
        <v>55153</v>
      </c>
      <c r="D6" s="6" t="s">
        <v>11</v>
      </c>
      <c r="E6" s="6" t="s">
        <v>17</v>
      </c>
      <c r="F6" s="7">
        <v>39420</v>
      </c>
      <c r="G6" s="8">
        <f t="shared" si="0"/>
        <v>39420</v>
      </c>
      <c r="H6" s="6" t="s">
        <v>13</v>
      </c>
      <c r="I6" s="9" t="s">
        <v>3380</v>
      </c>
      <c r="J6" s="62" t="s">
        <v>3380</v>
      </c>
      <c r="K6" s="11">
        <v>4</v>
      </c>
    </row>
    <row r="7" spans="1:11" x14ac:dyDescent="0.25">
      <c r="A7" s="4" t="s">
        <v>24</v>
      </c>
      <c r="B7" s="4" t="s">
        <v>25</v>
      </c>
      <c r="C7" s="14">
        <v>256468</v>
      </c>
      <c r="D7" s="6" t="s">
        <v>16</v>
      </c>
      <c r="E7" s="6" t="s">
        <v>17</v>
      </c>
      <c r="F7" s="15">
        <v>43635</v>
      </c>
      <c r="G7" s="8">
        <f t="shared" si="0"/>
        <v>43635</v>
      </c>
      <c r="H7" s="16" t="s">
        <v>13</v>
      </c>
      <c r="I7" s="9" t="s">
        <v>3380</v>
      </c>
      <c r="J7" s="62" t="s">
        <v>3380</v>
      </c>
      <c r="K7" s="17">
        <v>4</v>
      </c>
    </row>
    <row r="8" spans="1:11" x14ac:dyDescent="0.25">
      <c r="A8" s="3" t="s">
        <v>26</v>
      </c>
      <c r="B8" s="4" t="s">
        <v>27</v>
      </c>
      <c r="C8" s="5">
        <v>277052</v>
      </c>
      <c r="D8" s="6" t="s">
        <v>28</v>
      </c>
      <c r="E8" s="6" t="s">
        <v>17</v>
      </c>
      <c r="F8" s="7">
        <v>44197</v>
      </c>
      <c r="G8" s="8">
        <f t="shared" si="0"/>
        <v>44197</v>
      </c>
      <c r="H8" s="6" t="s">
        <v>13</v>
      </c>
      <c r="I8" s="9" t="s">
        <v>3380</v>
      </c>
      <c r="J8" s="62" t="s">
        <v>3380</v>
      </c>
      <c r="K8" s="17">
        <v>4</v>
      </c>
    </row>
    <row r="9" spans="1:11" x14ac:dyDescent="0.25">
      <c r="A9" s="3" t="s">
        <v>29</v>
      </c>
      <c r="B9" s="4" t="s">
        <v>30</v>
      </c>
      <c r="C9" s="5">
        <v>1329</v>
      </c>
      <c r="D9" s="16" t="s">
        <v>31</v>
      </c>
      <c r="E9" s="16" t="s">
        <v>17</v>
      </c>
      <c r="F9" s="15">
        <v>44319</v>
      </c>
      <c r="G9" s="8">
        <f t="shared" si="0"/>
        <v>44319</v>
      </c>
      <c r="H9" s="16" t="s">
        <v>13</v>
      </c>
      <c r="I9" s="9" t="s">
        <v>3380</v>
      </c>
      <c r="J9" s="62" t="s">
        <v>3380</v>
      </c>
      <c r="K9" s="17">
        <v>4</v>
      </c>
    </row>
    <row r="10" spans="1:11" x14ac:dyDescent="0.25">
      <c r="A10" s="3" t="s">
        <v>32</v>
      </c>
      <c r="B10" s="4" t="s">
        <v>33</v>
      </c>
      <c r="C10" s="14">
        <v>315233</v>
      </c>
      <c r="D10" s="16" t="s">
        <v>34</v>
      </c>
      <c r="E10" s="16" t="s">
        <v>17</v>
      </c>
      <c r="F10" s="15">
        <v>45078</v>
      </c>
      <c r="G10" s="8">
        <f t="shared" si="0"/>
        <v>45078</v>
      </c>
      <c r="H10" s="16" t="s">
        <v>13</v>
      </c>
      <c r="I10" s="9" t="s">
        <v>3380</v>
      </c>
      <c r="J10" s="62" t="s">
        <v>3380</v>
      </c>
      <c r="K10" s="17">
        <v>4</v>
      </c>
    </row>
    <row r="11" spans="1:11" x14ac:dyDescent="0.25">
      <c r="A11" s="3" t="s">
        <v>35</v>
      </c>
      <c r="B11" s="4" t="s">
        <v>36</v>
      </c>
      <c r="C11" s="14">
        <v>354434</v>
      </c>
      <c r="D11" s="16" t="s">
        <v>37</v>
      </c>
      <c r="E11" s="16" t="s">
        <v>38</v>
      </c>
      <c r="F11" s="15">
        <v>45350</v>
      </c>
      <c r="G11" s="8">
        <f t="shared" si="0"/>
        <v>45350</v>
      </c>
      <c r="H11" s="16" t="s">
        <v>39</v>
      </c>
      <c r="I11" s="9" t="s">
        <v>3380</v>
      </c>
      <c r="J11" s="62" t="s">
        <v>3380</v>
      </c>
      <c r="K11" s="17">
        <v>4</v>
      </c>
    </row>
    <row r="12" spans="1:11" x14ac:dyDescent="0.25">
      <c r="A12" s="3" t="s">
        <v>40</v>
      </c>
      <c r="B12" s="4" t="s">
        <v>41</v>
      </c>
      <c r="C12" s="14">
        <v>1907</v>
      </c>
      <c r="D12" s="6" t="s">
        <v>34</v>
      </c>
      <c r="E12" s="6" t="s">
        <v>17</v>
      </c>
      <c r="F12" s="7">
        <v>25569</v>
      </c>
      <c r="G12" s="8">
        <f t="shared" si="0"/>
        <v>25569</v>
      </c>
      <c r="H12" s="6" t="s">
        <v>13</v>
      </c>
      <c r="I12" s="9">
        <v>3800.0026540900399</v>
      </c>
      <c r="J12" s="62">
        <v>391.95030025985301</v>
      </c>
      <c r="K12" s="17">
        <v>1</v>
      </c>
    </row>
    <row r="13" spans="1:11" x14ac:dyDescent="0.25">
      <c r="A13" s="3" t="s">
        <v>42</v>
      </c>
      <c r="B13" s="4" t="s">
        <v>43</v>
      </c>
      <c r="C13" s="5">
        <v>54481</v>
      </c>
      <c r="D13" s="6" t="s">
        <v>34</v>
      </c>
      <c r="E13" s="6" t="s">
        <v>17</v>
      </c>
      <c r="F13" s="7">
        <v>18264</v>
      </c>
      <c r="G13" s="8">
        <f t="shared" si="0"/>
        <v>18264</v>
      </c>
      <c r="H13" s="6" t="s">
        <v>13</v>
      </c>
      <c r="I13" s="9">
        <v>679.304825994873</v>
      </c>
      <c r="J13" s="62">
        <v>178.695352082179</v>
      </c>
      <c r="K13" s="17">
        <v>1</v>
      </c>
    </row>
    <row r="14" spans="1:11" x14ac:dyDescent="0.25">
      <c r="A14" s="3" t="s">
        <v>44</v>
      </c>
      <c r="B14" s="4" t="s">
        <v>45</v>
      </c>
      <c r="C14" s="5">
        <v>1983</v>
      </c>
      <c r="D14" s="6" t="s">
        <v>34</v>
      </c>
      <c r="E14" s="6" t="s">
        <v>17</v>
      </c>
      <c r="F14" s="7">
        <v>35431</v>
      </c>
      <c r="G14" s="8">
        <f t="shared" si="0"/>
        <v>35431</v>
      </c>
      <c r="H14" s="6" t="s">
        <v>13</v>
      </c>
      <c r="I14" s="9">
        <v>8305.0375066547695</v>
      </c>
      <c r="J14" s="62">
        <v>139.41557771477301</v>
      </c>
      <c r="K14" s="17">
        <v>1</v>
      </c>
    </row>
    <row r="15" spans="1:11" x14ac:dyDescent="0.25">
      <c r="A15" s="3" t="s">
        <v>46</v>
      </c>
      <c r="B15" s="4" t="s">
        <v>47</v>
      </c>
      <c r="C15" s="5">
        <v>1298</v>
      </c>
      <c r="D15" s="6" t="s">
        <v>34</v>
      </c>
      <c r="E15" s="6" t="s">
        <v>17</v>
      </c>
      <c r="F15" s="7">
        <v>34700</v>
      </c>
      <c r="G15" s="8">
        <f t="shared" si="0"/>
        <v>34700</v>
      </c>
      <c r="H15" s="6" t="s">
        <v>13</v>
      </c>
      <c r="I15" s="9">
        <v>158687.73528908202</v>
      </c>
      <c r="J15" s="62">
        <v>707.47431024495404</v>
      </c>
      <c r="K15" s="17">
        <v>4</v>
      </c>
    </row>
    <row r="16" spans="1:11" x14ac:dyDescent="0.25">
      <c r="A16" s="3" t="s">
        <v>48</v>
      </c>
      <c r="B16" s="4" t="s">
        <v>49</v>
      </c>
      <c r="C16" s="14">
        <v>1804</v>
      </c>
      <c r="D16" s="6" t="s">
        <v>34</v>
      </c>
      <c r="E16" s="6" t="s">
        <v>17</v>
      </c>
      <c r="F16" s="7">
        <v>32143</v>
      </c>
      <c r="G16" s="8">
        <f t="shared" si="0"/>
        <v>32143</v>
      </c>
      <c r="H16" s="6" t="s">
        <v>13</v>
      </c>
      <c r="I16" s="9">
        <v>111175.108058315</v>
      </c>
      <c r="J16" s="62">
        <v>1009.45883468582</v>
      </c>
      <c r="K16" s="17">
        <v>3</v>
      </c>
    </row>
    <row r="17" spans="1:11" x14ac:dyDescent="0.25">
      <c r="A17" s="3" t="s">
        <v>50</v>
      </c>
      <c r="B17" s="4" t="s">
        <v>51</v>
      </c>
      <c r="C17" s="14">
        <v>54482</v>
      </c>
      <c r="D17" s="6" t="s">
        <v>34</v>
      </c>
      <c r="E17" s="6" t="s">
        <v>17</v>
      </c>
      <c r="F17" s="7">
        <v>21916</v>
      </c>
      <c r="G17" s="8">
        <f t="shared" si="0"/>
        <v>21916</v>
      </c>
      <c r="H17" s="6" t="s">
        <v>13</v>
      </c>
      <c r="I17" s="9">
        <v>37275.1950802016</v>
      </c>
      <c r="J17" s="62">
        <v>416.13725058213902</v>
      </c>
      <c r="K17" s="17">
        <v>2</v>
      </c>
    </row>
    <row r="18" spans="1:11" x14ac:dyDescent="0.25">
      <c r="A18" s="12" t="s">
        <v>52</v>
      </c>
      <c r="B18" s="4" t="s">
        <v>53</v>
      </c>
      <c r="C18" s="5">
        <v>1941</v>
      </c>
      <c r="D18" s="6" t="s">
        <v>34</v>
      </c>
      <c r="E18" s="6" t="s">
        <v>17</v>
      </c>
      <c r="F18" s="7">
        <v>21186</v>
      </c>
      <c r="G18" s="8">
        <f t="shared" si="0"/>
        <v>21186</v>
      </c>
      <c r="H18" s="6" t="s">
        <v>13</v>
      </c>
      <c r="I18" s="9" t="s">
        <v>3380</v>
      </c>
      <c r="J18" s="62" t="s">
        <v>3380</v>
      </c>
      <c r="K18" s="11">
        <v>4</v>
      </c>
    </row>
    <row r="19" spans="1:11" x14ac:dyDescent="0.25">
      <c r="A19" s="18" t="s">
        <v>54</v>
      </c>
      <c r="B19" s="19" t="s">
        <v>55</v>
      </c>
      <c r="C19" s="20">
        <v>1940</v>
      </c>
      <c r="D19" s="21" t="s">
        <v>28</v>
      </c>
      <c r="E19" s="21" t="s">
        <v>17</v>
      </c>
      <c r="F19" s="22">
        <v>19725</v>
      </c>
      <c r="G19" s="23">
        <f t="shared" si="0"/>
        <v>19725</v>
      </c>
      <c r="H19" s="21" t="s">
        <v>13</v>
      </c>
      <c r="I19" s="9" t="s">
        <v>3380</v>
      </c>
      <c r="J19" s="62" t="s">
        <v>3380</v>
      </c>
      <c r="K19" s="25">
        <v>4</v>
      </c>
    </row>
    <row r="20" spans="1:11" x14ac:dyDescent="0.25">
      <c r="A20" s="3" t="s">
        <v>56</v>
      </c>
      <c r="B20" s="4" t="s">
        <v>57</v>
      </c>
      <c r="C20" s="5">
        <v>1534</v>
      </c>
      <c r="D20" s="6" t="s">
        <v>34</v>
      </c>
      <c r="E20" s="6" t="s">
        <v>17</v>
      </c>
      <c r="F20" s="7">
        <v>29221</v>
      </c>
      <c r="G20" s="8">
        <f t="shared" si="0"/>
        <v>29221</v>
      </c>
      <c r="H20" s="6" t="s">
        <v>13</v>
      </c>
      <c r="I20" s="9">
        <v>4148.06535836689</v>
      </c>
      <c r="J20" s="62">
        <v>161.84871143559599</v>
      </c>
      <c r="K20" s="17">
        <v>1</v>
      </c>
    </row>
    <row r="21" spans="1:11" x14ac:dyDescent="0.25">
      <c r="A21" s="3" t="s">
        <v>58</v>
      </c>
      <c r="B21" s="4" t="s">
        <v>59</v>
      </c>
      <c r="C21" s="5">
        <v>1710</v>
      </c>
      <c r="D21" s="6" t="s">
        <v>16</v>
      </c>
      <c r="E21" s="6" t="s">
        <v>17</v>
      </c>
      <c r="F21" s="7">
        <v>30317</v>
      </c>
      <c r="G21" s="8">
        <f t="shared" si="0"/>
        <v>30317</v>
      </c>
      <c r="H21" s="6" t="s">
        <v>13</v>
      </c>
      <c r="I21" s="9" t="s">
        <v>3380</v>
      </c>
      <c r="J21" s="62" t="s">
        <v>3380</v>
      </c>
      <c r="K21" s="17">
        <v>4</v>
      </c>
    </row>
    <row r="22" spans="1:11" x14ac:dyDescent="0.25">
      <c r="A22" s="26" t="s">
        <v>60</v>
      </c>
      <c r="B22" s="27" t="s">
        <v>61</v>
      </c>
      <c r="C22" s="5">
        <v>1252</v>
      </c>
      <c r="D22" s="28" t="s">
        <v>28</v>
      </c>
      <c r="E22" s="28" t="s">
        <v>17</v>
      </c>
      <c r="F22" s="29">
        <v>18264</v>
      </c>
      <c r="G22" s="30">
        <f t="shared" si="0"/>
        <v>18264</v>
      </c>
      <c r="H22" s="28" t="s">
        <v>13</v>
      </c>
      <c r="I22" s="9">
        <v>24964.524966966303</v>
      </c>
      <c r="J22" s="62">
        <v>87.938139141937398</v>
      </c>
      <c r="K22" s="33">
        <v>1</v>
      </c>
    </row>
    <row r="23" spans="1:11" x14ac:dyDescent="0.25">
      <c r="A23" s="3" t="s">
        <v>62</v>
      </c>
      <c r="B23" s="4" t="s">
        <v>63</v>
      </c>
      <c r="C23" s="5">
        <v>85617</v>
      </c>
      <c r="D23" s="6" t="s">
        <v>28</v>
      </c>
      <c r="E23" s="6" t="s">
        <v>17</v>
      </c>
      <c r="F23" s="7">
        <v>40162</v>
      </c>
      <c r="G23" s="8">
        <f t="shared" si="0"/>
        <v>40162</v>
      </c>
      <c r="H23" s="6" t="s">
        <v>13</v>
      </c>
      <c r="I23" s="9">
        <v>8526.1174610864691</v>
      </c>
      <c r="J23" s="62">
        <v>334.90585104408899</v>
      </c>
      <c r="K23" s="17">
        <v>1</v>
      </c>
    </row>
    <row r="24" spans="1:11" x14ac:dyDescent="0.25">
      <c r="A24" s="3" t="s">
        <v>64</v>
      </c>
      <c r="B24" s="4" t="s">
        <v>65</v>
      </c>
      <c r="C24" s="5">
        <v>26881</v>
      </c>
      <c r="D24" s="6" t="s">
        <v>28</v>
      </c>
      <c r="E24" s="6" t="s">
        <v>17</v>
      </c>
      <c r="F24" s="7">
        <v>32927</v>
      </c>
      <c r="G24" s="8">
        <f t="shared" si="0"/>
        <v>32927</v>
      </c>
      <c r="H24" s="6" t="s">
        <v>13</v>
      </c>
      <c r="I24" s="9">
        <v>5872.5790073455801</v>
      </c>
      <c r="J24" s="62">
        <v>164.91227818011299</v>
      </c>
      <c r="K24" s="17">
        <v>1</v>
      </c>
    </row>
    <row r="25" spans="1:11" x14ac:dyDescent="0.25">
      <c r="A25" s="3" t="s">
        <v>66</v>
      </c>
      <c r="B25" s="4" t="s">
        <v>67</v>
      </c>
      <c r="C25" s="5">
        <v>1286</v>
      </c>
      <c r="D25" s="6" t="s">
        <v>28</v>
      </c>
      <c r="E25" s="6" t="s">
        <v>17</v>
      </c>
      <c r="F25" s="7">
        <v>31778</v>
      </c>
      <c r="G25" s="8">
        <f t="shared" si="0"/>
        <v>31778</v>
      </c>
      <c r="H25" s="6" t="s">
        <v>13</v>
      </c>
      <c r="I25" s="9">
        <v>13355.8738393651</v>
      </c>
      <c r="J25" s="62">
        <v>116.988506037037</v>
      </c>
      <c r="K25" s="17">
        <v>1</v>
      </c>
    </row>
    <row r="26" spans="1:11" x14ac:dyDescent="0.25">
      <c r="A26" s="3" t="s">
        <v>68</v>
      </c>
      <c r="B26" s="4" t="s">
        <v>69</v>
      </c>
      <c r="C26" s="5">
        <v>1656</v>
      </c>
      <c r="D26" s="6" t="s">
        <v>28</v>
      </c>
      <c r="E26" s="6" t="s">
        <v>17</v>
      </c>
      <c r="F26" s="7">
        <v>36892</v>
      </c>
      <c r="G26" s="8">
        <f t="shared" si="0"/>
        <v>36892</v>
      </c>
      <c r="H26" s="6" t="s">
        <v>13</v>
      </c>
      <c r="I26" s="9">
        <v>9962.310328185391</v>
      </c>
      <c r="J26" s="62">
        <v>58.357323868854799</v>
      </c>
      <c r="K26" s="17">
        <v>1</v>
      </c>
    </row>
    <row r="27" spans="1:11" x14ac:dyDescent="0.25">
      <c r="A27" s="26" t="s">
        <v>70</v>
      </c>
      <c r="B27" s="27" t="s">
        <v>71</v>
      </c>
      <c r="C27" s="34">
        <v>1655</v>
      </c>
      <c r="D27" s="28" t="s">
        <v>28</v>
      </c>
      <c r="E27" s="28" t="s">
        <v>17</v>
      </c>
      <c r="F27" s="29">
        <v>34335</v>
      </c>
      <c r="G27" s="30">
        <f t="shared" si="0"/>
        <v>34335</v>
      </c>
      <c r="H27" s="28" t="s">
        <v>13</v>
      </c>
      <c r="I27" s="9">
        <v>78098.778357816205</v>
      </c>
      <c r="J27" s="62">
        <v>795.65975373424703</v>
      </c>
      <c r="K27" s="33">
        <v>2</v>
      </c>
    </row>
    <row r="28" spans="1:11" x14ac:dyDescent="0.25">
      <c r="A28" s="35" t="s">
        <v>72</v>
      </c>
      <c r="B28" s="19" t="s">
        <v>73</v>
      </c>
      <c r="C28" s="5">
        <v>1256</v>
      </c>
      <c r="D28" s="21" t="s">
        <v>28</v>
      </c>
      <c r="E28" s="21" t="s">
        <v>17</v>
      </c>
      <c r="F28" s="22">
        <v>26299</v>
      </c>
      <c r="G28" s="23">
        <f t="shared" si="0"/>
        <v>26299</v>
      </c>
      <c r="H28" s="21" t="s">
        <v>13</v>
      </c>
      <c r="I28" s="9" t="s">
        <v>3380</v>
      </c>
      <c r="J28" s="62" t="s">
        <v>3380</v>
      </c>
      <c r="K28" s="25">
        <v>4</v>
      </c>
    </row>
    <row r="29" spans="1:11" x14ac:dyDescent="0.25">
      <c r="A29" s="18" t="s">
        <v>74</v>
      </c>
      <c r="B29" s="19" t="s">
        <v>75</v>
      </c>
      <c r="C29" s="5">
        <v>12161</v>
      </c>
      <c r="D29" s="21" t="s">
        <v>28</v>
      </c>
      <c r="E29" s="21" t="s">
        <v>17</v>
      </c>
      <c r="F29" s="22">
        <v>37846</v>
      </c>
      <c r="G29" s="23">
        <f t="shared" si="0"/>
        <v>37846</v>
      </c>
      <c r="H29" s="21" t="s">
        <v>13</v>
      </c>
      <c r="I29" s="9">
        <v>156740.51996998797</v>
      </c>
      <c r="J29" s="62">
        <v>401.40040669227602</v>
      </c>
      <c r="K29" s="25">
        <v>1</v>
      </c>
    </row>
    <row r="30" spans="1:11" x14ac:dyDescent="0.25">
      <c r="A30" s="3" t="s">
        <v>76</v>
      </c>
      <c r="B30" s="4" t="s">
        <v>77</v>
      </c>
      <c r="C30" s="5">
        <v>1562</v>
      </c>
      <c r="D30" s="6" t="s">
        <v>28</v>
      </c>
      <c r="E30" s="6" t="s">
        <v>17</v>
      </c>
      <c r="F30" s="7">
        <v>36441</v>
      </c>
      <c r="G30" s="8">
        <f t="shared" si="0"/>
        <v>36441</v>
      </c>
      <c r="H30" s="6" t="s">
        <v>13</v>
      </c>
      <c r="I30" s="9">
        <v>43395.5521196466</v>
      </c>
      <c r="J30" s="62">
        <v>250.712923880137</v>
      </c>
      <c r="K30" s="17">
        <v>1</v>
      </c>
    </row>
    <row r="31" spans="1:11" x14ac:dyDescent="0.25">
      <c r="A31" s="3" t="s">
        <v>78</v>
      </c>
      <c r="B31" s="4" t="s">
        <v>79</v>
      </c>
      <c r="C31" s="5">
        <v>1139</v>
      </c>
      <c r="D31" s="6" t="s">
        <v>31</v>
      </c>
      <c r="E31" s="6" t="s">
        <v>17</v>
      </c>
      <c r="F31" s="7">
        <v>29221</v>
      </c>
      <c r="G31" s="8">
        <f t="shared" si="0"/>
        <v>29221</v>
      </c>
      <c r="H31" s="6" t="s">
        <v>13</v>
      </c>
      <c r="I31" s="9">
        <v>77771.083221354696</v>
      </c>
      <c r="J31" s="62">
        <v>431.74385581449002</v>
      </c>
      <c r="K31" s="17">
        <v>1</v>
      </c>
    </row>
    <row r="32" spans="1:11" x14ac:dyDescent="0.25">
      <c r="A32" s="3" t="s">
        <v>80</v>
      </c>
      <c r="B32" s="4" t="s">
        <v>81</v>
      </c>
      <c r="C32" s="14">
        <v>1490</v>
      </c>
      <c r="D32" s="6" t="s">
        <v>28</v>
      </c>
      <c r="E32" s="6" t="s">
        <v>17</v>
      </c>
      <c r="F32" s="7">
        <v>26753</v>
      </c>
      <c r="G32" s="8">
        <f t="shared" si="0"/>
        <v>26753</v>
      </c>
      <c r="H32" s="6" t="s">
        <v>13</v>
      </c>
      <c r="I32" s="9">
        <v>19641.488377677699</v>
      </c>
      <c r="J32" s="62">
        <v>322.96818647560099</v>
      </c>
      <c r="K32" s="17">
        <v>1</v>
      </c>
    </row>
    <row r="33" spans="1:11" x14ac:dyDescent="0.25">
      <c r="A33" s="37" t="s">
        <v>82</v>
      </c>
      <c r="B33" s="4" t="s">
        <v>83</v>
      </c>
      <c r="C33" s="5">
        <v>1826</v>
      </c>
      <c r="D33" s="6" t="s">
        <v>31</v>
      </c>
      <c r="E33" s="6" t="s">
        <v>17</v>
      </c>
      <c r="F33" s="7">
        <v>31778</v>
      </c>
      <c r="G33" s="8">
        <f t="shared" si="0"/>
        <v>31778</v>
      </c>
      <c r="H33" s="6" t="s">
        <v>13</v>
      </c>
      <c r="I33" s="9" t="s">
        <v>3380</v>
      </c>
      <c r="J33" s="62" t="s">
        <v>3380</v>
      </c>
      <c r="K33" s="17">
        <v>4</v>
      </c>
    </row>
    <row r="34" spans="1:11" x14ac:dyDescent="0.25">
      <c r="A34" s="3" t="s">
        <v>84</v>
      </c>
      <c r="B34" s="4" t="s">
        <v>85</v>
      </c>
      <c r="C34" s="5">
        <v>1564</v>
      </c>
      <c r="D34" s="6" t="s">
        <v>28</v>
      </c>
      <c r="E34" s="6" t="s">
        <v>17</v>
      </c>
      <c r="F34" s="7">
        <v>25569</v>
      </c>
      <c r="G34" s="8">
        <f t="shared" si="0"/>
        <v>25569</v>
      </c>
      <c r="H34" s="6" t="s">
        <v>13</v>
      </c>
      <c r="I34" s="9">
        <v>225935.56857412198</v>
      </c>
      <c r="J34" s="62">
        <v>445.32816500947399</v>
      </c>
      <c r="K34" s="17">
        <v>3</v>
      </c>
    </row>
    <row r="35" spans="1:11" x14ac:dyDescent="0.25">
      <c r="A35" s="3" t="s">
        <v>86</v>
      </c>
      <c r="B35" s="4" t="s">
        <v>87</v>
      </c>
      <c r="C35" s="5">
        <v>1968</v>
      </c>
      <c r="D35" s="6" t="s">
        <v>16</v>
      </c>
      <c r="E35" s="6" t="s">
        <v>17</v>
      </c>
      <c r="F35" s="7">
        <v>29221</v>
      </c>
      <c r="G35" s="8">
        <f t="shared" si="0"/>
        <v>29221</v>
      </c>
      <c r="H35" s="6" t="s">
        <v>13</v>
      </c>
      <c r="I35" s="9">
        <v>10740.1922881224</v>
      </c>
      <c r="J35" s="62">
        <v>359.74632570250202</v>
      </c>
      <c r="K35" s="17">
        <v>1</v>
      </c>
    </row>
    <row r="36" spans="1:11" x14ac:dyDescent="0.25">
      <c r="A36" s="3" t="s">
        <v>88</v>
      </c>
      <c r="B36" s="4" t="s">
        <v>89</v>
      </c>
      <c r="C36" s="5">
        <v>1369</v>
      </c>
      <c r="D36" s="6" t="s">
        <v>28</v>
      </c>
      <c r="E36" s="6" t="s">
        <v>17</v>
      </c>
      <c r="F36" s="7">
        <v>33813</v>
      </c>
      <c r="G36" s="8">
        <f t="shared" si="0"/>
        <v>33813</v>
      </c>
      <c r="H36" s="6" t="s">
        <v>13</v>
      </c>
      <c r="I36" s="9">
        <v>1503.8919871176699</v>
      </c>
      <c r="J36" s="62">
        <v>218.86512962089401</v>
      </c>
      <c r="K36" s="17">
        <v>1</v>
      </c>
    </row>
    <row r="37" spans="1:11" x14ac:dyDescent="0.25">
      <c r="A37" s="3" t="s">
        <v>90</v>
      </c>
      <c r="B37" s="4" t="s">
        <v>91</v>
      </c>
      <c r="C37" s="5">
        <v>2241</v>
      </c>
      <c r="D37" s="6" t="s">
        <v>28</v>
      </c>
      <c r="E37" s="6" t="s">
        <v>17</v>
      </c>
      <c r="F37" s="7">
        <v>37117</v>
      </c>
      <c r="G37" s="8">
        <f t="shared" si="0"/>
        <v>37117</v>
      </c>
      <c r="H37" s="6" t="s">
        <v>13</v>
      </c>
      <c r="I37" s="9">
        <v>103743.192612211</v>
      </c>
      <c r="J37" s="62">
        <v>398.70769299059202</v>
      </c>
      <c r="K37" s="17">
        <v>2</v>
      </c>
    </row>
    <row r="38" spans="1:11" x14ac:dyDescent="0.25">
      <c r="A38" s="3" t="s">
        <v>92</v>
      </c>
      <c r="B38" s="4" t="s">
        <v>93</v>
      </c>
      <c r="C38" s="5">
        <v>2012</v>
      </c>
      <c r="D38" s="6" t="s">
        <v>16</v>
      </c>
      <c r="E38" s="6" t="s">
        <v>17</v>
      </c>
      <c r="F38" s="7">
        <v>29221</v>
      </c>
      <c r="G38" s="8">
        <f t="shared" si="0"/>
        <v>29221</v>
      </c>
      <c r="H38" s="6" t="s">
        <v>13</v>
      </c>
      <c r="I38" s="9">
        <v>11032.907342399199</v>
      </c>
      <c r="J38" s="62">
        <v>33.8272600978786</v>
      </c>
      <c r="K38" s="17">
        <v>1</v>
      </c>
    </row>
    <row r="39" spans="1:11" x14ac:dyDescent="0.25">
      <c r="A39" s="3" t="s">
        <v>94</v>
      </c>
      <c r="B39" s="4" t="s">
        <v>95</v>
      </c>
      <c r="C39" s="5">
        <v>89458</v>
      </c>
      <c r="D39" s="6" t="s">
        <v>28</v>
      </c>
      <c r="E39" s="6" t="s">
        <v>17</v>
      </c>
      <c r="F39" s="7">
        <v>31048</v>
      </c>
      <c r="G39" s="8">
        <f t="shared" si="0"/>
        <v>31048</v>
      </c>
      <c r="H39" s="6" t="s">
        <v>13</v>
      </c>
      <c r="I39" s="9">
        <v>595.60672193948005</v>
      </c>
      <c r="J39" s="62">
        <v>74.420631876838499</v>
      </c>
      <c r="K39" s="17">
        <v>1</v>
      </c>
    </row>
    <row r="40" spans="1:11" x14ac:dyDescent="0.25">
      <c r="A40" s="3" t="s">
        <v>96</v>
      </c>
      <c r="B40" s="4" t="s">
        <v>97</v>
      </c>
      <c r="C40" s="5">
        <v>1963</v>
      </c>
      <c r="D40" s="6" t="s">
        <v>11</v>
      </c>
      <c r="E40" s="6" t="s">
        <v>17</v>
      </c>
      <c r="F40" s="7">
        <v>36039</v>
      </c>
      <c r="G40" s="8">
        <f t="shared" si="0"/>
        <v>36039</v>
      </c>
      <c r="H40" s="6" t="s">
        <v>13</v>
      </c>
      <c r="I40" s="9">
        <v>32722.459281433999</v>
      </c>
      <c r="J40" s="62">
        <v>163.584108275657</v>
      </c>
      <c r="K40" s="17">
        <v>1</v>
      </c>
    </row>
    <row r="41" spans="1:11" x14ac:dyDescent="0.25">
      <c r="A41" s="3" t="s">
        <v>98</v>
      </c>
      <c r="B41" s="4" t="s">
        <v>99</v>
      </c>
      <c r="C41" s="14">
        <v>1631</v>
      </c>
      <c r="D41" s="6" t="s">
        <v>31</v>
      </c>
      <c r="E41" s="6" t="s">
        <v>17</v>
      </c>
      <c r="F41" s="7">
        <v>29221</v>
      </c>
      <c r="G41" s="8">
        <f t="shared" si="0"/>
        <v>29221</v>
      </c>
      <c r="H41" s="6" t="s">
        <v>13</v>
      </c>
      <c r="I41" s="9">
        <v>406259.59259093204</v>
      </c>
      <c r="J41" s="62">
        <v>2302.9151251459798</v>
      </c>
      <c r="K41" s="17">
        <v>2</v>
      </c>
    </row>
    <row r="42" spans="1:11" x14ac:dyDescent="0.25">
      <c r="A42" s="3" t="s">
        <v>100</v>
      </c>
      <c r="B42" s="4" t="s">
        <v>101</v>
      </c>
      <c r="C42" s="5">
        <v>1741</v>
      </c>
      <c r="D42" s="6" t="s">
        <v>31</v>
      </c>
      <c r="E42" s="6" t="s">
        <v>17</v>
      </c>
      <c r="F42" s="7">
        <v>25569</v>
      </c>
      <c r="G42" s="8">
        <f t="shared" si="0"/>
        <v>25569</v>
      </c>
      <c r="H42" s="6" t="s">
        <v>13</v>
      </c>
      <c r="I42" s="9">
        <v>18848.392337172801</v>
      </c>
      <c r="J42" s="62">
        <v>123.212369984387</v>
      </c>
      <c r="K42" s="17">
        <v>1</v>
      </c>
    </row>
    <row r="43" spans="1:11" x14ac:dyDescent="0.25">
      <c r="A43" s="3" t="s">
        <v>102</v>
      </c>
      <c r="B43" s="4" t="s">
        <v>103</v>
      </c>
      <c r="C43" s="5">
        <v>29846</v>
      </c>
      <c r="D43" s="6" t="s">
        <v>34</v>
      </c>
      <c r="E43" s="6" t="s">
        <v>17</v>
      </c>
      <c r="F43" s="7">
        <v>39029</v>
      </c>
      <c r="G43" s="8">
        <f t="shared" si="0"/>
        <v>39029</v>
      </c>
      <c r="H43" s="6" t="s">
        <v>13</v>
      </c>
      <c r="I43" s="9">
        <v>22977.768615159399</v>
      </c>
      <c r="J43" s="62">
        <v>74.822792666530603</v>
      </c>
      <c r="K43" s="11">
        <v>2</v>
      </c>
    </row>
    <row r="44" spans="1:11" x14ac:dyDescent="0.25">
      <c r="A44" s="18" t="s">
        <v>104</v>
      </c>
      <c r="B44" s="19" t="s">
        <v>105</v>
      </c>
      <c r="C44" s="5">
        <v>1986</v>
      </c>
      <c r="D44" s="21" t="s">
        <v>28</v>
      </c>
      <c r="E44" s="21" t="s">
        <v>17</v>
      </c>
      <c r="F44" s="22">
        <v>29587</v>
      </c>
      <c r="G44" s="23">
        <f t="shared" si="0"/>
        <v>29587</v>
      </c>
      <c r="H44" s="21" t="s">
        <v>13</v>
      </c>
      <c r="I44" s="9" t="s">
        <v>3380</v>
      </c>
      <c r="J44" s="62" t="s">
        <v>3380</v>
      </c>
      <c r="K44" s="25">
        <v>4</v>
      </c>
    </row>
    <row r="45" spans="1:11" x14ac:dyDescent="0.25">
      <c r="A45" s="3" t="s">
        <v>106</v>
      </c>
      <c r="B45" s="4" t="s">
        <v>107</v>
      </c>
      <c r="C45" s="5">
        <v>1344</v>
      </c>
      <c r="D45" s="6" t="s">
        <v>31</v>
      </c>
      <c r="E45" s="6" t="s">
        <v>17</v>
      </c>
      <c r="F45" s="7">
        <v>39213</v>
      </c>
      <c r="G45" s="8">
        <f t="shared" si="0"/>
        <v>39213</v>
      </c>
      <c r="H45" s="6" t="s">
        <v>13</v>
      </c>
      <c r="I45" s="9">
        <v>63990.031413061304</v>
      </c>
      <c r="J45" s="62">
        <v>163.13395636785299</v>
      </c>
      <c r="K45" s="17">
        <v>1</v>
      </c>
    </row>
    <row r="46" spans="1:11" x14ac:dyDescent="0.25">
      <c r="A46" s="3" t="s">
        <v>108</v>
      </c>
      <c r="B46" s="4" t="s">
        <v>109</v>
      </c>
      <c r="C46" s="5">
        <v>1158</v>
      </c>
      <c r="D46" s="6" t="s">
        <v>31</v>
      </c>
      <c r="E46" s="6" t="s">
        <v>17</v>
      </c>
      <c r="F46" s="7">
        <v>25569</v>
      </c>
      <c r="G46" s="8">
        <f t="shared" si="0"/>
        <v>25569</v>
      </c>
      <c r="H46" s="6" t="s">
        <v>13</v>
      </c>
      <c r="I46" s="9">
        <v>12852.0671532696</v>
      </c>
      <c r="J46" s="62">
        <v>362.40797125309302</v>
      </c>
      <c r="K46" s="17">
        <v>1</v>
      </c>
    </row>
    <row r="47" spans="1:11" x14ac:dyDescent="0.25">
      <c r="A47" s="3" t="s">
        <v>110</v>
      </c>
      <c r="B47" s="4" t="s">
        <v>111</v>
      </c>
      <c r="C47" s="5">
        <v>19856</v>
      </c>
      <c r="D47" s="6" t="s">
        <v>34</v>
      </c>
      <c r="E47" s="6" t="s">
        <v>17</v>
      </c>
      <c r="F47" s="7">
        <v>38512</v>
      </c>
      <c r="G47" s="8">
        <f t="shared" si="0"/>
        <v>38512</v>
      </c>
      <c r="H47" s="6" t="s">
        <v>13</v>
      </c>
      <c r="I47" s="9">
        <v>48355.364168803295</v>
      </c>
      <c r="J47" s="62">
        <v>188.21249364247001</v>
      </c>
      <c r="K47" s="17">
        <v>1</v>
      </c>
    </row>
    <row r="48" spans="1:11" x14ac:dyDescent="0.25">
      <c r="A48" s="3" t="s">
        <v>112</v>
      </c>
      <c r="B48" s="4" t="s">
        <v>113</v>
      </c>
      <c r="C48" s="5">
        <v>1624</v>
      </c>
      <c r="D48" s="6" t="s">
        <v>16</v>
      </c>
      <c r="E48" s="6" t="s">
        <v>17</v>
      </c>
      <c r="F48" s="7">
        <v>32874</v>
      </c>
      <c r="G48" s="8">
        <f t="shared" si="0"/>
        <v>32874</v>
      </c>
      <c r="H48" s="6" t="s">
        <v>13</v>
      </c>
      <c r="I48" s="9">
        <v>38929.068384858903</v>
      </c>
      <c r="J48" s="62">
        <v>221.70676406877399</v>
      </c>
      <c r="K48" s="17">
        <v>1</v>
      </c>
    </row>
    <row r="49" spans="1:11" x14ac:dyDescent="0.25">
      <c r="A49" s="3" t="s">
        <v>114</v>
      </c>
      <c r="B49" s="4" t="s">
        <v>115</v>
      </c>
      <c r="C49" s="14">
        <v>28897</v>
      </c>
      <c r="D49" s="6" t="s">
        <v>11</v>
      </c>
      <c r="E49" s="6" t="s">
        <v>17</v>
      </c>
      <c r="F49" s="7">
        <v>36639</v>
      </c>
      <c r="G49" s="8">
        <f t="shared" si="0"/>
        <v>36639</v>
      </c>
      <c r="H49" s="6" t="s">
        <v>13</v>
      </c>
      <c r="I49" s="9">
        <v>37631.493726459703</v>
      </c>
      <c r="J49" s="62">
        <v>473.137069417318</v>
      </c>
      <c r="K49" s="17">
        <v>2</v>
      </c>
    </row>
    <row r="50" spans="1:11" x14ac:dyDescent="0.25">
      <c r="A50" s="3" t="s">
        <v>116</v>
      </c>
      <c r="B50" s="4" t="s">
        <v>117</v>
      </c>
      <c r="C50" s="5">
        <v>2881</v>
      </c>
      <c r="D50" s="6" t="s">
        <v>34</v>
      </c>
      <c r="E50" s="6" t="s">
        <v>17</v>
      </c>
      <c r="F50" s="7">
        <v>37099</v>
      </c>
      <c r="G50" s="8">
        <f t="shared" si="0"/>
        <v>37099</v>
      </c>
      <c r="H50" s="6" t="s">
        <v>13</v>
      </c>
      <c r="I50" s="9">
        <v>50874.111443894799</v>
      </c>
      <c r="J50" s="62">
        <v>538.95212978552104</v>
      </c>
      <c r="K50" s="17">
        <v>1</v>
      </c>
    </row>
    <row r="51" spans="1:11" x14ac:dyDescent="0.25">
      <c r="A51" s="3" t="s">
        <v>118</v>
      </c>
      <c r="B51" s="4" t="s">
        <v>119</v>
      </c>
      <c r="C51" s="14">
        <v>2034</v>
      </c>
      <c r="D51" s="6" t="s">
        <v>16</v>
      </c>
      <c r="E51" s="6" t="s">
        <v>17</v>
      </c>
      <c r="F51" s="7">
        <v>29221</v>
      </c>
      <c r="G51" s="8">
        <f t="shared" si="0"/>
        <v>29221</v>
      </c>
      <c r="H51" s="6" t="s">
        <v>13</v>
      </c>
      <c r="I51" s="9">
        <v>67197.977141897398</v>
      </c>
      <c r="J51" s="62">
        <v>518.48566220919997</v>
      </c>
      <c r="K51" s="17">
        <v>1</v>
      </c>
    </row>
    <row r="52" spans="1:11" x14ac:dyDescent="0.25">
      <c r="A52" s="3" t="s">
        <v>120</v>
      </c>
      <c r="B52" s="4" t="s">
        <v>121</v>
      </c>
      <c r="C52" s="14">
        <v>1069</v>
      </c>
      <c r="D52" s="6" t="s">
        <v>16</v>
      </c>
      <c r="E52" s="6" t="s">
        <v>17</v>
      </c>
      <c r="F52" s="7">
        <v>29221</v>
      </c>
      <c r="G52" s="8">
        <f t="shared" si="0"/>
        <v>29221</v>
      </c>
      <c r="H52" s="6" t="s">
        <v>13</v>
      </c>
      <c r="I52" s="9">
        <v>208112.51526642102</v>
      </c>
      <c r="J52" s="62">
        <v>527.65604746758004</v>
      </c>
      <c r="K52" s="17">
        <v>2</v>
      </c>
    </row>
    <row r="53" spans="1:11" x14ac:dyDescent="0.25">
      <c r="A53" s="3" t="s">
        <v>122</v>
      </c>
      <c r="B53" s="38" t="s">
        <v>123</v>
      </c>
      <c r="C53" s="14">
        <v>30660</v>
      </c>
      <c r="D53" s="6" t="s">
        <v>31</v>
      </c>
      <c r="E53" s="6" t="s">
        <v>17</v>
      </c>
      <c r="F53" s="7">
        <v>38373</v>
      </c>
      <c r="G53" s="8">
        <f t="shared" si="0"/>
        <v>38373</v>
      </c>
      <c r="H53" s="6" t="s">
        <v>13</v>
      </c>
      <c r="I53" s="9">
        <v>107447.05115511999</v>
      </c>
      <c r="J53" s="62">
        <v>1318.92820154992</v>
      </c>
      <c r="K53" s="17">
        <v>4</v>
      </c>
    </row>
    <row r="54" spans="1:11" x14ac:dyDescent="0.25">
      <c r="A54" s="3" t="s">
        <v>124</v>
      </c>
      <c r="B54" s="4" t="s">
        <v>125</v>
      </c>
      <c r="C54" s="5">
        <v>48721</v>
      </c>
      <c r="D54" s="6" t="s">
        <v>37</v>
      </c>
      <c r="E54" s="6" t="s">
        <v>38</v>
      </c>
      <c r="F54" s="7">
        <v>39323</v>
      </c>
      <c r="G54" s="8">
        <f t="shared" si="0"/>
        <v>39323</v>
      </c>
      <c r="H54" s="6" t="s">
        <v>39</v>
      </c>
      <c r="I54" s="9">
        <v>72641.361649344501</v>
      </c>
      <c r="J54" s="62">
        <v>715.34594739520605</v>
      </c>
      <c r="K54" s="17">
        <v>2</v>
      </c>
    </row>
    <row r="55" spans="1:11" x14ac:dyDescent="0.25">
      <c r="A55" s="3" t="s">
        <v>126</v>
      </c>
      <c r="B55" s="4" t="s">
        <v>127</v>
      </c>
      <c r="C55" s="5">
        <v>52257</v>
      </c>
      <c r="D55" s="6" t="s">
        <v>37</v>
      </c>
      <c r="E55" s="6" t="s">
        <v>38</v>
      </c>
      <c r="F55" s="7">
        <v>38568</v>
      </c>
      <c r="G55" s="8">
        <f t="shared" si="0"/>
        <v>38568</v>
      </c>
      <c r="H55" s="6" t="s">
        <v>39</v>
      </c>
      <c r="I55" s="9">
        <v>20375.0010333229</v>
      </c>
      <c r="J55" s="62">
        <v>275.95752644794698</v>
      </c>
      <c r="K55" s="17">
        <v>2</v>
      </c>
    </row>
    <row r="56" spans="1:11" x14ac:dyDescent="0.25">
      <c r="A56" s="3" t="s">
        <v>128</v>
      </c>
      <c r="B56" s="4" t="s">
        <v>129</v>
      </c>
      <c r="C56" s="5">
        <v>21776</v>
      </c>
      <c r="D56" s="6" t="s">
        <v>34</v>
      </c>
      <c r="E56" s="6" t="s">
        <v>17</v>
      </c>
      <c r="F56" s="7">
        <v>38686</v>
      </c>
      <c r="G56" s="8">
        <f t="shared" si="0"/>
        <v>38686</v>
      </c>
      <c r="H56" s="6" t="s">
        <v>13</v>
      </c>
      <c r="I56" s="9">
        <v>11835.085425458701</v>
      </c>
      <c r="J56" s="62">
        <v>132.30657842536701</v>
      </c>
      <c r="K56" s="17">
        <v>1</v>
      </c>
    </row>
    <row r="57" spans="1:11" x14ac:dyDescent="0.25">
      <c r="A57" s="3" t="s">
        <v>130</v>
      </c>
      <c r="B57" s="4" t="s">
        <v>131</v>
      </c>
      <c r="C57" s="5">
        <v>11844</v>
      </c>
      <c r="D57" s="6" t="s">
        <v>34</v>
      </c>
      <c r="E57" s="6" t="s">
        <v>17</v>
      </c>
      <c r="F57" s="7">
        <v>37985</v>
      </c>
      <c r="G57" s="8">
        <f t="shared" si="0"/>
        <v>37985</v>
      </c>
      <c r="H57" s="6" t="s">
        <v>13</v>
      </c>
      <c r="I57" s="9">
        <v>14542.814733595798</v>
      </c>
      <c r="J57" s="62">
        <v>122.528009028105</v>
      </c>
      <c r="K57" s="17">
        <v>1</v>
      </c>
    </row>
    <row r="58" spans="1:11" x14ac:dyDescent="0.25">
      <c r="A58" s="26" t="s">
        <v>132</v>
      </c>
      <c r="B58" s="27" t="s">
        <v>133</v>
      </c>
      <c r="C58" s="34">
        <v>52944</v>
      </c>
      <c r="D58" s="28" t="s">
        <v>28</v>
      </c>
      <c r="E58" s="28" t="s">
        <v>17</v>
      </c>
      <c r="F58" s="29">
        <v>39114</v>
      </c>
      <c r="G58" s="30">
        <f t="shared" si="0"/>
        <v>39114</v>
      </c>
      <c r="H58" s="28" t="s">
        <v>13</v>
      </c>
      <c r="I58" s="9">
        <v>6843.9663336824897</v>
      </c>
      <c r="J58" s="62">
        <v>179.44451514877099</v>
      </c>
      <c r="K58" s="33">
        <v>1</v>
      </c>
    </row>
    <row r="59" spans="1:11" x14ac:dyDescent="0.25">
      <c r="A59" s="3" t="s">
        <v>134</v>
      </c>
      <c r="B59" s="4" t="s">
        <v>135</v>
      </c>
      <c r="C59" s="5">
        <v>31330</v>
      </c>
      <c r="D59" s="6" t="s">
        <v>31</v>
      </c>
      <c r="E59" s="6" t="s">
        <v>17</v>
      </c>
      <c r="F59" s="7">
        <v>30947</v>
      </c>
      <c r="G59" s="8">
        <f t="shared" si="0"/>
        <v>30947</v>
      </c>
      <c r="H59" s="6" t="s">
        <v>13</v>
      </c>
      <c r="I59" s="9">
        <v>4534.04971157004</v>
      </c>
      <c r="J59" s="62">
        <v>45.937127383006398</v>
      </c>
      <c r="K59" s="17">
        <v>1</v>
      </c>
    </row>
    <row r="60" spans="1:11" x14ac:dyDescent="0.25">
      <c r="A60" s="3" t="s">
        <v>136</v>
      </c>
      <c r="B60" s="4" t="s">
        <v>137</v>
      </c>
      <c r="C60" s="5">
        <v>31297</v>
      </c>
      <c r="D60" s="6" t="s">
        <v>31</v>
      </c>
      <c r="E60" s="6" t="s">
        <v>17</v>
      </c>
      <c r="F60" s="7">
        <v>30855</v>
      </c>
      <c r="G60" s="8">
        <f t="shared" si="0"/>
        <v>30855</v>
      </c>
      <c r="H60" s="6" t="s">
        <v>13</v>
      </c>
      <c r="I60" s="9">
        <v>31454.357468862898</v>
      </c>
      <c r="J60" s="62">
        <v>231.966683080417</v>
      </c>
      <c r="K60" s="17">
        <v>1</v>
      </c>
    </row>
    <row r="61" spans="1:11" x14ac:dyDescent="0.25">
      <c r="A61" s="3" t="s">
        <v>138</v>
      </c>
      <c r="B61" s="4" t="s">
        <v>139</v>
      </c>
      <c r="C61" s="5">
        <v>54487</v>
      </c>
      <c r="D61" s="6" t="s">
        <v>31</v>
      </c>
      <c r="E61" s="6" t="s">
        <v>17</v>
      </c>
      <c r="F61" s="7">
        <v>38411</v>
      </c>
      <c r="G61" s="8">
        <f t="shared" si="0"/>
        <v>38411</v>
      </c>
      <c r="H61" s="6" t="s">
        <v>13</v>
      </c>
      <c r="I61" s="9" t="s">
        <v>3380</v>
      </c>
      <c r="J61" s="62" t="s">
        <v>3380</v>
      </c>
      <c r="K61" s="17">
        <v>1</v>
      </c>
    </row>
    <row r="62" spans="1:11" x14ac:dyDescent="0.25">
      <c r="A62" s="3" t="s">
        <v>140</v>
      </c>
      <c r="B62" s="4" t="s">
        <v>141</v>
      </c>
      <c r="C62" s="5">
        <v>72173</v>
      </c>
      <c r="D62" s="6" t="s">
        <v>34</v>
      </c>
      <c r="E62" s="6" t="s">
        <v>17</v>
      </c>
      <c r="F62" s="7">
        <v>38580</v>
      </c>
      <c r="G62" s="8">
        <f t="shared" si="0"/>
        <v>38580</v>
      </c>
      <c r="H62" s="6" t="s">
        <v>13</v>
      </c>
      <c r="I62" s="9">
        <v>52904.9681136406</v>
      </c>
      <c r="J62" s="62">
        <v>451.21186307305197</v>
      </c>
      <c r="K62" s="17">
        <v>2</v>
      </c>
    </row>
    <row r="63" spans="1:11" x14ac:dyDescent="0.25">
      <c r="A63" s="3" t="s">
        <v>142</v>
      </c>
      <c r="B63" s="4" t="s">
        <v>143</v>
      </c>
      <c r="C63" s="5">
        <v>1118</v>
      </c>
      <c r="D63" s="6" t="s">
        <v>28</v>
      </c>
      <c r="E63" s="6" t="s">
        <v>17</v>
      </c>
      <c r="F63" s="7">
        <v>29221</v>
      </c>
      <c r="G63" s="8">
        <f t="shared" si="0"/>
        <v>29221</v>
      </c>
      <c r="H63" s="6" t="s">
        <v>13</v>
      </c>
      <c r="I63" s="9">
        <v>139898.20341040601</v>
      </c>
      <c r="J63" s="62">
        <v>729.92798155001799</v>
      </c>
      <c r="K63" s="17">
        <v>2</v>
      </c>
    </row>
    <row r="64" spans="1:11" x14ac:dyDescent="0.25">
      <c r="A64" s="3" t="s">
        <v>144</v>
      </c>
      <c r="B64" s="4" t="s">
        <v>145</v>
      </c>
      <c r="C64" s="5">
        <v>1792</v>
      </c>
      <c r="D64" s="6" t="s">
        <v>28</v>
      </c>
      <c r="E64" s="6" t="s">
        <v>17</v>
      </c>
      <c r="F64" s="7">
        <v>32143</v>
      </c>
      <c r="G64" s="8">
        <f t="shared" si="0"/>
        <v>32143</v>
      </c>
      <c r="H64" s="6" t="s">
        <v>13</v>
      </c>
      <c r="I64" s="9">
        <v>266416.03230937803</v>
      </c>
      <c r="J64" s="62">
        <v>1935.9737835492499</v>
      </c>
      <c r="K64" s="17">
        <v>2</v>
      </c>
    </row>
    <row r="65" spans="1:11" x14ac:dyDescent="0.25">
      <c r="A65" s="26" t="s">
        <v>146</v>
      </c>
      <c r="B65" s="27" t="s">
        <v>147</v>
      </c>
      <c r="C65" s="5">
        <v>1514</v>
      </c>
      <c r="D65" s="28" t="s">
        <v>28</v>
      </c>
      <c r="E65" s="28" t="s">
        <v>17</v>
      </c>
      <c r="F65" s="29">
        <v>25569</v>
      </c>
      <c r="G65" s="30">
        <f t="shared" si="0"/>
        <v>25569</v>
      </c>
      <c r="H65" s="28" t="s">
        <v>13</v>
      </c>
      <c r="I65" s="9" t="s">
        <v>3380</v>
      </c>
      <c r="J65" s="62" t="s">
        <v>3380</v>
      </c>
      <c r="K65" s="33">
        <v>4</v>
      </c>
    </row>
    <row r="66" spans="1:11" x14ac:dyDescent="0.25">
      <c r="A66" s="3" t="s">
        <v>148</v>
      </c>
      <c r="B66" s="4" t="s">
        <v>149</v>
      </c>
      <c r="C66" s="5">
        <v>41697</v>
      </c>
      <c r="D66" s="6" t="s">
        <v>28</v>
      </c>
      <c r="E66" s="6" t="s">
        <v>17</v>
      </c>
      <c r="F66" s="7">
        <v>37901</v>
      </c>
      <c r="G66" s="8">
        <f t="shared" ref="G66:G129" si="1">F66</f>
        <v>37901</v>
      </c>
      <c r="H66" s="6" t="s">
        <v>13</v>
      </c>
      <c r="I66" s="9">
        <v>24544.8076490229</v>
      </c>
      <c r="J66" s="62">
        <v>354.69240241102102</v>
      </c>
      <c r="K66" s="17">
        <v>1</v>
      </c>
    </row>
    <row r="67" spans="1:11" x14ac:dyDescent="0.25">
      <c r="A67" s="3" t="s">
        <v>150</v>
      </c>
      <c r="B67" s="4" t="s">
        <v>151</v>
      </c>
      <c r="C67" s="5">
        <v>27953</v>
      </c>
      <c r="D67" s="6" t="s">
        <v>31</v>
      </c>
      <c r="E67" s="6" t="s">
        <v>17</v>
      </c>
      <c r="F67" s="7">
        <v>21438</v>
      </c>
      <c r="G67" s="8">
        <f t="shared" si="1"/>
        <v>21438</v>
      </c>
      <c r="H67" s="6" t="s">
        <v>13</v>
      </c>
      <c r="I67" s="9">
        <v>3695.69940360085</v>
      </c>
      <c r="J67" s="62">
        <v>21.893738060958899</v>
      </c>
      <c r="K67" s="17">
        <v>1</v>
      </c>
    </row>
    <row r="68" spans="1:11" x14ac:dyDescent="0.25">
      <c r="A68" s="3" t="s">
        <v>152</v>
      </c>
      <c r="B68" s="4" t="s">
        <v>153</v>
      </c>
      <c r="C68" s="5">
        <v>39090</v>
      </c>
      <c r="D68" s="6" t="s">
        <v>31</v>
      </c>
      <c r="E68" s="6" t="s">
        <v>17</v>
      </c>
      <c r="F68" s="7">
        <v>28374</v>
      </c>
      <c r="G68" s="8">
        <f t="shared" si="1"/>
        <v>28374</v>
      </c>
      <c r="H68" s="6" t="s">
        <v>13</v>
      </c>
      <c r="I68" s="9">
        <v>17401.6221925965</v>
      </c>
      <c r="J68" s="62">
        <v>90.266297396981898</v>
      </c>
      <c r="K68" s="17">
        <v>1</v>
      </c>
    </row>
    <row r="69" spans="1:11" x14ac:dyDescent="0.25">
      <c r="A69" s="3" t="s">
        <v>154</v>
      </c>
      <c r="B69" s="4" t="s">
        <v>155</v>
      </c>
      <c r="C69" s="5">
        <v>36881</v>
      </c>
      <c r="D69" s="6" t="s">
        <v>31</v>
      </c>
      <c r="E69" s="6" t="s">
        <v>17</v>
      </c>
      <c r="F69" s="7">
        <v>26151</v>
      </c>
      <c r="G69" s="8">
        <f t="shared" si="1"/>
        <v>26151</v>
      </c>
      <c r="H69" s="6" t="s">
        <v>13</v>
      </c>
      <c r="I69" s="9">
        <v>2634.5869075721098</v>
      </c>
      <c r="J69" s="62">
        <v>129.541657214716</v>
      </c>
      <c r="K69" s="17">
        <v>1</v>
      </c>
    </row>
    <row r="70" spans="1:11" x14ac:dyDescent="0.25">
      <c r="A70" s="3" t="s">
        <v>156</v>
      </c>
      <c r="B70" s="4" t="s">
        <v>157</v>
      </c>
      <c r="C70" s="5">
        <v>39121</v>
      </c>
      <c r="D70" s="6" t="s">
        <v>31</v>
      </c>
      <c r="E70" s="6" t="s">
        <v>17</v>
      </c>
      <c r="F70" s="7">
        <v>32751</v>
      </c>
      <c r="G70" s="8">
        <f t="shared" si="1"/>
        <v>32751</v>
      </c>
      <c r="H70" s="6" t="s">
        <v>13</v>
      </c>
      <c r="I70" s="9">
        <v>29977.0291440531</v>
      </c>
      <c r="J70" s="62">
        <v>126.99116868133299</v>
      </c>
      <c r="K70" s="17">
        <v>1</v>
      </c>
    </row>
    <row r="71" spans="1:11" x14ac:dyDescent="0.25">
      <c r="A71" s="3" t="s">
        <v>158</v>
      </c>
      <c r="B71" s="4" t="s">
        <v>159</v>
      </c>
      <c r="C71" s="5">
        <v>34817</v>
      </c>
      <c r="D71" s="6" t="s">
        <v>31</v>
      </c>
      <c r="E71" s="6" t="s">
        <v>17</v>
      </c>
      <c r="F71" s="7">
        <v>24777</v>
      </c>
      <c r="G71" s="8">
        <f t="shared" si="1"/>
        <v>24777</v>
      </c>
      <c r="H71" s="6" t="s">
        <v>13</v>
      </c>
      <c r="I71" s="9">
        <v>27566.208185907701</v>
      </c>
      <c r="J71" s="62">
        <v>180.30730898394799</v>
      </c>
      <c r="K71" s="17">
        <v>1</v>
      </c>
    </row>
    <row r="72" spans="1:11" x14ac:dyDescent="0.25">
      <c r="A72" s="26" t="s">
        <v>160</v>
      </c>
      <c r="B72" s="27" t="s">
        <v>161</v>
      </c>
      <c r="C72" s="5">
        <v>36785</v>
      </c>
      <c r="D72" s="28" t="s">
        <v>31</v>
      </c>
      <c r="E72" s="28" t="s">
        <v>17</v>
      </c>
      <c r="F72" s="29">
        <v>26402</v>
      </c>
      <c r="G72" s="30">
        <f t="shared" si="1"/>
        <v>26402</v>
      </c>
      <c r="H72" s="28" t="s">
        <v>13</v>
      </c>
      <c r="I72" s="9">
        <v>34833.425448916205</v>
      </c>
      <c r="J72" s="62">
        <v>166.263343101933</v>
      </c>
      <c r="K72" s="33">
        <v>2</v>
      </c>
    </row>
    <row r="73" spans="1:11" x14ac:dyDescent="0.25">
      <c r="A73" s="3" t="s">
        <v>162</v>
      </c>
      <c r="B73" s="4" t="s">
        <v>163</v>
      </c>
      <c r="C73" s="5">
        <v>8004</v>
      </c>
      <c r="D73" s="6" t="s">
        <v>34</v>
      </c>
      <c r="E73" s="6" t="s">
        <v>17</v>
      </c>
      <c r="F73" s="7">
        <v>37518</v>
      </c>
      <c r="G73" s="8">
        <f t="shared" si="1"/>
        <v>37518</v>
      </c>
      <c r="H73" s="6" t="s">
        <v>13</v>
      </c>
      <c r="I73" s="9">
        <v>880.53989187060495</v>
      </c>
      <c r="J73" s="62">
        <v>42.319762086656901</v>
      </c>
      <c r="K73" s="17">
        <v>1</v>
      </c>
    </row>
    <row r="74" spans="1:11" x14ac:dyDescent="0.25">
      <c r="A74" s="3" t="s">
        <v>164</v>
      </c>
      <c r="B74" s="4" t="s">
        <v>165</v>
      </c>
      <c r="C74" s="5">
        <v>1793</v>
      </c>
      <c r="D74" s="6" t="s">
        <v>28</v>
      </c>
      <c r="E74" s="6" t="s">
        <v>17</v>
      </c>
      <c r="F74" s="7">
        <v>25569</v>
      </c>
      <c r="G74" s="8">
        <f t="shared" si="1"/>
        <v>25569</v>
      </c>
      <c r="H74" s="6" t="s">
        <v>13</v>
      </c>
      <c r="I74" s="9">
        <v>12047.360375967801</v>
      </c>
      <c r="J74" s="62">
        <v>19.781583025644899</v>
      </c>
      <c r="K74" s="17">
        <v>1</v>
      </c>
    </row>
    <row r="75" spans="1:11" x14ac:dyDescent="0.25">
      <c r="A75" s="3" t="s">
        <v>166</v>
      </c>
      <c r="B75" s="4" t="s">
        <v>167</v>
      </c>
      <c r="C75" s="14">
        <v>1182</v>
      </c>
      <c r="D75" s="6" t="s">
        <v>16</v>
      </c>
      <c r="E75" s="6" t="s">
        <v>17</v>
      </c>
      <c r="F75" s="7">
        <v>29221</v>
      </c>
      <c r="G75" s="8">
        <f t="shared" si="1"/>
        <v>29221</v>
      </c>
      <c r="H75" s="6" t="s">
        <v>13</v>
      </c>
      <c r="I75" s="9">
        <v>44612.024980378599</v>
      </c>
      <c r="J75" s="62">
        <v>277.21517956993699</v>
      </c>
      <c r="K75" s="11">
        <v>2</v>
      </c>
    </row>
    <row r="76" spans="1:11" x14ac:dyDescent="0.25">
      <c r="A76" s="3" t="s">
        <v>168</v>
      </c>
      <c r="B76" s="4" t="s">
        <v>169</v>
      </c>
      <c r="C76" s="5">
        <v>1191</v>
      </c>
      <c r="D76" s="6" t="s">
        <v>16</v>
      </c>
      <c r="E76" s="6" t="s">
        <v>17</v>
      </c>
      <c r="F76" s="7">
        <v>29221</v>
      </c>
      <c r="G76" s="8">
        <f t="shared" si="1"/>
        <v>29221</v>
      </c>
      <c r="H76" s="6" t="s">
        <v>13</v>
      </c>
      <c r="I76" s="9">
        <v>5633.5911747603805</v>
      </c>
      <c r="J76" s="62">
        <v>292.73034453036701</v>
      </c>
      <c r="K76" s="17">
        <v>1</v>
      </c>
    </row>
    <row r="77" spans="1:11" x14ac:dyDescent="0.25">
      <c r="A77" s="3" t="s">
        <v>170</v>
      </c>
      <c r="B77" s="4" t="s">
        <v>171</v>
      </c>
      <c r="C77" s="5">
        <v>14731</v>
      </c>
      <c r="D77" s="6" t="s">
        <v>31</v>
      </c>
      <c r="E77" s="6" t="s">
        <v>17</v>
      </c>
      <c r="F77" s="7">
        <v>32806</v>
      </c>
      <c r="G77" s="8">
        <f t="shared" si="1"/>
        <v>32806</v>
      </c>
      <c r="H77" s="6" t="s">
        <v>13</v>
      </c>
      <c r="I77" s="9">
        <v>31573.354224272902</v>
      </c>
      <c r="J77" s="62">
        <v>278.34292628442199</v>
      </c>
      <c r="K77" s="17">
        <v>1</v>
      </c>
    </row>
    <row r="78" spans="1:11" x14ac:dyDescent="0.25">
      <c r="A78" s="3" t="s">
        <v>172</v>
      </c>
      <c r="B78" s="39" t="s">
        <v>173</v>
      </c>
      <c r="C78" s="5">
        <v>1871</v>
      </c>
      <c r="D78" s="6" t="s">
        <v>31</v>
      </c>
      <c r="E78" s="6" t="s">
        <v>17</v>
      </c>
      <c r="F78" s="7">
        <v>36951</v>
      </c>
      <c r="G78" s="8">
        <f t="shared" si="1"/>
        <v>36951</v>
      </c>
      <c r="H78" s="6" t="s">
        <v>13</v>
      </c>
      <c r="I78" s="9">
        <v>1054.87231905008</v>
      </c>
      <c r="J78" s="62">
        <v>150.647341924492</v>
      </c>
      <c r="K78" s="17">
        <v>1</v>
      </c>
    </row>
    <row r="79" spans="1:11" x14ac:dyDescent="0.25">
      <c r="A79" s="3" t="s">
        <v>174</v>
      </c>
      <c r="B79" s="4" t="s">
        <v>175</v>
      </c>
      <c r="C79" s="5">
        <v>1032</v>
      </c>
      <c r="D79" s="6" t="s">
        <v>31</v>
      </c>
      <c r="E79" s="6" t="s">
        <v>17</v>
      </c>
      <c r="F79" s="7">
        <v>29221</v>
      </c>
      <c r="G79" s="8">
        <f t="shared" si="1"/>
        <v>29221</v>
      </c>
      <c r="H79" s="6" t="s">
        <v>13</v>
      </c>
      <c r="I79" s="9">
        <v>85362.880609134299</v>
      </c>
      <c r="J79" s="62">
        <v>855.55048998105406</v>
      </c>
      <c r="K79" s="17">
        <v>2</v>
      </c>
    </row>
    <row r="80" spans="1:11" x14ac:dyDescent="0.25">
      <c r="A80" s="3" t="s">
        <v>176</v>
      </c>
      <c r="B80" s="4" t="s">
        <v>177</v>
      </c>
      <c r="C80" s="14">
        <v>2055</v>
      </c>
      <c r="D80" s="6" t="s">
        <v>31</v>
      </c>
      <c r="E80" s="6" t="s">
        <v>17</v>
      </c>
      <c r="F80" s="7">
        <v>29952</v>
      </c>
      <c r="G80" s="8">
        <f t="shared" si="1"/>
        <v>29952</v>
      </c>
      <c r="H80" s="6" t="s">
        <v>13</v>
      </c>
      <c r="I80" s="9">
        <v>401314.83062270301</v>
      </c>
      <c r="J80" s="62">
        <v>996.21055592542496</v>
      </c>
      <c r="K80" s="17">
        <v>2</v>
      </c>
    </row>
    <row r="81" spans="1:11" x14ac:dyDescent="0.25">
      <c r="A81" s="3" t="s">
        <v>178</v>
      </c>
      <c r="B81" s="4" t="s">
        <v>179</v>
      </c>
      <c r="C81" s="5">
        <v>1868</v>
      </c>
      <c r="D81" s="6" t="s">
        <v>31</v>
      </c>
      <c r="E81" s="6" t="s">
        <v>17</v>
      </c>
      <c r="F81" s="7">
        <v>25569</v>
      </c>
      <c r="G81" s="8">
        <f t="shared" si="1"/>
        <v>25569</v>
      </c>
      <c r="H81" s="6" t="s">
        <v>13</v>
      </c>
      <c r="I81" s="9">
        <v>81909.568075201198</v>
      </c>
      <c r="J81" s="62">
        <v>476.83853908673598</v>
      </c>
      <c r="K81" s="17">
        <v>1</v>
      </c>
    </row>
    <row r="82" spans="1:11" x14ac:dyDescent="0.25">
      <c r="A82" s="3" t="s">
        <v>180</v>
      </c>
      <c r="B82" s="4" t="s">
        <v>181</v>
      </c>
      <c r="C82" s="14">
        <v>1292</v>
      </c>
      <c r="D82" s="6" t="s">
        <v>28</v>
      </c>
      <c r="E82" s="6" t="s">
        <v>17</v>
      </c>
      <c r="F82" s="7">
        <v>32143</v>
      </c>
      <c r="G82" s="8">
        <f t="shared" si="1"/>
        <v>32143</v>
      </c>
      <c r="H82" s="6" t="s">
        <v>13</v>
      </c>
      <c r="I82" s="9">
        <v>86682.764343022296</v>
      </c>
      <c r="J82" s="62">
        <v>842.488155675229</v>
      </c>
      <c r="K82" s="11">
        <v>2</v>
      </c>
    </row>
    <row r="83" spans="1:11" x14ac:dyDescent="0.25">
      <c r="A83" s="3" t="s">
        <v>182</v>
      </c>
      <c r="B83" s="4" t="s">
        <v>183</v>
      </c>
      <c r="C83" s="5">
        <v>30550</v>
      </c>
      <c r="D83" s="6" t="s">
        <v>34</v>
      </c>
      <c r="E83" s="6" t="s">
        <v>17</v>
      </c>
      <c r="F83" s="7">
        <v>38357</v>
      </c>
      <c r="G83" s="8">
        <f t="shared" si="1"/>
        <v>38357</v>
      </c>
      <c r="H83" s="6" t="s">
        <v>13</v>
      </c>
      <c r="I83" s="9">
        <v>28163.6347343253</v>
      </c>
      <c r="J83" s="62">
        <v>235.223615431083</v>
      </c>
      <c r="K83" s="17">
        <v>1</v>
      </c>
    </row>
    <row r="84" spans="1:11" x14ac:dyDescent="0.25">
      <c r="A84" s="3" t="s">
        <v>184</v>
      </c>
      <c r="B84" s="4" t="s">
        <v>185</v>
      </c>
      <c r="C84" s="5">
        <v>52936</v>
      </c>
      <c r="D84" s="6" t="s">
        <v>28</v>
      </c>
      <c r="E84" s="6" t="s">
        <v>17</v>
      </c>
      <c r="F84" s="7">
        <v>39154</v>
      </c>
      <c r="G84" s="8">
        <f t="shared" si="1"/>
        <v>39154</v>
      </c>
      <c r="H84" s="6" t="s">
        <v>13</v>
      </c>
      <c r="I84" s="9">
        <v>7169.04084391987</v>
      </c>
      <c r="J84" s="62">
        <v>157.236168627795</v>
      </c>
      <c r="K84" s="17">
        <v>1</v>
      </c>
    </row>
    <row r="85" spans="1:11" x14ac:dyDescent="0.25">
      <c r="A85" s="3" t="s">
        <v>186</v>
      </c>
      <c r="B85" s="4" t="s">
        <v>187</v>
      </c>
      <c r="C85" s="5">
        <v>72107</v>
      </c>
      <c r="D85" s="6" t="s">
        <v>31</v>
      </c>
      <c r="E85" s="6" t="s">
        <v>17</v>
      </c>
      <c r="F85" s="7">
        <v>36294</v>
      </c>
      <c r="G85" s="8">
        <f t="shared" si="1"/>
        <v>36294</v>
      </c>
      <c r="H85" s="6" t="s">
        <v>13</v>
      </c>
      <c r="I85" s="9">
        <v>2877.0623216839999</v>
      </c>
      <c r="J85" s="62">
        <v>167.89099973787901</v>
      </c>
      <c r="K85" s="17">
        <v>1</v>
      </c>
    </row>
    <row r="86" spans="1:11" x14ac:dyDescent="0.25">
      <c r="A86" s="3" t="s">
        <v>188</v>
      </c>
      <c r="B86" s="4" t="s">
        <v>189</v>
      </c>
      <c r="C86" s="5">
        <v>28865</v>
      </c>
      <c r="D86" s="6" t="s">
        <v>34</v>
      </c>
      <c r="E86" s="6" t="s">
        <v>17</v>
      </c>
      <c r="F86" s="7">
        <v>38275</v>
      </c>
      <c r="G86" s="8">
        <f t="shared" si="1"/>
        <v>38275</v>
      </c>
      <c r="H86" s="6" t="s">
        <v>13</v>
      </c>
      <c r="I86" s="9">
        <v>12026.2521360018</v>
      </c>
      <c r="J86" s="62">
        <v>379.00602885960598</v>
      </c>
      <c r="K86" s="17">
        <v>2</v>
      </c>
    </row>
    <row r="87" spans="1:11" x14ac:dyDescent="0.25">
      <c r="A87" s="3" t="s">
        <v>190</v>
      </c>
      <c r="B87" s="4" t="s">
        <v>191</v>
      </c>
      <c r="C87" s="5">
        <v>52938</v>
      </c>
      <c r="D87" s="6" t="s">
        <v>34</v>
      </c>
      <c r="E87" s="6" t="s">
        <v>17</v>
      </c>
      <c r="F87" s="7">
        <v>39029</v>
      </c>
      <c r="G87" s="8">
        <f t="shared" si="1"/>
        <v>39029</v>
      </c>
      <c r="H87" s="6" t="s">
        <v>13</v>
      </c>
      <c r="I87" s="9">
        <v>43397.314449300196</v>
      </c>
      <c r="J87" s="62">
        <v>384.24129537774598</v>
      </c>
      <c r="K87" s="17">
        <v>1</v>
      </c>
    </row>
    <row r="88" spans="1:11" x14ac:dyDescent="0.25">
      <c r="A88" s="26" t="s">
        <v>192</v>
      </c>
      <c r="B88" s="27" t="s">
        <v>193</v>
      </c>
      <c r="C88" s="34">
        <v>52939</v>
      </c>
      <c r="D88" s="28" t="s">
        <v>34</v>
      </c>
      <c r="E88" s="28" t="s">
        <v>17</v>
      </c>
      <c r="F88" s="29">
        <v>39029</v>
      </c>
      <c r="G88" s="30">
        <f t="shared" si="1"/>
        <v>39029</v>
      </c>
      <c r="H88" s="28" t="s">
        <v>13</v>
      </c>
      <c r="I88" s="9">
        <v>23132.687038096701</v>
      </c>
      <c r="J88" s="62">
        <v>366.37303404518002</v>
      </c>
      <c r="K88" s="33">
        <v>1</v>
      </c>
    </row>
    <row r="89" spans="1:11" x14ac:dyDescent="0.25">
      <c r="A89" s="26" t="s">
        <v>194</v>
      </c>
      <c r="B89" s="27" t="s">
        <v>195</v>
      </c>
      <c r="C89" s="5">
        <v>1081</v>
      </c>
      <c r="D89" s="28" t="s">
        <v>34</v>
      </c>
      <c r="E89" s="28" t="s">
        <v>17</v>
      </c>
      <c r="F89" s="29">
        <v>19725</v>
      </c>
      <c r="G89" s="30">
        <f t="shared" si="1"/>
        <v>19725</v>
      </c>
      <c r="H89" s="28" t="s">
        <v>13</v>
      </c>
      <c r="I89" s="9">
        <v>13393.576232035301</v>
      </c>
      <c r="J89" s="62">
        <v>145.948897735521</v>
      </c>
      <c r="K89" s="33">
        <v>1</v>
      </c>
    </row>
    <row r="90" spans="1:11" x14ac:dyDescent="0.25">
      <c r="A90" s="3" t="s">
        <v>196</v>
      </c>
      <c r="B90" s="4" t="s">
        <v>197</v>
      </c>
      <c r="C90" s="5">
        <v>1462</v>
      </c>
      <c r="D90" s="6" t="s">
        <v>34</v>
      </c>
      <c r="E90" s="6" t="s">
        <v>17</v>
      </c>
      <c r="F90" s="7">
        <v>29221</v>
      </c>
      <c r="G90" s="8">
        <f t="shared" si="1"/>
        <v>29221</v>
      </c>
      <c r="H90" s="6" t="s">
        <v>13</v>
      </c>
      <c r="I90" s="9">
        <v>56834.845610320102</v>
      </c>
      <c r="J90" s="62">
        <v>796.64675046360503</v>
      </c>
      <c r="K90" s="17">
        <v>2</v>
      </c>
    </row>
    <row r="91" spans="1:11" x14ac:dyDescent="0.25">
      <c r="A91" s="3" t="s">
        <v>198</v>
      </c>
      <c r="B91" s="4" t="s">
        <v>199</v>
      </c>
      <c r="C91" s="5">
        <v>1445</v>
      </c>
      <c r="D91" s="6" t="s">
        <v>16</v>
      </c>
      <c r="E91" s="6" t="s">
        <v>17</v>
      </c>
      <c r="F91" s="7">
        <v>31048</v>
      </c>
      <c r="G91" s="8">
        <f t="shared" si="1"/>
        <v>31048</v>
      </c>
      <c r="H91" s="6" t="s">
        <v>13</v>
      </c>
      <c r="I91" s="9">
        <v>4409.5128343048</v>
      </c>
      <c r="J91" s="62">
        <v>159.02897209521799</v>
      </c>
      <c r="K91" s="17">
        <v>1</v>
      </c>
    </row>
    <row r="92" spans="1:11" x14ac:dyDescent="0.25">
      <c r="A92" s="3" t="s">
        <v>200</v>
      </c>
      <c r="B92" s="4" t="s">
        <v>201</v>
      </c>
      <c r="C92" s="5">
        <v>1901</v>
      </c>
      <c r="D92" s="6" t="s">
        <v>31</v>
      </c>
      <c r="E92" s="6" t="s">
        <v>17</v>
      </c>
      <c r="F92" s="7">
        <v>37950</v>
      </c>
      <c r="G92" s="8">
        <f t="shared" si="1"/>
        <v>37950</v>
      </c>
      <c r="H92" s="6" t="s">
        <v>13</v>
      </c>
      <c r="I92" s="9" t="s">
        <v>3380</v>
      </c>
      <c r="J92" s="62" t="s">
        <v>3380</v>
      </c>
      <c r="K92" s="17">
        <v>3</v>
      </c>
    </row>
    <row r="93" spans="1:11" x14ac:dyDescent="0.25">
      <c r="A93" s="3" t="s">
        <v>202</v>
      </c>
      <c r="B93" s="4" t="s">
        <v>203</v>
      </c>
      <c r="C93" s="5">
        <v>52946</v>
      </c>
      <c r="D93" s="6" t="s">
        <v>34</v>
      </c>
      <c r="E93" s="6" t="s">
        <v>17</v>
      </c>
      <c r="F93" s="7">
        <v>35065</v>
      </c>
      <c r="G93" s="8">
        <f t="shared" si="1"/>
        <v>35065</v>
      </c>
      <c r="H93" s="6" t="s">
        <v>13</v>
      </c>
      <c r="I93" s="9">
        <v>15688.097794725199</v>
      </c>
      <c r="J93" s="62">
        <v>65.6145153431099</v>
      </c>
      <c r="K93" s="11">
        <v>2</v>
      </c>
    </row>
    <row r="94" spans="1:11" x14ac:dyDescent="0.25">
      <c r="A94" s="3" t="s">
        <v>204</v>
      </c>
      <c r="B94" s="4" t="s">
        <v>205</v>
      </c>
      <c r="C94" s="5">
        <v>1557</v>
      </c>
      <c r="D94" s="6" t="s">
        <v>28</v>
      </c>
      <c r="E94" s="6" t="s">
        <v>17</v>
      </c>
      <c r="F94" s="7">
        <v>18264</v>
      </c>
      <c r="G94" s="8">
        <f t="shared" si="1"/>
        <v>18264</v>
      </c>
      <c r="H94" s="6" t="s">
        <v>13</v>
      </c>
      <c r="I94" s="9">
        <v>1446.7472461944101</v>
      </c>
      <c r="J94" s="62">
        <v>36.716842079020502</v>
      </c>
      <c r="K94" s="17">
        <v>1</v>
      </c>
    </row>
    <row r="95" spans="1:11" x14ac:dyDescent="0.25">
      <c r="A95" s="3" t="s">
        <v>206</v>
      </c>
      <c r="B95" s="4" t="s">
        <v>207</v>
      </c>
      <c r="C95" s="14">
        <v>14085</v>
      </c>
      <c r="D95" s="6" t="s">
        <v>11</v>
      </c>
      <c r="E95" s="6" t="s">
        <v>17</v>
      </c>
      <c r="F95" s="7">
        <v>38037</v>
      </c>
      <c r="G95" s="8">
        <f t="shared" si="1"/>
        <v>38037</v>
      </c>
      <c r="H95" s="6" t="s">
        <v>13</v>
      </c>
      <c r="I95" s="9" t="s">
        <v>3380</v>
      </c>
      <c r="J95" s="62" t="s">
        <v>3380</v>
      </c>
      <c r="K95" s="17">
        <v>3</v>
      </c>
    </row>
    <row r="96" spans="1:11" x14ac:dyDescent="0.25">
      <c r="A96" s="3" t="s">
        <v>208</v>
      </c>
      <c r="B96" s="4" t="s">
        <v>209</v>
      </c>
      <c r="C96" s="5">
        <v>72134</v>
      </c>
      <c r="D96" s="6" t="s">
        <v>11</v>
      </c>
      <c r="E96" s="6" t="s">
        <v>17</v>
      </c>
      <c r="F96" s="7">
        <v>38832</v>
      </c>
      <c r="G96" s="8">
        <f t="shared" si="1"/>
        <v>38832</v>
      </c>
      <c r="H96" s="6" t="s">
        <v>13</v>
      </c>
      <c r="I96" s="9">
        <v>49675.1462184556</v>
      </c>
      <c r="J96" s="62">
        <v>693.73631841165002</v>
      </c>
      <c r="K96" s="17">
        <v>1</v>
      </c>
    </row>
    <row r="97" spans="1:11" x14ac:dyDescent="0.25">
      <c r="A97" s="3" t="s">
        <v>210</v>
      </c>
      <c r="B97" s="4" t="s">
        <v>211</v>
      </c>
      <c r="C97" s="14">
        <v>72108</v>
      </c>
      <c r="D97" s="6" t="s">
        <v>11</v>
      </c>
      <c r="E97" s="6" t="s">
        <v>17</v>
      </c>
      <c r="F97" s="7">
        <v>39091</v>
      </c>
      <c r="G97" s="8">
        <f t="shared" si="1"/>
        <v>39091</v>
      </c>
      <c r="H97" s="6" t="s">
        <v>13</v>
      </c>
      <c r="I97" s="9" t="s">
        <v>3380</v>
      </c>
      <c r="J97" s="62" t="s">
        <v>3380</v>
      </c>
      <c r="K97" s="17">
        <v>4</v>
      </c>
    </row>
    <row r="98" spans="1:11" x14ac:dyDescent="0.25">
      <c r="A98" s="3" t="s">
        <v>212</v>
      </c>
      <c r="B98" s="4" t="s">
        <v>213</v>
      </c>
      <c r="C98" s="5">
        <v>54491</v>
      </c>
      <c r="D98" s="6" t="s">
        <v>11</v>
      </c>
      <c r="E98" s="6" t="s">
        <v>17</v>
      </c>
      <c r="F98" s="7">
        <v>38950</v>
      </c>
      <c r="G98" s="8">
        <f t="shared" si="1"/>
        <v>38950</v>
      </c>
      <c r="H98" s="6" t="s">
        <v>13</v>
      </c>
      <c r="I98" s="9">
        <v>32117.676287077997</v>
      </c>
      <c r="J98" s="62">
        <v>243.42063274460801</v>
      </c>
      <c r="K98" s="17">
        <v>1</v>
      </c>
    </row>
    <row r="99" spans="1:11" x14ac:dyDescent="0.25">
      <c r="A99" s="3" t="s">
        <v>214</v>
      </c>
      <c r="B99" s="4" t="s">
        <v>215</v>
      </c>
      <c r="C99" s="14">
        <v>30537</v>
      </c>
      <c r="D99" s="6" t="s">
        <v>16</v>
      </c>
      <c r="E99" s="6" t="s">
        <v>17</v>
      </c>
      <c r="F99" s="7">
        <v>38540</v>
      </c>
      <c r="G99" s="8">
        <f t="shared" si="1"/>
        <v>38540</v>
      </c>
      <c r="H99" s="6" t="s">
        <v>13</v>
      </c>
      <c r="I99" s="9">
        <v>80111.227386269209</v>
      </c>
      <c r="J99" s="62">
        <v>605.56964621366205</v>
      </c>
      <c r="K99" s="17">
        <v>2</v>
      </c>
    </row>
    <row r="100" spans="1:11" x14ac:dyDescent="0.25">
      <c r="A100" s="3" t="s">
        <v>216</v>
      </c>
      <c r="B100" s="4" t="s">
        <v>217</v>
      </c>
      <c r="C100" s="14">
        <v>14732</v>
      </c>
      <c r="D100" s="6" t="s">
        <v>31</v>
      </c>
      <c r="E100" s="6" t="s">
        <v>17</v>
      </c>
      <c r="F100" s="7">
        <v>31373</v>
      </c>
      <c r="G100" s="8">
        <f t="shared" si="1"/>
        <v>31373</v>
      </c>
      <c r="H100" s="6" t="s">
        <v>13</v>
      </c>
      <c r="I100" s="9" t="s">
        <v>3380</v>
      </c>
      <c r="J100" s="62" t="s">
        <v>3380</v>
      </c>
      <c r="K100" s="17">
        <v>3</v>
      </c>
    </row>
    <row r="101" spans="1:11" x14ac:dyDescent="0.25">
      <c r="A101" s="3" t="s">
        <v>218</v>
      </c>
      <c r="B101" s="4" t="s">
        <v>219</v>
      </c>
      <c r="C101" s="5">
        <v>54492</v>
      </c>
      <c r="D101" s="6" t="s">
        <v>34</v>
      </c>
      <c r="E101" s="6" t="s">
        <v>17</v>
      </c>
      <c r="F101" s="7">
        <v>37911</v>
      </c>
      <c r="G101" s="8">
        <f t="shared" si="1"/>
        <v>37911</v>
      </c>
      <c r="H101" s="6" t="s">
        <v>13</v>
      </c>
      <c r="I101" s="9">
        <v>1879.9985236985299</v>
      </c>
      <c r="J101" s="62">
        <v>96.347902826816593</v>
      </c>
      <c r="K101" s="6">
        <v>1</v>
      </c>
    </row>
    <row r="102" spans="1:11" x14ac:dyDescent="0.25">
      <c r="A102" s="12" t="s">
        <v>220</v>
      </c>
      <c r="B102" s="4" t="s">
        <v>221</v>
      </c>
      <c r="C102" s="14">
        <v>1902</v>
      </c>
      <c r="D102" s="6" t="s">
        <v>34</v>
      </c>
      <c r="E102" s="6" t="s">
        <v>17</v>
      </c>
      <c r="F102" s="7">
        <v>24108</v>
      </c>
      <c r="G102" s="8">
        <f t="shared" si="1"/>
        <v>24108</v>
      </c>
      <c r="H102" s="6" t="s">
        <v>13</v>
      </c>
      <c r="I102" s="9" t="s">
        <v>3380</v>
      </c>
      <c r="J102" s="62" t="s">
        <v>3380</v>
      </c>
      <c r="K102" s="17">
        <v>4</v>
      </c>
    </row>
    <row r="103" spans="1:11" x14ac:dyDescent="0.25">
      <c r="A103" s="3" t="s">
        <v>222</v>
      </c>
      <c r="B103" s="4" t="s">
        <v>223</v>
      </c>
      <c r="C103" s="5">
        <v>17601</v>
      </c>
      <c r="D103" s="6" t="s">
        <v>16</v>
      </c>
      <c r="E103" s="6" t="s">
        <v>17</v>
      </c>
      <c r="F103" s="7">
        <v>27485</v>
      </c>
      <c r="G103" s="8">
        <f t="shared" si="1"/>
        <v>27485</v>
      </c>
      <c r="H103" s="6" t="s">
        <v>13</v>
      </c>
      <c r="I103" s="9">
        <v>11898.454649012099</v>
      </c>
      <c r="J103" s="62">
        <v>134.52954241650801</v>
      </c>
      <c r="K103" s="17">
        <v>1</v>
      </c>
    </row>
    <row r="104" spans="1:11" x14ac:dyDescent="0.25">
      <c r="A104" s="3" t="s">
        <v>224</v>
      </c>
      <c r="B104" s="4" t="s">
        <v>225</v>
      </c>
      <c r="C104" s="5">
        <v>1373</v>
      </c>
      <c r="D104" s="6" t="s">
        <v>28</v>
      </c>
      <c r="E104" s="6" t="s">
        <v>17</v>
      </c>
      <c r="F104" s="7">
        <v>25934</v>
      </c>
      <c r="G104" s="8">
        <f t="shared" si="1"/>
        <v>25934</v>
      </c>
      <c r="H104" s="6" t="s">
        <v>13</v>
      </c>
      <c r="I104" s="9">
        <v>16794.040767994498</v>
      </c>
      <c r="J104" s="62">
        <v>372.90577693659498</v>
      </c>
      <c r="K104" s="17">
        <v>1</v>
      </c>
    </row>
    <row r="105" spans="1:11" x14ac:dyDescent="0.25">
      <c r="A105" s="3" t="s">
        <v>226</v>
      </c>
      <c r="B105" s="4" t="s">
        <v>227</v>
      </c>
      <c r="C105" s="14">
        <v>17282</v>
      </c>
      <c r="D105" s="6" t="s">
        <v>16</v>
      </c>
      <c r="E105" s="6" t="s">
        <v>17</v>
      </c>
      <c r="F105" s="7">
        <v>26257</v>
      </c>
      <c r="G105" s="8">
        <f t="shared" si="1"/>
        <v>26257</v>
      </c>
      <c r="H105" s="6" t="s">
        <v>13</v>
      </c>
      <c r="I105" s="9">
        <v>136111.73431887399</v>
      </c>
      <c r="J105" s="62">
        <v>242.35823399711299</v>
      </c>
      <c r="K105" s="17">
        <v>3</v>
      </c>
    </row>
    <row r="106" spans="1:11" x14ac:dyDescent="0.25">
      <c r="A106" s="3" t="s">
        <v>228</v>
      </c>
      <c r="B106" s="4" t="s">
        <v>229</v>
      </c>
      <c r="C106" s="5">
        <v>16646</v>
      </c>
      <c r="D106" s="6" t="s">
        <v>16</v>
      </c>
      <c r="E106" s="6" t="s">
        <v>17</v>
      </c>
      <c r="F106" s="7">
        <v>30748</v>
      </c>
      <c r="G106" s="8">
        <f t="shared" si="1"/>
        <v>30748</v>
      </c>
      <c r="H106" s="6" t="s">
        <v>13</v>
      </c>
      <c r="I106" s="9">
        <v>32943.936701475803</v>
      </c>
      <c r="J106" s="62">
        <v>136.39798373466201</v>
      </c>
      <c r="K106" s="17">
        <v>1</v>
      </c>
    </row>
    <row r="107" spans="1:11" x14ac:dyDescent="0.25">
      <c r="A107" s="3" t="s">
        <v>230</v>
      </c>
      <c r="B107" s="4" t="s">
        <v>231</v>
      </c>
      <c r="C107" s="5">
        <v>16652</v>
      </c>
      <c r="D107" s="6" t="s">
        <v>16</v>
      </c>
      <c r="E107" s="6" t="s">
        <v>17</v>
      </c>
      <c r="F107" s="7">
        <v>26746</v>
      </c>
      <c r="G107" s="8">
        <f t="shared" si="1"/>
        <v>26746</v>
      </c>
      <c r="H107" s="6" t="s">
        <v>13</v>
      </c>
      <c r="I107" s="9">
        <v>20506.234059199698</v>
      </c>
      <c r="J107" s="62">
        <v>141.424319687474</v>
      </c>
      <c r="K107" s="17">
        <v>1</v>
      </c>
    </row>
    <row r="108" spans="1:11" x14ac:dyDescent="0.25">
      <c r="A108" s="3" t="s">
        <v>232</v>
      </c>
      <c r="B108" s="4" t="s">
        <v>233</v>
      </c>
      <c r="C108" s="14">
        <v>1193</v>
      </c>
      <c r="D108" s="6" t="s">
        <v>16</v>
      </c>
      <c r="E108" s="6" t="s">
        <v>17</v>
      </c>
      <c r="F108" s="7">
        <v>29221</v>
      </c>
      <c r="G108" s="8">
        <f t="shared" si="1"/>
        <v>29221</v>
      </c>
      <c r="H108" s="6" t="s">
        <v>13</v>
      </c>
      <c r="I108" s="9">
        <v>284942.37018093496</v>
      </c>
      <c r="J108" s="62">
        <v>826.43697378150796</v>
      </c>
      <c r="K108" s="17">
        <v>3</v>
      </c>
    </row>
    <row r="109" spans="1:11" x14ac:dyDescent="0.25">
      <c r="A109" s="3" t="s">
        <v>234</v>
      </c>
      <c r="B109" s="4" t="s">
        <v>235</v>
      </c>
      <c r="C109" s="5">
        <v>15375</v>
      </c>
      <c r="D109" s="6" t="s">
        <v>16</v>
      </c>
      <c r="E109" s="6" t="s">
        <v>17</v>
      </c>
      <c r="F109" s="7">
        <v>26046</v>
      </c>
      <c r="G109" s="8">
        <f t="shared" si="1"/>
        <v>26046</v>
      </c>
      <c r="H109" s="6" t="s">
        <v>13</v>
      </c>
      <c r="I109" s="9">
        <v>3607.3923269881002</v>
      </c>
      <c r="J109" s="62">
        <v>124.636670558738</v>
      </c>
      <c r="K109" s="17">
        <v>1</v>
      </c>
    </row>
    <row r="110" spans="1:11" x14ac:dyDescent="0.25">
      <c r="A110" s="3" t="s">
        <v>236</v>
      </c>
      <c r="B110" s="4" t="s">
        <v>237</v>
      </c>
      <c r="C110" s="5">
        <v>382844</v>
      </c>
      <c r="D110" s="6" t="s">
        <v>16</v>
      </c>
      <c r="E110" s="6" t="s">
        <v>17</v>
      </c>
      <c r="F110" s="7">
        <v>45600</v>
      </c>
      <c r="G110" s="8">
        <f t="shared" si="1"/>
        <v>45600</v>
      </c>
      <c r="H110" s="6" t="s">
        <v>13</v>
      </c>
      <c r="I110" s="9">
        <v>67404.139217920601</v>
      </c>
      <c r="J110" s="62">
        <v>174.31238430110699</v>
      </c>
      <c r="K110" s="17">
        <v>3</v>
      </c>
    </row>
    <row r="111" spans="1:11" x14ac:dyDescent="0.25">
      <c r="A111" s="3" t="s">
        <v>238</v>
      </c>
      <c r="B111" s="4" t="s">
        <v>239</v>
      </c>
      <c r="C111" s="14">
        <v>1614</v>
      </c>
      <c r="D111" s="6" t="s">
        <v>16</v>
      </c>
      <c r="E111" s="6" t="s">
        <v>17</v>
      </c>
      <c r="F111" s="7">
        <v>36972</v>
      </c>
      <c r="G111" s="8">
        <f t="shared" si="1"/>
        <v>36972</v>
      </c>
      <c r="H111" s="6" t="s">
        <v>13</v>
      </c>
      <c r="I111" s="9">
        <v>141393.61747303099</v>
      </c>
      <c r="J111" s="62">
        <v>671.65015272146502</v>
      </c>
      <c r="K111" s="17">
        <v>2</v>
      </c>
    </row>
    <row r="112" spans="1:11" x14ac:dyDescent="0.25">
      <c r="A112" s="3" t="s">
        <v>240</v>
      </c>
      <c r="B112" s="4" t="s">
        <v>241</v>
      </c>
      <c r="C112" s="14">
        <v>11845</v>
      </c>
      <c r="D112" s="6" t="s">
        <v>16</v>
      </c>
      <c r="E112" s="6" t="s">
        <v>17</v>
      </c>
      <c r="F112" s="7">
        <v>37812</v>
      </c>
      <c r="G112" s="8">
        <f t="shared" si="1"/>
        <v>37812</v>
      </c>
      <c r="H112" s="6" t="s">
        <v>13</v>
      </c>
      <c r="I112" s="9">
        <v>290755.52592946403</v>
      </c>
      <c r="J112" s="62">
        <v>1508.68487796828</v>
      </c>
      <c r="K112" s="17">
        <v>3</v>
      </c>
    </row>
    <row r="113" spans="1:11" x14ac:dyDescent="0.25">
      <c r="A113" s="3" t="s">
        <v>242</v>
      </c>
      <c r="B113" s="4" t="s">
        <v>243</v>
      </c>
      <c r="C113" s="5">
        <v>2010</v>
      </c>
      <c r="D113" s="6" t="s">
        <v>16</v>
      </c>
      <c r="E113" s="6" t="s">
        <v>17</v>
      </c>
      <c r="F113" s="7">
        <v>36416</v>
      </c>
      <c r="G113" s="8">
        <f t="shared" si="1"/>
        <v>36416</v>
      </c>
      <c r="H113" s="6" t="s">
        <v>13</v>
      </c>
      <c r="I113" s="9">
        <v>24135.041123999599</v>
      </c>
      <c r="J113" s="62">
        <v>408.88083460646698</v>
      </c>
      <c r="K113" s="17">
        <v>2</v>
      </c>
    </row>
    <row r="114" spans="1:11" x14ac:dyDescent="0.25">
      <c r="A114" s="3" t="s">
        <v>244</v>
      </c>
      <c r="B114" s="4" t="s">
        <v>245</v>
      </c>
      <c r="C114" s="5">
        <v>18886</v>
      </c>
      <c r="D114" s="6" t="s">
        <v>16</v>
      </c>
      <c r="E114" s="6" t="s">
        <v>17</v>
      </c>
      <c r="F114" s="7">
        <v>29575</v>
      </c>
      <c r="G114" s="8">
        <f t="shared" si="1"/>
        <v>29575</v>
      </c>
      <c r="H114" s="6" t="s">
        <v>13</v>
      </c>
      <c r="I114" s="9">
        <v>16039.2071381527</v>
      </c>
      <c r="J114" s="62">
        <v>89.572074988074903</v>
      </c>
      <c r="K114" s="17">
        <v>1</v>
      </c>
    </row>
    <row r="115" spans="1:11" x14ac:dyDescent="0.25">
      <c r="A115" s="3" t="s">
        <v>246</v>
      </c>
      <c r="B115" s="4" t="s">
        <v>247</v>
      </c>
      <c r="C115" s="5">
        <v>15693</v>
      </c>
      <c r="D115" s="6" t="s">
        <v>16</v>
      </c>
      <c r="E115" s="6" t="s">
        <v>17</v>
      </c>
      <c r="F115" s="7">
        <v>29929</v>
      </c>
      <c r="G115" s="8">
        <f t="shared" si="1"/>
        <v>29929</v>
      </c>
      <c r="H115" s="6" t="s">
        <v>13</v>
      </c>
      <c r="I115" s="9">
        <v>8918.4684439766916</v>
      </c>
      <c r="J115" s="62">
        <v>129.043309585353</v>
      </c>
      <c r="K115" s="17">
        <v>1</v>
      </c>
    </row>
    <row r="116" spans="1:11" x14ac:dyDescent="0.25">
      <c r="A116" s="3" t="s">
        <v>248</v>
      </c>
      <c r="B116" s="4" t="s">
        <v>249</v>
      </c>
      <c r="C116" s="14">
        <v>2017</v>
      </c>
      <c r="D116" s="6" t="s">
        <v>16</v>
      </c>
      <c r="E116" s="6" t="s">
        <v>17</v>
      </c>
      <c r="F116" s="7">
        <v>31048</v>
      </c>
      <c r="G116" s="8">
        <f t="shared" si="1"/>
        <v>31048</v>
      </c>
      <c r="H116" s="6" t="s">
        <v>13</v>
      </c>
      <c r="I116" s="9" t="s">
        <v>3380</v>
      </c>
      <c r="J116" s="62" t="s">
        <v>3380</v>
      </c>
      <c r="K116" s="17">
        <v>3</v>
      </c>
    </row>
    <row r="117" spans="1:11" x14ac:dyDescent="0.25">
      <c r="A117" s="3" t="s">
        <v>250</v>
      </c>
      <c r="B117" s="4" t="s">
        <v>251</v>
      </c>
      <c r="C117" s="5">
        <v>2037</v>
      </c>
      <c r="D117" s="6" t="s">
        <v>16</v>
      </c>
      <c r="E117" s="6" t="s">
        <v>17</v>
      </c>
      <c r="F117" s="7">
        <v>36526</v>
      </c>
      <c r="G117" s="8">
        <f t="shared" si="1"/>
        <v>36526</v>
      </c>
      <c r="H117" s="6" t="s">
        <v>13</v>
      </c>
      <c r="I117" s="9">
        <v>46767.274326170897</v>
      </c>
      <c r="J117" s="62">
        <v>214.12827432230199</v>
      </c>
      <c r="K117" s="17">
        <v>1</v>
      </c>
    </row>
    <row r="118" spans="1:11" x14ac:dyDescent="0.25">
      <c r="A118" s="3" t="s">
        <v>252</v>
      </c>
      <c r="B118" s="4" t="s">
        <v>253</v>
      </c>
      <c r="C118" s="14">
        <v>1455</v>
      </c>
      <c r="D118" s="6" t="s">
        <v>31</v>
      </c>
      <c r="E118" s="6" t="s">
        <v>17</v>
      </c>
      <c r="F118" s="7">
        <v>32051</v>
      </c>
      <c r="G118" s="8">
        <f t="shared" si="1"/>
        <v>32051</v>
      </c>
      <c r="H118" s="6" t="s">
        <v>13</v>
      </c>
      <c r="I118" s="9">
        <v>45283.820534150502</v>
      </c>
      <c r="J118" s="62">
        <v>187.83830201051001</v>
      </c>
      <c r="K118" s="17">
        <v>2</v>
      </c>
    </row>
    <row r="119" spans="1:11" x14ac:dyDescent="0.25">
      <c r="A119" s="3" t="s">
        <v>254</v>
      </c>
      <c r="B119" s="4" t="s">
        <v>255</v>
      </c>
      <c r="C119" s="5">
        <v>1472</v>
      </c>
      <c r="D119" s="6" t="s">
        <v>31</v>
      </c>
      <c r="E119" s="6" t="s">
        <v>17</v>
      </c>
      <c r="F119" s="7">
        <v>36774</v>
      </c>
      <c r="G119" s="8">
        <f t="shared" si="1"/>
        <v>36774</v>
      </c>
      <c r="H119" s="6" t="s">
        <v>13</v>
      </c>
      <c r="I119" s="9" t="s">
        <v>3380</v>
      </c>
      <c r="J119" s="62" t="s">
        <v>3380</v>
      </c>
      <c r="K119" s="17">
        <v>1</v>
      </c>
    </row>
    <row r="120" spans="1:11" x14ac:dyDescent="0.25">
      <c r="A120" s="3" t="s">
        <v>256</v>
      </c>
      <c r="B120" s="4" t="s">
        <v>257</v>
      </c>
      <c r="C120" s="5">
        <v>60577</v>
      </c>
      <c r="D120" s="6" t="s">
        <v>31</v>
      </c>
      <c r="E120" s="6" t="s">
        <v>17</v>
      </c>
      <c r="F120" s="7">
        <v>38959</v>
      </c>
      <c r="G120" s="8">
        <f t="shared" si="1"/>
        <v>38959</v>
      </c>
      <c r="H120" s="6" t="s">
        <v>13</v>
      </c>
      <c r="I120" s="9">
        <v>62768.411928007401</v>
      </c>
      <c r="J120" s="62">
        <v>434.49357046823002</v>
      </c>
      <c r="K120" s="17">
        <v>1</v>
      </c>
    </row>
    <row r="121" spans="1:11" x14ac:dyDescent="0.25">
      <c r="A121" s="3" t="s">
        <v>258</v>
      </c>
      <c r="B121" s="4" t="s">
        <v>259</v>
      </c>
      <c r="C121" s="14">
        <v>1352</v>
      </c>
      <c r="D121" s="6" t="s">
        <v>31</v>
      </c>
      <c r="E121" s="6" t="s">
        <v>17</v>
      </c>
      <c r="F121" s="7">
        <v>29221</v>
      </c>
      <c r="G121" s="8">
        <f t="shared" si="1"/>
        <v>29221</v>
      </c>
      <c r="H121" s="6" t="s">
        <v>13</v>
      </c>
      <c r="I121" s="9">
        <v>56509.473417721601</v>
      </c>
      <c r="J121" s="62">
        <v>112.303627948333</v>
      </c>
      <c r="K121" s="11">
        <v>2</v>
      </c>
    </row>
    <row r="122" spans="1:11" x14ac:dyDescent="0.25">
      <c r="A122" s="3" t="s">
        <v>260</v>
      </c>
      <c r="B122" s="4" t="s">
        <v>261</v>
      </c>
      <c r="C122" s="5">
        <v>21122</v>
      </c>
      <c r="D122" s="6" t="s">
        <v>31</v>
      </c>
      <c r="E122" s="6" t="s">
        <v>17</v>
      </c>
      <c r="F122" s="7">
        <v>35576</v>
      </c>
      <c r="G122" s="8">
        <f t="shared" si="1"/>
        <v>35576</v>
      </c>
      <c r="H122" s="6" t="s">
        <v>13</v>
      </c>
      <c r="I122" s="9">
        <v>9302.69372638405</v>
      </c>
      <c r="J122" s="62">
        <v>237.595160408884</v>
      </c>
      <c r="K122" s="17">
        <v>1</v>
      </c>
    </row>
    <row r="123" spans="1:11" x14ac:dyDescent="0.25">
      <c r="A123" s="3" t="s">
        <v>262</v>
      </c>
      <c r="B123" s="4" t="s">
        <v>263</v>
      </c>
      <c r="C123" s="5">
        <v>21444</v>
      </c>
      <c r="D123" s="6" t="s">
        <v>31</v>
      </c>
      <c r="E123" s="6" t="s">
        <v>17</v>
      </c>
      <c r="F123" s="7">
        <v>32273</v>
      </c>
      <c r="G123" s="8">
        <f t="shared" si="1"/>
        <v>32273</v>
      </c>
      <c r="H123" s="6" t="s">
        <v>13</v>
      </c>
      <c r="I123" s="9">
        <v>8074.2138365277806</v>
      </c>
      <c r="J123" s="62">
        <v>126.820256779586</v>
      </c>
      <c r="K123" s="17">
        <v>1</v>
      </c>
    </row>
    <row r="124" spans="1:11" x14ac:dyDescent="0.25">
      <c r="A124" s="3" t="s">
        <v>264</v>
      </c>
      <c r="B124" s="4" t="s">
        <v>265</v>
      </c>
      <c r="C124" s="5">
        <v>1766</v>
      </c>
      <c r="D124" s="6" t="s">
        <v>31</v>
      </c>
      <c r="E124" s="6" t="s">
        <v>17</v>
      </c>
      <c r="F124" s="7">
        <v>36637</v>
      </c>
      <c r="G124" s="8">
        <f t="shared" si="1"/>
        <v>36637</v>
      </c>
      <c r="H124" s="6" t="s">
        <v>13</v>
      </c>
      <c r="I124" s="9">
        <v>6826.5924928024297</v>
      </c>
      <c r="J124" s="62">
        <v>150.13892731748899</v>
      </c>
      <c r="K124" s="17">
        <v>1</v>
      </c>
    </row>
    <row r="125" spans="1:11" x14ac:dyDescent="0.25">
      <c r="A125" s="3" t="s">
        <v>266</v>
      </c>
      <c r="B125" s="4" t="s">
        <v>267</v>
      </c>
      <c r="C125" s="5">
        <v>54499</v>
      </c>
      <c r="D125" s="6" t="s">
        <v>31</v>
      </c>
      <c r="E125" s="6" t="s">
        <v>17</v>
      </c>
      <c r="F125" s="7">
        <v>29768</v>
      </c>
      <c r="G125" s="8">
        <f t="shared" si="1"/>
        <v>29768</v>
      </c>
      <c r="H125" s="6" t="s">
        <v>13</v>
      </c>
      <c r="I125" s="9">
        <v>13016.0631968259</v>
      </c>
      <c r="J125" s="62">
        <v>50.677797425653999</v>
      </c>
      <c r="K125" s="17">
        <v>1</v>
      </c>
    </row>
    <row r="126" spans="1:11" x14ac:dyDescent="0.25">
      <c r="A126" s="26" t="s">
        <v>268</v>
      </c>
      <c r="B126" s="27" t="s">
        <v>269</v>
      </c>
      <c r="C126" s="5">
        <v>14722</v>
      </c>
      <c r="D126" s="28" t="s">
        <v>31</v>
      </c>
      <c r="E126" s="28" t="s">
        <v>17</v>
      </c>
      <c r="F126" s="29">
        <v>27474</v>
      </c>
      <c r="G126" s="30">
        <f t="shared" si="1"/>
        <v>27474</v>
      </c>
      <c r="H126" s="28" t="s">
        <v>13</v>
      </c>
      <c r="I126" s="9">
        <v>9196.3984974494506</v>
      </c>
      <c r="J126" s="62">
        <v>340.77943727390101</v>
      </c>
      <c r="K126" s="33">
        <v>2</v>
      </c>
    </row>
    <row r="127" spans="1:11" x14ac:dyDescent="0.25">
      <c r="A127" s="26" t="s">
        <v>270</v>
      </c>
      <c r="B127" s="27" t="s">
        <v>271</v>
      </c>
      <c r="C127" s="5">
        <v>1719</v>
      </c>
      <c r="D127" s="28" t="s">
        <v>16</v>
      </c>
      <c r="E127" s="28" t="s">
        <v>17</v>
      </c>
      <c r="F127" s="29">
        <v>25569</v>
      </c>
      <c r="G127" s="30">
        <f t="shared" si="1"/>
        <v>25569</v>
      </c>
      <c r="H127" s="28" t="s">
        <v>13</v>
      </c>
      <c r="I127" s="9">
        <v>5570.1832179544799</v>
      </c>
      <c r="J127" s="62">
        <v>70.273521473816402</v>
      </c>
      <c r="K127" s="33">
        <v>1</v>
      </c>
    </row>
    <row r="128" spans="1:11" x14ac:dyDescent="0.25">
      <c r="A128" s="3" t="s">
        <v>272</v>
      </c>
      <c r="B128" s="4" t="s">
        <v>273</v>
      </c>
      <c r="C128" s="5">
        <v>1310</v>
      </c>
      <c r="D128" s="6" t="s">
        <v>16</v>
      </c>
      <c r="E128" s="6" t="s">
        <v>17</v>
      </c>
      <c r="F128" s="7">
        <v>25569</v>
      </c>
      <c r="G128" s="8">
        <f t="shared" si="1"/>
        <v>25569</v>
      </c>
      <c r="H128" s="6" t="s">
        <v>13</v>
      </c>
      <c r="I128" s="9">
        <v>11883.8813037991</v>
      </c>
      <c r="J128" s="62">
        <v>287.59210520924898</v>
      </c>
      <c r="K128" s="17">
        <v>1</v>
      </c>
    </row>
    <row r="129" spans="1:11" x14ac:dyDescent="0.25">
      <c r="A129" s="3" t="s">
        <v>274</v>
      </c>
      <c r="B129" s="4" t="s">
        <v>275</v>
      </c>
      <c r="C129" s="5">
        <v>1058</v>
      </c>
      <c r="D129" s="6" t="s">
        <v>16</v>
      </c>
      <c r="E129" s="6" t="s">
        <v>17</v>
      </c>
      <c r="F129" s="7">
        <v>29221</v>
      </c>
      <c r="G129" s="8">
        <f t="shared" si="1"/>
        <v>29221</v>
      </c>
      <c r="H129" s="6" t="s">
        <v>13</v>
      </c>
      <c r="I129" s="9">
        <v>7328.0667524581195</v>
      </c>
      <c r="J129" s="62">
        <v>97.254933597946504</v>
      </c>
      <c r="K129" s="17">
        <v>1</v>
      </c>
    </row>
    <row r="130" spans="1:11" x14ac:dyDescent="0.25">
      <c r="A130" s="3" t="s">
        <v>276</v>
      </c>
      <c r="B130" s="4" t="s">
        <v>277</v>
      </c>
      <c r="C130" s="5">
        <v>1851</v>
      </c>
      <c r="D130" s="6" t="s">
        <v>16</v>
      </c>
      <c r="E130" s="6" t="s">
        <v>17</v>
      </c>
      <c r="F130" s="7">
        <v>35795</v>
      </c>
      <c r="G130" s="8">
        <f t="shared" ref="G130:G193" si="2">F130</f>
        <v>35795</v>
      </c>
      <c r="H130" s="6" t="s">
        <v>13</v>
      </c>
      <c r="I130" s="9">
        <v>2354.6991408839403</v>
      </c>
      <c r="J130" s="62">
        <v>72.287924698683995</v>
      </c>
      <c r="K130" s="17">
        <v>1</v>
      </c>
    </row>
    <row r="131" spans="1:11" x14ac:dyDescent="0.25">
      <c r="A131" s="3" t="s">
        <v>278</v>
      </c>
      <c r="B131" s="4" t="s">
        <v>279</v>
      </c>
      <c r="C131" s="14">
        <v>54498</v>
      </c>
      <c r="D131" s="6" t="s">
        <v>28</v>
      </c>
      <c r="E131" s="6" t="s">
        <v>17</v>
      </c>
      <c r="F131" s="7">
        <v>38121</v>
      </c>
      <c r="G131" s="8">
        <f t="shared" si="2"/>
        <v>38121</v>
      </c>
      <c r="H131" s="6" t="s">
        <v>13</v>
      </c>
      <c r="I131" s="9" t="s">
        <v>3380</v>
      </c>
      <c r="J131" s="62" t="s">
        <v>3380</v>
      </c>
      <c r="K131" s="11">
        <v>2</v>
      </c>
    </row>
    <row r="132" spans="1:11" x14ac:dyDescent="0.25">
      <c r="A132" s="3" t="s">
        <v>280</v>
      </c>
      <c r="B132" s="4" t="s">
        <v>281</v>
      </c>
      <c r="C132" s="5">
        <v>2067</v>
      </c>
      <c r="D132" s="6" t="s">
        <v>34</v>
      </c>
      <c r="E132" s="6" t="s">
        <v>17</v>
      </c>
      <c r="F132" s="7">
        <v>19725</v>
      </c>
      <c r="G132" s="8">
        <f t="shared" si="2"/>
        <v>19725</v>
      </c>
      <c r="H132" s="6" t="s">
        <v>13</v>
      </c>
      <c r="I132" s="9">
        <v>57742.555881400796</v>
      </c>
      <c r="J132" s="62">
        <v>756.31175219793295</v>
      </c>
      <c r="K132" s="17">
        <v>2</v>
      </c>
    </row>
    <row r="133" spans="1:11" x14ac:dyDescent="0.25">
      <c r="A133" s="3" t="s">
        <v>282</v>
      </c>
      <c r="B133" s="4" t="s">
        <v>283</v>
      </c>
      <c r="C133" s="14">
        <v>1538</v>
      </c>
      <c r="D133" s="6" t="s">
        <v>28</v>
      </c>
      <c r="E133" s="6" t="s">
        <v>17</v>
      </c>
      <c r="F133" s="7">
        <v>33239</v>
      </c>
      <c r="G133" s="8">
        <f t="shared" si="2"/>
        <v>33239</v>
      </c>
      <c r="H133" s="6" t="s">
        <v>13</v>
      </c>
      <c r="I133" s="9">
        <v>281747.63111424498</v>
      </c>
      <c r="J133" s="62">
        <v>994.11016231306996</v>
      </c>
      <c r="K133" s="17">
        <v>3</v>
      </c>
    </row>
    <row r="134" spans="1:11" x14ac:dyDescent="0.25">
      <c r="A134" s="3" t="s">
        <v>284</v>
      </c>
      <c r="B134" s="4" t="s">
        <v>285</v>
      </c>
      <c r="C134" s="14">
        <v>1454</v>
      </c>
      <c r="D134" s="6" t="s">
        <v>16</v>
      </c>
      <c r="E134" s="6" t="s">
        <v>17</v>
      </c>
      <c r="F134" s="7">
        <v>29952</v>
      </c>
      <c r="G134" s="8">
        <f t="shared" si="2"/>
        <v>29952</v>
      </c>
      <c r="H134" s="6" t="s">
        <v>13</v>
      </c>
      <c r="I134" s="9">
        <v>295620.52731747204</v>
      </c>
      <c r="J134" s="62">
        <v>1510.6119339325801</v>
      </c>
      <c r="K134" s="17">
        <v>2</v>
      </c>
    </row>
    <row r="135" spans="1:11" x14ac:dyDescent="0.25">
      <c r="A135" s="3" t="s">
        <v>286</v>
      </c>
      <c r="B135" s="4" t="s">
        <v>287</v>
      </c>
      <c r="C135" s="14">
        <v>52904</v>
      </c>
      <c r="D135" s="6" t="s">
        <v>11</v>
      </c>
      <c r="E135" s="6" t="s">
        <v>12</v>
      </c>
      <c r="F135" s="7">
        <v>39094</v>
      </c>
      <c r="G135" s="8">
        <f t="shared" si="2"/>
        <v>39094</v>
      </c>
      <c r="H135" s="6" t="s">
        <v>39</v>
      </c>
      <c r="I135" s="9">
        <v>13492.313707641901</v>
      </c>
      <c r="J135" s="62">
        <v>149.29855145829899</v>
      </c>
      <c r="K135" s="17">
        <v>1</v>
      </c>
    </row>
    <row r="136" spans="1:11" x14ac:dyDescent="0.25">
      <c r="A136" s="3" t="s">
        <v>288</v>
      </c>
      <c r="B136" s="4" t="s">
        <v>289</v>
      </c>
      <c r="C136" s="5">
        <v>1117</v>
      </c>
      <c r="D136" s="6" t="s">
        <v>28</v>
      </c>
      <c r="E136" s="6" t="s">
        <v>17</v>
      </c>
      <c r="F136" s="7">
        <v>18264</v>
      </c>
      <c r="G136" s="8">
        <f t="shared" si="2"/>
        <v>18264</v>
      </c>
      <c r="H136" s="6" t="s">
        <v>13</v>
      </c>
      <c r="I136" s="9">
        <v>49340.480740833897</v>
      </c>
      <c r="J136" s="62">
        <v>381.78360321839199</v>
      </c>
      <c r="K136" s="17">
        <v>1</v>
      </c>
    </row>
    <row r="137" spans="1:11" x14ac:dyDescent="0.25">
      <c r="A137" s="3" t="s">
        <v>290</v>
      </c>
      <c r="B137" s="4" t="s">
        <v>291</v>
      </c>
      <c r="C137" s="5">
        <v>39105</v>
      </c>
      <c r="D137" s="6" t="s">
        <v>31</v>
      </c>
      <c r="E137" s="6" t="s">
        <v>17</v>
      </c>
      <c r="F137" s="7">
        <v>37377</v>
      </c>
      <c r="G137" s="8">
        <f t="shared" si="2"/>
        <v>37377</v>
      </c>
      <c r="H137" s="6" t="s">
        <v>13</v>
      </c>
      <c r="I137" s="9">
        <v>32419.187014701201</v>
      </c>
      <c r="J137" s="62">
        <v>257.32945786273899</v>
      </c>
      <c r="K137" s="17">
        <v>1</v>
      </c>
    </row>
    <row r="138" spans="1:11" x14ac:dyDescent="0.25">
      <c r="A138" s="12" t="s">
        <v>292</v>
      </c>
      <c r="B138" s="4" t="s">
        <v>293</v>
      </c>
      <c r="C138" s="14">
        <v>1714</v>
      </c>
      <c r="D138" s="6" t="s">
        <v>16</v>
      </c>
      <c r="E138" s="6" t="s">
        <v>17</v>
      </c>
      <c r="F138" s="7">
        <v>29221</v>
      </c>
      <c r="G138" s="8">
        <f t="shared" si="2"/>
        <v>29221</v>
      </c>
      <c r="H138" s="6" t="s">
        <v>13</v>
      </c>
      <c r="I138" s="9">
        <v>347331.89537180698</v>
      </c>
      <c r="J138" s="62">
        <v>963.57490617502003</v>
      </c>
      <c r="K138" s="17">
        <v>3</v>
      </c>
    </row>
    <row r="139" spans="1:11" x14ac:dyDescent="0.25">
      <c r="A139" s="3" t="s">
        <v>294</v>
      </c>
      <c r="B139" s="4" t="s">
        <v>295</v>
      </c>
      <c r="C139" s="5">
        <v>1176</v>
      </c>
      <c r="D139" s="6" t="s">
        <v>16</v>
      </c>
      <c r="E139" s="6" t="s">
        <v>17</v>
      </c>
      <c r="F139" s="7">
        <v>29221</v>
      </c>
      <c r="G139" s="8">
        <f t="shared" si="2"/>
        <v>29221</v>
      </c>
      <c r="H139" s="6" t="s">
        <v>13</v>
      </c>
      <c r="I139" s="9">
        <v>21316.035348820398</v>
      </c>
      <c r="J139" s="62">
        <v>148.41648704090301</v>
      </c>
      <c r="K139" s="17">
        <v>1</v>
      </c>
    </row>
    <row r="140" spans="1:11" x14ac:dyDescent="0.25">
      <c r="A140" s="3" t="s">
        <v>296</v>
      </c>
      <c r="B140" s="4" t="s">
        <v>297</v>
      </c>
      <c r="C140" s="5">
        <v>1049</v>
      </c>
      <c r="D140" s="6" t="s">
        <v>16</v>
      </c>
      <c r="E140" s="6" t="s">
        <v>17</v>
      </c>
      <c r="F140" s="7">
        <v>29221</v>
      </c>
      <c r="G140" s="8">
        <f t="shared" si="2"/>
        <v>29221</v>
      </c>
      <c r="H140" s="6" t="s">
        <v>13</v>
      </c>
      <c r="I140" s="9">
        <v>13040.029197056099</v>
      </c>
      <c r="J140" s="62">
        <v>139.300243171045</v>
      </c>
      <c r="K140" s="17">
        <v>1</v>
      </c>
    </row>
    <row r="141" spans="1:11" x14ac:dyDescent="0.25">
      <c r="A141" s="3" t="s">
        <v>298</v>
      </c>
      <c r="B141" s="4" t="s">
        <v>299</v>
      </c>
      <c r="C141" s="5">
        <v>1194</v>
      </c>
      <c r="D141" s="6" t="s">
        <v>16</v>
      </c>
      <c r="E141" s="6" t="s">
        <v>17</v>
      </c>
      <c r="F141" s="7">
        <v>31048</v>
      </c>
      <c r="G141" s="8">
        <f t="shared" si="2"/>
        <v>31048</v>
      </c>
      <c r="H141" s="6" t="s">
        <v>13</v>
      </c>
      <c r="I141" s="9">
        <v>43082.596415259301</v>
      </c>
      <c r="J141" s="62">
        <v>205.92091706397301</v>
      </c>
      <c r="K141" s="11">
        <v>1</v>
      </c>
    </row>
    <row r="142" spans="1:11" x14ac:dyDescent="0.25">
      <c r="A142" s="3" t="s">
        <v>300</v>
      </c>
      <c r="B142" s="4" t="s">
        <v>301</v>
      </c>
      <c r="C142" s="14">
        <v>1757</v>
      </c>
      <c r="D142" s="6" t="s">
        <v>31</v>
      </c>
      <c r="E142" s="6" t="s">
        <v>17</v>
      </c>
      <c r="F142" s="7">
        <v>31048</v>
      </c>
      <c r="G142" s="8">
        <f t="shared" si="2"/>
        <v>31048</v>
      </c>
      <c r="H142" s="6" t="s">
        <v>13</v>
      </c>
      <c r="I142" s="9">
        <v>64548.609096266206</v>
      </c>
      <c r="J142" s="62">
        <v>491.60276601106102</v>
      </c>
      <c r="K142" s="17">
        <v>2</v>
      </c>
    </row>
    <row r="143" spans="1:11" x14ac:dyDescent="0.25">
      <c r="A143" s="3" t="s">
        <v>302</v>
      </c>
      <c r="B143" s="4" t="s">
        <v>303</v>
      </c>
      <c r="C143" s="14">
        <v>1723</v>
      </c>
      <c r="D143" s="6" t="s">
        <v>16</v>
      </c>
      <c r="E143" s="6" t="s">
        <v>17</v>
      </c>
      <c r="F143" s="7">
        <v>31048</v>
      </c>
      <c r="G143" s="8">
        <f t="shared" si="2"/>
        <v>31048</v>
      </c>
      <c r="H143" s="6" t="s">
        <v>13</v>
      </c>
      <c r="I143" s="9">
        <v>75108.617618256903</v>
      </c>
      <c r="J143" s="62">
        <v>441.25869882399599</v>
      </c>
      <c r="K143" s="17">
        <v>1</v>
      </c>
    </row>
    <row r="144" spans="1:11" x14ac:dyDescent="0.25">
      <c r="A144" s="3" t="s">
        <v>304</v>
      </c>
      <c r="B144" s="4" t="s">
        <v>305</v>
      </c>
      <c r="C144" s="5">
        <v>25282</v>
      </c>
      <c r="D144" s="6" t="s">
        <v>31</v>
      </c>
      <c r="E144" s="6" t="s">
        <v>17</v>
      </c>
      <c r="F144" s="7">
        <v>24153</v>
      </c>
      <c r="G144" s="8">
        <f t="shared" si="2"/>
        <v>24153</v>
      </c>
      <c r="H144" s="6" t="s">
        <v>13</v>
      </c>
      <c r="I144" s="9">
        <v>9827.1379565238203</v>
      </c>
      <c r="J144" s="62">
        <v>157.07388092023999</v>
      </c>
      <c r="K144" s="17">
        <v>1</v>
      </c>
    </row>
    <row r="145" spans="1:11" x14ac:dyDescent="0.25">
      <c r="A145" s="3" t="s">
        <v>306</v>
      </c>
      <c r="B145" s="4" t="s">
        <v>307</v>
      </c>
      <c r="C145" s="14">
        <v>37505</v>
      </c>
      <c r="D145" s="6" t="s">
        <v>31</v>
      </c>
      <c r="E145" s="6" t="s">
        <v>17</v>
      </c>
      <c r="F145" s="7">
        <v>24590</v>
      </c>
      <c r="G145" s="8">
        <f t="shared" si="2"/>
        <v>24590</v>
      </c>
      <c r="H145" s="6" t="s">
        <v>13</v>
      </c>
      <c r="I145" s="9">
        <v>32075.0077856588</v>
      </c>
      <c r="J145" s="62">
        <v>291.85448397307198</v>
      </c>
      <c r="K145" s="17">
        <v>1</v>
      </c>
    </row>
    <row r="146" spans="1:11" x14ac:dyDescent="0.25">
      <c r="A146" s="3" t="s">
        <v>308</v>
      </c>
      <c r="B146" s="4" t="s">
        <v>309</v>
      </c>
      <c r="C146" s="5">
        <v>12810</v>
      </c>
      <c r="D146" s="6" t="s">
        <v>31</v>
      </c>
      <c r="E146" s="6" t="s">
        <v>17</v>
      </c>
      <c r="F146" s="7">
        <v>37816</v>
      </c>
      <c r="G146" s="8">
        <f t="shared" si="2"/>
        <v>37816</v>
      </c>
      <c r="H146" s="6" t="s">
        <v>13</v>
      </c>
      <c r="I146" s="9">
        <v>33278.7709671267</v>
      </c>
      <c r="J146" s="62">
        <v>434.346744718281</v>
      </c>
      <c r="K146" s="17">
        <v>1</v>
      </c>
    </row>
    <row r="147" spans="1:11" x14ac:dyDescent="0.25">
      <c r="A147" s="3" t="s">
        <v>310</v>
      </c>
      <c r="B147" s="4" t="s">
        <v>311</v>
      </c>
      <c r="C147" s="14">
        <v>1219</v>
      </c>
      <c r="D147" s="6" t="s">
        <v>31</v>
      </c>
      <c r="E147" s="6" t="s">
        <v>17</v>
      </c>
      <c r="F147" s="7">
        <v>29952</v>
      </c>
      <c r="G147" s="8">
        <f t="shared" si="2"/>
        <v>29952</v>
      </c>
      <c r="H147" s="6" t="s">
        <v>13</v>
      </c>
      <c r="I147" s="9">
        <v>145919.99812078199</v>
      </c>
      <c r="J147" s="62">
        <v>564.64325259731197</v>
      </c>
      <c r="K147" s="17">
        <v>2</v>
      </c>
    </row>
    <row r="148" spans="1:11" x14ac:dyDescent="0.25">
      <c r="A148" s="3" t="s">
        <v>312</v>
      </c>
      <c r="B148" s="4" t="s">
        <v>313</v>
      </c>
      <c r="C148" s="5">
        <v>1087</v>
      </c>
      <c r="D148" s="6" t="s">
        <v>31</v>
      </c>
      <c r="E148" s="6" t="s">
        <v>17</v>
      </c>
      <c r="F148" s="7">
        <v>29952</v>
      </c>
      <c r="G148" s="8">
        <f t="shared" si="2"/>
        <v>29952</v>
      </c>
      <c r="H148" s="6" t="s">
        <v>13</v>
      </c>
      <c r="I148" s="9">
        <v>56338.097148062305</v>
      </c>
      <c r="J148" s="62">
        <v>557.82853731360603</v>
      </c>
      <c r="K148" s="17">
        <v>2</v>
      </c>
    </row>
    <row r="149" spans="1:11" x14ac:dyDescent="0.25">
      <c r="A149" s="3" t="s">
        <v>314</v>
      </c>
      <c r="B149" s="4" t="s">
        <v>315</v>
      </c>
      <c r="C149" s="5">
        <v>54500</v>
      </c>
      <c r="D149" s="6" t="s">
        <v>28</v>
      </c>
      <c r="E149" s="6" t="s">
        <v>17</v>
      </c>
      <c r="F149" s="7">
        <v>39929</v>
      </c>
      <c r="G149" s="8">
        <f t="shared" si="2"/>
        <v>39929</v>
      </c>
      <c r="H149" s="6" t="s">
        <v>13</v>
      </c>
      <c r="I149" s="9">
        <v>22092.343662920899</v>
      </c>
      <c r="J149" s="62">
        <v>177.69622123985201</v>
      </c>
      <c r="K149" s="17">
        <v>1</v>
      </c>
    </row>
    <row r="150" spans="1:11" x14ac:dyDescent="0.25">
      <c r="A150" s="3" t="s">
        <v>316</v>
      </c>
      <c r="B150" s="4" t="s">
        <v>317</v>
      </c>
      <c r="C150" s="5">
        <v>1912</v>
      </c>
      <c r="D150" s="6" t="s">
        <v>34</v>
      </c>
      <c r="E150" s="6" t="s">
        <v>17</v>
      </c>
      <c r="F150" s="7">
        <v>29952</v>
      </c>
      <c r="G150" s="8">
        <f t="shared" si="2"/>
        <v>29952</v>
      </c>
      <c r="H150" s="6" t="s">
        <v>13</v>
      </c>
      <c r="I150" s="9">
        <v>19581.570440201802</v>
      </c>
      <c r="J150" s="62">
        <v>204.32547462023001</v>
      </c>
      <c r="K150" s="17">
        <v>2</v>
      </c>
    </row>
    <row r="151" spans="1:11" x14ac:dyDescent="0.25">
      <c r="A151" s="3" t="s">
        <v>318</v>
      </c>
      <c r="B151" s="4" t="s">
        <v>319</v>
      </c>
      <c r="C151" s="5">
        <v>12493</v>
      </c>
      <c r="D151" s="6" t="s">
        <v>34</v>
      </c>
      <c r="E151" s="6" t="s">
        <v>17</v>
      </c>
      <c r="F151" s="7">
        <v>37606</v>
      </c>
      <c r="G151" s="8">
        <f t="shared" si="2"/>
        <v>37606</v>
      </c>
      <c r="H151" s="6" t="s">
        <v>13</v>
      </c>
      <c r="I151" s="9">
        <v>111275.00646688801</v>
      </c>
      <c r="J151" s="62">
        <v>369.68670204134497</v>
      </c>
      <c r="K151" s="17">
        <v>2</v>
      </c>
    </row>
    <row r="152" spans="1:11" x14ac:dyDescent="0.25">
      <c r="A152" s="3" t="s">
        <v>320</v>
      </c>
      <c r="B152" s="4" t="s">
        <v>321</v>
      </c>
      <c r="C152" s="5">
        <v>9921</v>
      </c>
      <c r="D152" s="6" t="s">
        <v>11</v>
      </c>
      <c r="E152" s="6" t="s">
        <v>17</v>
      </c>
      <c r="F152" s="7">
        <v>37344</v>
      </c>
      <c r="G152" s="8">
        <f t="shared" si="2"/>
        <v>37344</v>
      </c>
      <c r="H152" s="6" t="s">
        <v>13</v>
      </c>
      <c r="I152" s="9">
        <v>26903.883610495101</v>
      </c>
      <c r="J152" s="62">
        <v>301.220808390976</v>
      </c>
      <c r="K152" s="17">
        <v>1</v>
      </c>
    </row>
    <row r="153" spans="1:11" x14ac:dyDescent="0.25">
      <c r="A153" s="3" t="s">
        <v>322</v>
      </c>
      <c r="B153" s="4" t="s">
        <v>323</v>
      </c>
      <c r="C153" s="5">
        <v>3201</v>
      </c>
      <c r="D153" s="6" t="s">
        <v>11</v>
      </c>
      <c r="E153" s="6" t="s">
        <v>17</v>
      </c>
      <c r="F153" s="7">
        <v>36098</v>
      </c>
      <c r="G153" s="8">
        <f t="shared" si="2"/>
        <v>36098</v>
      </c>
      <c r="H153" s="6" t="s">
        <v>13</v>
      </c>
      <c r="I153" s="9">
        <v>13169.897841324399</v>
      </c>
      <c r="J153" s="62">
        <v>85.420609530885599</v>
      </c>
      <c r="K153" s="17">
        <v>1</v>
      </c>
    </row>
    <row r="154" spans="1:11" x14ac:dyDescent="0.25">
      <c r="A154" s="3" t="s">
        <v>324</v>
      </c>
      <c r="B154" s="4" t="s">
        <v>325</v>
      </c>
      <c r="C154" s="5">
        <v>10566</v>
      </c>
      <c r="D154" s="6" t="s">
        <v>11</v>
      </c>
      <c r="E154" s="6" t="s">
        <v>17</v>
      </c>
      <c r="F154" s="7">
        <v>37503</v>
      </c>
      <c r="G154" s="8">
        <f t="shared" si="2"/>
        <v>37503</v>
      </c>
      <c r="H154" s="6" t="s">
        <v>13</v>
      </c>
      <c r="I154" s="9">
        <v>34262.024905199396</v>
      </c>
      <c r="J154" s="62">
        <v>246.975882917744</v>
      </c>
      <c r="K154" s="17">
        <v>2</v>
      </c>
    </row>
    <row r="155" spans="1:11" x14ac:dyDescent="0.25">
      <c r="A155" s="3" t="s">
        <v>326</v>
      </c>
      <c r="B155" s="4" t="s">
        <v>327</v>
      </c>
      <c r="C155" s="5">
        <v>1586</v>
      </c>
      <c r="D155" s="6" t="s">
        <v>34</v>
      </c>
      <c r="E155" s="6" t="s">
        <v>17</v>
      </c>
      <c r="F155" s="7">
        <v>18264</v>
      </c>
      <c r="G155" s="8">
        <f t="shared" si="2"/>
        <v>18264</v>
      </c>
      <c r="H155" s="6" t="s">
        <v>13</v>
      </c>
      <c r="I155" s="9">
        <v>31235.1311943654</v>
      </c>
      <c r="J155" s="62">
        <v>132.17699820878201</v>
      </c>
      <c r="K155" s="17">
        <v>1</v>
      </c>
    </row>
    <row r="156" spans="1:11" x14ac:dyDescent="0.25">
      <c r="A156" s="3" t="s">
        <v>328</v>
      </c>
      <c r="B156" s="4" t="s">
        <v>329</v>
      </c>
      <c r="C156" s="14">
        <v>72106</v>
      </c>
      <c r="D156" s="6" t="s">
        <v>11</v>
      </c>
      <c r="E156" s="6" t="s">
        <v>17</v>
      </c>
      <c r="F156" s="7">
        <v>38854</v>
      </c>
      <c r="G156" s="8">
        <f t="shared" si="2"/>
        <v>38854</v>
      </c>
      <c r="H156" s="6" t="s">
        <v>13</v>
      </c>
      <c r="I156" s="9">
        <v>29095.218224874199</v>
      </c>
      <c r="J156" s="62">
        <v>237.56578901430399</v>
      </c>
      <c r="K156" s="17">
        <v>1</v>
      </c>
    </row>
    <row r="157" spans="1:11" x14ac:dyDescent="0.25">
      <c r="A157" s="3" t="s">
        <v>330</v>
      </c>
      <c r="B157" s="4" t="s">
        <v>331</v>
      </c>
      <c r="C157" s="5">
        <v>52883</v>
      </c>
      <c r="D157" s="6" t="s">
        <v>34</v>
      </c>
      <c r="E157" s="6" t="s">
        <v>17</v>
      </c>
      <c r="F157" s="7">
        <v>39115</v>
      </c>
      <c r="G157" s="8">
        <f t="shared" si="2"/>
        <v>39115</v>
      </c>
      <c r="H157" s="6" t="s">
        <v>13</v>
      </c>
      <c r="I157" s="9">
        <v>678.93801156224401</v>
      </c>
      <c r="J157" s="62">
        <v>5.70888574034106</v>
      </c>
      <c r="K157" s="17">
        <v>1</v>
      </c>
    </row>
    <row r="158" spans="1:11" x14ac:dyDescent="0.25">
      <c r="A158" s="3" t="s">
        <v>332</v>
      </c>
      <c r="B158" s="4" t="s">
        <v>333</v>
      </c>
      <c r="C158" s="5">
        <v>1201</v>
      </c>
      <c r="D158" s="6" t="s">
        <v>11</v>
      </c>
      <c r="E158" s="6" t="s">
        <v>17</v>
      </c>
      <c r="F158" s="7">
        <v>34700</v>
      </c>
      <c r="G158" s="8">
        <f t="shared" si="2"/>
        <v>34700</v>
      </c>
      <c r="H158" s="6" t="s">
        <v>13</v>
      </c>
      <c r="I158" s="9">
        <v>78900.606589201998</v>
      </c>
      <c r="J158" s="62">
        <v>226.45491617924699</v>
      </c>
      <c r="K158" s="17">
        <v>1</v>
      </c>
    </row>
    <row r="159" spans="1:11" x14ac:dyDescent="0.25">
      <c r="A159" s="3" t="s">
        <v>334</v>
      </c>
      <c r="B159" s="4" t="s">
        <v>335</v>
      </c>
      <c r="C159" s="5">
        <v>13761</v>
      </c>
      <c r="D159" s="6" t="s">
        <v>11</v>
      </c>
      <c r="E159" s="6" t="s">
        <v>17</v>
      </c>
      <c r="F159" s="7">
        <v>37922</v>
      </c>
      <c r="G159" s="8">
        <f t="shared" si="2"/>
        <v>37922</v>
      </c>
      <c r="H159" s="6" t="s">
        <v>13</v>
      </c>
      <c r="I159" s="9">
        <v>9099.8313104270983</v>
      </c>
      <c r="J159" s="62">
        <v>200.77089009874501</v>
      </c>
      <c r="K159" s="11">
        <v>1</v>
      </c>
    </row>
    <row r="160" spans="1:11" x14ac:dyDescent="0.25">
      <c r="A160" s="3" t="s">
        <v>336</v>
      </c>
      <c r="B160" s="4" t="s">
        <v>337</v>
      </c>
      <c r="C160" s="5">
        <v>1166</v>
      </c>
      <c r="D160" s="6" t="s">
        <v>31</v>
      </c>
      <c r="E160" s="6" t="s">
        <v>17</v>
      </c>
      <c r="F160" s="7">
        <v>36619</v>
      </c>
      <c r="G160" s="8">
        <f t="shared" si="2"/>
        <v>36619</v>
      </c>
      <c r="H160" s="6" t="s">
        <v>13</v>
      </c>
      <c r="I160" s="9">
        <v>4638.6071301564907</v>
      </c>
      <c r="J160" s="62">
        <v>61.801272801978101</v>
      </c>
      <c r="K160" s="17">
        <v>1</v>
      </c>
    </row>
    <row r="161" spans="1:11" x14ac:dyDescent="0.25">
      <c r="A161" s="3" t="s">
        <v>338</v>
      </c>
      <c r="B161" s="4" t="s">
        <v>339</v>
      </c>
      <c r="C161" s="5">
        <v>15041</v>
      </c>
      <c r="D161" s="6" t="s">
        <v>28</v>
      </c>
      <c r="E161" s="6" t="s">
        <v>17</v>
      </c>
      <c r="F161" s="7">
        <v>38274</v>
      </c>
      <c r="G161" s="8">
        <f t="shared" si="2"/>
        <v>38274</v>
      </c>
      <c r="H161" s="6" t="s">
        <v>13</v>
      </c>
      <c r="I161" s="9">
        <v>6420.3199508084399</v>
      </c>
      <c r="J161" s="62">
        <v>302.34898001927502</v>
      </c>
      <c r="K161" s="17">
        <v>1</v>
      </c>
    </row>
    <row r="162" spans="1:11" x14ac:dyDescent="0.25">
      <c r="A162" s="3" t="s">
        <v>340</v>
      </c>
      <c r="B162" s="4" t="s">
        <v>341</v>
      </c>
      <c r="C162" s="14">
        <v>12491</v>
      </c>
      <c r="D162" s="6" t="s">
        <v>28</v>
      </c>
      <c r="E162" s="6" t="s">
        <v>17</v>
      </c>
      <c r="F162" s="7">
        <v>36620</v>
      </c>
      <c r="G162" s="8">
        <f t="shared" si="2"/>
        <v>36620</v>
      </c>
      <c r="H162" s="6" t="s">
        <v>13</v>
      </c>
      <c r="I162" s="9" t="s">
        <v>3380</v>
      </c>
      <c r="J162" s="62" t="s">
        <v>3380</v>
      </c>
      <c r="K162" s="17">
        <v>3</v>
      </c>
    </row>
    <row r="163" spans="1:11" x14ac:dyDescent="0.25">
      <c r="A163" s="3" t="s">
        <v>342</v>
      </c>
      <c r="B163" s="4" t="s">
        <v>343</v>
      </c>
      <c r="C163" s="5">
        <v>8336</v>
      </c>
      <c r="D163" s="6" t="s">
        <v>28</v>
      </c>
      <c r="E163" s="6" t="s">
        <v>17</v>
      </c>
      <c r="F163" s="7">
        <v>31293</v>
      </c>
      <c r="G163" s="8">
        <f t="shared" si="2"/>
        <v>31293</v>
      </c>
      <c r="H163" s="6" t="s">
        <v>13</v>
      </c>
      <c r="I163" s="9">
        <v>3410.98366881623</v>
      </c>
      <c r="J163" s="62">
        <v>136.396627197486</v>
      </c>
      <c r="K163" s="17">
        <v>1</v>
      </c>
    </row>
    <row r="164" spans="1:11" x14ac:dyDescent="0.25">
      <c r="A164" s="3" t="s">
        <v>344</v>
      </c>
      <c r="B164" s="4" t="s">
        <v>345</v>
      </c>
      <c r="C164" s="14">
        <v>1393</v>
      </c>
      <c r="D164" s="6" t="s">
        <v>16</v>
      </c>
      <c r="E164" s="6" t="s">
        <v>17</v>
      </c>
      <c r="F164" s="7">
        <v>27227</v>
      </c>
      <c r="G164" s="8">
        <f t="shared" si="2"/>
        <v>27227</v>
      </c>
      <c r="H164" s="6" t="s">
        <v>13</v>
      </c>
      <c r="I164" s="9">
        <v>58716.304828821005</v>
      </c>
      <c r="J164" s="62">
        <v>441.85748890638598</v>
      </c>
      <c r="K164" s="17">
        <v>1</v>
      </c>
    </row>
    <row r="165" spans="1:11" x14ac:dyDescent="0.25">
      <c r="A165" s="3" t="s">
        <v>346</v>
      </c>
      <c r="B165" s="4" t="s">
        <v>347</v>
      </c>
      <c r="C165" s="14">
        <v>2042</v>
      </c>
      <c r="D165" s="6" t="s">
        <v>34</v>
      </c>
      <c r="E165" s="6" t="s">
        <v>17</v>
      </c>
      <c r="F165" s="7">
        <v>25569</v>
      </c>
      <c r="G165" s="8">
        <f t="shared" si="2"/>
        <v>25569</v>
      </c>
      <c r="H165" s="6" t="s">
        <v>13</v>
      </c>
      <c r="I165" s="9">
        <v>27305.283543569298</v>
      </c>
      <c r="J165" s="62">
        <v>334.93220028928101</v>
      </c>
      <c r="K165" s="17">
        <v>1</v>
      </c>
    </row>
    <row r="166" spans="1:11" x14ac:dyDescent="0.25">
      <c r="A166" s="3" t="s">
        <v>348</v>
      </c>
      <c r="B166" s="4" t="s">
        <v>349</v>
      </c>
      <c r="C166" s="5">
        <v>15687</v>
      </c>
      <c r="D166" s="6" t="s">
        <v>34</v>
      </c>
      <c r="E166" s="6" t="s">
        <v>17</v>
      </c>
      <c r="F166" s="7">
        <v>37196</v>
      </c>
      <c r="G166" s="8">
        <f t="shared" si="2"/>
        <v>37196</v>
      </c>
      <c r="H166" s="6" t="s">
        <v>13</v>
      </c>
      <c r="I166" s="9">
        <v>1424.2328963750199</v>
      </c>
      <c r="J166" s="62">
        <v>48.682950153252598</v>
      </c>
      <c r="K166" s="17">
        <v>1</v>
      </c>
    </row>
    <row r="167" spans="1:11" x14ac:dyDescent="0.25">
      <c r="A167" s="3" t="s">
        <v>350</v>
      </c>
      <c r="B167" s="4" t="s">
        <v>351</v>
      </c>
      <c r="C167" s="14">
        <v>13446</v>
      </c>
      <c r="D167" s="6" t="s">
        <v>34</v>
      </c>
      <c r="E167" s="6" t="s">
        <v>17</v>
      </c>
      <c r="F167" s="7">
        <v>36942</v>
      </c>
      <c r="G167" s="8">
        <f t="shared" si="2"/>
        <v>36942</v>
      </c>
      <c r="H167" s="6" t="s">
        <v>13</v>
      </c>
      <c r="I167" s="9">
        <v>22457.2618885757</v>
      </c>
      <c r="J167" s="62">
        <v>855.12756693922199</v>
      </c>
      <c r="K167" s="17">
        <v>2</v>
      </c>
    </row>
    <row r="168" spans="1:11" x14ac:dyDescent="0.25">
      <c r="A168" s="3" t="s">
        <v>352</v>
      </c>
      <c r="B168" s="4" t="s">
        <v>353</v>
      </c>
      <c r="C168" s="5">
        <v>15688</v>
      </c>
      <c r="D168" s="6" t="s">
        <v>34</v>
      </c>
      <c r="E168" s="6" t="s">
        <v>17</v>
      </c>
      <c r="F168" s="7">
        <v>37196</v>
      </c>
      <c r="G168" s="8">
        <f t="shared" si="2"/>
        <v>37196</v>
      </c>
      <c r="H168" s="6" t="s">
        <v>13</v>
      </c>
      <c r="I168" s="9">
        <v>727.41526677665297</v>
      </c>
      <c r="J168" s="62">
        <v>18.945719789090699</v>
      </c>
      <c r="K168" s="17">
        <v>1</v>
      </c>
    </row>
    <row r="169" spans="1:11" x14ac:dyDescent="0.25">
      <c r="A169" s="3" t="s">
        <v>354</v>
      </c>
      <c r="B169" s="4" t="s">
        <v>355</v>
      </c>
      <c r="C169" s="5">
        <v>15689</v>
      </c>
      <c r="D169" s="6" t="s">
        <v>34</v>
      </c>
      <c r="E169" s="6" t="s">
        <v>17</v>
      </c>
      <c r="F169" s="7">
        <v>36161</v>
      </c>
      <c r="G169" s="8">
        <f t="shared" si="2"/>
        <v>36161</v>
      </c>
      <c r="H169" s="6" t="s">
        <v>13</v>
      </c>
      <c r="I169" s="9">
        <v>3604.8168431820404</v>
      </c>
      <c r="J169" s="62">
        <v>43.9059093244012</v>
      </c>
      <c r="K169" s="17">
        <v>1</v>
      </c>
    </row>
    <row r="170" spans="1:11" x14ac:dyDescent="0.25">
      <c r="A170" s="3" t="s">
        <v>356</v>
      </c>
      <c r="B170" s="4" t="s">
        <v>357</v>
      </c>
      <c r="C170" s="5">
        <v>1266</v>
      </c>
      <c r="D170" s="6" t="s">
        <v>34</v>
      </c>
      <c r="E170" s="6" t="s">
        <v>17</v>
      </c>
      <c r="F170" s="7">
        <v>36539</v>
      </c>
      <c r="G170" s="8">
        <f t="shared" si="2"/>
        <v>36539</v>
      </c>
      <c r="H170" s="6" t="s">
        <v>13</v>
      </c>
      <c r="I170" s="9">
        <v>3531.6948473387797</v>
      </c>
      <c r="J170" s="62">
        <v>56.613533226688801</v>
      </c>
      <c r="K170" s="17">
        <v>1</v>
      </c>
    </row>
    <row r="171" spans="1:11" x14ac:dyDescent="0.25">
      <c r="A171" s="3" t="s">
        <v>358</v>
      </c>
      <c r="B171" s="4" t="s">
        <v>359</v>
      </c>
      <c r="C171" s="5">
        <v>1036</v>
      </c>
      <c r="D171" s="6" t="s">
        <v>31</v>
      </c>
      <c r="E171" s="6" t="s">
        <v>17</v>
      </c>
      <c r="F171" s="7">
        <v>29221</v>
      </c>
      <c r="G171" s="8">
        <f t="shared" si="2"/>
        <v>29221</v>
      </c>
      <c r="H171" s="6" t="s">
        <v>13</v>
      </c>
      <c r="I171" s="9">
        <v>83689.625221764101</v>
      </c>
      <c r="J171" s="62">
        <v>544.12811191629999</v>
      </c>
      <c r="K171" s="17">
        <v>2</v>
      </c>
    </row>
    <row r="172" spans="1:11" x14ac:dyDescent="0.25">
      <c r="A172" s="18" t="s">
        <v>360</v>
      </c>
      <c r="B172" s="19" t="s">
        <v>361</v>
      </c>
      <c r="C172" s="5">
        <v>2020</v>
      </c>
      <c r="D172" s="21" t="s">
        <v>16</v>
      </c>
      <c r="E172" s="21" t="s">
        <v>17</v>
      </c>
      <c r="F172" s="22">
        <v>29221</v>
      </c>
      <c r="G172" s="23">
        <f t="shared" si="2"/>
        <v>29221</v>
      </c>
      <c r="H172" s="21" t="s">
        <v>13</v>
      </c>
      <c r="I172" s="9">
        <v>78981.841004533504</v>
      </c>
      <c r="J172" s="62">
        <v>355.55562204968697</v>
      </c>
      <c r="K172" s="25">
        <v>1</v>
      </c>
    </row>
    <row r="173" spans="1:11" x14ac:dyDescent="0.25">
      <c r="A173" s="3" t="s">
        <v>362</v>
      </c>
      <c r="B173" s="4" t="s">
        <v>363</v>
      </c>
      <c r="C173" s="14">
        <v>72105</v>
      </c>
      <c r="D173" s="6" t="s">
        <v>11</v>
      </c>
      <c r="E173" s="6" t="s">
        <v>12</v>
      </c>
      <c r="F173" s="7">
        <v>39234</v>
      </c>
      <c r="G173" s="8">
        <f t="shared" si="2"/>
        <v>39234</v>
      </c>
      <c r="H173" s="6" t="s">
        <v>39</v>
      </c>
      <c r="I173" s="9">
        <v>136184.96683234299</v>
      </c>
      <c r="J173" s="62">
        <v>895.28770553682205</v>
      </c>
      <c r="K173" s="17">
        <v>2</v>
      </c>
    </row>
    <row r="174" spans="1:11" x14ac:dyDescent="0.25">
      <c r="A174" s="3" t="s">
        <v>364</v>
      </c>
      <c r="B174" s="4" t="s">
        <v>365</v>
      </c>
      <c r="C174" s="5">
        <v>72104</v>
      </c>
      <c r="D174" s="6" t="s">
        <v>11</v>
      </c>
      <c r="E174" s="6" t="s">
        <v>12</v>
      </c>
      <c r="F174" s="7">
        <v>39234</v>
      </c>
      <c r="G174" s="8">
        <f t="shared" si="2"/>
        <v>39234</v>
      </c>
      <c r="H174" s="6" t="s">
        <v>39</v>
      </c>
      <c r="I174" s="9">
        <v>32437.258491004501</v>
      </c>
      <c r="J174" s="62">
        <v>137.85590731735201</v>
      </c>
      <c r="K174" s="17">
        <v>1</v>
      </c>
    </row>
    <row r="175" spans="1:11" x14ac:dyDescent="0.25">
      <c r="A175" s="3" t="s">
        <v>366</v>
      </c>
      <c r="B175" s="4" t="s">
        <v>367</v>
      </c>
      <c r="C175" s="5">
        <v>72103</v>
      </c>
      <c r="D175" s="6" t="s">
        <v>11</v>
      </c>
      <c r="E175" s="6" t="s">
        <v>12</v>
      </c>
      <c r="F175" s="7">
        <v>39234</v>
      </c>
      <c r="G175" s="8">
        <f t="shared" si="2"/>
        <v>39234</v>
      </c>
      <c r="H175" s="6" t="s">
        <v>39</v>
      </c>
      <c r="I175" s="9">
        <v>31735.735319745701</v>
      </c>
      <c r="J175" s="62">
        <v>294.60218505434301</v>
      </c>
      <c r="K175" s="17">
        <v>1</v>
      </c>
    </row>
    <row r="176" spans="1:11" x14ac:dyDescent="0.25">
      <c r="A176" s="3" t="s">
        <v>368</v>
      </c>
      <c r="B176" s="4" t="s">
        <v>369</v>
      </c>
      <c r="C176" s="5">
        <v>1483</v>
      </c>
      <c r="D176" s="6" t="s">
        <v>34</v>
      </c>
      <c r="E176" s="6" t="s">
        <v>17</v>
      </c>
      <c r="F176" s="7">
        <v>31778</v>
      </c>
      <c r="G176" s="8">
        <f t="shared" si="2"/>
        <v>31778</v>
      </c>
      <c r="H176" s="6" t="s">
        <v>13</v>
      </c>
      <c r="I176" s="9">
        <v>14419.497335814</v>
      </c>
      <c r="J176" s="62">
        <v>240.478865821206</v>
      </c>
      <c r="K176" s="17">
        <v>1</v>
      </c>
    </row>
    <row r="177" spans="1:11" x14ac:dyDescent="0.25">
      <c r="A177" s="3" t="s">
        <v>370</v>
      </c>
      <c r="B177" s="4" t="s">
        <v>371</v>
      </c>
      <c r="C177" s="5">
        <v>1173</v>
      </c>
      <c r="D177" s="6" t="s">
        <v>16</v>
      </c>
      <c r="E177" s="6" t="s">
        <v>17</v>
      </c>
      <c r="F177" s="7">
        <v>29221</v>
      </c>
      <c r="G177" s="8">
        <f t="shared" si="2"/>
        <v>29221</v>
      </c>
      <c r="H177" s="6" t="s">
        <v>13</v>
      </c>
      <c r="I177" s="9">
        <v>52805.874301351498</v>
      </c>
      <c r="J177" s="62">
        <v>364.23808882190298</v>
      </c>
      <c r="K177" s="11">
        <v>1</v>
      </c>
    </row>
    <row r="178" spans="1:11" x14ac:dyDescent="0.25">
      <c r="A178" s="3" t="s">
        <v>372</v>
      </c>
      <c r="B178" s="4" t="s">
        <v>373</v>
      </c>
      <c r="C178" s="5">
        <v>1174</v>
      </c>
      <c r="D178" s="6" t="s">
        <v>16</v>
      </c>
      <c r="E178" s="6" t="s">
        <v>17</v>
      </c>
      <c r="F178" s="7">
        <v>32874</v>
      </c>
      <c r="G178" s="8">
        <f t="shared" si="2"/>
        <v>32874</v>
      </c>
      <c r="H178" s="6" t="s">
        <v>13</v>
      </c>
      <c r="I178" s="9">
        <v>135024.80287407801</v>
      </c>
      <c r="J178" s="62">
        <v>442.79755946508402</v>
      </c>
      <c r="K178" s="17">
        <v>2</v>
      </c>
    </row>
    <row r="179" spans="1:11" x14ac:dyDescent="0.25">
      <c r="A179" s="3" t="s">
        <v>374</v>
      </c>
      <c r="B179" s="4" t="s">
        <v>375</v>
      </c>
      <c r="C179" s="5">
        <v>14403</v>
      </c>
      <c r="D179" s="6" t="s">
        <v>37</v>
      </c>
      <c r="E179" s="6" t="s">
        <v>38</v>
      </c>
      <c r="F179" s="7">
        <v>37125</v>
      </c>
      <c r="G179" s="8">
        <f t="shared" si="2"/>
        <v>37125</v>
      </c>
      <c r="H179" s="6" t="s">
        <v>39</v>
      </c>
      <c r="I179" s="9">
        <v>11936.893934848398</v>
      </c>
      <c r="J179" s="62">
        <v>86.815144043570299</v>
      </c>
      <c r="K179" s="17">
        <v>1</v>
      </c>
    </row>
    <row r="180" spans="1:11" x14ac:dyDescent="0.25">
      <c r="A180" s="3" t="s">
        <v>376</v>
      </c>
      <c r="B180" s="4" t="s">
        <v>377</v>
      </c>
      <c r="C180" s="14">
        <v>1778</v>
      </c>
      <c r="D180" s="6" t="s">
        <v>34</v>
      </c>
      <c r="E180" s="6" t="s">
        <v>17</v>
      </c>
      <c r="F180" s="7">
        <v>24108</v>
      </c>
      <c r="G180" s="8">
        <f t="shared" si="2"/>
        <v>24108</v>
      </c>
      <c r="H180" s="6" t="s">
        <v>13</v>
      </c>
      <c r="I180" s="9">
        <v>199156.63808585602</v>
      </c>
      <c r="J180" s="62">
        <v>625.32623486489604</v>
      </c>
      <c r="K180" s="17">
        <v>3</v>
      </c>
    </row>
    <row r="181" spans="1:11" x14ac:dyDescent="0.25">
      <c r="A181" s="3" t="s">
        <v>378</v>
      </c>
      <c r="B181" s="4" t="s">
        <v>379</v>
      </c>
      <c r="C181" s="14">
        <v>1357</v>
      </c>
      <c r="D181" s="6" t="s">
        <v>31</v>
      </c>
      <c r="E181" s="6" t="s">
        <v>17</v>
      </c>
      <c r="F181" s="7">
        <v>29221</v>
      </c>
      <c r="G181" s="8">
        <f t="shared" si="2"/>
        <v>29221</v>
      </c>
      <c r="H181" s="6" t="s">
        <v>13</v>
      </c>
      <c r="I181" s="9">
        <v>96498.090005450606</v>
      </c>
      <c r="J181" s="62">
        <v>530.16185639980699</v>
      </c>
      <c r="K181" s="17">
        <v>2</v>
      </c>
    </row>
    <row r="182" spans="1:11" x14ac:dyDescent="0.25">
      <c r="A182" s="3" t="s">
        <v>380</v>
      </c>
      <c r="B182" s="4" t="s">
        <v>381</v>
      </c>
      <c r="C182" s="14">
        <v>24002</v>
      </c>
      <c r="D182" s="6" t="s">
        <v>16</v>
      </c>
      <c r="E182" s="6" t="s">
        <v>17</v>
      </c>
      <c r="F182" s="7">
        <v>38506</v>
      </c>
      <c r="G182" s="8">
        <f t="shared" si="2"/>
        <v>38506</v>
      </c>
      <c r="H182" s="6" t="s">
        <v>13</v>
      </c>
      <c r="I182" s="9">
        <v>13901.3691571687</v>
      </c>
      <c r="J182" s="62">
        <v>149.31415656906299</v>
      </c>
      <c r="K182" s="17">
        <v>1</v>
      </c>
    </row>
    <row r="183" spans="1:11" x14ac:dyDescent="0.25">
      <c r="A183" s="3" t="s">
        <v>382</v>
      </c>
      <c r="B183" s="4" t="s">
        <v>383</v>
      </c>
      <c r="C183" s="14">
        <v>1466</v>
      </c>
      <c r="D183" s="6" t="s">
        <v>31</v>
      </c>
      <c r="E183" s="6" t="s">
        <v>17</v>
      </c>
      <c r="F183" s="7">
        <v>39680</v>
      </c>
      <c r="G183" s="8">
        <f t="shared" si="2"/>
        <v>39680</v>
      </c>
      <c r="H183" s="6" t="s">
        <v>13</v>
      </c>
      <c r="I183" s="9" t="s">
        <v>3380</v>
      </c>
      <c r="J183" s="62" t="s">
        <v>3380</v>
      </c>
      <c r="K183" s="17">
        <v>4</v>
      </c>
    </row>
    <row r="184" spans="1:11" x14ac:dyDescent="0.25">
      <c r="A184" s="18" t="s">
        <v>384</v>
      </c>
      <c r="B184" s="19" t="s">
        <v>385</v>
      </c>
      <c r="C184" s="5">
        <v>2031</v>
      </c>
      <c r="D184" s="21" t="s">
        <v>31</v>
      </c>
      <c r="E184" s="21" t="s">
        <v>17</v>
      </c>
      <c r="F184" s="22">
        <v>29221</v>
      </c>
      <c r="G184" s="23">
        <f t="shared" si="2"/>
        <v>29221</v>
      </c>
      <c r="H184" s="21" t="s">
        <v>13</v>
      </c>
      <c r="I184" s="9">
        <v>42098.793298893201</v>
      </c>
      <c r="J184" s="62">
        <v>316.03397435221302</v>
      </c>
      <c r="K184" s="25">
        <v>1</v>
      </c>
    </row>
    <row r="185" spans="1:11" x14ac:dyDescent="0.25">
      <c r="A185" s="3" t="s">
        <v>386</v>
      </c>
      <c r="B185" s="4" t="s">
        <v>387</v>
      </c>
      <c r="C185" s="14">
        <v>1383</v>
      </c>
      <c r="D185" s="6" t="s">
        <v>16</v>
      </c>
      <c r="E185" s="6" t="s">
        <v>17</v>
      </c>
      <c r="F185" s="7">
        <v>29221</v>
      </c>
      <c r="G185" s="8">
        <f t="shared" si="2"/>
        <v>29221</v>
      </c>
      <c r="H185" s="6" t="s">
        <v>13</v>
      </c>
      <c r="I185" s="9">
        <v>43567.475510670905</v>
      </c>
      <c r="J185" s="62">
        <v>366.69729227471998</v>
      </c>
      <c r="K185" s="17">
        <v>2</v>
      </c>
    </row>
    <row r="186" spans="1:11" x14ac:dyDescent="0.25">
      <c r="A186" s="3" t="s">
        <v>388</v>
      </c>
      <c r="B186" s="4" t="s">
        <v>389</v>
      </c>
      <c r="C186" s="5">
        <v>52274</v>
      </c>
      <c r="D186" s="6" t="s">
        <v>37</v>
      </c>
      <c r="E186" s="6" t="s">
        <v>38</v>
      </c>
      <c r="F186" s="7">
        <v>38624</v>
      </c>
      <c r="G186" s="8">
        <f t="shared" si="2"/>
        <v>38624</v>
      </c>
      <c r="H186" s="6" t="s">
        <v>39</v>
      </c>
      <c r="I186" s="9">
        <v>9444.3435276887794</v>
      </c>
      <c r="J186" s="62">
        <v>143.548662741725</v>
      </c>
      <c r="K186" s="17">
        <v>1</v>
      </c>
    </row>
    <row r="187" spans="1:11" x14ac:dyDescent="0.25">
      <c r="A187" s="18" t="s">
        <v>390</v>
      </c>
      <c r="B187" s="19" t="s">
        <v>391</v>
      </c>
      <c r="C187" s="20">
        <v>1392</v>
      </c>
      <c r="D187" s="21" t="s">
        <v>16</v>
      </c>
      <c r="E187" s="21" t="s">
        <v>17</v>
      </c>
      <c r="F187" s="22">
        <v>29221</v>
      </c>
      <c r="G187" s="23">
        <f t="shared" si="2"/>
        <v>29221</v>
      </c>
      <c r="H187" s="21" t="s">
        <v>13</v>
      </c>
      <c r="I187" s="9">
        <v>7042.8590093470202</v>
      </c>
      <c r="J187" s="62">
        <v>117.523592862001</v>
      </c>
      <c r="K187" s="25">
        <v>1</v>
      </c>
    </row>
    <row r="188" spans="1:11" x14ac:dyDescent="0.25">
      <c r="A188" s="3" t="s">
        <v>392</v>
      </c>
      <c r="B188" s="4" t="s">
        <v>393</v>
      </c>
      <c r="C188" s="5">
        <v>1676</v>
      </c>
      <c r="D188" s="6" t="s">
        <v>34</v>
      </c>
      <c r="E188" s="6" t="s">
        <v>17</v>
      </c>
      <c r="F188" s="7">
        <v>36427</v>
      </c>
      <c r="G188" s="8">
        <f t="shared" si="2"/>
        <v>36427</v>
      </c>
      <c r="H188" s="6" t="s">
        <v>13</v>
      </c>
      <c r="I188" s="9">
        <v>12520.8499598159</v>
      </c>
      <c r="J188" s="62">
        <v>99.432220415281606</v>
      </c>
      <c r="K188" s="17">
        <v>1</v>
      </c>
    </row>
    <row r="189" spans="1:11" x14ac:dyDescent="0.25">
      <c r="A189" s="26" t="s">
        <v>394</v>
      </c>
      <c r="B189" s="27" t="s">
        <v>395</v>
      </c>
      <c r="C189" s="34">
        <v>35169</v>
      </c>
      <c r="D189" s="28" t="s">
        <v>11</v>
      </c>
      <c r="E189" s="28" t="s">
        <v>12</v>
      </c>
      <c r="F189" s="29">
        <v>37097</v>
      </c>
      <c r="G189" s="30">
        <f t="shared" si="2"/>
        <v>37097</v>
      </c>
      <c r="H189" s="28" t="s">
        <v>39</v>
      </c>
      <c r="I189" s="9">
        <v>8062.2924434563802</v>
      </c>
      <c r="J189" s="62">
        <v>58.002307816356399</v>
      </c>
      <c r="K189" s="33">
        <v>1</v>
      </c>
    </row>
    <row r="190" spans="1:11" x14ac:dyDescent="0.25">
      <c r="A190" s="3" t="s">
        <v>396</v>
      </c>
      <c r="B190" s="4" t="s">
        <v>397</v>
      </c>
      <c r="C190" s="5">
        <v>1961</v>
      </c>
      <c r="D190" s="6" t="s">
        <v>28</v>
      </c>
      <c r="E190" s="6" t="s">
        <v>17</v>
      </c>
      <c r="F190" s="7">
        <v>34335</v>
      </c>
      <c r="G190" s="8">
        <f t="shared" si="2"/>
        <v>34335</v>
      </c>
      <c r="H190" s="6" t="s">
        <v>13</v>
      </c>
      <c r="I190" s="9">
        <v>97775.930455702706</v>
      </c>
      <c r="J190" s="62">
        <v>466.50112000215103</v>
      </c>
      <c r="K190" s="17">
        <v>2</v>
      </c>
    </row>
    <row r="191" spans="1:11" x14ac:dyDescent="0.25">
      <c r="A191" s="3" t="s">
        <v>398</v>
      </c>
      <c r="B191" s="4" t="s">
        <v>399</v>
      </c>
      <c r="C191" s="14">
        <v>1303</v>
      </c>
      <c r="D191" s="6" t="s">
        <v>16</v>
      </c>
      <c r="E191" s="6" t="s">
        <v>17</v>
      </c>
      <c r="F191" s="7">
        <v>35247</v>
      </c>
      <c r="G191" s="8">
        <f t="shared" si="2"/>
        <v>35247</v>
      </c>
      <c r="H191" s="6" t="s">
        <v>13</v>
      </c>
      <c r="I191" s="9" t="s">
        <v>3380</v>
      </c>
      <c r="J191" s="62" t="s">
        <v>3380</v>
      </c>
      <c r="K191" s="17">
        <v>3</v>
      </c>
    </row>
    <row r="192" spans="1:11" x14ac:dyDescent="0.25">
      <c r="A192" s="3" t="s">
        <v>400</v>
      </c>
      <c r="B192" s="4" t="s">
        <v>401</v>
      </c>
      <c r="C192" s="5">
        <v>54503</v>
      </c>
      <c r="D192" s="6" t="s">
        <v>28</v>
      </c>
      <c r="E192" s="6" t="s">
        <v>17</v>
      </c>
      <c r="F192" s="7">
        <v>38453</v>
      </c>
      <c r="G192" s="8">
        <f t="shared" si="2"/>
        <v>38453</v>
      </c>
      <c r="H192" s="6" t="s">
        <v>13</v>
      </c>
      <c r="I192" s="9">
        <v>11506.6483227641</v>
      </c>
      <c r="J192" s="62">
        <v>116.911773532399</v>
      </c>
      <c r="K192" s="17">
        <v>1</v>
      </c>
    </row>
    <row r="193" spans="1:11" x14ac:dyDescent="0.25">
      <c r="A193" s="26" t="s">
        <v>402</v>
      </c>
      <c r="B193" s="27" t="s">
        <v>403</v>
      </c>
      <c r="C193" s="34">
        <v>9284</v>
      </c>
      <c r="D193" s="28" t="s">
        <v>28</v>
      </c>
      <c r="E193" s="28" t="s">
        <v>17</v>
      </c>
      <c r="F193" s="29">
        <v>36446</v>
      </c>
      <c r="G193" s="30">
        <f t="shared" si="2"/>
        <v>36446</v>
      </c>
      <c r="H193" s="28" t="s">
        <v>13</v>
      </c>
      <c r="I193" s="9">
        <v>53545.951159406002</v>
      </c>
      <c r="J193" s="62">
        <v>445.17524021537099</v>
      </c>
      <c r="K193" s="33">
        <v>1</v>
      </c>
    </row>
    <row r="194" spans="1:11" x14ac:dyDescent="0.25">
      <c r="A194" s="3" t="s">
        <v>404</v>
      </c>
      <c r="B194" s="4" t="s">
        <v>405</v>
      </c>
      <c r="C194" s="5">
        <v>52940</v>
      </c>
      <c r="D194" s="6" t="s">
        <v>34</v>
      </c>
      <c r="E194" s="6" t="s">
        <v>17</v>
      </c>
      <c r="F194" s="7">
        <v>24108</v>
      </c>
      <c r="G194" s="8">
        <f t="shared" ref="G194:G257" si="3">F194</f>
        <v>24108</v>
      </c>
      <c r="H194" s="6" t="s">
        <v>13</v>
      </c>
      <c r="I194" s="9">
        <v>95250.315672915211</v>
      </c>
      <c r="J194" s="62">
        <v>197.13409349559299</v>
      </c>
      <c r="K194" s="17">
        <v>1</v>
      </c>
    </row>
    <row r="195" spans="1:11" x14ac:dyDescent="0.25">
      <c r="A195" s="18" t="s">
        <v>406</v>
      </c>
      <c r="B195" s="19" t="s">
        <v>407</v>
      </c>
      <c r="C195" s="5">
        <v>1102</v>
      </c>
      <c r="D195" s="21" t="s">
        <v>28</v>
      </c>
      <c r="E195" s="21" t="s">
        <v>17</v>
      </c>
      <c r="F195" s="22">
        <v>29221</v>
      </c>
      <c r="G195" s="23">
        <f t="shared" si="3"/>
        <v>29221</v>
      </c>
      <c r="H195" s="21" t="s">
        <v>13</v>
      </c>
      <c r="I195" s="9">
        <v>49793.482057694295</v>
      </c>
      <c r="J195" s="62">
        <v>894.81274920007695</v>
      </c>
      <c r="K195" s="25">
        <v>2</v>
      </c>
    </row>
    <row r="196" spans="1:11" x14ac:dyDescent="0.25">
      <c r="A196" s="3" t="s">
        <v>408</v>
      </c>
      <c r="B196" s="4" t="s">
        <v>409</v>
      </c>
      <c r="C196" s="5">
        <v>19203</v>
      </c>
      <c r="D196" s="6" t="s">
        <v>31</v>
      </c>
      <c r="E196" s="6" t="s">
        <v>17</v>
      </c>
      <c r="F196" s="7">
        <v>34116</v>
      </c>
      <c r="G196" s="8">
        <f t="shared" si="3"/>
        <v>34116</v>
      </c>
      <c r="H196" s="6" t="s">
        <v>13</v>
      </c>
      <c r="I196" s="9">
        <v>5629.13067939352</v>
      </c>
      <c r="J196" s="62">
        <v>119.047114707082</v>
      </c>
      <c r="K196" s="17">
        <v>1</v>
      </c>
    </row>
    <row r="197" spans="1:11" x14ac:dyDescent="0.25">
      <c r="A197" s="3" t="s">
        <v>410</v>
      </c>
      <c r="B197" s="4" t="s">
        <v>411</v>
      </c>
      <c r="C197" s="5">
        <v>72154</v>
      </c>
      <c r="D197" s="6" t="s">
        <v>37</v>
      </c>
      <c r="E197" s="6" t="s">
        <v>38</v>
      </c>
      <c r="F197" s="7">
        <v>38876</v>
      </c>
      <c r="G197" s="8">
        <f t="shared" si="3"/>
        <v>38876</v>
      </c>
      <c r="H197" s="6" t="s">
        <v>39</v>
      </c>
      <c r="I197" s="9">
        <v>19550.368575270302</v>
      </c>
      <c r="J197" s="62">
        <v>195.91151495695399</v>
      </c>
      <c r="K197" s="17">
        <v>1</v>
      </c>
    </row>
    <row r="198" spans="1:11" x14ac:dyDescent="0.25">
      <c r="A198" s="3" t="s">
        <v>412</v>
      </c>
      <c r="B198" s="4" t="s">
        <v>413</v>
      </c>
      <c r="C198" s="14">
        <v>1979</v>
      </c>
      <c r="D198" s="6" t="s">
        <v>34</v>
      </c>
      <c r="E198" s="6" t="s">
        <v>17</v>
      </c>
      <c r="F198" s="7">
        <v>35065</v>
      </c>
      <c r="G198" s="8">
        <f t="shared" si="3"/>
        <v>35065</v>
      </c>
      <c r="H198" s="6" t="s">
        <v>13</v>
      </c>
      <c r="I198" s="9">
        <v>49558.799405140395</v>
      </c>
      <c r="J198" s="62">
        <v>670.52345152579596</v>
      </c>
      <c r="K198" s="17">
        <v>2</v>
      </c>
    </row>
    <row r="199" spans="1:11" x14ac:dyDescent="0.25">
      <c r="A199" s="3" t="s">
        <v>414</v>
      </c>
      <c r="B199" s="4" t="s">
        <v>415</v>
      </c>
      <c r="C199" s="5">
        <v>1078</v>
      </c>
      <c r="D199" s="6" t="s">
        <v>34</v>
      </c>
      <c r="E199" s="6" t="s">
        <v>17</v>
      </c>
      <c r="F199" s="7">
        <v>18264</v>
      </c>
      <c r="G199" s="8">
        <f t="shared" si="3"/>
        <v>18264</v>
      </c>
      <c r="H199" s="6" t="s">
        <v>13</v>
      </c>
      <c r="I199" s="9">
        <v>966.52166002310798</v>
      </c>
      <c r="J199" s="62">
        <v>17.9348056877114</v>
      </c>
      <c r="K199" s="17">
        <v>1</v>
      </c>
    </row>
    <row r="200" spans="1:11" x14ac:dyDescent="0.25">
      <c r="A200" s="3" t="s">
        <v>416</v>
      </c>
      <c r="B200" s="4" t="s">
        <v>417</v>
      </c>
      <c r="C200" s="5">
        <v>1878</v>
      </c>
      <c r="D200" s="6" t="s">
        <v>34</v>
      </c>
      <c r="E200" s="6" t="s">
        <v>17</v>
      </c>
      <c r="F200" s="7">
        <v>25569</v>
      </c>
      <c r="G200" s="8">
        <f t="shared" si="3"/>
        <v>25569</v>
      </c>
      <c r="H200" s="6" t="s">
        <v>13</v>
      </c>
      <c r="I200" s="9">
        <v>40625.426608373498</v>
      </c>
      <c r="J200" s="62">
        <v>321.21817040082402</v>
      </c>
      <c r="K200" s="17">
        <v>1</v>
      </c>
    </row>
    <row r="201" spans="1:11" x14ac:dyDescent="0.25">
      <c r="A201" s="3" t="s">
        <v>418</v>
      </c>
      <c r="B201" s="4" t="s">
        <v>419</v>
      </c>
      <c r="C201" s="14">
        <v>1229</v>
      </c>
      <c r="D201" s="6" t="s">
        <v>34</v>
      </c>
      <c r="E201" s="6" t="s">
        <v>17</v>
      </c>
      <c r="F201" s="7">
        <v>24108</v>
      </c>
      <c r="G201" s="8">
        <f t="shared" si="3"/>
        <v>24108</v>
      </c>
      <c r="H201" s="6" t="s">
        <v>13</v>
      </c>
      <c r="I201" s="9">
        <v>41055.135290833401</v>
      </c>
      <c r="J201" s="62">
        <v>456.92342160638299</v>
      </c>
      <c r="K201" s="17">
        <v>2</v>
      </c>
    </row>
    <row r="202" spans="1:11" x14ac:dyDescent="0.25">
      <c r="A202" s="3" t="s">
        <v>420</v>
      </c>
      <c r="B202" s="4" t="s">
        <v>421</v>
      </c>
      <c r="C202" s="5">
        <v>1659</v>
      </c>
      <c r="D202" s="6" t="s">
        <v>11</v>
      </c>
      <c r="E202" s="6" t="s">
        <v>17</v>
      </c>
      <c r="F202" s="7">
        <v>34670</v>
      </c>
      <c r="G202" s="8">
        <f t="shared" si="3"/>
        <v>34670</v>
      </c>
      <c r="H202" s="6" t="s">
        <v>13</v>
      </c>
      <c r="I202" s="9">
        <v>14679.2195229873</v>
      </c>
      <c r="J202" s="62">
        <v>89.746374536611199</v>
      </c>
      <c r="K202" s="17">
        <v>1</v>
      </c>
    </row>
    <row r="203" spans="1:11" x14ac:dyDescent="0.25">
      <c r="A203" s="3" t="s">
        <v>422</v>
      </c>
      <c r="B203" s="4" t="s">
        <v>423</v>
      </c>
      <c r="C203" s="14">
        <v>2003</v>
      </c>
      <c r="D203" s="6" t="s">
        <v>34</v>
      </c>
      <c r="E203" s="6" t="s">
        <v>17</v>
      </c>
      <c r="F203" s="7">
        <v>31413</v>
      </c>
      <c r="G203" s="8">
        <f t="shared" si="3"/>
        <v>31413</v>
      </c>
      <c r="H203" s="6" t="s">
        <v>13</v>
      </c>
      <c r="I203" s="9">
        <v>262839.71055662801</v>
      </c>
      <c r="J203" s="62">
        <v>446.70738914606801</v>
      </c>
      <c r="K203" s="17">
        <v>4</v>
      </c>
    </row>
    <row r="204" spans="1:11" x14ac:dyDescent="0.25">
      <c r="A204" s="3" t="s">
        <v>424</v>
      </c>
      <c r="B204" s="4" t="s">
        <v>425</v>
      </c>
      <c r="C204" s="5">
        <v>1306</v>
      </c>
      <c r="D204" s="6" t="s">
        <v>16</v>
      </c>
      <c r="E204" s="6" t="s">
        <v>17</v>
      </c>
      <c r="F204" s="7">
        <v>29952</v>
      </c>
      <c r="G204" s="8">
        <f t="shared" si="3"/>
        <v>29952</v>
      </c>
      <c r="H204" s="6" t="s">
        <v>13</v>
      </c>
      <c r="I204" s="9" t="s">
        <v>3380</v>
      </c>
      <c r="J204" s="62" t="s">
        <v>3380</v>
      </c>
      <c r="K204" s="17">
        <v>4</v>
      </c>
    </row>
    <row r="205" spans="1:11" x14ac:dyDescent="0.25">
      <c r="A205" s="3" t="s">
        <v>426</v>
      </c>
      <c r="B205" s="4" t="s">
        <v>427</v>
      </c>
      <c r="C205" s="14">
        <v>11204</v>
      </c>
      <c r="D205" s="6" t="s">
        <v>16</v>
      </c>
      <c r="E205" s="6" t="s">
        <v>17</v>
      </c>
      <c r="F205" s="7">
        <v>38504</v>
      </c>
      <c r="G205" s="8">
        <f t="shared" si="3"/>
        <v>38504</v>
      </c>
      <c r="H205" s="6" t="s">
        <v>13</v>
      </c>
      <c r="I205" s="9">
        <v>110168.415330066</v>
      </c>
      <c r="J205" s="62">
        <v>627.54744414715401</v>
      </c>
      <c r="K205" s="17">
        <v>2</v>
      </c>
    </row>
    <row r="206" spans="1:11" x14ac:dyDescent="0.25">
      <c r="A206" s="3" t="s">
        <v>428</v>
      </c>
      <c r="B206" s="4" t="s">
        <v>429</v>
      </c>
      <c r="C206" s="5">
        <v>54504</v>
      </c>
      <c r="D206" s="6" t="s">
        <v>34</v>
      </c>
      <c r="E206" s="6" t="s">
        <v>17</v>
      </c>
      <c r="F206" s="7">
        <v>38534</v>
      </c>
      <c r="G206" s="8">
        <f t="shared" si="3"/>
        <v>38534</v>
      </c>
      <c r="H206" s="6" t="s">
        <v>13</v>
      </c>
      <c r="I206" s="9">
        <v>2349.00312517667</v>
      </c>
      <c r="J206" s="62">
        <v>61.6179433826657</v>
      </c>
      <c r="K206" s="17">
        <v>1</v>
      </c>
    </row>
    <row r="207" spans="1:11" x14ac:dyDescent="0.25">
      <c r="A207" s="18" t="s">
        <v>430</v>
      </c>
      <c r="B207" s="19" t="s">
        <v>431</v>
      </c>
      <c r="C207" s="20">
        <v>1464</v>
      </c>
      <c r="D207" s="21" t="s">
        <v>34</v>
      </c>
      <c r="E207" s="21" t="s">
        <v>17</v>
      </c>
      <c r="F207" s="22">
        <v>27395</v>
      </c>
      <c r="G207" s="23">
        <f t="shared" si="3"/>
        <v>27395</v>
      </c>
      <c r="H207" s="21" t="s">
        <v>13</v>
      </c>
      <c r="I207" s="9">
        <v>45377.842665554803</v>
      </c>
      <c r="J207" s="62">
        <v>84.918003505304199</v>
      </c>
      <c r="K207" s="25">
        <v>1</v>
      </c>
    </row>
    <row r="208" spans="1:11" x14ac:dyDescent="0.25">
      <c r="A208" s="3" t="s">
        <v>432</v>
      </c>
      <c r="B208" s="4" t="s">
        <v>433</v>
      </c>
      <c r="C208" s="5">
        <v>30554</v>
      </c>
      <c r="D208" s="6" t="s">
        <v>34</v>
      </c>
      <c r="E208" s="6" t="s">
        <v>17</v>
      </c>
      <c r="F208" s="7">
        <v>39828</v>
      </c>
      <c r="G208" s="8">
        <f t="shared" si="3"/>
        <v>39828</v>
      </c>
      <c r="H208" s="6" t="s">
        <v>13</v>
      </c>
      <c r="I208" s="9">
        <v>10809.634088156701</v>
      </c>
      <c r="J208" s="62">
        <v>181.710534816105</v>
      </c>
      <c r="K208" s="17">
        <v>1</v>
      </c>
    </row>
    <row r="209" spans="1:11" x14ac:dyDescent="0.25">
      <c r="A209" s="3" t="s">
        <v>434</v>
      </c>
      <c r="B209" s="4" t="s">
        <v>435</v>
      </c>
      <c r="C209" s="14">
        <v>11203</v>
      </c>
      <c r="D209" s="6" t="s">
        <v>31</v>
      </c>
      <c r="E209" s="6" t="s">
        <v>17</v>
      </c>
      <c r="F209" s="7">
        <v>37931</v>
      </c>
      <c r="G209" s="8">
        <f t="shared" si="3"/>
        <v>37931</v>
      </c>
      <c r="H209" s="6" t="s">
        <v>13</v>
      </c>
      <c r="I209" s="9">
        <v>87395.929484468201</v>
      </c>
      <c r="J209" s="62">
        <v>516.86458215845198</v>
      </c>
      <c r="K209" s="17">
        <v>2</v>
      </c>
    </row>
    <row r="210" spans="1:11" x14ac:dyDescent="0.25">
      <c r="A210" s="3" t="s">
        <v>436</v>
      </c>
      <c r="B210" s="4" t="s">
        <v>437</v>
      </c>
      <c r="C210" s="5">
        <v>54849</v>
      </c>
      <c r="D210" s="6" t="s">
        <v>34</v>
      </c>
      <c r="E210" s="6" t="s">
        <v>17</v>
      </c>
      <c r="F210" s="7">
        <v>38469</v>
      </c>
      <c r="G210" s="8">
        <f t="shared" si="3"/>
        <v>38469</v>
      </c>
      <c r="H210" s="6" t="s">
        <v>13</v>
      </c>
      <c r="I210" s="9">
        <v>19051.364849141803</v>
      </c>
      <c r="J210" s="62">
        <v>173.60715659118301</v>
      </c>
      <c r="K210" s="17">
        <v>1</v>
      </c>
    </row>
    <row r="211" spans="1:11" x14ac:dyDescent="0.25">
      <c r="A211" s="3" t="s">
        <v>438</v>
      </c>
      <c r="B211" s="4" t="s">
        <v>439</v>
      </c>
      <c r="C211" s="5">
        <v>1223</v>
      </c>
      <c r="D211" s="6" t="s">
        <v>31</v>
      </c>
      <c r="E211" s="6" t="s">
        <v>17</v>
      </c>
      <c r="F211" s="7">
        <v>29221</v>
      </c>
      <c r="G211" s="8">
        <f t="shared" si="3"/>
        <v>29221</v>
      </c>
      <c r="H211" s="6" t="s">
        <v>13</v>
      </c>
      <c r="I211" s="9">
        <v>6931.8833622461698</v>
      </c>
      <c r="J211" s="62">
        <v>167.47483476582701</v>
      </c>
      <c r="K211" s="17">
        <v>1</v>
      </c>
    </row>
    <row r="212" spans="1:11" x14ac:dyDescent="0.25">
      <c r="A212" s="3" t="s">
        <v>440</v>
      </c>
      <c r="B212" s="4" t="s">
        <v>441</v>
      </c>
      <c r="C212" s="5">
        <v>1088</v>
      </c>
      <c r="D212" s="6" t="s">
        <v>31</v>
      </c>
      <c r="E212" s="6" t="s">
        <v>17</v>
      </c>
      <c r="F212" s="7">
        <v>29221</v>
      </c>
      <c r="G212" s="8">
        <f t="shared" si="3"/>
        <v>29221</v>
      </c>
      <c r="H212" s="6" t="s">
        <v>13</v>
      </c>
      <c r="I212" s="9">
        <v>22782.818389120799</v>
      </c>
      <c r="J212" s="62">
        <v>121.81481333395701</v>
      </c>
      <c r="K212" s="17">
        <v>1</v>
      </c>
    </row>
    <row r="213" spans="1:11" x14ac:dyDescent="0.25">
      <c r="A213" s="3" t="s">
        <v>442</v>
      </c>
      <c r="B213" s="4" t="s">
        <v>443</v>
      </c>
      <c r="C213" s="5">
        <v>64740</v>
      </c>
      <c r="D213" s="6" t="s">
        <v>34</v>
      </c>
      <c r="E213" s="6" t="s">
        <v>17</v>
      </c>
      <c r="F213" s="7">
        <v>39209</v>
      </c>
      <c r="G213" s="8">
        <f t="shared" si="3"/>
        <v>39209</v>
      </c>
      <c r="H213" s="6" t="s">
        <v>13</v>
      </c>
      <c r="I213" s="9">
        <v>27671.8295197726</v>
      </c>
      <c r="J213" s="62">
        <v>329.50481126303703</v>
      </c>
      <c r="K213" s="17">
        <v>1</v>
      </c>
    </row>
    <row r="214" spans="1:11" x14ac:dyDescent="0.25">
      <c r="A214" s="3" t="s">
        <v>444</v>
      </c>
      <c r="B214" s="4" t="s">
        <v>445</v>
      </c>
      <c r="C214" s="14">
        <v>1339</v>
      </c>
      <c r="D214" s="6" t="s">
        <v>34</v>
      </c>
      <c r="E214" s="6" t="s">
        <v>17</v>
      </c>
      <c r="F214" s="7">
        <v>29221</v>
      </c>
      <c r="G214" s="8">
        <f t="shared" si="3"/>
        <v>29221</v>
      </c>
      <c r="H214" s="6" t="s">
        <v>13</v>
      </c>
      <c r="I214" s="9">
        <v>107050.908368031</v>
      </c>
      <c r="J214" s="62">
        <v>726.65172572683605</v>
      </c>
      <c r="K214" s="17">
        <v>2</v>
      </c>
    </row>
    <row r="215" spans="1:11" x14ac:dyDescent="0.25">
      <c r="A215" s="3" t="s">
        <v>446</v>
      </c>
      <c r="B215" s="4" t="s">
        <v>447</v>
      </c>
      <c r="C215" s="5">
        <v>56753</v>
      </c>
      <c r="D215" s="6" t="s">
        <v>28</v>
      </c>
      <c r="E215" s="6" t="s">
        <v>17</v>
      </c>
      <c r="F215" s="7">
        <v>39393</v>
      </c>
      <c r="G215" s="8">
        <f t="shared" si="3"/>
        <v>39393</v>
      </c>
      <c r="H215" s="6" t="s">
        <v>13</v>
      </c>
      <c r="I215" s="9">
        <v>19009.2161840232</v>
      </c>
      <c r="J215" s="62">
        <v>93.559051099045902</v>
      </c>
      <c r="K215" s="17">
        <v>1</v>
      </c>
    </row>
    <row r="216" spans="1:11" x14ac:dyDescent="0.25">
      <c r="A216" s="3" t="s">
        <v>448</v>
      </c>
      <c r="B216" s="4" t="s">
        <v>449</v>
      </c>
      <c r="C216" s="5">
        <v>1995</v>
      </c>
      <c r="D216" s="6" t="s">
        <v>28</v>
      </c>
      <c r="E216" s="6" t="s">
        <v>17</v>
      </c>
      <c r="F216" s="7">
        <v>24108</v>
      </c>
      <c r="G216" s="8">
        <f t="shared" si="3"/>
        <v>24108</v>
      </c>
      <c r="H216" s="6" t="s">
        <v>13</v>
      </c>
      <c r="I216" s="9">
        <v>167412.957231337</v>
      </c>
      <c r="J216" s="62">
        <v>1002.9526741691</v>
      </c>
      <c r="K216" s="17">
        <v>2</v>
      </c>
    </row>
    <row r="217" spans="1:11" x14ac:dyDescent="0.25">
      <c r="A217" s="3" t="s">
        <v>450</v>
      </c>
      <c r="B217" s="4" t="s">
        <v>451</v>
      </c>
      <c r="C217" s="5">
        <v>1980</v>
      </c>
      <c r="D217" s="6" t="s">
        <v>34</v>
      </c>
      <c r="E217" s="6" t="s">
        <v>17</v>
      </c>
      <c r="F217" s="7">
        <v>29221</v>
      </c>
      <c r="G217" s="8">
        <f t="shared" si="3"/>
        <v>29221</v>
      </c>
      <c r="H217" s="6" t="s">
        <v>13</v>
      </c>
      <c r="I217" s="9">
        <v>10774.7487250346</v>
      </c>
      <c r="J217" s="62">
        <v>503.23245196878702</v>
      </c>
      <c r="K217" s="17">
        <v>2</v>
      </c>
    </row>
    <row r="218" spans="1:11" x14ac:dyDescent="0.25">
      <c r="A218" s="3" t="s">
        <v>452</v>
      </c>
      <c r="B218" s="4" t="s">
        <v>453</v>
      </c>
      <c r="C218" s="14">
        <v>26241</v>
      </c>
      <c r="D218" s="6" t="s">
        <v>31</v>
      </c>
      <c r="E218" s="6" t="s">
        <v>17</v>
      </c>
      <c r="F218" s="7">
        <v>32827</v>
      </c>
      <c r="G218" s="8">
        <f t="shared" si="3"/>
        <v>32827</v>
      </c>
      <c r="H218" s="6" t="s">
        <v>13</v>
      </c>
      <c r="I218" s="9">
        <v>142295.652291256</v>
      </c>
      <c r="J218" s="62">
        <v>322.72511956946698</v>
      </c>
      <c r="K218" s="17">
        <v>3</v>
      </c>
    </row>
    <row r="219" spans="1:11" x14ac:dyDescent="0.25">
      <c r="A219" s="3" t="s">
        <v>454</v>
      </c>
      <c r="B219" s="4" t="s">
        <v>455</v>
      </c>
      <c r="C219" s="14">
        <v>26577</v>
      </c>
      <c r="D219" s="6" t="s">
        <v>31</v>
      </c>
      <c r="E219" s="6" t="s">
        <v>17</v>
      </c>
      <c r="F219" s="7">
        <v>20925</v>
      </c>
      <c r="G219" s="8">
        <f t="shared" si="3"/>
        <v>20925</v>
      </c>
      <c r="H219" s="6" t="s">
        <v>13</v>
      </c>
      <c r="I219" s="9">
        <v>142174.31304885302</v>
      </c>
      <c r="J219" s="62">
        <v>560.58453937881995</v>
      </c>
      <c r="K219" s="17">
        <v>2</v>
      </c>
    </row>
    <row r="220" spans="1:11" x14ac:dyDescent="0.25">
      <c r="A220" s="3" t="s">
        <v>456</v>
      </c>
      <c r="B220" s="4" t="s">
        <v>457</v>
      </c>
      <c r="C220" s="5">
        <v>1222</v>
      </c>
      <c r="D220" s="6" t="s">
        <v>31</v>
      </c>
      <c r="E220" s="6" t="s">
        <v>17</v>
      </c>
      <c r="F220" s="7">
        <v>29221</v>
      </c>
      <c r="G220" s="8">
        <f t="shared" si="3"/>
        <v>29221</v>
      </c>
      <c r="H220" s="6" t="s">
        <v>13</v>
      </c>
      <c r="I220" s="9">
        <v>5274.7457905596202</v>
      </c>
      <c r="J220" s="62">
        <v>62.872880852453697</v>
      </c>
      <c r="K220" s="17">
        <v>1</v>
      </c>
    </row>
    <row r="221" spans="1:11" x14ac:dyDescent="0.25">
      <c r="A221" s="3" t="s">
        <v>458</v>
      </c>
      <c r="B221" s="4" t="s">
        <v>459</v>
      </c>
      <c r="C221" s="5">
        <v>54505</v>
      </c>
      <c r="D221" s="6" t="s">
        <v>34</v>
      </c>
      <c r="E221" s="6" t="s">
        <v>17</v>
      </c>
      <c r="F221" s="7">
        <v>18264</v>
      </c>
      <c r="G221" s="8">
        <f t="shared" si="3"/>
        <v>18264</v>
      </c>
      <c r="H221" s="6" t="s">
        <v>13</v>
      </c>
      <c r="I221" s="9">
        <v>21335.260049010099</v>
      </c>
      <c r="J221" s="62">
        <v>581.92681205000395</v>
      </c>
      <c r="K221" s="17">
        <v>1</v>
      </c>
    </row>
    <row r="222" spans="1:11" x14ac:dyDescent="0.25">
      <c r="A222" s="3" t="s">
        <v>460</v>
      </c>
      <c r="B222" s="4" t="s">
        <v>461</v>
      </c>
      <c r="C222" s="5">
        <v>52929</v>
      </c>
      <c r="D222" s="6" t="s">
        <v>31</v>
      </c>
      <c r="E222" s="6" t="s">
        <v>17</v>
      </c>
      <c r="F222" s="7">
        <v>38950</v>
      </c>
      <c r="G222" s="8">
        <f t="shared" si="3"/>
        <v>38950</v>
      </c>
      <c r="H222" s="6" t="s">
        <v>13</v>
      </c>
      <c r="I222" s="9">
        <v>14806.983031888602</v>
      </c>
      <c r="J222" s="62">
        <v>142.16832973861099</v>
      </c>
      <c r="K222" s="17">
        <v>1</v>
      </c>
    </row>
    <row r="223" spans="1:11" x14ac:dyDescent="0.25">
      <c r="A223" s="3" t="s">
        <v>462</v>
      </c>
      <c r="B223" s="4" t="s">
        <v>463</v>
      </c>
      <c r="C223" s="5">
        <v>1568</v>
      </c>
      <c r="D223" s="6" t="s">
        <v>11</v>
      </c>
      <c r="E223" s="6" t="s">
        <v>17</v>
      </c>
      <c r="F223" s="7">
        <v>35073</v>
      </c>
      <c r="G223" s="8">
        <f t="shared" si="3"/>
        <v>35073</v>
      </c>
      <c r="H223" s="6" t="s">
        <v>13</v>
      </c>
      <c r="I223" s="9">
        <v>10195.4466389065</v>
      </c>
      <c r="J223" s="62">
        <v>54.535286105382902</v>
      </c>
      <c r="K223" s="17">
        <v>1</v>
      </c>
    </row>
    <row r="224" spans="1:11" x14ac:dyDescent="0.25">
      <c r="A224" s="3" t="s">
        <v>464</v>
      </c>
      <c r="B224" s="4" t="s">
        <v>465</v>
      </c>
      <c r="C224" s="5">
        <v>24338</v>
      </c>
      <c r="D224" s="6" t="s">
        <v>34</v>
      </c>
      <c r="E224" s="6" t="s">
        <v>17</v>
      </c>
      <c r="F224" s="7">
        <v>38608</v>
      </c>
      <c r="G224" s="8">
        <f t="shared" si="3"/>
        <v>38608</v>
      </c>
      <c r="H224" s="6" t="s">
        <v>13</v>
      </c>
      <c r="I224" s="9">
        <v>6797.6504823095402</v>
      </c>
      <c r="J224" s="62">
        <v>152.364444569531</v>
      </c>
      <c r="K224" s="17">
        <v>2</v>
      </c>
    </row>
    <row r="225" spans="1:11" x14ac:dyDescent="0.25">
      <c r="A225" s="3" t="s">
        <v>466</v>
      </c>
      <c r="B225" s="4" t="s">
        <v>467</v>
      </c>
      <c r="C225" s="5">
        <v>2061</v>
      </c>
      <c r="D225" s="6" t="s">
        <v>34</v>
      </c>
      <c r="E225" s="6" t="s">
        <v>17</v>
      </c>
      <c r="F225" s="7">
        <v>20096</v>
      </c>
      <c r="G225" s="8">
        <f t="shared" si="3"/>
        <v>20096</v>
      </c>
      <c r="H225" s="6" t="s">
        <v>13</v>
      </c>
      <c r="I225" s="9">
        <v>13700.084408586199</v>
      </c>
      <c r="J225" s="62">
        <v>102.896807785984</v>
      </c>
      <c r="K225" s="17">
        <v>1</v>
      </c>
    </row>
    <row r="226" spans="1:11" x14ac:dyDescent="0.25">
      <c r="A226" s="3" t="s">
        <v>468</v>
      </c>
      <c r="B226" s="4" t="s">
        <v>469</v>
      </c>
      <c r="C226" s="5">
        <v>72098</v>
      </c>
      <c r="D226" s="6" t="s">
        <v>34</v>
      </c>
      <c r="E226" s="6" t="s">
        <v>17</v>
      </c>
      <c r="F226" s="7">
        <v>39108</v>
      </c>
      <c r="G226" s="8">
        <f t="shared" si="3"/>
        <v>39108</v>
      </c>
      <c r="H226" s="6" t="s">
        <v>13</v>
      </c>
      <c r="I226" s="9">
        <v>21687.616621592701</v>
      </c>
      <c r="J226" s="62">
        <v>251.198234639795</v>
      </c>
      <c r="K226" s="17">
        <v>1</v>
      </c>
    </row>
    <row r="227" spans="1:11" x14ac:dyDescent="0.25">
      <c r="A227" s="3" t="s">
        <v>470</v>
      </c>
      <c r="B227" s="4" t="s">
        <v>471</v>
      </c>
      <c r="C227" s="14">
        <v>22401</v>
      </c>
      <c r="D227" s="6" t="s">
        <v>31</v>
      </c>
      <c r="E227" s="6" t="s">
        <v>17</v>
      </c>
      <c r="F227" s="7">
        <v>38991</v>
      </c>
      <c r="G227" s="8">
        <f t="shared" si="3"/>
        <v>38991</v>
      </c>
      <c r="H227" s="6" t="s">
        <v>13</v>
      </c>
      <c r="I227" s="9" t="s">
        <v>3380</v>
      </c>
      <c r="J227" s="62" t="s">
        <v>3380</v>
      </c>
      <c r="K227" s="17">
        <v>3</v>
      </c>
    </row>
    <row r="228" spans="1:11" x14ac:dyDescent="0.25">
      <c r="A228" s="3" t="s">
        <v>472</v>
      </c>
      <c r="B228" s="4" t="s">
        <v>473</v>
      </c>
      <c r="C228" s="5">
        <v>30595</v>
      </c>
      <c r="D228" s="6" t="s">
        <v>34</v>
      </c>
      <c r="E228" s="6" t="s">
        <v>17</v>
      </c>
      <c r="F228" s="7">
        <v>38758</v>
      </c>
      <c r="G228" s="8">
        <f t="shared" si="3"/>
        <v>38758</v>
      </c>
      <c r="H228" s="6" t="s">
        <v>13</v>
      </c>
      <c r="I228" s="9">
        <v>26402.029853791701</v>
      </c>
      <c r="J228" s="62">
        <v>348.50753711722803</v>
      </c>
      <c r="K228" s="17">
        <v>1</v>
      </c>
    </row>
    <row r="229" spans="1:11" x14ac:dyDescent="0.25">
      <c r="A229" s="3" t="s">
        <v>474</v>
      </c>
      <c r="B229" s="4" t="s">
        <v>475</v>
      </c>
      <c r="C229" s="5">
        <v>30553</v>
      </c>
      <c r="D229" s="6" t="s">
        <v>34</v>
      </c>
      <c r="E229" s="6" t="s">
        <v>17</v>
      </c>
      <c r="F229" s="7">
        <v>38377</v>
      </c>
      <c r="G229" s="8">
        <f t="shared" si="3"/>
        <v>38377</v>
      </c>
      <c r="H229" s="6" t="s">
        <v>13</v>
      </c>
      <c r="I229" s="9">
        <v>9278.6080118306509</v>
      </c>
      <c r="J229" s="62">
        <v>110.340983800705</v>
      </c>
      <c r="K229" s="17">
        <v>1</v>
      </c>
    </row>
    <row r="230" spans="1:11" x14ac:dyDescent="0.25">
      <c r="A230" s="3" t="s">
        <v>476</v>
      </c>
      <c r="B230" s="4" t="s">
        <v>477</v>
      </c>
      <c r="C230" s="14">
        <v>2033</v>
      </c>
      <c r="D230" s="6" t="s">
        <v>31</v>
      </c>
      <c r="E230" s="6" t="s">
        <v>17</v>
      </c>
      <c r="F230" s="7">
        <v>32874</v>
      </c>
      <c r="G230" s="8">
        <f t="shared" si="3"/>
        <v>32874</v>
      </c>
      <c r="H230" s="6" t="s">
        <v>13</v>
      </c>
      <c r="I230" s="9">
        <v>99969.013376329705</v>
      </c>
      <c r="J230" s="62">
        <v>1033.46034018153</v>
      </c>
      <c r="K230" s="17">
        <v>3</v>
      </c>
    </row>
    <row r="231" spans="1:11" x14ac:dyDescent="0.25">
      <c r="A231" s="3" t="s">
        <v>478</v>
      </c>
      <c r="B231" s="4" t="s">
        <v>479</v>
      </c>
      <c r="C231" s="5">
        <v>1611</v>
      </c>
      <c r="D231" s="6" t="s">
        <v>16</v>
      </c>
      <c r="E231" s="6" t="s">
        <v>17</v>
      </c>
      <c r="F231" s="7">
        <v>29221</v>
      </c>
      <c r="G231" s="8">
        <f t="shared" si="3"/>
        <v>29221</v>
      </c>
      <c r="H231" s="6" t="s">
        <v>13</v>
      </c>
      <c r="I231" s="9">
        <v>134479.773389646</v>
      </c>
      <c r="J231" s="62">
        <v>283.88539716042999</v>
      </c>
      <c r="K231" s="17">
        <v>1</v>
      </c>
    </row>
    <row r="232" spans="1:11" x14ac:dyDescent="0.25">
      <c r="A232" s="3" t="s">
        <v>480</v>
      </c>
      <c r="B232" s="4" t="s">
        <v>481</v>
      </c>
      <c r="C232" s="5">
        <v>31618</v>
      </c>
      <c r="D232" s="6" t="s">
        <v>31</v>
      </c>
      <c r="E232" s="6" t="s">
        <v>17</v>
      </c>
      <c r="F232" s="7">
        <v>33428</v>
      </c>
      <c r="G232" s="8">
        <f t="shared" si="3"/>
        <v>33428</v>
      </c>
      <c r="H232" s="6" t="s">
        <v>13</v>
      </c>
      <c r="I232" s="9">
        <v>2055.1243689142498</v>
      </c>
      <c r="J232" s="62">
        <v>171.70384153596399</v>
      </c>
      <c r="K232" s="17">
        <v>1</v>
      </c>
    </row>
    <row r="233" spans="1:11" x14ac:dyDescent="0.25">
      <c r="A233" s="3" t="s">
        <v>482</v>
      </c>
      <c r="B233" s="4" t="s">
        <v>483</v>
      </c>
      <c r="C233" s="5">
        <v>18564</v>
      </c>
      <c r="D233" s="6" t="s">
        <v>16</v>
      </c>
      <c r="E233" s="6" t="s">
        <v>17</v>
      </c>
      <c r="F233" s="7">
        <v>21069</v>
      </c>
      <c r="G233" s="8">
        <f t="shared" si="3"/>
        <v>21069</v>
      </c>
      <c r="H233" s="6" t="s">
        <v>13</v>
      </c>
      <c r="I233" s="9">
        <v>3835.6654297151299</v>
      </c>
      <c r="J233" s="62">
        <v>32.340237845060798</v>
      </c>
      <c r="K233" s="17">
        <v>1</v>
      </c>
    </row>
    <row r="234" spans="1:11" x14ac:dyDescent="0.25">
      <c r="A234" s="3" t="s">
        <v>484</v>
      </c>
      <c r="B234" s="4" t="s">
        <v>485</v>
      </c>
      <c r="C234" s="5">
        <v>54506</v>
      </c>
      <c r="D234" s="6" t="s">
        <v>28</v>
      </c>
      <c r="E234" s="6" t="s">
        <v>17</v>
      </c>
      <c r="F234" s="7">
        <v>38112</v>
      </c>
      <c r="G234" s="8">
        <f t="shared" si="3"/>
        <v>38112</v>
      </c>
      <c r="H234" s="6" t="s">
        <v>13</v>
      </c>
      <c r="I234" s="9">
        <v>36970.884388119404</v>
      </c>
      <c r="J234" s="62">
        <v>192.94446763559</v>
      </c>
      <c r="K234" s="17">
        <v>1</v>
      </c>
    </row>
    <row r="235" spans="1:11" x14ac:dyDescent="0.25">
      <c r="A235" s="3" t="s">
        <v>486</v>
      </c>
      <c r="B235" s="4" t="s">
        <v>487</v>
      </c>
      <c r="C235" s="5">
        <v>1786</v>
      </c>
      <c r="D235" s="6" t="s">
        <v>28</v>
      </c>
      <c r="E235" s="6" t="s">
        <v>17</v>
      </c>
      <c r="F235" s="7">
        <v>40626</v>
      </c>
      <c r="G235" s="8">
        <f t="shared" si="3"/>
        <v>40626</v>
      </c>
      <c r="H235" s="6" t="s">
        <v>13</v>
      </c>
      <c r="I235" s="9">
        <v>4775.7172361877301</v>
      </c>
      <c r="J235" s="62">
        <v>336.75849715901302</v>
      </c>
      <c r="K235" s="17">
        <v>1</v>
      </c>
    </row>
    <row r="236" spans="1:11" x14ac:dyDescent="0.25">
      <c r="A236" s="3" t="s">
        <v>488</v>
      </c>
      <c r="B236" s="4" t="s">
        <v>489</v>
      </c>
      <c r="C236" s="5">
        <v>15368</v>
      </c>
      <c r="D236" s="6" t="s">
        <v>28</v>
      </c>
      <c r="E236" s="6" t="s">
        <v>17</v>
      </c>
      <c r="F236" s="7">
        <v>38321</v>
      </c>
      <c r="G236" s="8">
        <f t="shared" si="3"/>
        <v>38321</v>
      </c>
      <c r="H236" s="6" t="s">
        <v>13</v>
      </c>
      <c r="I236" s="9">
        <v>131297.190194947</v>
      </c>
      <c r="J236" s="62">
        <v>252.090198014827</v>
      </c>
      <c r="K236" s="17">
        <v>1</v>
      </c>
    </row>
    <row r="237" spans="1:11" x14ac:dyDescent="0.25">
      <c r="A237" s="18" t="s">
        <v>490</v>
      </c>
      <c r="B237" s="19" t="s">
        <v>491</v>
      </c>
      <c r="C237" s="5">
        <v>1503</v>
      </c>
      <c r="D237" s="21" t="s">
        <v>28</v>
      </c>
      <c r="E237" s="21" t="s">
        <v>17</v>
      </c>
      <c r="F237" s="22">
        <v>18264</v>
      </c>
      <c r="G237" s="23">
        <f t="shared" si="3"/>
        <v>18264</v>
      </c>
      <c r="H237" s="21" t="s">
        <v>13</v>
      </c>
      <c r="I237" s="9">
        <v>16343.313404909601</v>
      </c>
      <c r="J237" s="62">
        <v>140.12085481403199</v>
      </c>
      <c r="K237" s="25">
        <v>2</v>
      </c>
    </row>
    <row r="238" spans="1:11" x14ac:dyDescent="0.25">
      <c r="A238" s="3" t="s">
        <v>492</v>
      </c>
      <c r="B238" s="4" t="s">
        <v>493</v>
      </c>
      <c r="C238" s="5">
        <v>1831</v>
      </c>
      <c r="D238" s="6" t="s">
        <v>31</v>
      </c>
      <c r="E238" s="6" t="s">
        <v>17</v>
      </c>
      <c r="F238" s="7">
        <v>29221</v>
      </c>
      <c r="G238" s="8">
        <f t="shared" si="3"/>
        <v>29221</v>
      </c>
      <c r="H238" s="6" t="s">
        <v>13</v>
      </c>
      <c r="I238" s="9">
        <v>12760.489606946101</v>
      </c>
      <c r="J238" s="62">
        <v>166.55844344840401</v>
      </c>
      <c r="K238" s="17">
        <v>1</v>
      </c>
    </row>
    <row r="239" spans="1:11" x14ac:dyDescent="0.25">
      <c r="A239" s="3" t="s">
        <v>494</v>
      </c>
      <c r="B239" s="4" t="s">
        <v>495</v>
      </c>
      <c r="C239" s="5">
        <v>1808</v>
      </c>
      <c r="D239" s="6" t="s">
        <v>28</v>
      </c>
      <c r="E239" s="6" t="s">
        <v>17</v>
      </c>
      <c r="F239" s="7">
        <v>29221</v>
      </c>
      <c r="G239" s="8">
        <f t="shared" si="3"/>
        <v>29221</v>
      </c>
      <c r="H239" s="6" t="s">
        <v>13</v>
      </c>
      <c r="I239" s="9">
        <v>49044.522759503299</v>
      </c>
      <c r="J239" s="62">
        <v>424.36079136949002</v>
      </c>
      <c r="K239" s="17">
        <v>1</v>
      </c>
    </row>
    <row r="240" spans="1:11" x14ac:dyDescent="0.25">
      <c r="A240" s="3" t="s">
        <v>496</v>
      </c>
      <c r="B240" s="4" t="s">
        <v>497</v>
      </c>
      <c r="C240" s="5">
        <v>42001</v>
      </c>
      <c r="D240" s="6" t="s">
        <v>31</v>
      </c>
      <c r="E240" s="6" t="s">
        <v>17</v>
      </c>
      <c r="F240" s="7">
        <v>34774</v>
      </c>
      <c r="G240" s="8">
        <f t="shared" si="3"/>
        <v>34774</v>
      </c>
      <c r="H240" s="6" t="s">
        <v>13</v>
      </c>
      <c r="I240" s="9">
        <v>12989.8120848167</v>
      </c>
      <c r="J240" s="62">
        <v>155.201686101127</v>
      </c>
      <c r="K240" s="17">
        <v>1</v>
      </c>
    </row>
    <row r="241" spans="1:11" x14ac:dyDescent="0.25">
      <c r="A241" s="3" t="s">
        <v>498</v>
      </c>
      <c r="B241" s="4" t="s">
        <v>499</v>
      </c>
      <c r="C241" s="5">
        <v>1610</v>
      </c>
      <c r="D241" s="6" t="s">
        <v>31</v>
      </c>
      <c r="E241" s="6" t="s">
        <v>17</v>
      </c>
      <c r="F241" s="7">
        <v>31048</v>
      </c>
      <c r="G241" s="8">
        <f t="shared" si="3"/>
        <v>31048</v>
      </c>
      <c r="H241" s="6" t="s">
        <v>13</v>
      </c>
      <c r="I241" s="9">
        <v>33332.159004665002</v>
      </c>
      <c r="J241" s="62">
        <v>282.543650622575</v>
      </c>
      <c r="K241" s="17">
        <v>1</v>
      </c>
    </row>
    <row r="242" spans="1:11" x14ac:dyDescent="0.25">
      <c r="A242" s="3" t="s">
        <v>500</v>
      </c>
      <c r="B242" s="4" t="s">
        <v>501</v>
      </c>
      <c r="C242" s="14">
        <v>1408</v>
      </c>
      <c r="D242" s="6" t="s">
        <v>28</v>
      </c>
      <c r="E242" s="6" t="s">
        <v>17</v>
      </c>
      <c r="F242" s="7">
        <v>40661</v>
      </c>
      <c r="G242" s="8">
        <f t="shared" si="3"/>
        <v>40661</v>
      </c>
      <c r="H242" s="6" t="s">
        <v>13</v>
      </c>
      <c r="I242" s="9">
        <v>136133.060869623</v>
      </c>
      <c r="J242" s="62">
        <v>514.26351742964096</v>
      </c>
      <c r="K242" s="17">
        <v>2</v>
      </c>
    </row>
    <row r="243" spans="1:11" x14ac:dyDescent="0.25">
      <c r="A243" s="3" t="s">
        <v>502</v>
      </c>
      <c r="B243" s="4" t="s">
        <v>503</v>
      </c>
      <c r="C243" s="5">
        <v>18892</v>
      </c>
      <c r="D243" s="6" t="s">
        <v>11</v>
      </c>
      <c r="E243" s="6" t="s">
        <v>17</v>
      </c>
      <c r="F243" s="7">
        <v>38358</v>
      </c>
      <c r="G243" s="8">
        <f t="shared" si="3"/>
        <v>38358</v>
      </c>
      <c r="H243" s="6" t="s">
        <v>13</v>
      </c>
      <c r="I243" s="9">
        <v>37246.321884279096</v>
      </c>
      <c r="J243" s="62">
        <v>232.24245936518699</v>
      </c>
      <c r="K243" s="17">
        <v>1</v>
      </c>
    </row>
    <row r="244" spans="1:11" x14ac:dyDescent="0.25">
      <c r="A244" s="3" t="s">
        <v>504</v>
      </c>
      <c r="B244" s="4" t="s">
        <v>505</v>
      </c>
      <c r="C244" s="5">
        <v>1625</v>
      </c>
      <c r="D244" s="6" t="s">
        <v>16</v>
      </c>
      <c r="E244" s="6" t="s">
        <v>17</v>
      </c>
      <c r="F244" s="7">
        <v>29221</v>
      </c>
      <c r="G244" s="8">
        <f t="shared" si="3"/>
        <v>29221</v>
      </c>
      <c r="H244" s="6" t="s">
        <v>13</v>
      </c>
      <c r="I244" s="9">
        <v>27276.4578925024</v>
      </c>
      <c r="J244" s="62">
        <v>177.69871966096201</v>
      </c>
      <c r="K244" s="17">
        <v>1</v>
      </c>
    </row>
    <row r="245" spans="1:11" x14ac:dyDescent="0.25">
      <c r="A245" s="3" t="s">
        <v>506</v>
      </c>
      <c r="B245" s="4" t="s">
        <v>507</v>
      </c>
      <c r="C245" s="5">
        <v>1262</v>
      </c>
      <c r="D245" s="6" t="s">
        <v>28</v>
      </c>
      <c r="E245" s="6" t="s">
        <v>508</v>
      </c>
      <c r="F245" s="7">
        <v>29221</v>
      </c>
      <c r="G245" s="8">
        <f t="shared" si="3"/>
        <v>29221</v>
      </c>
      <c r="H245" s="6" t="s">
        <v>509</v>
      </c>
      <c r="I245" s="9">
        <v>36545.259562157495</v>
      </c>
      <c r="J245" s="62">
        <v>443.92562847838502</v>
      </c>
      <c r="K245" s="17">
        <v>1</v>
      </c>
    </row>
    <row r="246" spans="1:11" x14ac:dyDescent="0.25">
      <c r="A246" s="3" t="s">
        <v>510</v>
      </c>
      <c r="B246" s="4" t="s">
        <v>511</v>
      </c>
      <c r="C246" s="5">
        <v>1119</v>
      </c>
      <c r="D246" s="6" t="s">
        <v>28</v>
      </c>
      <c r="E246" s="6" t="s">
        <v>17</v>
      </c>
      <c r="F246" s="7">
        <v>32874</v>
      </c>
      <c r="G246" s="8">
        <f t="shared" si="3"/>
        <v>32874</v>
      </c>
      <c r="H246" s="6" t="s">
        <v>13</v>
      </c>
      <c r="I246" s="9">
        <v>26809.379874086801</v>
      </c>
      <c r="J246" s="62">
        <v>189.29469692612</v>
      </c>
      <c r="K246" s="17">
        <v>2</v>
      </c>
    </row>
    <row r="247" spans="1:11" x14ac:dyDescent="0.25">
      <c r="A247" s="3" t="s">
        <v>512</v>
      </c>
      <c r="B247" s="4" t="s">
        <v>513</v>
      </c>
      <c r="C247" s="14">
        <v>1179</v>
      </c>
      <c r="D247" s="6" t="s">
        <v>31</v>
      </c>
      <c r="E247" s="6" t="s">
        <v>17</v>
      </c>
      <c r="F247" s="7">
        <v>29221</v>
      </c>
      <c r="G247" s="8">
        <f t="shared" si="3"/>
        <v>29221</v>
      </c>
      <c r="H247" s="6" t="s">
        <v>13</v>
      </c>
      <c r="I247" s="9">
        <v>173962.886052352</v>
      </c>
      <c r="J247" s="62">
        <v>581.47773375435997</v>
      </c>
      <c r="K247" s="17">
        <v>3</v>
      </c>
    </row>
    <row r="248" spans="1:11" x14ac:dyDescent="0.25">
      <c r="A248" s="3" t="s">
        <v>514</v>
      </c>
      <c r="B248" s="4" t="s">
        <v>515</v>
      </c>
      <c r="C248" s="5">
        <v>1705</v>
      </c>
      <c r="D248" s="6" t="s">
        <v>16</v>
      </c>
      <c r="E248" s="6" t="s">
        <v>17</v>
      </c>
      <c r="F248" s="7">
        <v>18264</v>
      </c>
      <c r="G248" s="8">
        <f t="shared" si="3"/>
        <v>18264</v>
      </c>
      <c r="H248" s="6" t="s">
        <v>13</v>
      </c>
      <c r="I248" s="9">
        <v>6745.77889389334</v>
      </c>
      <c r="J248" s="62">
        <v>131.20542850746199</v>
      </c>
      <c r="K248" s="17">
        <v>1</v>
      </c>
    </row>
    <row r="249" spans="1:11" x14ac:dyDescent="0.25">
      <c r="A249" s="3" t="s">
        <v>516</v>
      </c>
      <c r="B249" s="4" t="s">
        <v>517</v>
      </c>
      <c r="C249" s="14">
        <v>47153</v>
      </c>
      <c r="D249" s="6" t="s">
        <v>28</v>
      </c>
      <c r="E249" s="6" t="s">
        <v>17</v>
      </c>
      <c r="F249" s="7">
        <v>38930</v>
      </c>
      <c r="G249" s="8">
        <f t="shared" si="3"/>
        <v>38930</v>
      </c>
      <c r="H249" s="6" t="s">
        <v>13</v>
      </c>
      <c r="I249" s="9">
        <v>45231.177013638298</v>
      </c>
      <c r="J249" s="62">
        <v>538.00083277481895</v>
      </c>
      <c r="K249" s="17">
        <v>1</v>
      </c>
    </row>
    <row r="250" spans="1:11" x14ac:dyDescent="0.25">
      <c r="A250" s="3" t="s">
        <v>518</v>
      </c>
      <c r="B250" s="4" t="s">
        <v>519</v>
      </c>
      <c r="C250" s="5">
        <v>9603</v>
      </c>
      <c r="D250" s="6" t="s">
        <v>11</v>
      </c>
      <c r="E250" s="6" t="s">
        <v>17</v>
      </c>
      <c r="F250" s="7">
        <v>37932</v>
      </c>
      <c r="G250" s="8">
        <f t="shared" si="3"/>
        <v>37932</v>
      </c>
      <c r="H250" s="6" t="s">
        <v>13</v>
      </c>
      <c r="I250" s="9">
        <v>20171.308603217098</v>
      </c>
      <c r="J250" s="62">
        <v>196.20961303766899</v>
      </c>
      <c r="K250" s="17">
        <v>1</v>
      </c>
    </row>
    <row r="251" spans="1:11" x14ac:dyDescent="0.25">
      <c r="A251" s="3" t="s">
        <v>520</v>
      </c>
      <c r="B251" s="4" t="s">
        <v>521</v>
      </c>
      <c r="C251" s="5">
        <v>1657</v>
      </c>
      <c r="D251" s="6" t="s">
        <v>28</v>
      </c>
      <c r="E251" s="6" t="s">
        <v>17</v>
      </c>
      <c r="F251" s="7">
        <v>29221</v>
      </c>
      <c r="G251" s="8">
        <f t="shared" si="3"/>
        <v>29221</v>
      </c>
      <c r="H251" s="6" t="s">
        <v>13</v>
      </c>
      <c r="I251" s="9">
        <v>37769.122843197103</v>
      </c>
      <c r="J251" s="62">
        <v>614.36314700892899</v>
      </c>
      <c r="K251" s="17">
        <v>1</v>
      </c>
    </row>
    <row r="252" spans="1:11" x14ac:dyDescent="0.25">
      <c r="A252" s="3" t="s">
        <v>522</v>
      </c>
      <c r="B252" s="4" t="s">
        <v>523</v>
      </c>
      <c r="C252" s="14">
        <v>52947</v>
      </c>
      <c r="D252" s="6" t="s">
        <v>34</v>
      </c>
      <c r="E252" s="6" t="s">
        <v>17</v>
      </c>
      <c r="F252" s="7">
        <v>39037</v>
      </c>
      <c r="G252" s="8">
        <f t="shared" si="3"/>
        <v>39037</v>
      </c>
      <c r="H252" s="6" t="s">
        <v>13</v>
      </c>
      <c r="I252" s="9" t="s">
        <v>3380</v>
      </c>
      <c r="J252" s="62" t="s">
        <v>3380</v>
      </c>
      <c r="K252" s="17">
        <v>2</v>
      </c>
    </row>
    <row r="253" spans="1:11" x14ac:dyDescent="0.25">
      <c r="A253" s="26" t="s">
        <v>524</v>
      </c>
      <c r="B253" s="27" t="s">
        <v>525</v>
      </c>
      <c r="C253" s="34">
        <v>1240</v>
      </c>
      <c r="D253" s="28" t="s">
        <v>34</v>
      </c>
      <c r="E253" s="28" t="s">
        <v>17</v>
      </c>
      <c r="F253" s="29">
        <v>29221</v>
      </c>
      <c r="G253" s="30">
        <f t="shared" si="3"/>
        <v>29221</v>
      </c>
      <c r="H253" s="28" t="s">
        <v>13</v>
      </c>
      <c r="I253" s="9">
        <v>4727.04183356258</v>
      </c>
      <c r="J253" s="62">
        <v>137.669478845491</v>
      </c>
      <c r="K253" s="33">
        <v>1</v>
      </c>
    </row>
    <row r="254" spans="1:11" x14ac:dyDescent="0.25">
      <c r="A254" s="3" t="s">
        <v>526</v>
      </c>
      <c r="B254" s="4" t="s">
        <v>527</v>
      </c>
      <c r="C254" s="5">
        <v>24337</v>
      </c>
      <c r="D254" s="6" t="s">
        <v>34</v>
      </c>
      <c r="E254" s="6" t="s">
        <v>17</v>
      </c>
      <c r="F254" s="7">
        <v>38608</v>
      </c>
      <c r="G254" s="8">
        <f t="shared" si="3"/>
        <v>38608</v>
      </c>
      <c r="H254" s="6" t="s">
        <v>13</v>
      </c>
      <c r="I254" s="9">
        <v>35546.025604266099</v>
      </c>
      <c r="J254" s="62">
        <v>425.20357082391303</v>
      </c>
      <c r="K254" s="17">
        <v>2</v>
      </c>
    </row>
    <row r="255" spans="1:11" x14ac:dyDescent="0.25">
      <c r="A255" s="3" t="s">
        <v>528</v>
      </c>
      <c r="B255" s="4" t="s">
        <v>529</v>
      </c>
      <c r="C255" s="5">
        <v>1805</v>
      </c>
      <c r="D255" s="6" t="s">
        <v>34</v>
      </c>
      <c r="E255" s="6" t="s">
        <v>17</v>
      </c>
      <c r="F255" s="7">
        <v>28369</v>
      </c>
      <c r="G255" s="8">
        <f t="shared" si="3"/>
        <v>28369</v>
      </c>
      <c r="H255" s="6" t="s">
        <v>13</v>
      </c>
      <c r="I255" s="9">
        <v>40332.065631446705</v>
      </c>
      <c r="J255" s="62">
        <v>361.34063326355101</v>
      </c>
      <c r="K255" s="17">
        <v>1</v>
      </c>
    </row>
    <row r="256" spans="1:11" x14ac:dyDescent="0.25">
      <c r="A256" s="3" t="s">
        <v>530</v>
      </c>
      <c r="B256" s="4" t="s">
        <v>531</v>
      </c>
      <c r="C256" s="5">
        <v>18566</v>
      </c>
      <c r="D256" s="6" t="s">
        <v>34</v>
      </c>
      <c r="E256" s="6" t="s">
        <v>17</v>
      </c>
      <c r="F256" s="7">
        <v>38197</v>
      </c>
      <c r="G256" s="8">
        <f t="shared" si="3"/>
        <v>38197</v>
      </c>
      <c r="H256" s="6" t="s">
        <v>13</v>
      </c>
      <c r="I256" s="9">
        <v>31244.594491775799</v>
      </c>
      <c r="J256" s="62">
        <v>610.39121188458796</v>
      </c>
      <c r="K256" s="17">
        <v>1</v>
      </c>
    </row>
    <row r="257" spans="1:11" x14ac:dyDescent="0.25">
      <c r="A257" s="3" t="s">
        <v>532</v>
      </c>
      <c r="B257" s="4" t="s">
        <v>533</v>
      </c>
      <c r="C257" s="14">
        <v>1359</v>
      </c>
      <c r="D257" s="6" t="s">
        <v>31</v>
      </c>
      <c r="E257" s="6" t="s">
        <v>17</v>
      </c>
      <c r="F257" s="7">
        <v>24108</v>
      </c>
      <c r="G257" s="8">
        <f t="shared" si="3"/>
        <v>24108</v>
      </c>
      <c r="H257" s="6" t="s">
        <v>13</v>
      </c>
      <c r="I257" s="9" t="s">
        <v>3380</v>
      </c>
      <c r="J257" s="62" t="s">
        <v>3380</v>
      </c>
      <c r="K257" s="17">
        <v>2</v>
      </c>
    </row>
    <row r="258" spans="1:11" x14ac:dyDescent="0.25">
      <c r="A258" s="3" t="s">
        <v>534</v>
      </c>
      <c r="B258" s="4" t="s">
        <v>535</v>
      </c>
      <c r="C258" s="5">
        <v>54507</v>
      </c>
      <c r="D258" s="6" t="s">
        <v>11</v>
      </c>
      <c r="E258" s="6" t="s">
        <v>12</v>
      </c>
      <c r="F258" s="7">
        <v>37494</v>
      </c>
      <c r="G258" s="8">
        <f t="shared" ref="G258:G321" si="4">F258</f>
        <v>37494</v>
      </c>
      <c r="H258" s="6" t="s">
        <v>39</v>
      </c>
      <c r="I258" s="9">
        <v>31653.051480158301</v>
      </c>
      <c r="J258" s="62">
        <v>184.945812474467</v>
      </c>
      <c r="K258" s="17">
        <v>1</v>
      </c>
    </row>
    <row r="259" spans="1:11" x14ac:dyDescent="0.25">
      <c r="A259" s="3" t="s">
        <v>536</v>
      </c>
      <c r="B259" s="4" t="s">
        <v>537</v>
      </c>
      <c r="C259" s="14">
        <v>1537</v>
      </c>
      <c r="D259" s="6" t="s">
        <v>34</v>
      </c>
      <c r="E259" s="6" t="s">
        <v>17</v>
      </c>
      <c r="F259" s="7">
        <v>29221</v>
      </c>
      <c r="G259" s="8">
        <f t="shared" si="4"/>
        <v>29221</v>
      </c>
      <c r="H259" s="6" t="s">
        <v>13</v>
      </c>
      <c r="I259" s="9">
        <v>126157.665515031</v>
      </c>
      <c r="J259" s="62">
        <v>1142.59398404747</v>
      </c>
      <c r="K259" s="17">
        <v>2</v>
      </c>
    </row>
    <row r="260" spans="1:11" x14ac:dyDescent="0.25">
      <c r="A260" s="3" t="s">
        <v>538</v>
      </c>
      <c r="B260" s="4" t="s">
        <v>539</v>
      </c>
      <c r="C260" s="5">
        <v>1469</v>
      </c>
      <c r="D260" s="6" t="s">
        <v>31</v>
      </c>
      <c r="E260" s="6" t="s">
        <v>17</v>
      </c>
      <c r="F260" s="7">
        <v>36721</v>
      </c>
      <c r="G260" s="8">
        <f t="shared" si="4"/>
        <v>36721</v>
      </c>
      <c r="H260" s="6" t="s">
        <v>13</v>
      </c>
      <c r="I260" s="9">
        <v>44109.260767448301</v>
      </c>
      <c r="J260" s="62">
        <v>333.91922955625301</v>
      </c>
      <c r="K260" s="17">
        <v>1</v>
      </c>
    </row>
    <row r="261" spans="1:11" x14ac:dyDescent="0.25">
      <c r="A261" s="3" t="s">
        <v>540</v>
      </c>
      <c r="B261" s="4" t="s">
        <v>541</v>
      </c>
      <c r="C261" s="5">
        <v>21762</v>
      </c>
      <c r="D261" s="6" t="s">
        <v>31</v>
      </c>
      <c r="E261" s="6" t="s">
        <v>17</v>
      </c>
      <c r="F261" s="7">
        <v>36003</v>
      </c>
      <c r="G261" s="8">
        <f t="shared" si="4"/>
        <v>36003</v>
      </c>
      <c r="H261" s="6" t="s">
        <v>13</v>
      </c>
      <c r="I261" s="9">
        <v>3173.5178572956402</v>
      </c>
      <c r="J261" s="62">
        <v>149.896185952899</v>
      </c>
      <c r="K261" s="17">
        <v>1</v>
      </c>
    </row>
    <row r="262" spans="1:11" x14ac:dyDescent="0.25">
      <c r="A262" s="3" t="s">
        <v>542</v>
      </c>
      <c r="B262" s="4" t="s">
        <v>543</v>
      </c>
      <c r="C262" s="14">
        <v>1952</v>
      </c>
      <c r="D262" s="6" t="s">
        <v>28</v>
      </c>
      <c r="E262" s="6" t="s">
        <v>17</v>
      </c>
      <c r="F262" s="7">
        <v>37020</v>
      </c>
      <c r="G262" s="8">
        <f t="shared" si="4"/>
        <v>37020</v>
      </c>
      <c r="H262" s="6" t="s">
        <v>13</v>
      </c>
      <c r="I262" s="9">
        <v>17445.353893173</v>
      </c>
      <c r="J262" s="62">
        <v>109.576449399512</v>
      </c>
      <c r="K262" s="17">
        <v>1</v>
      </c>
    </row>
    <row r="263" spans="1:11" x14ac:dyDescent="0.25">
      <c r="A263" s="3" t="s">
        <v>544</v>
      </c>
      <c r="B263" s="4" t="s">
        <v>545</v>
      </c>
      <c r="C263" s="14">
        <v>30338</v>
      </c>
      <c r="D263" s="6" t="s">
        <v>34</v>
      </c>
      <c r="E263" s="6" t="s">
        <v>17</v>
      </c>
      <c r="F263" s="7">
        <v>37236</v>
      </c>
      <c r="G263" s="8">
        <f t="shared" si="4"/>
        <v>37236</v>
      </c>
      <c r="H263" s="6" t="s">
        <v>13</v>
      </c>
      <c r="I263" s="9" t="s">
        <v>3380</v>
      </c>
      <c r="J263" s="62" t="s">
        <v>3380</v>
      </c>
      <c r="K263" s="17">
        <v>3</v>
      </c>
    </row>
    <row r="264" spans="1:11" x14ac:dyDescent="0.25">
      <c r="A264" s="3" t="s">
        <v>546</v>
      </c>
      <c r="B264" s="4" t="s">
        <v>547</v>
      </c>
      <c r="C264" s="5">
        <v>1446</v>
      </c>
      <c r="D264" s="6" t="s">
        <v>16</v>
      </c>
      <c r="E264" s="6" t="s">
        <v>17</v>
      </c>
      <c r="F264" s="7">
        <v>29952</v>
      </c>
      <c r="G264" s="8">
        <f t="shared" si="4"/>
        <v>29952</v>
      </c>
      <c r="H264" s="6" t="s">
        <v>13</v>
      </c>
      <c r="I264" s="9">
        <v>50929.9159446048</v>
      </c>
      <c r="J264" s="62">
        <v>264.24795135502598</v>
      </c>
      <c r="K264" s="17">
        <v>2</v>
      </c>
    </row>
    <row r="265" spans="1:11" x14ac:dyDescent="0.25">
      <c r="A265" s="3" t="s">
        <v>548</v>
      </c>
      <c r="B265" s="4" t="s">
        <v>549</v>
      </c>
      <c r="C265" s="5">
        <v>46481</v>
      </c>
      <c r="D265" s="6" t="s">
        <v>16</v>
      </c>
      <c r="E265" s="6" t="s">
        <v>17</v>
      </c>
      <c r="F265" s="7">
        <v>39399</v>
      </c>
      <c r="G265" s="8">
        <f t="shared" si="4"/>
        <v>39399</v>
      </c>
      <c r="H265" s="6" t="s">
        <v>13</v>
      </c>
      <c r="I265" s="9">
        <v>5889.9308950702998</v>
      </c>
      <c r="J265" s="62">
        <v>180.02423714371599</v>
      </c>
      <c r="K265" s="17">
        <v>1</v>
      </c>
    </row>
    <row r="266" spans="1:11" x14ac:dyDescent="0.25">
      <c r="A266" s="3" t="s">
        <v>550</v>
      </c>
      <c r="B266" s="4" t="s">
        <v>551</v>
      </c>
      <c r="C266" s="5">
        <v>8335</v>
      </c>
      <c r="D266" s="6" t="s">
        <v>28</v>
      </c>
      <c r="E266" s="6" t="s">
        <v>17</v>
      </c>
      <c r="F266" s="7">
        <v>32462</v>
      </c>
      <c r="G266" s="8">
        <f t="shared" si="4"/>
        <v>32462</v>
      </c>
      <c r="H266" s="6" t="s">
        <v>13</v>
      </c>
      <c r="I266" s="9">
        <v>8187.5007854344503</v>
      </c>
      <c r="J266" s="62">
        <v>288.13081170498702</v>
      </c>
      <c r="K266" s="17">
        <v>2</v>
      </c>
    </row>
    <row r="267" spans="1:11" x14ac:dyDescent="0.25">
      <c r="A267" s="3" t="s">
        <v>552</v>
      </c>
      <c r="B267" s="4" t="s">
        <v>553</v>
      </c>
      <c r="C267" s="14">
        <v>8334</v>
      </c>
      <c r="D267" s="6" t="s">
        <v>28</v>
      </c>
      <c r="E267" s="6" t="s">
        <v>17</v>
      </c>
      <c r="F267" s="7">
        <v>31118</v>
      </c>
      <c r="G267" s="8">
        <f t="shared" si="4"/>
        <v>31118</v>
      </c>
      <c r="H267" s="6" t="s">
        <v>13</v>
      </c>
      <c r="I267" s="9">
        <v>7353.0456030681707</v>
      </c>
      <c r="J267" s="62">
        <v>27.8318690328679</v>
      </c>
      <c r="K267" s="17">
        <v>2</v>
      </c>
    </row>
    <row r="268" spans="1:11" x14ac:dyDescent="0.25">
      <c r="A268" s="3" t="s">
        <v>554</v>
      </c>
      <c r="B268" s="4" t="s">
        <v>555</v>
      </c>
      <c r="C268" s="14">
        <v>8328</v>
      </c>
      <c r="D268" s="6" t="s">
        <v>28</v>
      </c>
      <c r="E268" s="6" t="s">
        <v>17</v>
      </c>
      <c r="F268" s="7">
        <v>32682</v>
      </c>
      <c r="G268" s="8">
        <f t="shared" si="4"/>
        <v>32682</v>
      </c>
      <c r="H268" s="6" t="s">
        <v>13</v>
      </c>
      <c r="I268" s="9">
        <v>77256.427812812995</v>
      </c>
      <c r="J268" s="62">
        <v>203.59096096433899</v>
      </c>
      <c r="K268" s="17">
        <v>2</v>
      </c>
    </row>
    <row r="269" spans="1:11" x14ac:dyDescent="0.25">
      <c r="A269" s="3" t="s">
        <v>556</v>
      </c>
      <c r="B269" s="4" t="s">
        <v>557</v>
      </c>
      <c r="C269" s="5">
        <v>52917</v>
      </c>
      <c r="D269" s="6" t="s">
        <v>28</v>
      </c>
      <c r="E269" s="6" t="s">
        <v>17</v>
      </c>
      <c r="F269" s="7">
        <v>38718</v>
      </c>
      <c r="G269" s="8">
        <f t="shared" si="4"/>
        <v>38718</v>
      </c>
      <c r="H269" s="6" t="s">
        <v>13</v>
      </c>
      <c r="I269" s="9">
        <v>9977.8588523494</v>
      </c>
      <c r="J269" s="62">
        <v>140.24515552149299</v>
      </c>
      <c r="K269" s="17">
        <v>1</v>
      </c>
    </row>
    <row r="270" spans="1:11" x14ac:dyDescent="0.25">
      <c r="A270" s="3" t="s">
        <v>558</v>
      </c>
      <c r="B270" s="4" t="s">
        <v>559</v>
      </c>
      <c r="C270" s="14">
        <v>1263</v>
      </c>
      <c r="D270" s="6" t="s">
        <v>28</v>
      </c>
      <c r="E270" s="6" t="s">
        <v>17</v>
      </c>
      <c r="F270" s="7">
        <v>36831</v>
      </c>
      <c r="G270" s="8">
        <f t="shared" si="4"/>
        <v>36831</v>
      </c>
      <c r="H270" s="6" t="s">
        <v>13</v>
      </c>
      <c r="I270" s="9">
        <v>55015.442009719998</v>
      </c>
      <c r="J270" s="62">
        <v>329.22327118666601</v>
      </c>
      <c r="K270" s="17">
        <v>2</v>
      </c>
    </row>
    <row r="271" spans="1:11" x14ac:dyDescent="0.25">
      <c r="A271" s="18" t="s">
        <v>560</v>
      </c>
      <c r="B271" s="19" t="s">
        <v>561</v>
      </c>
      <c r="C271" s="20">
        <v>8331</v>
      </c>
      <c r="D271" s="21" t="s">
        <v>28</v>
      </c>
      <c r="E271" s="21" t="s">
        <v>17</v>
      </c>
      <c r="F271" s="22">
        <v>32752</v>
      </c>
      <c r="G271" s="23">
        <f t="shared" si="4"/>
        <v>32752</v>
      </c>
      <c r="H271" s="21" t="s">
        <v>13</v>
      </c>
      <c r="I271" s="9">
        <v>13144.546623197301</v>
      </c>
      <c r="J271" s="62">
        <v>133.84112124895299</v>
      </c>
      <c r="K271" s="25">
        <v>1</v>
      </c>
    </row>
    <row r="272" spans="1:11" x14ac:dyDescent="0.25">
      <c r="A272" s="18" t="s">
        <v>562</v>
      </c>
      <c r="B272" s="19" t="s">
        <v>563</v>
      </c>
      <c r="C272" s="5">
        <v>8332</v>
      </c>
      <c r="D272" s="21" t="s">
        <v>28</v>
      </c>
      <c r="E272" s="21" t="s">
        <v>17</v>
      </c>
      <c r="F272" s="22">
        <v>32752</v>
      </c>
      <c r="G272" s="23">
        <f t="shared" si="4"/>
        <v>32752</v>
      </c>
      <c r="H272" s="21" t="s">
        <v>13</v>
      </c>
      <c r="I272" s="9">
        <v>30665.130769969801</v>
      </c>
      <c r="J272" s="62">
        <v>175.384131412389</v>
      </c>
      <c r="K272" s="17">
        <v>1</v>
      </c>
    </row>
    <row r="273" spans="1:11" x14ac:dyDescent="0.25">
      <c r="A273" s="3" t="s">
        <v>564</v>
      </c>
      <c r="B273" s="4" t="s">
        <v>565</v>
      </c>
      <c r="C273" s="5">
        <v>1378</v>
      </c>
      <c r="D273" s="6" t="s">
        <v>28</v>
      </c>
      <c r="E273" s="6" t="s">
        <v>17</v>
      </c>
      <c r="F273" s="7">
        <v>31778</v>
      </c>
      <c r="G273" s="8">
        <f t="shared" si="4"/>
        <v>31778</v>
      </c>
      <c r="H273" s="6" t="s">
        <v>13</v>
      </c>
      <c r="I273" s="9">
        <v>24616.769966171501</v>
      </c>
      <c r="J273" s="62">
        <v>155.41393368074301</v>
      </c>
      <c r="K273" s="17">
        <v>1</v>
      </c>
    </row>
    <row r="274" spans="1:11" x14ac:dyDescent="0.25">
      <c r="A274" s="3" t="s">
        <v>566</v>
      </c>
      <c r="B274" s="4" t="s">
        <v>567</v>
      </c>
      <c r="C274" s="5">
        <v>1856</v>
      </c>
      <c r="D274" s="6" t="s">
        <v>16</v>
      </c>
      <c r="E274" s="6" t="s">
        <v>17</v>
      </c>
      <c r="F274" s="7">
        <v>32874</v>
      </c>
      <c r="G274" s="8">
        <f t="shared" si="4"/>
        <v>32874</v>
      </c>
      <c r="H274" s="6" t="s">
        <v>13</v>
      </c>
      <c r="I274" s="9">
        <v>11725.850216585499</v>
      </c>
      <c r="J274" s="62">
        <v>581.63145555478502</v>
      </c>
      <c r="K274" s="17">
        <v>2</v>
      </c>
    </row>
    <row r="275" spans="1:11" x14ac:dyDescent="0.25">
      <c r="A275" s="3" t="s">
        <v>568</v>
      </c>
      <c r="B275" s="4" t="s">
        <v>569</v>
      </c>
      <c r="C275" s="5">
        <v>28913</v>
      </c>
      <c r="D275" s="6" t="s">
        <v>37</v>
      </c>
      <c r="E275" s="6" t="s">
        <v>38</v>
      </c>
      <c r="F275" s="7">
        <v>38489</v>
      </c>
      <c r="G275" s="8">
        <f t="shared" si="4"/>
        <v>38489</v>
      </c>
      <c r="H275" s="6" t="s">
        <v>39</v>
      </c>
      <c r="I275" s="9">
        <v>36460.978209517496</v>
      </c>
      <c r="J275" s="62">
        <v>312.572300355023</v>
      </c>
      <c r="K275" s="17">
        <v>1</v>
      </c>
    </row>
    <row r="276" spans="1:11" x14ac:dyDescent="0.25">
      <c r="A276" s="3" t="s">
        <v>570</v>
      </c>
      <c r="B276" s="4" t="s">
        <v>571</v>
      </c>
      <c r="C276" s="5">
        <v>1836</v>
      </c>
      <c r="D276" s="6" t="s">
        <v>31</v>
      </c>
      <c r="E276" s="6" t="s">
        <v>17</v>
      </c>
      <c r="F276" s="7">
        <v>29221</v>
      </c>
      <c r="G276" s="8">
        <f t="shared" si="4"/>
        <v>29221</v>
      </c>
      <c r="H276" s="6" t="s">
        <v>13</v>
      </c>
      <c r="I276" s="9">
        <v>2972.8129427418598</v>
      </c>
      <c r="J276" s="62">
        <v>51.614834530994301</v>
      </c>
      <c r="K276" s="17">
        <v>1</v>
      </c>
    </row>
    <row r="277" spans="1:11" x14ac:dyDescent="0.25">
      <c r="A277" s="3" t="s">
        <v>572</v>
      </c>
      <c r="B277" s="4" t="s">
        <v>573</v>
      </c>
      <c r="C277" s="14">
        <v>15692</v>
      </c>
      <c r="D277" s="6" t="s">
        <v>16</v>
      </c>
      <c r="E277" s="6" t="s">
        <v>17</v>
      </c>
      <c r="F277" s="7">
        <v>27364</v>
      </c>
      <c r="G277" s="8">
        <f t="shared" si="4"/>
        <v>27364</v>
      </c>
      <c r="H277" s="6" t="s">
        <v>13</v>
      </c>
      <c r="I277" s="9">
        <v>70680.391694794293</v>
      </c>
      <c r="J277" s="62">
        <v>323.131001175824</v>
      </c>
      <c r="K277" s="17">
        <v>1</v>
      </c>
    </row>
    <row r="278" spans="1:11" x14ac:dyDescent="0.25">
      <c r="A278" s="3" t="s">
        <v>574</v>
      </c>
      <c r="B278" s="4" t="s">
        <v>575</v>
      </c>
      <c r="C278" s="5">
        <v>1748</v>
      </c>
      <c r="D278" s="6" t="s">
        <v>34</v>
      </c>
      <c r="E278" s="6" t="s">
        <v>17</v>
      </c>
      <c r="F278" s="7">
        <v>29221</v>
      </c>
      <c r="G278" s="8">
        <f t="shared" si="4"/>
        <v>29221</v>
      </c>
      <c r="H278" s="6" t="s">
        <v>13</v>
      </c>
      <c r="I278" s="9">
        <v>44125.3186688149</v>
      </c>
      <c r="J278" s="62">
        <v>136.64777960491401</v>
      </c>
      <c r="K278" s="17">
        <v>1</v>
      </c>
    </row>
    <row r="279" spans="1:11" x14ac:dyDescent="0.25">
      <c r="A279" s="3" t="s">
        <v>576</v>
      </c>
      <c r="B279" s="4" t="s">
        <v>577</v>
      </c>
      <c r="C279" s="5">
        <v>1658</v>
      </c>
      <c r="D279" s="6" t="s">
        <v>28</v>
      </c>
      <c r="E279" s="6" t="s">
        <v>17</v>
      </c>
      <c r="F279" s="7">
        <v>18264</v>
      </c>
      <c r="G279" s="8">
        <f t="shared" si="4"/>
        <v>18264</v>
      </c>
      <c r="H279" s="6" t="s">
        <v>13</v>
      </c>
      <c r="I279" s="9">
        <v>45380.329571281203</v>
      </c>
      <c r="J279" s="62">
        <v>635.150729394878</v>
      </c>
      <c r="K279" s="17">
        <v>2</v>
      </c>
    </row>
    <row r="280" spans="1:11" x14ac:dyDescent="0.25">
      <c r="A280" s="3" t="s">
        <v>578</v>
      </c>
      <c r="B280" s="4" t="s">
        <v>579</v>
      </c>
      <c r="C280" s="14">
        <v>1067</v>
      </c>
      <c r="D280" s="6" t="s">
        <v>11</v>
      </c>
      <c r="E280" s="6" t="s">
        <v>17</v>
      </c>
      <c r="F280" s="7">
        <v>31048</v>
      </c>
      <c r="G280" s="8">
        <f t="shared" si="4"/>
        <v>31048</v>
      </c>
      <c r="H280" s="6" t="s">
        <v>13</v>
      </c>
      <c r="I280" s="9" t="s">
        <v>3380</v>
      </c>
      <c r="J280" s="62" t="s">
        <v>3380</v>
      </c>
      <c r="K280" s="17">
        <v>3</v>
      </c>
    </row>
    <row r="281" spans="1:11" x14ac:dyDescent="0.25">
      <c r="A281" s="18" t="s">
        <v>580</v>
      </c>
      <c r="B281" s="19" t="s">
        <v>581</v>
      </c>
      <c r="C281" s="20">
        <v>1274</v>
      </c>
      <c r="D281" s="21" t="s">
        <v>31</v>
      </c>
      <c r="E281" s="21" t="s">
        <v>17</v>
      </c>
      <c r="F281" s="22">
        <v>29221</v>
      </c>
      <c r="G281" s="23">
        <f t="shared" si="4"/>
        <v>29221</v>
      </c>
      <c r="H281" s="21" t="s">
        <v>13</v>
      </c>
      <c r="I281" s="9">
        <v>75273.945952511494</v>
      </c>
      <c r="J281" s="62">
        <v>548.67552888613102</v>
      </c>
      <c r="K281" s="25">
        <v>2</v>
      </c>
    </row>
    <row r="282" spans="1:11" x14ac:dyDescent="0.25">
      <c r="A282" s="3" t="s">
        <v>582</v>
      </c>
      <c r="B282" s="4" t="s">
        <v>583</v>
      </c>
      <c r="C282" s="5">
        <v>1085</v>
      </c>
      <c r="D282" s="6" t="s">
        <v>31</v>
      </c>
      <c r="E282" s="6" t="s">
        <v>17</v>
      </c>
      <c r="F282" s="7">
        <v>25569</v>
      </c>
      <c r="G282" s="8">
        <f t="shared" si="4"/>
        <v>25569</v>
      </c>
      <c r="H282" s="6" t="s">
        <v>13</v>
      </c>
      <c r="I282" s="9">
        <v>27355.210454220502</v>
      </c>
      <c r="J282" s="62">
        <v>137.864779306515</v>
      </c>
      <c r="K282" s="17">
        <v>1</v>
      </c>
    </row>
    <row r="283" spans="1:11" x14ac:dyDescent="0.25">
      <c r="A283" s="3" t="s">
        <v>584</v>
      </c>
      <c r="B283" s="4" t="s">
        <v>585</v>
      </c>
      <c r="C283" s="5">
        <v>2000</v>
      </c>
      <c r="D283" s="6" t="s">
        <v>31</v>
      </c>
      <c r="E283" s="6" t="s">
        <v>17</v>
      </c>
      <c r="F283" s="7">
        <v>29221</v>
      </c>
      <c r="G283" s="8">
        <f t="shared" si="4"/>
        <v>29221</v>
      </c>
      <c r="H283" s="6" t="s">
        <v>13</v>
      </c>
      <c r="I283" s="9">
        <v>30012.926208197398</v>
      </c>
      <c r="J283" s="62">
        <v>225.03462884885201</v>
      </c>
      <c r="K283" s="17">
        <v>1</v>
      </c>
    </row>
    <row r="284" spans="1:11" x14ac:dyDescent="0.25">
      <c r="A284" s="3" t="s">
        <v>586</v>
      </c>
      <c r="B284" s="4" t="s">
        <v>587</v>
      </c>
      <c r="C284" s="5">
        <v>27906</v>
      </c>
      <c r="D284" s="6" t="s">
        <v>11</v>
      </c>
      <c r="E284" s="6" t="s">
        <v>17</v>
      </c>
      <c r="F284" s="7">
        <v>35908</v>
      </c>
      <c r="G284" s="8">
        <f t="shared" si="4"/>
        <v>35908</v>
      </c>
      <c r="H284" s="6" t="s">
        <v>39</v>
      </c>
      <c r="I284" s="9">
        <v>59038.305159855001</v>
      </c>
      <c r="J284" s="62">
        <v>580.87066711909597</v>
      </c>
      <c r="K284" s="17">
        <v>1</v>
      </c>
    </row>
    <row r="285" spans="1:11" x14ac:dyDescent="0.25">
      <c r="A285" s="3" t="s">
        <v>588</v>
      </c>
      <c r="B285" s="4" t="s">
        <v>589</v>
      </c>
      <c r="C285" s="5">
        <v>54510</v>
      </c>
      <c r="D285" s="6" t="s">
        <v>11</v>
      </c>
      <c r="E285" s="6" t="s">
        <v>12</v>
      </c>
      <c r="F285" s="7">
        <v>41801</v>
      </c>
      <c r="G285" s="8">
        <f t="shared" si="4"/>
        <v>41801</v>
      </c>
      <c r="H285" s="6" t="s">
        <v>13</v>
      </c>
      <c r="I285" s="9">
        <v>4449.2281947396996</v>
      </c>
      <c r="J285" s="62">
        <v>335.34533841224402</v>
      </c>
      <c r="K285" s="40">
        <v>1</v>
      </c>
    </row>
    <row r="286" spans="1:11" x14ac:dyDescent="0.25">
      <c r="A286" s="3" t="s">
        <v>590</v>
      </c>
      <c r="B286" s="4" t="s">
        <v>591</v>
      </c>
      <c r="C286" s="14">
        <v>9606</v>
      </c>
      <c r="D286" s="6" t="s">
        <v>11</v>
      </c>
      <c r="E286" s="6" t="s">
        <v>12</v>
      </c>
      <c r="F286" s="7">
        <v>32660</v>
      </c>
      <c r="G286" s="8">
        <f t="shared" si="4"/>
        <v>32660</v>
      </c>
      <c r="H286" s="6" t="s">
        <v>13</v>
      </c>
      <c r="I286" s="9">
        <v>73333.703928982606</v>
      </c>
      <c r="J286" s="62">
        <v>310.07576445533499</v>
      </c>
      <c r="K286" s="17">
        <v>2</v>
      </c>
    </row>
    <row r="287" spans="1:11" x14ac:dyDescent="0.25">
      <c r="A287" s="3" t="s">
        <v>592</v>
      </c>
      <c r="B287" s="4" t="s">
        <v>593</v>
      </c>
      <c r="C287" s="5">
        <v>1308</v>
      </c>
      <c r="D287" s="6" t="s">
        <v>16</v>
      </c>
      <c r="E287" s="6" t="s">
        <v>17</v>
      </c>
      <c r="F287" s="7">
        <v>28765</v>
      </c>
      <c r="G287" s="8">
        <f t="shared" si="4"/>
        <v>28765</v>
      </c>
      <c r="H287" s="6" t="s">
        <v>13</v>
      </c>
      <c r="I287" s="9">
        <v>25792.489577863598</v>
      </c>
      <c r="J287" s="62">
        <v>190.940290774023</v>
      </c>
      <c r="K287" s="17">
        <v>1</v>
      </c>
    </row>
    <row r="288" spans="1:11" x14ac:dyDescent="0.25">
      <c r="A288" s="3" t="s">
        <v>594</v>
      </c>
      <c r="B288" s="4" t="s">
        <v>595</v>
      </c>
      <c r="C288" s="5">
        <v>22402</v>
      </c>
      <c r="D288" s="6" t="s">
        <v>11</v>
      </c>
      <c r="E288" s="6" t="s">
        <v>17</v>
      </c>
      <c r="F288" s="7">
        <v>33463</v>
      </c>
      <c r="G288" s="8">
        <f t="shared" si="4"/>
        <v>33463</v>
      </c>
      <c r="H288" s="6" t="s">
        <v>13</v>
      </c>
      <c r="I288" s="9">
        <v>13910.6996126269</v>
      </c>
      <c r="J288" s="62">
        <v>139.228909916817</v>
      </c>
      <c r="K288" s="17">
        <v>1</v>
      </c>
    </row>
    <row r="289" spans="1:11" x14ac:dyDescent="0.25">
      <c r="A289" s="3" t="s">
        <v>596</v>
      </c>
      <c r="B289" s="4" t="s">
        <v>597</v>
      </c>
      <c r="C289" s="14">
        <v>40065</v>
      </c>
      <c r="D289" s="6" t="s">
        <v>34</v>
      </c>
      <c r="E289" s="6" t="s">
        <v>17</v>
      </c>
      <c r="F289" s="7">
        <v>38883</v>
      </c>
      <c r="G289" s="8">
        <f t="shared" si="4"/>
        <v>38883</v>
      </c>
      <c r="H289" s="6" t="s">
        <v>13</v>
      </c>
      <c r="I289" s="9">
        <v>45366.565703560096</v>
      </c>
      <c r="J289" s="62">
        <v>431.18223759231398</v>
      </c>
      <c r="K289" s="17">
        <v>1</v>
      </c>
    </row>
    <row r="290" spans="1:11" x14ac:dyDescent="0.25">
      <c r="A290" s="18" t="s">
        <v>598</v>
      </c>
      <c r="B290" s="19" t="s">
        <v>599</v>
      </c>
      <c r="C290" s="20">
        <v>20161</v>
      </c>
      <c r="D290" s="21" t="s">
        <v>16</v>
      </c>
      <c r="E290" s="21" t="s">
        <v>17</v>
      </c>
      <c r="F290" s="22">
        <v>32064</v>
      </c>
      <c r="G290" s="23">
        <f t="shared" si="4"/>
        <v>32064</v>
      </c>
      <c r="H290" s="21" t="s">
        <v>13</v>
      </c>
      <c r="I290" s="9">
        <v>26257.040743017798</v>
      </c>
      <c r="J290" s="62">
        <v>171.60845605222099</v>
      </c>
      <c r="K290" s="25">
        <v>1</v>
      </c>
    </row>
    <row r="291" spans="1:11" x14ac:dyDescent="0.25">
      <c r="A291" s="3" t="s">
        <v>600</v>
      </c>
      <c r="B291" s="4" t="s">
        <v>601</v>
      </c>
      <c r="C291" s="5">
        <v>39763</v>
      </c>
      <c r="D291" s="6" t="s">
        <v>31</v>
      </c>
      <c r="E291" s="6" t="s">
        <v>17</v>
      </c>
      <c r="F291" s="7">
        <v>26427</v>
      </c>
      <c r="G291" s="8">
        <f t="shared" si="4"/>
        <v>26427</v>
      </c>
      <c r="H291" s="6" t="s">
        <v>13</v>
      </c>
      <c r="I291" s="9">
        <v>777.87306979517098</v>
      </c>
      <c r="J291" s="62">
        <v>234.53004435671701</v>
      </c>
      <c r="K291" s="17">
        <v>1</v>
      </c>
    </row>
    <row r="292" spans="1:11" x14ac:dyDescent="0.25">
      <c r="A292" s="3" t="s">
        <v>602</v>
      </c>
      <c r="B292" s="4" t="s">
        <v>603</v>
      </c>
      <c r="C292" s="5">
        <v>1097</v>
      </c>
      <c r="D292" s="6" t="s">
        <v>34</v>
      </c>
      <c r="E292" s="6" t="s">
        <v>17</v>
      </c>
      <c r="F292" s="7">
        <v>37617</v>
      </c>
      <c r="G292" s="8">
        <f t="shared" si="4"/>
        <v>37617</v>
      </c>
      <c r="H292" s="6" t="s">
        <v>13</v>
      </c>
      <c r="I292" s="9">
        <v>24375.569101521301</v>
      </c>
      <c r="J292" s="62">
        <v>293.22736666711501</v>
      </c>
      <c r="K292" s="17">
        <v>1</v>
      </c>
    </row>
    <row r="293" spans="1:11" x14ac:dyDescent="0.25">
      <c r="A293" s="3" t="s">
        <v>604</v>
      </c>
      <c r="B293" s="4" t="s">
        <v>605</v>
      </c>
      <c r="C293" s="5">
        <v>36801</v>
      </c>
      <c r="D293" s="6" t="s">
        <v>28</v>
      </c>
      <c r="E293" s="6" t="s">
        <v>17</v>
      </c>
      <c r="F293" s="7">
        <v>31923</v>
      </c>
      <c r="G293" s="8">
        <f t="shared" si="4"/>
        <v>31923</v>
      </c>
      <c r="H293" s="6" t="s">
        <v>13</v>
      </c>
      <c r="I293" s="9">
        <v>295.079338243329</v>
      </c>
      <c r="J293" s="62">
        <v>7.3561859319597396</v>
      </c>
      <c r="K293" s="17">
        <v>2</v>
      </c>
    </row>
    <row r="294" spans="1:11" x14ac:dyDescent="0.25">
      <c r="A294" s="3" t="s">
        <v>606</v>
      </c>
      <c r="B294" s="4" t="s">
        <v>607</v>
      </c>
      <c r="C294" s="5">
        <v>1760</v>
      </c>
      <c r="D294" s="6" t="s">
        <v>31</v>
      </c>
      <c r="E294" s="6" t="s">
        <v>17</v>
      </c>
      <c r="F294" s="7">
        <v>37011</v>
      </c>
      <c r="G294" s="8">
        <f t="shared" si="4"/>
        <v>37011</v>
      </c>
      <c r="H294" s="6" t="s">
        <v>13</v>
      </c>
      <c r="I294" s="9">
        <v>109828.27903900101</v>
      </c>
      <c r="J294" s="62">
        <v>344.438363830242</v>
      </c>
      <c r="K294" s="17">
        <v>1</v>
      </c>
    </row>
    <row r="295" spans="1:11" x14ac:dyDescent="0.25">
      <c r="A295" s="3" t="s">
        <v>608</v>
      </c>
      <c r="B295" s="4" t="s">
        <v>609</v>
      </c>
      <c r="C295" s="5">
        <v>1107</v>
      </c>
      <c r="D295" s="6" t="s">
        <v>28</v>
      </c>
      <c r="E295" s="6" t="s">
        <v>17</v>
      </c>
      <c r="F295" s="7">
        <v>29221</v>
      </c>
      <c r="G295" s="8">
        <f t="shared" si="4"/>
        <v>29221</v>
      </c>
      <c r="H295" s="6" t="s">
        <v>13</v>
      </c>
      <c r="I295" s="9">
        <v>46772.335484489602</v>
      </c>
      <c r="J295" s="62">
        <v>341.170988452166</v>
      </c>
      <c r="K295" s="11">
        <v>2</v>
      </c>
    </row>
    <row r="296" spans="1:11" x14ac:dyDescent="0.25">
      <c r="A296" s="3" t="s">
        <v>610</v>
      </c>
      <c r="B296" s="4" t="s">
        <v>611</v>
      </c>
      <c r="C296" s="5">
        <v>1855</v>
      </c>
      <c r="D296" s="6" t="s">
        <v>16</v>
      </c>
      <c r="E296" s="6" t="s">
        <v>17</v>
      </c>
      <c r="F296" s="7">
        <v>29221</v>
      </c>
      <c r="G296" s="8">
        <f t="shared" si="4"/>
        <v>29221</v>
      </c>
      <c r="H296" s="6" t="s">
        <v>13</v>
      </c>
      <c r="I296" s="9">
        <v>7702.85255260339</v>
      </c>
      <c r="J296" s="62">
        <v>31.151275980511301</v>
      </c>
      <c r="K296" s="17">
        <v>1</v>
      </c>
    </row>
    <row r="297" spans="1:11" x14ac:dyDescent="0.25">
      <c r="A297" s="3" t="s">
        <v>612</v>
      </c>
      <c r="B297" s="4" t="s">
        <v>613</v>
      </c>
      <c r="C297" s="5">
        <v>1261</v>
      </c>
      <c r="D297" s="6" t="s">
        <v>28</v>
      </c>
      <c r="E297" s="6" t="s">
        <v>17</v>
      </c>
      <c r="F297" s="7">
        <v>29221</v>
      </c>
      <c r="G297" s="8">
        <f t="shared" si="4"/>
        <v>29221</v>
      </c>
      <c r="H297" s="6" t="s">
        <v>13</v>
      </c>
      <c r="I297" s="9">
        <v>16384.879356510701</v>
      </c>
      <c r="J297" s="62">
        <v>192.26726158414201</v>
      </c>
      <c r="K297" s="17">
        <v>1</v>
      </c>
    </row>
    <row r="298" spans="1:11" x14ac:dyDescent="0.25">
      <c r="A298" s="3" t="s">
        <v>614</v>
      </c>
      <c r="B298" s="4" t="s">
        <v>615</v>
      </c>
      <c r="C298" s="5">
        <v>1569</v>
      </c>
      <c r="D298" s="6" t="s">
        <v>11</v>
      </c>
      <c r="E298" s="6" t="s">
        <v>17</v>
      </c>
      <c r="F298" s="7">
        <v>34335</v>
      </c>
      <c r="G298" s="8">
        <f t="shared" si="4"/>
        <v>34335</v>
      </c>
      <c r="H298" s="6" t="s">
        <v>13</v>
      </c>
      <c r="I298" s="9">
        <v>29589.1558441454</v>
      </c>
      <c r="J298" s="62">
        <v>138.433119537344</v>
      </c>
      <c r="K298" s="17">
        <v>1</v>
      </c>
    </row>
    <row r="299" spans="1:11" x14ac:dyDescent="0.25">
      <c r="A299" s="3" t="s">
        <v>616</v>
      </c>
      <c r="B299" s="4" t="s">
        <v>617</v>
      </c>
      <c r="C299" s="5">
        <v>23681</v>
      </c>
      <c r="D299" s="6" t="s">
        <v>11</v>
      </c>
      <c r="E299" s="6" t="s">
        <v>17</v>
      </c>
      <c r="F299" s="7">
        <v>33817</v>
      </c>
      <c r="G299" s="8">
        <f t="shared" si="4"/>
        <v>33817</v>
      </c>
      <c r="H299" s="6" t="s">
        <v>13</v>
      </c>
      <c r="I299" s="9">
        <v>3767.0028090393098</v>
      </c>
      <c r="J299" s="62">
        <v>121.508850877282</v>
      </c>
      <c r="K299" s="17">
        <v>1</v>
      </c>
    </row>
    <row r="300" spans="1:11" x14ac:dyDescent="0.25">
      <c r="A300" s="3" t="s">
        <v>618</v>
      </c>
      <c r="B300" s="4" t="s">
        <v>619</v>
      </c>
      <c r="C300" s="5">
        <v>1159</v>
      </c>
      <c r="D300" s="6" t="s">
        <v>31</v>
      </c>
      <c r="E300" s="6" t="s">
        <v>17</v>
      </c>
      <c r="F300" s="7">
        <v>29952</v>
      </c>
      <c r="G300" s="8">
        <f t="shared" si="4"/>
        <v>29952</v>
      </c>
      <c r="H300" s="6" t="s">
        <v>13</v>
      </c>
      <c r="I300" s="9">
        <v>49410.949678301899</v>
      </c>
      <c r="J300" s="62">
        <v>268.25214419552702</v>
      </c>
      <c r="K300" s="17">
        <v>1</v>
      </c>
    </row>
    <row r="301" spans="1:11" x14ac:dyDescent="0.25">
      <c r="A301" s="3" t="s">
        <v>620</v>
      </c>
      <c r="B301" s="4" t="s">
        <v>621</v>
      </c>
      <c r="C301" s="5">
        <v>17615</v>
      </c>
      <c r="D301" s="6" t="s">
        <v>16</v>
      </c>
      <c r="E301" s="6" t="s">
        <v>17</v>
      </c>
      <c r="F301" s="7">
        <v>29850</v>
      </c>
      <c r="G301" s="8">
        <f t="shared" si="4"/>
        <v>29850</v>
      </c>
      <c r="H301" s="6" t="s">
        <v>13</v>
      </c>
      <c r="I301" s="9">
        <v>9260.5037843417504</v>
      </c>
      <c r="J301" s="62">
        <v>261.05736293385502</v>
      </c>
      <c r="K301" s="17">
        <v>1</v>
      </c>
    </row>
    <row r="302" spans="1:11" x14ac:dyDescent="0.25">
      <c r="A302" s="3" t="s">
        <v>622</v>
      </c>
      <c r="B302" s="4" t="s">
        <v>623</v>
      </c>
      <c r="C302" s="5">
        <v>1730</v>
      </c>
      <c r="D302" s="6" t="s">
        <v>16</v>
      </c>
      <c r="E302" s="6" t="s">
        <v>17</v>
      </c>
      <c r="F302" s="7">
        <v>29221</v>
      </c>
      <c r="G302" s="8">
        <f t="shared" si="4"/>
        <v>29221</v>
      </c>
      <c r="H302" s="6" t="s">
        <v>13</v>
      </c>
      <c r="I302" s="9">
        <v>25619.2573551067</v>
      </c>
      <c r="J302" s="62">
        <v>160.25344619348101</v>
      </c>
      <c r="K302" s="17">
        <v>1</v>
      </c>
    </row>
    <row r="303" spans="1:11" x14ac:dyDescent="0.25">
      <c r="A303" s="3" t="s">
        <v>624</v>
      </c>
      <c r="B303" s="4" t="s">
        <v>625</v>
      </c>
      <c r="C303" s="14">
        <v>19522</v>
      </c>
      <c r="D303" s="6" t="s">
        <v>34</v>
      </c>
      <c r="E303" s="6" t="s">
        <v>17</v>
      </c>
      <c r="F303" s="7">
        <v>21916</v>
      </c>
      <c r="G303" s="8">
        <f t="shared" si="4"/>
        <v>21916</v>
      </c>
      <c r="H303" s="6" t="s">
        <v>13</v>
      </c>
      <c r="I303" s="9">
        <v>118306.36276899801</v>
      </c>
      <c r="J303" s="62">
        <v>566.32931288653504</v>
      </c>
      <c r="K303" s="17">
        <v>2</v>
      </c>
    </row>
    <row r="304" spans="1:11" x14ac:dyDescent="0.25">
      <c r="A304" s="3" t="s">
        <v>626</v>
      </c>
      <c r="B304" s="4" t="s">
        <v>627</v>
      </c>
      <c r="C304" s="5">
        <v>19211</v>
      </c>
      <c r="D304" s="6" t="s">
        <v>34</v>
      </c>
      <c r="E304" s="6" t="s">
        <v>17</v>
      </c>
      <c r="F304" s="7">
        <v>34405</v>
      </c>
      <c r="G304" s="8">
        <f t="shared" si="4"/>
        <v>34405</v>
      </c>
      <c r="H304" s="6" t="s">
        <v>13</v>
      </c>
      <c r="I304" s="9">
        <v>22220.0592594269</v>
      </c>
      <c r="J304" s="62">
        <v>122.247925906487</v>
      </c>
      <c r="K304" s="17">
        <v>1</v>
      </c>
    </row>
    <row r="305" spans="1:11" x14ac:dyDescent="0.25">
      <c r="A305" s="3" t="s">
        <v>628</v>
      </c>
      <c r="B305" s="4" t="s">
        <v>629</v>
      </c>
      <c r="C305" s="5">
        <v>38161</v>
      </c>
      <c r="D305" s="6" t="s">
        <v>34</v>
      </c>
      <c r="E305" s="6" t="s">
        <v>17</v>
      </c>
      <c r="F305" s="7">
        <v>18264</v>
      </c>
      <c r="G305" s="8">
        <f t="shared" si="4"/>
        <v>18264</v>
      </c>
      <c r="H305" s="6" t="s">
        <v>13</v>
      </c>
      <c r="I305" s="9">
        <v>10706.9579667788</v>
      </c>
      <c r="J305" s="62">
        <v>70.474517836118295</v>
      </c>
      <c r="K305" s="17">
        <v>1</v>
      </c>
    </row>
    <row r="306" spans="1:11" x14ac:dyDescent="0.25">
      <c r="A306" s="3" t="s">
        <v>630</v>
      </c>
      <c r="B306" s="4" t="s">
        <v>631</v>
      </c>
      <c r="C306" s="5">
        <v>1898</v>
      </c>
      <c r="D306" s="6" t="s">
        <v>31</v>
      </c>
      <c r="E306" s="6" t="s">
        <v>17</v>
      </c>
      <c r="F306" s="7">
        <v>19725</v>
      </c>
      <c r="G306" s="8">
        <f t="shared" si="4"/>
        <v>19725</v>
      </c>
      <c r="H306" s="6" t="s">
        <v>13</v>
      </c>
      <c r="I306" s="9">
        <v>7568.6769837645397</v>
      </c>
      <c r="J306" s="62">
        <v>124.251553010168</v>
      </c>
      <c r="K306" s="17">
        <v>1</v>
      </c>
    </row>
    <row r="307" spans="1:11" x14ac:dyDescent="0.25">
      <c r="A307" s="3" t="s">
        <v>632</v>
      </c>
      <c r="B307" s="4" t="s">
        <v>633</v>
      </c>
      <c r="C307" s="5">
        <v>1470</v>
      </c>
      <c r="D307" s="6" t="s">
        <v>31</v>
      </c>
      <c r="E307" s="6" t="s">
        <v>17</v>
      </c>
      <c r="F307" s="7">
        <v>25569</v>
      </c>
      <c r="G307" s="8">
        <f t="shared" si="4"/>
        <v>25569</v>
      </c>
      <c r="H307" s="6" t="s">
        <v>13</v>
      </c>
      <c r="I307" s="9">
        <v>58138.199003135705</v>
      </c>
      <c r="J307" s="62">
        <v>339.73555134922901</v>
      </c>
      <c r="K307" s="17">
        <v>1</v>
      </c>
    </row>
    <row r="308" spans="1:11" x14ac:dyDescent="0.25">
      <c r="A308" s="3" t="s">
        <v>634</v>
      </c>
      <c r="B308" s="4" t="s">
        <v>635</v>
      </c>
      <c r="C308" s="14">
        <v>30593</v>
      </c>
      <c r="D308" s="6" t="s">
        <v>28</v>
      </c>
      <c r="E308" s="6" t="s">
        <v>17</v>
      </c>
      <c r="F308" s="7">
        <v>38642</v>
      </c>
      <c r="G308" s="8">
        <f t="shared" si="4"/>
        <v>38642</v>
      </c>
      <c r="H308" s="6" t="s">
        <v>13</v>
      </c>
      <c r="I308" s="9">
        <v>15031.665114310399</v>
      </c>
      <c r="J308" s="62">
        <v>174.171445397383</v>
      </c>
      <c r="K308" s="17">
        <v>1</v>
      </c>
    </row>
    <row r="309" spans="1:11" x14ac:dyDescent="0.25">
      <c r="A309" s="3" t="s">
        <v>636</v>
      </c>
      <c r="B309" s="4" t="s">
        <v>637</v>
      </c>
      <c r="C309" s="14">
        <v>10881</v>
      </c>
      <c r="D309" s="6" t="s">
        <v>34</v>
      </c>
      <c r="E309" s="6" t="s">
        <v>17</v>
      </c>
      <c r="F309" s="7">
        <v>37006</v>
      </c>
      <c r="G309" s="8">
        <f t="shared" si="4"/>
        <v>37006</v>
      </c>
      <c r="H309" s="6" t="s">
        <v>13</v>
      </c>
      <c r="I309" s="9">
        <v>37908.651427033197</v>
      </c>
      <c r="J309" s="62">
        <v>376.16704992279301</v>
      </c>
      <c r="K309" s="17">
        <v>1</v>
      </c>
    </row>
    <row r="310" spans="1:11" x14ac:dyDescent="0.25">
      <c r="A310" s="3" t="s">
        <v>638</v>
      </c>
      <c r="B310" s="4" t="s">
        <v>639</v>
      </c>
      <c r="C310" s="5">
        <v>1759</v>
      </c>
      <c r="D310" s="6" t="s">
        <v>31</v>
      </c>
      <c r="E310" s="6" t="s">
        <v>17</v>
      </c>
      <c r="F310" s="7">
        <v>27395</v>
      </c>
      <c r="G310" s="8">
        <f t="shared" si="4"/>
        <v>27395</v>
      </c>
      <c r="H310" s="6" t="s">
        <v>13</v>
      </c>
      <c r="I310" s="9">
        <v>13739.993732179701</v>
      </c>
      <c r="J310" s="62">
        <v>51.962157986332599</v>
      </c>
      <c r="K310" s="17">
        <v>1</v>
      </c>
    </row>
    <row r="311" spans="1:11" x14ac:dyDescent="0.25">
      <c r="A311" s="3" t="s">
        <v>640</v>
      </c>
      <c r="B311" s="4" t="s">
        <v>641</v>
      </c>
      <c r="C311" s="5">
        <v>9605</v>
      </c>
      <c r="D311" s="6" t="s">
        <v>16</v>
      </c>
      <c r="E311" s="6" t="s">
        <v>17</v>
      </c>
      <c r="F311" s="7">
        <v>37361</v>
      </c>
      <c r="G311" s="8">
        <f t="shared" si="4"/>
        <v>37361</v>
      </c>
      <c r="H311" s="6" t="s">
        <v>13</v>
      </c>
      <c r="I311" s="9">
        <v>12970.5423422697</v>
      </c>
      <c r="J311" s="62">
        <v>209.70444993513999</v>
      </c>
      <c r="K311" s="17">
        <v>1</v>
      </c>
    </row>
    <row r="312" spans="1:11" x14ac:dyDescent="0.25">
      <c r="A312" s="3" t="s">
        <v>642</v>
      </c>
      <c r="B312" s="4" t="s">
        <v>643</v>
      </c>
      <c r="C312" s="5">
        <v>1052</v>
      </c>
      <c r="D312" s="6" t="s">
        <v>16</v>
      </c>
      <c r="E312" s="6" t="s">
        <v>17</v>
      </c>
      <c r="F312" s="7">
        <v>29221</v>
      </c>
      <c r="G312" s="8">
        <f t="shared" si="4"/>
        <v>29221</v>
      </c>
      <c r="H312" s="6" t="s">
        <v>13</v>
      </c>
      <c r="I312" s="9">
        <v>60885.2653105016</v>
      </c>
      <c r="J312" s="62">
        <v>572.45944017690704</v>
      </c>
      <c r="K312" s="17">
        <v>2</v>
      </c>
    </row>
    <row r="313" spans="1:11" x14ac:dyDescent="0.25">
      <c r="A313" s="3" t="s">
        <v>644</v>
      </c>
      <c r="B313" s="4" t="s">
        <v>645</v>
      </c>
      <c r="C313" s="14">
        <v>1192</v>
      </c>
      <c r="D313" s="6" t="s">
        <v>16</v>
      </c>
      <c r="E313" s="6" t="s">
        <v>17</v>
      </c>
      <c r="F313" s="7">
        <v>32874</v>
      </c>
      <c r="G313" s="8">
        <f t="shared" si="4"/>
        <v>32874</v>
      </c>
      <c r="H313" s="6" t="s">
        <v>13</v>
      </c>
      <c r="I313" s="9" t="s">
        <v>3380</v>
      </c>
      <c r="J313" s="62" t="s">
        <v>3380</v>
      </c>
      <c r="K313" s="17">
        <v>3</v>
      </c>
    </row>
    <row r="314" spans="1:11" x14ac:dyDescent="0.25">
      <c r="A314" s="3" t="s">
        <v>646</v>
      </c>
      <c r="B314" s="4" t="s">
        <v>647</v>
      </c>
      <c r="C314" s="5">
        <v>1515</v>
      </c>
      <c r="D314" s="6" t="s">
        <v>28</v>
      </c>
      <c r="E314" s="6" t="s">
        <v>508</v>
      </c>
      <c r="F314" s="7">
        <v>32143</v>
      </c>
      <c r="G314" s="8">
        <f t="shared" si="4"/>
        <v>32143</v>
      </c>
      <c r="H314" s="6" t="s">
        <v>509</v>
      </c>
      <c r="I314" s="9">
        <v>46185.924417634094</v>
      </c>
      <c r="J314" s="62">
        <v>241.40779458806199</v>
      </c>
      <c r="K314" s="17">
        <v>1</v>
      </c>
    </row>
    <row r="315" spans="1:11" x14ac:dyDescent="0.25">
      <c r="A315" s="3" t="s">
        <v>648</v>
      </c>
      <c r="B315" s="4" t="s">
        <v>649</v>
      </c>
      <c r="C315" s="5">
        <v>1621</v>
      </c>
      <c r="D315" s="6" t="s">
        <v>16</v>
      </c>
      <c r="E315" s="6" t="s">
        <v>17</v>
      </c>
      <c r="F315" s="7">
        <v>29221</v>
      </c>
      <c r="G315" s="8">
        <f t="shared" si="4"/>
        <v>29221</v>
      </c>
      <c r="H315" s="6" t="s">
        <v>13</v>
      </c>
      <c r="I315" s="9">
        <v>71125.450496549805</v>
      </c>
      <c r="J315" s="62">
        <v>334.246183313519</v>
      </c>
      <c r="K315" s="17">
        <v>2</v>
      </c>
    </row>
    <row r="316" spans="1:11" x14ac:dyDescent="0.25">
      <c r="A316" s="3" t="s">
        <v>650</v>
      </c>
      <c r="B316" s="4" t="s">
        <v>651</v>
      </c>
      <c r="C316" s="14">
        <v>1716</v>
      </c>
      <c r="D316" s="6" t="s">
        <v>16</v>
      </c>
      <c r="E316" s="6" t="s">
        <v>17</v>
      </c>
      <c r="F316" s="7">
        <v>32509</v>
      </c>
      <c r="G316" s="8">
        <f t="shared" si="4"/>
        <v>32509</v>
      </c>
      <c r="H316" s="6" t="s">
        <v>13</v>
      </c>
      <c r="I316" s="9">
        <v>32200.558326537397</v>
      </c>
      <c r="J316" s="62">
        <v>199.01427176177401</v>
      </c>
      <c r="K316" s="17">
        <v>2</v>
      </c>
    </row>
    <row r="317" spans="1:11" x14ac:dyDescent="0.25">
      <c r="A317" s="18" t="s">
        <v>652</v>
      </c>
      <c r="B317" s="19" t="s">
        <v>653</v>
      </c>
      <c r="C317" s="5">
        <v>21775</v>
      </c>
      <c r="D317" s="21" t="s">
        <v>34</v>
      </c>
      <c r="E317" s="21" t="s">
        <v>17</v>
      </c>
      <c r="F317" s="22">
        <v>38639</v>
      </c>
      <c r="G317" s="23">
        <f t="shared" si="4"/>
        <v>38639</v>
      </c>
      <c r="H317" s="21" t="s">
        <v>13</v>
      </c>
      <c r="I317" s="9">
        <v>43103.528787369098</v>
      </c>
      <c r="J317" s="62">
        <v>749.12043443537095</v>
      </c>
      <c r="K317" s="41">
        <v>1</v>
      </c>
    </row>
    <row r="318" spans="1:11" x14ac:dyDescent="0.25">
      <c r="A318" s="3" t="s">
        <v>654</v>
      </c>
      <c r="B318" s="4" t="s">
        <v>655</v>
      </c>
      <c r="C318" s="5">
        <v>1305</v>
      </c>
      <c r="D318" s="6" t="s">
        <v>16</v>
      </c>
      <c r="E318" s="6" t="s">
        <v>17</v>
      </c>
      <c r="F318" s="7">
        <v>29221</v>
      </c>
      <c r="G318" s="8">
        <f t="shared" si="4"/>
        <v>29221</v>
      </c>
      <c r="H318" s="6" t="s">
        <v>13</v>
      </c>
      <c r="I318" s="9">
        <v>11141.582692194901</v>
      </c>
      <c r="J318" s="62">
        <v>225.55612463087201</v>
      </c>
      <c r="K318" s="17">
        <v>1</v>
      </c>
    </row>
    <row r="319" spans="1:11" x14ac:dyDescent="0.25">
      <c r="A319" s="3" t="s">
        <v>656</v>
      </c>
      <c r="B319" s="4" t="s">
        <v>657</v>
      </c>
      <c r="C319" s="5">
        <v>1055</v>
      </c>
      <c r="D319" s="6" t="s">
        <v>16</v>
      </c>
      <c r="E319" s="6" t="s">
        <v>17</v>
      </c>
      <c r="F319" s="7">
        <v>30682</v>
      </c>
      <c r="G319" s="8">
        <f t="shared" si="4"/>
        <v>30682</v>
      </c>
      <c r="H319" s="6" t="s">
        <v>13</v>
      </c>
      <c r="I319" s="9">
        <v>10284.7836405694</v>
      </c>
      <c r="J319" s="62">
        <v>362.43931566683898</v>
      </c>
      <c r="K319" s="17">
        <v>2</v>
      </c>
    </row>
    <row r="320" spans="1:11" x14ac:dyDescent="0.25">
      <c r="A320" s="3" t="s">
        <v>658</v>
      </c>
      <c r="B320" s="4" t="s">
        <v>659</v>
      </c>
      <c r="C320" s="5">
        <v>28225</v>
      </c>
      <c r="D320" s="6" t="s">
        <v>16</v>
      </c>
      <c r="E320" s="6" t="s">
        <v>17</v>
      </c>
      <c r="F320" s="7">
        <v>38754</v>
      </c>
      <c r="G320" s="8">
        <f t="shared" si="4"/>
        <v>38754</v>
      </c>
      <c r="H320" s="6" t="s">
        <v>13</v>
      </c>
      <c r="I320" s="9">
        <v>20223.489029615699</v>
      </c>
      <c r="J320" s="62">
        <v>323.269303703871</v>
      </c>
      <c r="K320" s="17">
        <v>1</v>
      </c>
    </row>
    <row r="321" spans="1:11" x14ac:dyDescent="0.25">
      <c r="A321" s="3" t="s">
        <v>660</v>
      </c>
      <c r="B321" s="4" t="s">
        <v>661</v>
      </c>
      <c r="C321" s="5">
        <v>46801</v>
      </c>
      <c r="D321" s="6" t="s">
        <v>31</v>
      </c>
      <c r="E321" s="6" t="s">
        <v>17</v>
      </c>
      <c r="F321" s="7">
        <v>38148</v>
      </c>
      <c r="G321" s="8">
        <f t="shared" si="4"/>
        <v>38148</v>
      </c>
      <c r="H321" s="6" t="s">
        <v>13</v>
      </c>
      <c r="I321" s="9">
        <v>1514.46738002958</v>
      </c>
      <c r="J321" s="62">
        <v>21.064380014174699</v>
      </c>
      <c r="K321" s="17">
        <v>1</v>
      </c>
    </row>
    <row r="322" spans="1:11" x14ac:dyDescent="0.25">
      <c r="A322" s="3" t="s">
        <v>662</v>
      </c>
      <c r="B322" s="4" t="s">
        <v>663</v>
      </c>
      <c r="C322" s="5">
        <v>2044</v>
      </c>
      <c r="D322" s="6" t="s">
        <v>34</v>
      </c>
      <c r="E322" s="6" t="s">
        <v>17</v>
      </c>
      <c r="F322" s="7">
        <v>19725</v>
      </c>
      <c r="G322" s="8">
        <f t="shared" ref="G322:G385" si="5">F322</f>
        <v>19725</v>
      </c>
      <c r="H322" s="6" t="s">
        <v>13</v>
      </c>
      <c r="I322" s="9">
        <v>57857.299775967003</v>
      </c>
      <c r="J322" s="62">
        <v>243.00430278560299</v>
      </c>
      <c r="K322" s="17">
        <v>1</v>
      </c>
    </row>
    <row r="323" spans="1:11" x14ac:dyDescent="0.25">
      <c r="A323" s="3" t="s">
        <v>664</v>
      </c>
      <c r="B323" s="4" t="s">
        <v>665</v>
      </c>
      <c r="C323" s="5">
        <v>1645</v>
      </c>
      <c r="D323" s="6" t="s">
        <v>28</v>
      </c>
      <c r="E323" s="6" t="s">
        <v>17</v>
      </c>
      <c r="F323" s="7">
        <v>32143</v>
      </c>
      <c r="G323" s="8">
        <f t="shared" si="5"/>
        <v>32143</v>
      </c>
      <c r="H323" s="6" t="s">
        <v>13</v>
      </c>
      <c r="I323" s="9">
        <v>21486.057493095403</v>
      </c>
      <c r="J323" s="62">
        <v>113.668817331299</v>
      </c>
      <c r="K323" s="17">
        <v>1</v>
      </c>
    </row>
    <row r="324" spans="1:11" x14ac:dyDescent="0.25">
      <c r="A324" s="26" t="s">
        <v>666</v>
      </c>
      <c r="B324" s="27" t="s">
        <v>667</v>
      </c>
      <c r="C324" s="5">
        <v>18570</v>
      </c>
      <c r="D324" s="28" t="s">
        <v>34</v>
      </c>
      <c r="E324" s="28" t="s">
        <v>17</v>
      </c>
      <c r="F324" s="29">
        <v>38197</v>
      </c>
      <c r="G324" s="30">
        <f t="shared" si="5"/>
        <v>38197</v>
      </c>
      <c r="H324" s="28" t="s">
        <v>13</v>
      </c>
      <c r="I324" s="9">
        <v>45420.789606692604</v>
      </c>
      <c r="J324" s="62">
        <v>485.663040130767</v>
      </c>
      <c r="K324" s="33">
        <v>2</v>
      </c>
    </row>
    <row r="325" spans="1:11" x14ac:dyDescent="0.25">
      <c r="A325" s="3" t="s">
        <v>668</v>
      </c>
      <c r="B325" s="4" t="s">
        <v>669</v>
      </c>
      <c r="C325" s="14">
        <v>1523</v>
      </c>
      <c r="D325" s="6" t="s">
        <v>11</v>
      </c>
      <c r="E325" s="6" t="s">
        <v>17</v>
      </c>
      <c r="F325" s="7">
        <v>36486</v>
      </c>
      <c r="G325" s="8">
        <f t="shared" si="5"/>
        <v>36486</v>
      </c>
      <c r="H325" s="6" t="s">
        <v>13</v>
      </c>
      <c r="I325" s="9">
        <v>60012.449216925503</v>
      </c>
      <c r="J325" s="62">
        <v>262.93711665857597</v>
      </c>
      <c r="K325" s="17">
        <v>2</v>
      </c>
    </row>
    <row r="326" spans="1:11" x14ac:dyDescent="0.25">
      <c r="A326" s="3" t="s">
        <v>670</v>
      </c>
      <c r="B326" s="4" t="s">
        <v>671</v>
      </c>
      <c r="C326" s="5">
        <v>1128</v>
      </c>
      <c r="D326" s="6" t="s">
        <v>11</v>
      </c>
      <c r="E326" s="6" t="s">
        <v>17</v>
      </c>
      <c r="F326" s="7">
        <v>33970</v>
      </c>
      <c r="G326" s="8">
        <f t="shared" si="5"/>
        <v>33970</v>
      </c>
      <c r="H326" s="6" t="s">
        <v>13</v>
      </c>
      <c r="I326" s="9">
        <v>11444.5833057778</v>
      </c>
      <c r="J326" s="62">
        <v>57.082214711121402</v>
      </c>
      <c r="K326" s="17">
        <v>1</v>
      </c>
    </row>
    <row r="327" spans="1:11" x14ac:dyDescent="0.25">
      <c r="A327" s="3" t="s">
        <v>672</v>
      </c>
      <c r="B327" s="4" t="s">
        <v>673</v>
      </c>
      <c r="C327" s="5">
        <v>1574</v>
      </c>
      <c r="D327" s="6" t="s">
        <v>11</v>
      </c>
      <c r="E327" s="6" t="s">
        <v>17</v>
      </c>
      <c r="F327" s="7">
        <v>36581</v>
      </c>
      <c r="G327" s="8">
        <f t="shared" si="5"/>
        <v>36581</v>
      </c>
      <c r="H327" s="6" t="s">
        <v>13</v>
      </c>
      <c r="I327" s="9">
        <v>6145.1979575537498</v>
      </c>
      <c r="J327" s="62">
        <v>86.173991304636303</v>
      </c>
      <c r="K327" s="17">
        <v>1</v>
      </c>
    </row>
    <row r="328" spans="1:11" x14ac:dyDescent="0.25">
      <c r="A328" s="3" t="s">
        <v>674</v>
      </c>
      <c r="B328" s="4" t="s">
        <v>675</v>
      </c>
      <c r="C328" s="14">
        <v>1527</v>
      </c>
      <c r="D328" s="6" t="s">
        <v>16</v>
      </c>
      <c r="E328" s="6" t="s">
        <v>17</v>
      </c>
      <c r="F328" s="7">
        <v>29221</v>
      </c>
      <c r="G328" s="8">
        <f t="shared" si="5"/>
        <v>29221</v>
      </c>
      <c r="H328" s="6" t="s">
        <v>13</v>
      </c>
      <c r="I328" s="9">
        <v>63146.4959993351</v>
      </c>
      <c r="J328" s="62">
        <v>170.85875872250301</v>
      </c>
      <c r="K328" s="17">
        <v>1</v>
      </c>
    </row>
    <row r="329" spans="1:11" x14ac:dyDescent="0.25">
      <c r="A329" s="3" t="s">
        <v>676</v>
      </c>
      <c r="B329" s="4" t="s">
        <v>677</v>
      </c>
      <c r="C329" s="5">
        <v>29842</v>
      </c>
      <c r="D329" s="6" t="s">
        <v>34</v>
      </c>
      <c r="E329" s="6" t="s">
        <v>17</v>
      </c>
      <c r="F329" s="7">
        <v>38831</v>
      </c>
      <c r="G329" s="8">
        <f t="shared" si="5"/>
        <v>38831</v>
      </c>
      <c r="H329" s="6" t="s">
        <v>13</v>
      </c>
      <c r="I329" s="9">
        <v>38878.677048393198</v>
      </c>
      <c r="J329" s="62">
        <v>629.45299560042997</v>
      </c>
      <c r="K329" s="17">
        <v>1</v>
      </c>
    </row>
    <row r="330" spans="1:11" x14ac:dyDescent="0.25">
      <c r="A330" s="3" t="s">
        <v>678</v>
      </c>
      <c r="B330" s="4" t="s">
        <v>679</v>
      </c>
      <c r="C330" s="5">
        <v>11843</v>
      </c>
      <c r="D330" s="6" t="s">
        <v>28</v>
      </c>
      <c r="E330" s="6" t="s">
        <v>17</v>
      </c>
      <c r="F330" s="7">
        <v>37572</v>
      </c>
      <c r="G330" s="8">
        <f t="shared" si="5"/>
        <v>37572</v>
      </c>
      <c r="H330" s="6" t="s">
        <v>13</v>
      </c>
      <c r="I330" s="9">
        <v>11886.759369487399</v>
      </c>
      <c r="J330" s="62">
        <v>298.33931599766299</v>
      </c>
      <c r="K330" s="17">
        <v>1</v>
      </c>
    </row>
    <row r="331" spans="1:11" x14ac:dyDescent="0.25">
      <c r="A331" s="3" t="s">
        <v>680</v>
      </c>
      <c r="B331" s="4" t="s">
        <v>681</v>
      </c>
      <c r="C331" s="5">
        <v>17611</v>
      </c>
      <c r="D331" s="6" t="s">
        <v>16</v>
      </c>
      <c r="E331" s="6" t="s">
        <v>17</v>
      </c>
      <c r="F331" s="7">
        <v>28965</v>
      </c>
      <c r="G331" s="8">
        <f t="shared" si="5"/>
        <v>28965</v>
      </c>
      <c r="H331" s="6" t="s">
        <v>13</v>
      </c>
      <c r="I331" s="9">
        <v>51310.632685178702</v>
      </c>
      <c r="J331" s="62">
        <v>233.14865663204401</v>
      </c>
      <c r="K331" s="17">
        <v>1</v>
      </c>
    </row>
    <row r="332" spans="1:11" x14ac:dyDescent="0.25">
      <c r="A332" s="3" t="s">
        <v>682</v>
      </c>
      <c r="B332" s="4" t="s">
        <v>683</v>
      </c>
      <c r="C332" s="5">
        <v>54511</v>
      </c>
      <c r="D332" s="6" t="s">
        <v>34</v>
      </c>
      <c r="E332" s="6" t="s">
        <v>17</v>
      </c>
      <c r="F332" s="7">
        <v>39517</v>
      </c>
      <c r="G332" s="8">
        <f t="shared" si="5"/>
        <v>39517</v>
      </c>
      <c r="H332" s="6" t="s">
        <v>13</v>
      </c>
      <c r="I332" s="9">
        <v>5957.3127288824799</v>
      </c>
      <c r="J332" s="62">
        <v>69.261392881393405</v>
      </c>
      <c r="K332" s="11">
        <v>1</v>
      </c>
    </row>
    <row r="333" spans="1:11" x14ac:dyDescent="0.25">
      <c r="A333" s="3" t="s">
        <v>684</v>
      </c>
      <c r="B333" s="4" t="s">
        <v>685</v>
      </c>
      <c r="C333" s="5">
        <v>8002</v>
      </c>
      <c r="D333" s="6" t="s">
        <v>28</v>
      </c>
      <c r="E333" s="6" t="s">
        <v>17</v>
      </c>
      <c r="F333" s="7">
        <v>33512</v>
      </c>
      <c r="G333" s="8">
        <f t="shared" si="5"/>
        <v>33512</v>
      </c>
      <c r="H333" s="6" t="s">
        <v>13</v>
      </c>
      <c r="I333" s="9">
        <v>2992.2764771201196</v>
      </c>
      <c r="J333" s="62">
        <v>17.091620131299798</v>
      </c>
      <c r="K333" s="17">
        <v>1</v>
      </c>
    </row>
    <row r="334" spans="1:11" x14ac:dyDescent="0.25">
      <c r="A334" s="3" t="s">
        <v>686</v>
      </c>
      <c r="B334" s="4" t="s">
        <v>687</v>
      </c>
      <c r="C334" s="14">
        <v>17926</v>
      </c>
      <c r="D334" s="6" t="s">
        <v>28</v>
      </c>
      <c r="E334" s="6" t="s">
        <v>17</v>
      </c>
      <c r="F334" s="7">
        <v>26420</v>
      </c>
      <c r="G334" s="8">
        <f t="shared" si="5"/>
        <v>26420</v>
      </c>
      <c r="H334" s="6" t="s">
        <v>13</v>
      </c>
      <c r="I334" s="9">
        <v>51406.333758233501</v>
      </c>
      <c r="J334" s="62">
        <v>160.04651863273301</v>
      </c>
      <c r="K334" s="17">
        <v>1</v>
      </c>
    </row>
    <row r="335" spans="1:11" x14ac:dyDescent="0.25">
      <c r="A335" s="3" t="s">
        <v>688</v>
      </c>
      <c r="B335" s="4" t="s">
        <v>689</v>
      </c>
      <c r="C335" s="5">
        <v>1076</v>
      </c>
      <c r="D335" s="6" t="s">
        <v>34</v>
      </c>
      <c r="E335" s="6" t="s">
        <v>17</v>
      </c>
      <c r="F335" s="7">
        <v>29952</v>
      </c>
      <c r="G335" s="8">
        <f t="shared" si="5"/>
        <v>29952</v>
      </c>
      <c r="H335" s="6" t="s">
        <v>13</v>
      </c>
      <c r="I335" s="9">
        <v>216890.07975706598</v>
      </c>
      <c r="J335" s="62">
        <v>789.331104804446</v>
      </c>
      <c r="K335" s="17">
        <v>2</v>
      </c>
    </row>
    <row r="336" spans="1:11" x14ac:dyDescent="0.25">
      <c r="A336" s="3" t="s">
        <v>690</v>
      </c>
      <c r="B336" s="4" t="s">
        <v>691</v>
      </c>
      <c r="C336" s="5">
        <v>29841</v>
      </c>
      <c r="D336" s="6" t="s">
        <v>34</v>
      </c>
      <c r="E336" s="6" t="s">
        <v>17</v>
      </c>
      <c r="F336" s="7">
        <v>39029</v>
      </c>
      <c r="G336" s="8">
        <f t="shared" si="5"/>
        <v>39029</v>
      </c>
      <c r="H336" s="6" t="s">
        <v>13</v>
      </c>
      <c r="I336" s="9">
        <v>5089.4882577365797</v>
      </c>
      <c r="J336" s="62">
        <v>220.02419909363101</v>
      </c>
      <c r="K336" s="17">
        <v>2</v>
      </c>
    </row>
    <row r="337" spans="1:11" x14ac:dyDescent="0.25">
      <c r="A337" s="3" t="s">
        <v>692</v>
      </c>
      <c r="B337" s="4" t="s">
        <v>693</v>
      </c>
      <c r="C337" s="14">
        <v>16641</v>
      </c>
      <c r="D337" s="6" t="s">
        <v>16</v>
      </c>
      <c r="E337" s="6" t="s">
        <v>17</v>
      </c>
      <c r="F337" s="7">
        <v>35142</v>
      </c>
      <c r="G337" s="8">
        <f t="shared" si="5"/>
        <v>35142</v>
      </c>
      <c r="H337" s="6" t="s">
        <v>13</v>
      </c>
      <c r="I337" s="9">
        <v>64680.660552895606</v>
      </c>
      <c r="J337" s="62">
        <v>351.42131457090801</v>
      </c>
      <c r="K337" s="17">
        <v>2</v>
      </c>
    </row>
    <row r="338" spans="1:11" x14ac:dyDescent="0.25">
      <c r="A338" s="3" t="s">
        <v>694</v>
      </c>
      <c r="B338" s="4" t="s">
        <v>695</v>
      </c>
      <c r="C338" s="5">
        <v>17287</v>
      </c>
      <c r="D338" s="6" t="s">
        <v>16</v>
      </c>
      <c r="E338" s="6" t="s">
        <v>17</v>
      </c>
      <c r="F338" s="7">
        <v>32325</v>
      </c>
      <c r="G338" s="8">
        <f t="shared" si="5"/>
        <v>32325</v>
      </c>
      <c r="H338" s="6" t="s">
        <v>13</v>
      </c>
      <c r="I338" s="9">
        <v>81603.4069249608</v>
      </c>
      <c r="J338" s="62">
        <v>475.74658132625501</v>
      </c>
      <c r="K338" s="17">
        <v>1</v>
      </c>
    </row>
    <row r="339" spans="1:11" x14ac:dyDescent="0.25">
      <c r="A339" s="3" t="s">
        <v>696</v>
      </c>
      <c r="B339" s="4" t="s">
        <v>697</v>
      </c>
      <c r="C339" s="5">
        <v>1662</v>
      </c>
      <c r="D339" s="6" t="s">
        <v>11</v>
      </c>
      <c r="E339" s="6" t="s">
        <v>17</v>
      </c>
      <c r="F339" s="7">
        <v>34700</v>
      </c>
      <c r="G339" s="8">
        <f t="shared" si="5"/>
        <v>34700</v>
      </c>
      <c r="H339" s="6" t="s">
        <v>13</v>
      </c>
      <c r="I339" s="9">
        <v>59939.205180808298</v>
      </c>
      <c r="J339" s="62">
        <v>250.08967720369199</v>
      </c>
      <c r="K339" s="17">
        <v>1</v>
      </c>
    </row>
    <row r="340" spans="1:11" x14ac:dyDescent="0.25">
      <c r="A340" s="3" t="s">
        <v>698</v>
      </c>
      <c r="B340" s="4" t="s">
        <v>699</v>
      </c>
      <c r="C340" s="5">
        <v>1797</v>
      </c>
      <c r="D340" s="6" t="s">
        <v>11</v>
      </c>
      <c r="E340" s="6" t="s">
        <v>17</v>
      </c>
      <c r="F340" s="7">
        <v>33970</v>
      </c>
      <c r="G340" s="8">
        <f t="shared" si="5"/>
        <v>33970</v>
      </c>
      <c r="H340" s="6" t="s">
        <v>13</v>
      </c>
      <c r="I340" s="9">
        <v>6355.0224034276698</v>
      </c>
      <c r="J340" s="62">
        <v>119.047619448731</v>
      </c>
      <c r="K340" s="17">
        <v>1</v>
      </c>
    </row>
    <row r="341" spans="1:11" x14ac:dyDescent="0.25">
      <c r="A341" s="3" t="s">
        <v>700</v>
      </c>
      <c r="B341" s="4" t="s">
        <v>701</v>
      </c>
      <c r="C341" s="5">
        <v>1136</v>
      </c>
      <c r="D341" s="6" t="s">
        <v>31</v>
      </c>
      <c r="E341" s="6" t="s">
        <v>17</v>
      </c>
      <c r="F341" s="7">
        <v>29221</v>
      </c>
      <c r="G341" s="8">
        <f t="shared" si="5"/>
        <v>29221</v>
      </c>
      <c r="H341" s="6" t="s">
        <v>13</v>
      </c>
      <c r="I341" s="9">
        <v>9976.7806973695206</v>
      </c>
      <c r="J341" s="62">
        <v>392.43167999921002</v>
      </c>
      <c r="K341" s="17">
        <v>1</v>
      </c>
    </row>
    <row r="342" spans="1:11" x14ac:dyDescent="0.25">
      <c r="A342" s="3" t="s">
        <v>702</v>
      </c>
      <c r="B342" s="4" t="s">
        <v>703</v>
      </c>
      <c r="C342" s="5">
        <v>1936</v>
      </c>
      <c r="D342" s="6" t="s">
        <v>34</v>
      </c>
      <c r="E342" s="6" t="s">
        <v>17</v>
      </c>
      <c r="F342" s="7">
        <v>36314</v>
      </c>
      <c r="G342" s="8">
        <f t="shared" si="5"/>
        <v>36314</v>
      </c>
      <c r="H342" s="6" t="s">
        <v>13</v>
      </c>
      <c r="I342" s="9">
        <v>14699.2654919004</v>
      </c>
      <c r="J342" s="62">
        <v>238.40311254094999</v>
      </c>
      <c r="K342" s="17">
        <v>1</v>
      </c>
    </row>
    <row r="343" spans="1:11" x14ac:dyDescent="0.25">
      <c r="A343" s="3" t="s">
        <v>704</v>
      </c>
      <c r="B343" s="4" t="s">
        <v>705</v>
      </c>
      <c r="C343" s="14">
        <v>1481</v>
      </c>
      <c r="D343" s="6" t="s">
        <v>34</v>
      </c>
      <c r="E343" s="6" t="s">
        <v>17</v>
      </c>
      <c r="F343" s="7">
        <v>37803</v>
      </c>
      <c r="G343" s="8">
        <f t="shared" si="5"/>
        <v>37803</v>
      </c>
      <c r="H343" s="6" t="s">
        <v>13</v>
      </c>
      <c r="I343" s="9">
        <v>531621.42082212807</v>
      </c>
      <c r="J343" s="62">
        <v>729.80204105066196</v>
      </c>
      <c r="K343" s="17">
        <v>4</v>
      </c>
    </row>
    <row r="344" spans="1:11" x14ac:dyDescent="0.25">
      <c r="A344" s="18" t="s">
        <v>706</v>
      </c>
      <c r="B344" s="19" t="s">
        <v>707</v>
      </c>
      <c r="C344" s="20">
        <v>8968</v>
      </c>
      <c r="D344" s="21" t="s">
        <v>34</v>
      </c>
      <c r="E344" s="21" t="s">
        <v>17</v>
      </c>
      <c r="F344" s="22">
        <v>37734</v>
      </c>
      <c r="G344" s="23">
        <f t="shared" si="5"/>
        <v>37734</v>
      </c>
      <c r="H344" s="21" t="s">
        <v>13</v>
      </c>
      <c r="I344" s="9">
        <v>37398.236969550097</v>
      </c>
      <c r="J344" s="62">
        <v>115.84705451378299</v>
      </c>
      <c r="K344" s="25">
        <v>1</v>
      </c>
    </row>
    <row r="345" spans="1:11" x14ac:dyDescent="0.25">
      <c r="A345" s="3" t="s">
        <v>708</v>
      </c>
      <c r="B345" s="4" t="s">
        <v>709</v>
      </c>
      <c r="C345" s="5">
        <v>47441</v>
      </c>
      <c r="D345" s="6" t="s">
        <v>34</v>
      </c>
      <c r="E345" s="6" t="s">
        <v>17</v>
      </c>
      <c r="F345" s="7">
        <v>38483</v>
      </c>
      <c r="G345" s="8">
        <f t="shared" si="5"/>
        <v>38483</v>
      </c>
      <c r="H345" s="6" t="s">
        <v>13</v>
      </c>
      <c r="I345" s="9">
        <v>6742.9300345724996</v>
      </c>
      <c r="J345" s="62">
        <v>150.02947863678301</v>
      </c>
      <c r="K345" s="17">
        <v>1</v>
      </c>
    </row>
    <row r="346" spans="1:11" x14ac:dyDescent="0.25">
      <c r="A346" s="3" t="s">
        <v>710</v>
      </c>
      <c r="B346" s="4" t="s">
        <v>711</v>
      </c>
      <c r="C346" s="5">
        <v>1485</v>
      </c>
      <c r="D346" s="6" t="s">
        <v>34</v>
      </c>
      <c r="E346" s="6" t="s">
        <v>17</v>
      </c>
      <c r="F346" s="7">
        <v>36433</v>
      </c>
      <c r="G346" s="8">
        <f t="shared" si="5"/>
        <v>36433</v>
      </c>
      <c r="H346" s="6" t="s">
        <v>13</v>
      </c>
      <c r="I346" s="9">
        <v>10795.7246079749</v>
      </c>
      <c r="J346" s="62">
        <v>168.66540183830901</v>
      </c>
      <c r="K346" s="17">
        <v>2</v>
      </c>
    </row>
    <row r="347" spans="1:11" x14ac:dyDescent="0.25">
      <c r="A347" s="3" t="s">
        <v>712</v>
      </c>
      <c r="B347" s="4" t="s">
        <v>713</v>
      </c>
      <c r="C347" s="5">
        <v>85859</v>
      </c>
      <c r="D347" s="6" t="s">
        <v>28</v>
      </c>
      <c r="E347" s="6" t="s">
        <v>17</v>
      </c>
      <c r="F347" s="7">
        <v>40554</v>
      </c>
      <c r="G347" s="8">
        <f t="shared" si="5"/>
        <v>40554</v>
      </c>
      <c r="H347" s="6" t="s">
        <v>13</v>
      </c>
      <c r="I347" s="9">
        <v>1517.6998677520098</v>
      </c>
      <c r="J347" s="62">
        <v>45.385126927708399</v>
      </c>
      <c r="K347" s="17">
        <v>1</v>
      </c>
    </row>
    <row r="348" spans="1:11" x14ac:dyDescent="0.25">
      <c r="A348" s="18" t="s">
        <v>714</v>
      </c>
      <c r="B348" s="19" t="s">
        <v>715</v>
      </c>
      <c r="C348" s="5">
        <v>54512</v>
      </c>
      <c r="D348" s="21" t="s">
        <v>11</v>
      </c>
      <c r="E348" s="21" t="s">
        <v>12</v>
      </c>
      <c r="F348" s="22">
        <v>37546</v>
      </c>
      <c r="G348" s="23">
        <f t="shared" si="5"/>
        <v>37546</v>
      </c>
      <c r="H348" s="21" t="s">
        <v>39</v>
      </c>
      <c r="I348" s="9">
        <v>65984.638798090702</v>
      </c>
      <c r="J348" s="62">
        <v>476.55592534031501</v>
      </c>
      <c r="K348" s="25">
        <v>1</v>
      </c>
    </row>
    <row r="349" spans="1:11" x14ac:dyDescent="0.25">
      <c r="A349" s="3" t="s">
        <v>716</v>
      </c>
      <c r="B349" s="4" t="s">
        <v>717</v>
      </c>
      <c r="C349" s="5">
        <v>1513</v>
      </c>
      <c r="D349" s="6" t="s">
        <v>28</v>
      </c>
      <c r="E349" s="6" t="s">
        <v>17</v>
      </c>
      <c r="F349" s="7">
        <v>29952</v>
      </c>
      <c r="G349" s="8">
        <f t="shared" si="5"/>
        <v>29952</v>
      </c>
      <c r="H349" s="6" t="s">
        <v>13</v>
      </c>
      <c r="I349" s="9">
        <v>41262.5987415743</v>
      </c>
      <c r="J349" s="62">
        <v>247.664879934216</v>
      </c>
      <c r="K349" s="17">
        <v>2</v>
      </c>
    </row>
    <row r="350" spans="1:11" x14ac:dyDescent="0.25">
      <c r="A350" s="3" t="s">
        <v>718</v>
      </c>
      <c r="B350" s="4" t="s">
        <v>719</v>
      </c>
      <c r="C350" s="5">
        <v>14088</v>
      </c>
      <c r="D350" s="6" t="s">
        <v>37</v>
      </c>
      <c r="E350" s="6" t="s">
        <v>38</v>
      </c>
      <c r="F350" s="7">
        <v>37125</v>
      </c>
      <c r="G350" s="8">
        <f t="shared" si="5"/>
        <v>37125</v>
      </c>
      <c r="H350" s="6" t="s">
        <v>39</v>
      </c>
      <c r="I350" s="9">
        <v>15345.3101686684</v>
      </c>
      <c r="J350" s="62">
        <v>78.252704297139701</v>
      </c>
      <c r="K350" s="17">
        <v>1</v>
      </c>
    </row>
    <row r="351" spans="1:11" x14ac:dyDescent="0.25">
      <c r="A351" s="3" t="s">
        <v>720</v>
      </c>
      <c r="B351" s="4" t="s">
        <v>721</v>
      </c>
      <c r="C351" s="5">
        <v>2046</v>
      </c>
      <c r="D351" s="6" t="s">
        <v>34</v>
      </c>
      <c r="E351" s="6" t="s">
        <v>17</v>
      </c>
      <c r="F351" s="7">
        <v>35431</v>
      </c>
      <c r="G351" s="8">
        <f t="shared" si="5"/>
        <v>35431</v>
      </c>
      <c r="H351" s="6" t="s">
        <v>13</v>
      </c>
      <c r="I351" s="9">
        <v>11303.743163844199</v>
      </c>
      <c r="J351" s="62">
        <v>170.978268384236</v>
      </c>
      <c r="K351" s="17">
        <v>1</v>
      </c>
    </row>
    <row r="352" spans="1:11" x14ac:dyDescent="0.25">
      <c r="A352" s="3" t="s">
        <v>722</v>
      </c>
      <c r="B352" s="4" t="s">
        <v>723</v>
      </c>
      <c r="C352" s="5">
        <v>1703</v>
      </c>
      <c r="D352" s="6" t="s">
        <v>31</v>
      </c>
      <c r="E352" s="6" t="s">
        <v>17</v>
      </c>
      <c r="F352" s="7">
        <v>29221</v>
      </c>
      <c r="G352" s="8">
        <f t="shared" si="5"/>
        <v>29221</v>
      </c>
      <c r="H352" s="6" t="s">
        <v>13</v>
      </c>
      <c r="I352" s="9">
        <v>3489.4549667030401</v>
      </c>
      <c r="J352" s="62">
        <v>129.296680993092</v>
      </c>
      <c r="K352" s="17">
        <v>1</v>
      </c>
    </row>
    <row r="353" spans="1:11" x14ac:dyDescent="0.25">
      <c r="A353" s="3" t="s">
        <v>724</v>
      </c>
      <c r="B353" s="4" t="s">
        <v>725</v>
      </c>
      <c r="C353" s="5">
        <v>54529</v>
      </c>
      <c r="D353" s="6" t="s">
        <v>31</v>
      </c>
      <c r="E353" s="6" t="s">
        <v>17</v>
      </c>
      <c r="F353" s="7">
        <v>37167</v>
      </c>
      <c r="G353" s="8">
        <f t="shared" si="5"/>
        <v>37167</v>
      </c>
      <c r="H353" s="6" t="s">
        <v>13</v>
      </c>
      <c r="I353" s="9">
        <v>12366.393367808501</v>
      </c>
      <c r="J353" s="62">
        <v>53.197915363284302</v>
      </c>
      <c r="K353" s="17">
        <v>1</v>
      </c>
    </row>
    <row r="354" spans="1:11" x14ac:dyDescent="0.25">
      <c r="A354" s="3" t="s">
        <v>726</v>
      </c>
      <c r="B354" s="4" t="s">
        <v>727</v>
      </c>
      <c r="C354" s="5">
        <v>17288</v>
      </c>
      <c r="D354" s="6" t="s">
        <v>31</v>
      </c>
      <c r="E354" s="6" t="s">
        <v>17</v>
      </c>
      <c r="F354" s="7">
        <v>41361</v>
      </c>
      <c r="G354" s="8">
        <f t="shared" si="5"/>
        <v>41361</v>
      </c>
      <c r="H354" s="6" t="s">
        <v>13</v>
      </c>
      <c r="I354" s="9" t="s">
        <v>3380</v>
      </c>
      <c r="J354" s="62" t="s">
        <v>3380</v>
      </c>
      <c r="K354" s="17">
        <v>3</v>
      </c>
    </row>
    <row r="355" spans="1:11" x14ac:dyDescent="0.25">
      <c r="A355" s="3" t="s">
        <v>728</v>
      </c>
      <c r="B355" s="4" t="s">
        <v>729</v>
      </c>
      <c r="C355" s="5">
        <v>12483</v>
      </c>
      <c r="D355" s="6" t="s">
        <v>31</v>
      </c>
      <c r="E355" s="6" t="s">
        <v>17</v>
      </c>
      <c r="F355" s="7">
        <v>32532</v>
      </c>
      <c r="G355" s="8">
        <f t="shared" si="5"/>
        <v>32532</v>
      </c>
      <c r="H355" s="6" t="s">
        <v>13</v>
      </c>
      <c r="I355" s="9">
        <v>10243.4260811725</v>
      </c>
      <c r="J355" s="62">
        <v>57.729019057709102</v>
      </c>
      <c r="K355" s="17">
        <v>1</v>
      </c>
    </row>
    <row r="356" spans="1:11" x14ac:dyDescent="0.25">
      <c r="A356" s="3" t="s">
        <v>730</v>
      </c>
      <c r="B356" s="4" t="s">
        <v>731</v>
      </c>
      <c r="C356" s="5">
        <v>19205</v>
      </c>
      <c r="D356" s="6" t="s">
        <v>16</v>
      </c>
      <c r="E356" s="6" t="s">
        <v>17</v>
      </c>
      <c r="F356" s="7">
        <v>38426</v>
      </c>
      <c r="G356" s="8">
        <f t="shared" si="5"/>
        <v>38426</v>
      </c>
      <c r="H356" s="6" t="s">
        <v>13</v>
      </c>
      <c r="I356" s="9">
        <v>32271.872406002898</v>
      </c>
      <c r="J356" s="62">
        <v>241.07022018467899</v>
      </c>
      <c r="K356" s="17">
        <v>1</v>
      </c>
    </row>
    <row r="357" spans="1:11" x14ac:dyDescent="0.25">
      <c r="A357" s="3" t="s">
        <v>732</v>
      </c>
      <c r="B357" s="4" t="s">
        <v>733</v>
      </c>
      <c r="C357" s="5">
        <v>72146</v>
      </c>
      <c r="D357" s="6" t="s">
        <v>34</v>
      </c>
      <c r="E357" s="6" t="s">
        <v>17</v>
      </c>
      <c r="F357" s="7">
        <v>39017</v>
      </c>
      <c r="G357" s="8">
        <f t="shared" si="5"/>
        <v>39017</v>
      </c>
      <c r="H357" s="6" t="s">
        <v>13</v>
      </c>
      <c r="I357" s="9">
        <v>3695.6247705360597</v>
      </c>
      <c r="J357" s="62">
        <v>160.539952235859</v>
      </c>
      <c r="K357" s="17">
        <v>1</v>
      </c>
    </row>
    <row r="358" spans="1:11" x14ac:dyDescent="0.25">
      <c r="A358" s="3" t="s">
        <v>734</v>
      </c>
      <c r="B358" s="4" t="s">
        <v>735</v>
      </c>
      <c r="C358" s="5">
        <v>1143</v>
      </c>
      <c r="D358" s="6" t="s">
        <v>34</v>
      </c>
      <c r="E358" s="6" t="s">
        <v>17</v>
      </c>
      <c r="F358" s="7">
        <v>34828</v>
      </c>
      <c r="G358" s="8">
        <f t="shared" si="5"/>
        <v>34828</v>
      </c>
      <c r="H358" s="6" t="s">
        <v>13</v>
      </c>
      <c r="I358" s="9">
        <v>153.566111665151</v>
      </c>
      <c r="J358" s="62">
        <v>227.91013144792899</v>
      </c>
      <c r="K358" s="17">
        <v>1</v>
      </c>
    </row>
    <row r="359" spans="1:11" x14ac:dyDescent="0.25">
      <c r="A359" s="3" t="s">
        <v>736</v>
      </c>
      <c r="B359" s="4" t="s">
        <v>737</v>
      </c>
      <c r="C359" s="5">
        <v>14404</v>
      </c>
      <c r="D359" s="6" t="s">
        <v>11</v>
      </c>
      <c r="E359" s="6" t="s">
        <v>17</v>
      </c>
      <c r="F359" s="7">
        <v>38211</v>
      </c>
      <c r="G359" s="8">
        <f t="shared" si="5"/>
        <v>38211</v>
      </c>
      <c r="H359" s="6" t="s">
        <v>13</v>
      </c>
      <c r="I359" s="9">
        <v>137432.27722899799</v>
      </c>
      <c r="J359" s="62">
        <v>428.16869235980198</v>
      </c>
      <c r="K359" s="17">
        <v>1</v>
      </c>
    </row>
    <row r="360" spans="1:11" x14ac:dyDescent="0.25">
      <c r="A360" s="3" t="s">
        <v>738</v>
      </c>
      <c r="B360" s="4" t="s">
        <v>739</v>
      </c>
      <c r="C360" s="14">
        <v>1577</v>
      </c>
      <c r="D360" s="6" t="s">
        <v>31</v>
      </c>
      <c r="E360" s="6" t="s">
        <v>17</v>
      </c>
      <c r="F360" s="7">
        <v>29221</v>
      </c>
      <c r="G360" s="8">
        <f t="shared" si="5"/>
        <v>29221</v>
      </c>
      <c r="H360" s="6" t="s">
        <v>13</v>
      </c>
      <c r="I360" s="9">
        <v>95695.145436288702</v>
      </c>
      <c r="J360" s="62">
        <v>375.13680252317999</v>
      </c>
      <c r="K360" s="17">
        <v>2</v>
      </c>
    </row>
    <row r="361" spans="1:11" x14ac:dyDescent="0.25">
      <c r="A361" s="18" t="s">
        <v>740</v>
      </c>
      <c r="B361" s="19" t="s">
        <v>741</v>
      </c>
      <c r="C361" s="5">
        <v>1492</v>
      </c>
      <c r="D361" s="21" t="s">
        <v>28</v>
      </c>
      <c r="E361" s="21" t="s">
        <v>17</v>
      </c>
      <c r="F361" s="22">
        <v>26549</v>
      </c>
      <c r="G361" s="23">
        <f t="shared" si="5"/>
        <v>26549</v>
      </c>
      <c r="H361" s="21" t="s">
        <v>13</v>
      </c>
      <c r="I361" s="9">
        <v>168728.68001324902</v>
      </c>
      <c r="J361" s="62">
        <v>431.05572879397403</v>
      </c>
      <c r="K361" s="25">
        <v>3</v>
      </c>
    </row>
    <row r="362" spans="1:11" x14ac:dyDescent="0.25">
      <c r="A362" s="3" t="s">
        <v>742</v>
      </c>
      <c r="B362" s="4" t="s">
        <v>743</v>
      </c>
      <c r="C362" s="5">
        <v>1504</v>
      </c>
      <c r="D362" s="6" t="s">
        <v>28</v>
      </c>
      <c r="E362" s="6" t="s">
        <v>17</v>
      </c>
      <c r="F362" s="7">
        <v>29221</v>
      </c>
      <c r="G362" s="8">
        <f t="shared" si="5"/>
        <v>29221</v>
      </c>
      <c r="H362" s="6" t="s">
        <v>13</v>
      </c>
      <c r="I362" s="9">
        <v>14820.2541751594</v>
      </c>
      <c r="J362" s="62">
        <v>322.19108953639301</v>
      </c>
      <c r="K362" s="17">
        <v>1</v>
      </c>
    </row>
    <row r="363" spans="1:11" x14ac:dyDescent="0.25">
      <c r="A363" s="3" t="s">
        <v>744</v>
      </c>
      <c r="B363" s="4" t="s">
        <v>745</v>
      </c>
      <c r="C363" s="5">
        <v>1448</v>
      </c>
      <c r="D363" s="6" t="s">
        <v>11</v>
      </c>
      <c r="E363" s="6" t="s">
        <v>17</v>
      </c>
      <c r="F363" s="7">
        <v>35431</v>
      </c>
      <c r="G363" s="8">
        <f t="shared" si="5"/>
        <v>35431</v>
      </c>
      <c r="H363" s="6" t="s">
        <v>13</v>
      </c>
      <c r="I363" s="9">
        <v>16469.2381398545</v>
      </c>
      <c r="J363" s="62">
        <v>98.920540721555497</v>
      </c>
      <c r="K363" s="17">
        <v>1</v>
      </c>
    </row>
    <row r="364" spans="1:11" x14ac:dyDescent="0.25">
      <c r="A364" s="3" t="s">
        <v>746</v>
      </c>
      <c r="B364" s="4" t="s">
        <v>747</v>
      </c>
      <c r="C364" s="5">
        <v>12815</v>
      </c>
      <c r="D364" s="6" t="s">
        <v>31</v>
      </c>
      <c r="E364" s="6" t="s">
        <v>17</v>
      </c>
      <c r="F364" s="7">
        <v>34129</v>
      </c>
      <c r="G364" s="8">
        <f t="shared" si="5"/>
        <v>34129</v>
      </c>
      <c r="H364" s="6" t="s">
        <v>13</v>
      </c>
      <c r="I364" s="9">
        <v>9751.1694344194093</v>
      </c>
      <c r="J364" s="62">
        <v>252.691058553083</v>
      </c>
      <c r="K364" s="17">
        <v>1</v>
      </c>
    </row>
    <row r="365" spans="1:11" x14ac:dyDescent="0.25">
      <c r="A365" s="3" t="s">
        <v>748</v>
      </c>
      <c r="B365" s="4" t="s">
        <v>749</v>
      </c>
      <c r="C365" s="5">
        <v>1272</v>
      </c>
      <c r="D365" s="6" t="s">
        <v>16</v>
      </c>
      <c r="E365" s="6" t="s">
        <v>17</v>
      </c>
      <c r="F365" s="7">
        <v>29221</v>
      </c>
      <c r="G365" s="8">
        <f t="shared" si="5"/>
        <v>29221</v>
      </c>
      <c r="H365" s="6" t="s">
        <v>13</v>
      </c>
      <c r="I365" s="9">
        <v>1922.21102403091</v>
      </c>
      <c r="J365" s="62">
        <v>119.034277795207</v>
      </c>
      <c r="K365" s="17">
        <v>1</v>
      </c>
    </row>
    <row r="366" spans="1:11" x14ac:dyDescent="0.25">
      <c r="A366" s="3" t="s">
        <v>750</v>
      </c>
      <c r="B366" s="4" t="s">
        <v>751</v>
      </c>
      <c r="C366" s="5">
        <v>1833</v>
      </c>
      <c r="D366" s="6" t="s">
        <v>16</v>
      </c>
      <c r="E366" s="6" t="s">
        <v>17</v>
      </c>
      <c r="F366" s="7">
        <v>29221</v>
      </c>
      <c r="G366" s="8">
        <f t="shared" si="5"/>
        <v>29221</v>
      </c>
      <c r="H366" s="6" t="s">
        <v>13</v>
      </c>
      <c r="I366" s="9">
        <v>20920.1519309123</v>
      </c>
      <c r="J366" s="62">
        <v>116.23087537875401</v>
      </c>
      <c r="K366" s="17">
        <v>1</v>
      </c>
    </row>
    <row r="367" spans="1:11" x14ac:dyDescent="0.25">
      <c r="A367" s="3" t="s">
        <v>752</v>
      </c>
      <c r="B367" s="4" t="s">
        <v>753</v>
      </c>
      <c r="C367" s="5">
        <v>29847</v>
      </c>
      <c r="D367" s="6" t="s">
        <v>34</v>
      </c>
      <c r="E367" s="6" t="s">
        <v>17</v>
      </c>
      <c r="F367" s="7">
        <v>33176</v>
      </c>
      <c r="G367" s="8">
        <f t="shared" si="5"/>
        <v>33176</v>
      </c>
      <c r="H367" s="6" t="s">
        <v>13</v>
      </c>
      <c r="I367" s="9" t="s">
        <v>3380</v>
      </c>
      <c r="J367" s="62" t="s">
        <v>3380</v>
      </c>
      <c r="K367" s="17">
        <v>3</v>
      </c>
    </row>
    <row r="368" spans="1:11" x14ac:dyDescent="0.25">
      <c r="A368" s="3" t="s">
        <v>754</v>
      </c>
      <c r="B368" s="4" t="s">
        <v>755</v>
      </c>
      <c r="C368" s="5">
        <v>2008</v>
      </c>
      <c r="D368" s="6" t="s">
        <v>16</v>
      </c>
      <c r="E368" s="6" t="s">
        <v>17</v>
      </c>
      <c r="F368" s="7">
        <v>32874</v>
      </c>
      <c r="G368" s="8">
        <f t="shared" si="5"/>
        <v>32874</v>
      </c>
      <c r="H368" s="6" t="s">
        <v>13</v>
      </c>
      <c r="I368" s="9">
        <v>10104.4138745417</v>
      </c>
      <c r="J368" s="62">
        <v>195.76960921178099</v>
      </c>
      <c r="K368" s="17">
        <v>1</v>
      </c>
    </row>
    <row r="369" spans="1:11" x14ac:dyDescent="0.25">
      <c r="A369" s="3" t="s">
        <v>756</v>
      </c>
      <c r="B369" s="4" t="s">
        <v>757</v>
      </c>
      <c r="C369" s="5">
        <v>54530</v>
      </c>
      <c r="D369" s="6" t="s">
        <v>28</v>
      </c>
      <c r="E369" s="6" t="s">
        <v>17</v>
      </c>
      <c r="F369" s="7">
        <v>38401</v>
      </c>
      <c r="G369" s="8">
        <f t="shared" si="5"/>
        <v>38401</v>
      </c>
      <c r="H369" s="6" t="s">
        <v>13</v>
      </c>
      <c r="I369" s="9">
        <v>7514.22500061339</v>
      </c>
      <c r="J369" s="62">
        <v>54.2293799145177</v>
      </c>
      <c r="K369" s="11">
        <v>1</v>
      </c>
    </row>
    <row r="370" spans="1:11" x14ac:dyDescent="0.25">
      <c r="A370" s="3" t="s">
        <v>758</v>
      </c>
      <c r="B370" s="4" t="s">
        <v>759</v>
      </c>
      <c r="C370" s="5">
        <v>21451</v>
      </c>
      <c r="D370" s="6" t="s">
        <v>28</v>
      </c>
      <c r="E370" s="6" t="s">
        <v>17</v>
      </c>
      <c r="F370" s="7">
        <v>38665</v>
      </c>
      <c r="G370" s="8">
        <f t="shared" si="5"/>
        <v>38665</v>
      </c>
      <c r="H370" s="6" t="s">
        <v>13</v>
      </c>
      <c r="I370" s="9">
        <v>15867.445214290199</v>
      </c>
      <c r="J370" s="62">
        <v>299.86221056359199</v>
      </c>
      <c r="K370" s="17">
        <v>1</v>
      </c>
    </row>
    <row r="371" spans="1:11" x14ac:dyDescent="0.25">
      <c r="A371" s="3" t="s">
        <v>760</v>
      </c>
      <c r="B371" s="4" t="s">
        <v>761</v>
      </c>
      <c r="C371" s="5">
        <v>17924</v>
      </c>
      <c r="D371" s="6" t="s">
        <v>28</v>
      </c>
      <c r="E371" s="6" t="s">
        <v>17</v>
      </c>
      <c r="F371" s="7">
        <v>22661</v>
      </c>
      <c r="G371" s="8">
        <f t="shared" si="5"/>
        <v>22661</v>
      </c>
      <c r="H371" s="6" t="s">
        <v>13</v>
      </c>
      <c r="I371" s="9">
        <v>5287.38778727113</v>
      </c>
      <c r="J371" s="62">
        <v>34.446293985642797</v>
      </c>
      <c r="K371" s="17">
        <v>1</v>
      </c>
    </row>
    <row r="372" spans="1:11" x14ac:dyDescent="0.25">
      <c r="A372" s="3" t="s">
        <v>762</v>
      </c>
      <c r="B372" s="4" t="s">
        <v>763</v>
      </c>
      <c r="C372" s="5">
        <v>1646</v>
      </c>
      <c r="D372" s="6" t="s">
        <v>28</v>
      </c>
      <c r="E372" s="6" t="s">
        <v>17</v>
      </c>
      <c r="F372" s="7">
        <v>36990</v>
      </c>
      <c r="G372" s="8">
        <f t="shared" si="5"/>
        <v>36990</v>
      </c>
      <c r="H372" s="6" t="s">
        <v>13</v>
      </c>
      <c r="I372" s="9">
        <v>46287.4986463608</v>
      </c>
      <c r="J372" s="62">
        <v>158.09882869302899</v>
      </c>
      <c r="K372" s="17">
        <v>1</v>
      </c>
    </row>
    <row r="373" spans="1:11" x14ac:dyDescent="0.25">
      <c r="A373" s="3" t="s">
        <v>764</v>
      </c>
      <c r="B373" s="4" t="s">
        <v>765</v>
      </c>
      <c r="C373" s="5">
        <v>16961</v>
      </c>
      <c r="D373" s="6" t="s">
        <v>16</v>
      </c>
      <c r="E373" s="6" t="s">
        <v>17</v>
      </c>
      <c r="F373" s="7">
        <v>30687</v>
      </c>
      <c r="G373" s="8">
        <f t="shared" si="5"/>
        <v>30687</v>
      </c>
      <c r="H373" s="6" t="s">
        <v>13</v>
      </c>
      <c r="I373" s="9">
        <v>5041.13990484844</v>
      </c>
      <c r="J373" s="62">
        <v>126.418067461874</v>
      </c>
      <c r="K373" s="17">
        <v>1</v>
      </c>
    </row>
    <row r="374" spans="1:11" x14ac:dyDescent="0.25">
      <c r="A374" s="3" t="s">
        <v>766</v>
      </c>
      <c r="B374" s="4" t="s">
        <v>767</v>
      </c>
      <c r="C374" s="5">
        <v>1506</v>
      </c>
      <c r="D374" s="6" t="s">
        <v>28</v>
      </c>
      <c r="E374" s="6" t="s">
        <v>17</v>
      </c>
      <c r="F374" s="7">
        <v>25204</v>
      </c>
      <c r="G374" s="8">
        <f t="shared" si="5"/>
        <v>25204</v>
      </c>
      <c r="H374" s="6" t="s">
        <v>13</v>
      </c>
      <c r="I374" s="9">
        <v>8065.5414104808397</v>
      </c>
      <c r="J374" s="62">
        <v>176.882652092684</v>
      </c>
      <c r="K374" s="17">
        <v>1</v>
      </c>
    </row>
    <row r="375" spans="1:11" x14ac:dyDescent="0.25">
      <c r="A375" s="26" t="s">
        <v>768</v>
      </c>
      <c r="B375" s="27" t="s">
        <v>769</v>
      </c>
      <c r="C375" s="34">
        <v>1976</v>
      </c>
      <c r="D375" s="28" t="s">
        <v>31</v>
      </c>
      <c r="E375" s="28" t="s">
        <v>17</v>
      </c>
      <c r="F375" s="29">
        <v>29221</v>
      </c>
      <c r="G375" s="30">
        <f t="shared" si="5"/>
        <v>29221</v>
      </c>
      <c r="H375" s="28" t="s">
        <v>13</v>
      </c>
      <c r="I375" s="9" t="s">
        <v>3380</v>
      </c>
      <c r="J375" s="62" t="s">
        <v>3380</v>
      </c>
      <c r="K375" s="33">
        <v>3</v>
      </c>
    </row>
    <row r="376" spans="1:11" x14ac:dyDescent="0.25">
      <c r="A376" s="3" t="s">
        <v>770</v>
      </c>
      <c r="B376" s="4" t="s">
        <v>771</v>
      </c>
      <c r="C376" s="14">
        <v>1670</v>
      </c>
      <c r="D376" s="6" t="s">
        <v>31</v>
      </c>
      <c r="E376" s="6" t="s">
        <v>17</v>
      </c>
      <c r="F376" s="7">
        <v>25569</v>
      </c>
      <c r="G376" s="8">
        <f t="shared" si="5"/>
        <v>25569</v>
      </c>
      <c r="H376" s="6" t="s">
        <v>13</v>
      </c>
      <c r="I376" s="9">
        <v>124643.009749227</v>
      </c>
      <c r="J376" s="62">
        <v>511.83824989352303</v>
      </c>
      <c r="K376" s="17">
        <v>1</v>
      </c>
    </row>
    <row r="377" spans="1:11" x14ac:dyDescent="0.25">
      <c r="A377" s="3" t="s">
        <v>772</v>
      </c>
      <c r="B377" s="4" t="s">
        <v>773</v>
      </c>
      <c r="C377" s="5">
        <v>1796</v>
      </c>
      <c r="D377" s="6" t="s">
        <v>16</v>
      </c>
      <c r="E377" s="6" t="s">
        <v>17</v>
      </c>
      <c r="F377" s="7">
        <v>29221</v>
      </c>
      <c r="G377" s="8">
        <f t="shared" si="5"/>
        <v>29221</v>
      </c>
      <c r="H377" s="6" t="s">
        <v>13</v>
      </c>
      <c r="I377" s="9">
        <v>8888.6602138018206</v>
      </c>
      <c r="J377" s="62">
        <v>119.506603102789</v>
      </c>
      <c r="K377" s="17">
        <v>1</v>
      </c>
    </row>
    <row r="378" spans="1:11" ht="30" x14ac:dyDescent="0.25">
      <c r="A378" s="3" t="s">
        <v>774</v>
      </c>
      <c r="B378" s="4" t="s">
        <v>775</v>
      </c>
      <c r="C378" s="5">
        <v>36130</v>
      </c>
      <c r="D378" s="6" t="s">
        <v>11</v>
      </c>
      <c r="E378" s="6" t="s">
        <v>12</v>
      </c>
      <c r="F378" s="7">
        <v>35907</v>
      </c>
      <c r="G378" s="8">
        <f t="shared" si="5"/>
        <v>35907</v>
      </c>
      <c r="H378" s="6" t="s">
        <v>776</v>
      </c>
      <c r="I378" s="9">
        <v>5358.6323380573103</v>
      </c>
      <c r="J378" s="62">
        <v>140.633631974899</v>
      </c>
      <c r="K378" s="17">
        <v>1</v>
      </c>
    </row>
    <row r="379" spans="1:11" x14ac:dyDescent="0.25">
      <c r="A379" s="3" t="s">
        <v>777</v>
      </c>
      <c r="B379" s="4" t="s">
        <v>778</v>
      </c>
      <c r="C379" s="5">
        <v>53553</v>
      </c>
      <c r="D379" s="6" t="s">
        <v>28</v>
      </c>
      <c r="E379" s="6" t="s">
        <v>17</v>
      </c>
      <c r="F379" s="7">
        <v>39129</v>
      </c>
      <c r="G379" s="8">
        <f t="shared" si="5"/>
        <v>39129</v>
      </c>
      <c r="H379" s="6" t="s">
        <v>13</v>
      </c>
      <c r="I379" s="9">
        <v>12228.83443001</v>
      </c>
      <c r="J379" s="62">
        <v>154.46086019017301</v>
      </c>
      <c r="K379" s="17">
        <v>1</v>
      </c>
    </row>
    <row r="380" spans="1:11" x14ac:dyDescent="0.25">
      <c r="A380" s="3" t="s">
        <v>779</v>
      </c>
      <c r="B380" s="4" t="s">
        <v>780</v>
      </c>
      <c r="C380" s="14">
        <v>14086</v>
      </c>
      <c r="D380" s="6" t="s">
        <v>34</v>
      </c>
      <c r="E380" s="6" t="s">
        <v>17</v>
      </c>
      <c r="F380" s="7">
        <v>38251</v>
      </c>
      <c r="G380" s="8">
        <f t="shared" si="5"/>
        <v>38251</v>
      </c>
      <c r="H380" s="6" t="s">
        <v>13</v>
      </c>
      <c r="I380" s="9">
        <v>80122.691323366002</v>
      </c>
      <c r="J380" s="62">
        <v>372.78132403466702</v>
      </c>
      <c r="K380" s="11">
        <v>1</v>
      </c>
    </row>
    <row r="381" spans="1:11" x14ac:dyDescent="0.25">
      <c r="A381" s="3" t="s">
        <v>781</v>
      </c>
      <c r="B381" s="4" t="s">
        <v>782</v>
      </c>
      <c r="C381" s="14">
        <v>1547</v>
      </c>
      <c r="D381" s="6" t="s">
        <v>28</v>
      </c>
      <c r="E381" s="6" t="s">
        <v>17</v>
      </c>
      <c r="F381" s="7">
        <v>28185</v>
      </c>
      <c r="G381" s="8">
        <f t="shared" si="5"/>
        <v>28185</v>
      </c>
      <c r="H381" s="6" t="s">
        <v>13</v>
      </c>
      <c r="I381" s="9">
        <v>160094.527717694</v>
      </c>
      <c r="J381" s="62">
        <v>1889.72336574417</v>
      </c>
      <c r="K381" s="17">
        <v>3</v>
      </c>
    </row>
    <row r="382" spans="1:11" x14ac:dyDescent="0.25">
      <c r="A382" s="3" t="s">
        <v>783</v>
      </c>
      <c r="B382" s="4" t="s">
        <v>784</v>
      </c>
      <c r="C382" s="5">
        <v>1407</v>
      </c>
      <c r="D382" s="6" t="s">
        <v>34</v>
      </c>
      <c r="E382" s="6" t="s">
        <v>17</v>
      </c>
      <c r="F382" s="7">
        <v>32143</v>
      </c>
      <c r="G382" s="8">
        <f t="shared" si="5"/>
        <v>32143</v>
      </c>
      <c r="H382" s="6" t="s">
        <v>13</v>
      </c>
      <c r="I382" s="9">
        <v>14998.6929996246</v>
      </c>
      <c r="J382" s="62">
        <v>1251.29218026373</v>
      </c>
      <c r="K382" s="17">
        <v>2</v>
      </c>
    </row>
    <row r="383" spans="1:11" x14ac:dyDescent="0.25">
      <c r="A383" s="3" t="s">
        <v>785</v>
      </c>
      <c r="B383" s="4" t="s">
        <v>786</v>
      </c>
      <c r="C383" s="5">
        <v>1599</v>
      </c>
      <c r="D383" s="6" t="s">
        <v>31</v>
      </c>
      <c r="E383" s="6" t="s">
        <v>17</v>
      </c>
      <c r="F383" s="7">
        <v>29221</v>
      </c>
      <c r="G383" s="8">
        <f t="shared" si="5"/>
        <v>29221</v>
      </c>
      <c r="H383" s="6" t="s">
        <v>13</v>
      </c>
      <c r="I383" s="9">
        <v>49538.385047706099</v>
      </c>
      <c r="J383" s="62">
        <v>206.590906484415</v>
      </c>
      <c r="K383" s="17">
        <v>1</v>
      </c>
    </row>
    <row r="384" spans="1:11" x14ac:dyDescent="0.25">
      <c r="A384" s="3" t="s">
        <v>787</v>
      </c>
      <c r="B384" s="4" t="s">
        <v>788</v>
      </c>
      <c r="C384" s="5">
        <v>1449</v>
      </c>
      <c r="D384" s="6" t="s">
        <v>11</v>
      </c>
      <c r="E384" s="6" t="s">
        <v>17</v>
      </c>
      <c r="F384" s="7">
        <v>35221</v>
      </c>
      <c r="G384" s="8">
        <f t="shared" si="5"/>
        <v>35221</v>
      </c>
      <c r="H384" s="6" t="s">
        <v>13</v>
      </c>
      <c r="I384" s="9">
        <v>65283.763933139497</v>
      </c>
      <c r="J384" s="62">
        <v>236.69775143206601</v>
      </c>
      <c r="K384" s="17">
        <v>1</v>
      </c>
    </row>
    <row r="385" spans="1:11" x14ac:dyDescent="0.25">
      <c r="A385" s="3" t="s">
        <v>789</v>
      </c>
      <c r="B385" s="4" t="s">
        <v>790</v>
      </c>
      <c r="C385" s="5">
        <v>1265</v>
      </c>
      <c r="D385" s="6" t="s">
        <v>11</v>
      </c>
      <c r="E385" s="6" t="s">
        <v>17</v>
      </c>
      <c r="F385" s="7">
        <v>35796</v>
      </c>
      <c r="G385" s="8">
        <f t="shared" si="5"/>
        <v>35796</v>
      </c>
      <c r="H385" s="6" t="s">
        <v>13</v>
      </c>
      <c r="I385" s="9">
        <v>43724.263914053096</v>
      </c>
      <c r="J385" s="62">
        <v>288.42909092773698</v>
      </c>
      <c r="K385" s="17">
        <v>1</v>
      </c>
    </row>
    <row r="386" spans="1:11" x14ac:dyDescent="0.25">
      <c r="A386" s="3" t="s">
        <v>791</v>
      </c>
      <c r="B386" s="4" t="s">
        <v>792</v>
      </c>
      <c r="C386" s="14">
        <v>10568</v>
      </c>
      <c r="D386" s="6" t="s">
        <v>11</v>
      </c>
      <c r="E386" s="6" t="s">
        <v>17</v>
      </c>
      <c r="F386" s="7">
        <v>37582</v>
      </c>
      <c r="G386" s="8">
        <f t="shared" ref="G386:G449" si="6">F386</f>
        <v>37582</v>
      </c>
      <c r="H386" s="6" t="s">
        <v>13</v>
      </c>
      <c r="I386" s="9">
        <v>77285.030761333794</v>
      </c>
      <c r="J386" s="62">
        <v>327.55868887623598</v>
      </c>
      <c r="K386" s="17">
        <v>2</v>
      </c>
    </row>
    <row r="387" spans="1:11" x14ac:dyDescent="0.25">
      <c r="A387" s="3" t="s">
        <v>793</v>
      </c>
      <c r="B387" s="4" t="s">
        <v>794</v>
      </c>
      <c r="C387" s="5">
        <v>48785</v>
      </c>
      <c r="D387" s="6" t="s">
        <v>37</v>
      </c>
      <c r="E387" s="6" t="s">
        <v>38</v>
      </c>
      <c r="F387" s="7">
        <v>36304</v>
      </c>
      <c r="G387" s="8">
        <f t="shared" si="6"/>
        <v>36304</v>
      </c>
      <c r="H387" s="6" t="s">
        <v>39</v>
      </c>
      <c r="I387" s="9">
        <v>45365.640572150602</v>
      </c>
      <c r="J387" s="62">
        <v>169.29174658440499</v>
      </c>
      <c r="K387" s="17">
        <v>1</v>
      </c>
    </row>
    <row r="388" spans="1:11" x14ac:dyDescent="0.25">
      <c r="A388" s="3" t="s">
        <v>795</v>
      </c>
      <c r="B388" s="4" t="s">
        <v>796</v>
      </c>
      <c r="C388" s="5">
        <v>1144</v>
      </c>
      <c r="D388" s="6" t="s">
        <v>34</v>
      </c>
      <c r="E388" s="6" t="s">
        <v>17</v>
      </c>
      <c r="F388" s="7">
        <v>25569</v>
      </c>
      <c r="G388" s="8">
        <f t="shared" si="6"/>
        <v>25569</v>
      </c>
      <c r="H388" s="6" t="s">
        <v>13</v>
      </c>
      <c r="I388" s="9">
        <v>2811.8080555256302</v>
      </c>
      <c r="J388" s="62">
        <v>61.949336545782302</v>
      </c>
      <c r="K388" s="17">
        <v>1</v>
      </c>
    </row>
    <row r="389" spans="1:11" x14ac:dyDescent="0.25">
      <c r="A389" s="3" t="s">
        <v>797</v>
      </c>
      <c r="B389" s="4" t="s">
        <v>798</v>
      </c>
      <c r="C389" s="5">
        <v>1620</v>
      </c>
      <c r="D389" s="6" t="s">
        <v>16</v>
      </c>
      <c r="E389" s="6" t="s">
        <v>17</v>
      </c>
      <c r="F389" s="7">
        <v>29354</v>
      </c>
      <c r="G389" s="8">
        <f t="shared" si="6"/>
        <v>29354</v>
      </c>
      <c r="H389" s="6" t="s">
        <v>13</v>
      </c>
      <c r="I389" s="9">
        <v>34473.512402494998</v>
      </c>
      <c r="J389" s="62">
        <v>193.61261080156299</v>
      </c>
      <c r="K389" s="17">
        <v>1</v>
      </c>
    </row>
    <row r="390" spans="1:11" x14ac:dyDescent="0.25">
      <c r="A390" s="3" t="s">
        <v>799</v>
      </c>
      <c r="B390" s="4" t="s">
        <v>800</v>
      </c>
      <c r="C390" s="5">
        <v>1320</v>
      </c>
      <c r="D390" s="6" t="s">
        <v>16</v>
      </c>
      <c r="E390" s="6" t="s">
        <v>17</v>
      </c>
      <c r="F390" s="7">
        <v>32385</v>
      </c>
      <c r="G390" s="8">
        <f t="shared" si="6"/>
        <v>32385</v>
      </c>
      <c r="H390" s="6" t="s">
        <v>13</v>
      </c>
      <c r="I390" s="9">
        <v>3420.2554251888901</v>
      </c>
      <c r="J390" s="62">
        <v>61.769285604564701</v>
      </c>
      <c r="K390" s="17">
        <v>2</v>
      </c>
    </row>
    <row r="391" spans="1:11" x14ac:dyDescent="0.25">
      <c r="A391" s="3" t="s">
        <v>801</v>
      </c>
      <c r="B391" s="4" t="s">
        <v>802</v>
      </c>
      <c r="C391" s="5">
        <v>21454</v>
      </c>
      <c r="D391" s="6" t="s">
        <v>31</v>
      </c>
      <c r="E391" s="6" t="s">
        <v>17</v>
      </c>
      <c r="F391" s="7">
        <v>36004</v>
      </c>
      <c r="G391" s="8">
        <f t="shared" si="6"/>
        <v>36004</v>
      </c>
      <c r="H391" s="6" t="s">
        <v>13</v>
      </c>
      <c r="I391" s="9">
        <v>16541.3671633507</v>
      </c>
      <c r="J391" s="62">
        <v>184.58801072098601</v>
      </c>
      <c r="K391" s="17">
        <v>1</v>
      </c>
    </row>
    <row r="392" spans="1:11" x14ac:dyDescent="0.25">
      <c r="A392" s="3" t="s">
        <v>803</v>
      </c>
      <c r="B392" s="4" t="s">
        <v>804</v>
      </c>
      <c r="C392" s="5">
        <v>12481</v>
      </c>
      <c r="D392" s="6" t="s">
        <v>34</v>
      </c>
      <c r="E392" s="6" t="s">
        <v>17</v>
      </c>
      <c r="F392" s="7">
        <v>34145</v>
      </c>
      <c r="G392" s="8">
        <f t="shared" si="6"/>
        <v>34145</v>
      </c>
      <c r="H392" s="6" t="s">
        <v>13</v>
      </c>
      <c r="I392" s="9">
        <v>50726.4411505467</v>
      </c>
      <c r="J392" s="62">
        <v>262.09393743249899</v>
      </c>
      <c r="K392" s="17">
        <v>1</v>
      </c>
    </row>
    <row r="393" spans="1:11" x14ac:dyDescent="0.25">
      <c r="A393" s="3" t="s">
        <v>805</v>
      </c>
      <c r="B393" s="4" t="s">
        <v>806</v>
      </c>
      <c r="C393" s="5">
        <v>1945</v>
      </c>
      <c r="D393" s="6" t="s">
        <v>28</v>
      </c>
      <c r="E393" s="6" t="s">
        <v>17</v>
      </c>
      <c r="F393" s="7">
        <v>25569</v>
      </c>
      <c r="G393" s="8">
        <f t="shared" si="6"/>
        <v>25569</v>
      </c>
      <c r="H393" s="6" t="s">
        <v>13</v>
      </c>
      <c r="I393" s="9">
        <v>29207.5937404996</v>
      </c>
      <c r="J393" s="62">
        <v>147.57700283506301</v>
      </c>
      <c r="K393" s="17">
        <v>1</v>
      </c>
    </row>
    <row r="394" spans="1:11" x14ac:dyDescent="0.25">
      <c r="A394" s="3" t="s">
        <v>807</v>
      </c>
      <c r="B394" s="4" t="s">
        <v>808</v>
      </c>
      <c r="C394" s="5">
        <v>13449</v>
      </c>
      <c r="D394" s="6" t="s">
        <v>28</v>
      </c>
      <c r="E394" s="6" t="s">
        <v>17</v>
      </c>
      <c r="F394" s="7">
        <v>38020</v>
      </c>
      <c r="G394" s="8">
        <f t="shared" si="6"/>
        <v>38020</v>
      </c>
      <c r="H394" s="6" t="s">
        <v>13</v>
      </c>
      <c r="I394" s="9">
        <v>7717.1131604934199</v>
      </c>
      <c r="J394" s="62">
        <v>45.1645183660087</v>
      </c>
      <c r="K394" s="17">
        <v>1</v>
      </c>
    </row>
    <row r="395" spans="1:11" x14ac:dyDescent="0.25">
      <c r="A395" s="3" t="s">
        <v>809</v>
      </c>
      <c r="B395" s="4" t="s">
        <v>810</v>
      </c>
      <c r="C395" s="14">
        <v>19214</v>
      </c>
      <c r="D395" s="6" t="s">
        <v>16</v>
      </c>
      <c r="E395" s="6" t="s">
        <v>17</v>
      </c>
      <c r="F395" s="7">
        <v>33641</v>
      </c>
      <c r="G395" s="8">
        <f t="shared" si="6"/>
        <v>33641</v>
      </c>
      <c r="H395" s="6" t="s">
        <v>13</v>
      </c>
      <c r="I395" s="9">
        <v>16352.9712395185</v>
      </c>
      <c r="J395" s="62">
        <v>179.90892765400901</v>
      </c>
      <c r="K395" s="17">
        <v>2</v>
      </c>
    </row>
    <row r="396" spans="1:11" x14ac:dyDescent="0.25">
      <c r="A396" s="3" t="s">
        <v>811</v>
      </c>
      <c r="B396" s="4" t="s">
        <v>812</v>
      </c>
      <c r="C396" s="5">
        <v>18891</v>
      </c>
      <c r="D396" s="6" t="s">
        <v>28</v>
      </c>
      <c r="E396" s="6" t="s">
        <v>17</v>
      </c>
      <c r="F396" s="7">
        <v>38482</v>
      </c>
      <c r="G396" s="8">
        <f t="shared" si="6"/>
        <v>38482</v>
      </c>
      <c r="H396" s="6" t="s">
        <v>13</v>
      </c>
      <c r="I396" s="9">
        <v>4115.7547021646005</v>
      </c>
      <c r="J396" s="62">
        <v>204.381525120719</v>
      </c>
      <c r="K396" s="17">
        <v>1</v>
      </c>
    </row>
    <row r="397" spans="1:11" x14ac:dyDescent="0.25">
      <c r="A397" s="3" t="s">
        <v>813</v>
      </c>
      <c r="B397" s="4" t="s">
        <v>814</v>
      </c>
      <c r="C397" s="5">
        <v>1904</v>
      </c>
      <c r="D397" s="6" t="s">
        <v>34</v>
      </c>
      <c r="E397" s="6" t="s">
        <v>17</v>
      </c>
      <c r="F397" s="7">
        <v>23874</v>
      </c>
      <c r="G397" s="8">
        <f t="shared" si="6"/>
        <v>23874</v>
      </c>
      <c r="H397" s="6" t="s">
        <v>13</v>
      </c>
      <c r="I397" s="9">
        <v>2906.1930231064903</v>
      </c>
      <c r="J397" s="62">
        <v>43.135875300595998</v>
      </c>
      <c r="K397" s="17">
        <v>1</v>
      </c>
    </row>
    <row r="398" spans="1:11" x14ac:dyDescent="0.25">
      <c r="A398" s="3" t="s">
        <v>815</v>
      </c>
      <c r="B398" s="4" t="s">
        <v>816</v>
      </c>
      <c r="C398" s="14">
        <v>18561</v>
      </c>
      <c r="D398" s="6" t="s">
        <v>16</v>
      </c>
      <c r="E398" s="6" t="s">
        <v>17</v>
      </c>
      <c r="F398" s="7">
        <v>32188</v>
      </c>
      <c r="G398" s="8">
        <f t="shared" si="6"/>
        <v>32188</v>
      </c>
      <c r="H398" s="6" t="s">
        <v>13</v>
      </c>
      <c r="I398" s="9">
        <v>50398.438001394898</v>
      </c>
      <c r="J398" s="62">
        <v>308.16245991157899</v>
      </c>
      <c r="K398" s="17">
        <v>2</v>
      </c>
    </row>
    <row r="399" spans="1:11" x14ac:dyDescent="0.25">
      <c r="A399" s="3" t="s">
        <v>817</v>
      </c>
      <c r="B399" s="4" t="s">
        <v>818</v>
      </c>
      <c r="C399" s="14">
        <v>17612</v>
      </c>
      <c r="D399" s="6" t="s">
        <v>16</v>
      </c>
      <c r="E399" s="6" t="s">
        <v>17</v>
      </c>
      <c r="F399" s="7">
        <v>32318</v>
      </c>
      <c r="G399" s="8">
        <f t="shared" si="6"/>
        <v>32318</v>
      </c>
      <c r="H399" s="6" t="s">
        <v>13</v>
      </c>
      <c r="I399" s="9">
        <v>5518.2398029242195</v>
      </c>
      <c r="J399" s="62">
        <v>147.299206932988</v>
      </c>
      <c r="K399" s="17">
        <v>1</v>
      </c>
    </row>
    <row r="400" spans="1:11" x14ac:dyDescent="0.25">
      <c r="A400" s="3" t="s">
        <v>819</v>
      </c>
      <c r="B400" s="4" t="s">
        <v>820</v>
      </c>
      <c r="C400" s="5">
        <v>72119</v>
      </c>
      <c r="D400" s="6" t="s">
        <v>31</v>
      </c>
      <c r="E400" s="6" t="s">
        <v>17</v>
      </c>
      <c r="F400" s="7">
        <v>38873</v>
      </c>
      <c r="G400" s="8">
        <f t="shared" si="6"/>
        <v>38873</v>
      </c>
      <c r="H400" s="6" t="s">
        <v>13</v>
      </c>
      <c r="I400" s="9">
        <v>2950.4465145654899</v>
      </c>
      <c r="J400" s="62">
        <v>67.484748948402299</v>
      </c>
      <c r="K400" s="17">
        <v>1</v>
      </c>
    </row>
    <row r="401" spans="1:11" x14ac:dyDescent="0.25">
      <c r="A401" s="3" t="s">
        <v>821</v>
      </c>
      <c r="B401" s="4" t="s">
        <v>822</v>
      </c>
      <c r="C401" s="14">
        <v>1802</v>
      </c>
      <c r="D401" s="6" t="s">
        <v>31</v>
      </c>
      <c r="E401" s="6" t="s">
        <v>17</v>
      </c>
      <c r="F401" s="7">
        <v>29952</v>
      </c>
      <c r="G401" s="8">
        <f t="shared" si="6"/>
        <v>29952</v>
      </c>
      <c r="H401" s="6" t="s">
        <v>13</v>
      </c>
      <c r="I401" s="9">
        <v>174118.13371558001</v>
      </c>
      <c r="J401" s="62">
        <v>649.30133333210597</v>
      </c>
      <c r="K401" s="17">
        <v>2</v>
      </c>
    </row>
    <row r="402" spans="1:11" x14ac:dyDescent="0.25">
      <c r="A402" s="3" t="s">
        <v>823</v>
      </c>
      <c r="B402" s="4" t="s">
        <v>824</v>
      </c>
      <c r="C402" s="5">
        <v>17294</v>
      </c>
      <c r="D402" s="6" t="s">
        <v>31</v>
      </c>
      <c r="E402" s="6" t="s">
        <v>17</v>
      </c>
      <c r="F402" s="7">
        <v>32154</v>
      </c>
      <c r="G402" s="8">
        <f t="shared" si="6"/>
        <v>32154</v>
      </c>
      <c r="H402" s="6" t="s">
        <v>13</v>
      </c>
      <c r="I402" s="9">
        <v>38083.0940307204</v>
      </c>
      <c r="J402" s="62">
        <v>300.05643801679298</v>
      </c>
      <c r="K402" s="17">
        <v>1</v>
      </c>
    </row>
    <row r="403" spans="1:11" x14ac:dyDescent="0.25">
      <c r="A403" s="18" t="s">
        <v>825</v>
      </c>
      <c r="B403" s="19" t="s">
        <v>826</v>
      </c>
      <c r="C403" s="5">
        <v>45857</v>
      </c>
      <c r="D403" s="21" t="s">
        <v>31</v>
      </c>
      <c r="E403" s="21" t="s">
        <v>17</v>
      </c>
      <c r="F403" s="22">
        <v>31786</v>
      </c>
      <c r="G403" s="23">
        <f t="shared" si="6"/>
        <v>31786</v>
      </c>
      <c r="H403" s="21" t="s">
        <v>13</v>
      </c>
      <c r="I403" s="9">
        <v>732161.22339860199</v>
      </c>
      <c r="J403" s="62">
        <v>1485.8798608135201</v>
      </c>
      <c r="K403" s="25">
        <v>3</v>
      </c>
    </row>
    <row r="404" spans="1:11" x14ac:dyDescent="0.25">
      <c r="A404" s="3" t="s">
        <v>827</v>
      </c>
      <c r="B404" s="4" t="s">
        <v>828</v>
      </c>
      <c r="C404" s="5">
        <v>20484</v>
      </c>
      <c r="D404" s="6" t="s">
        <v>31</v>
      </c>
      <c r="E404" s="6" t="s">
        <v>17</v>
      </c>
      <c r="F404" s="7">
        <v>31653</v>
      </c>
      <c r="G404" s="8">
        <f t="shared" si="6"/>
        <v>31653</v>
      </c>
      <c r="H404" s="6" t="s">
        <v>13</v>
      </c>
      <c r="I404" s="9">
        <v>10849.578554825999</v>
      </c>
      <c r="J404" s="62">
        <v>104.68970288292201</v>
      </c>
      <c r="K404" s="17">
        <v>1</v>
      </c>
    </row>
    <row r="405" spans="1:11" x14ac:dyDescent="0.25">
      <c r="A405" s="3" t="s">
        <v>829</v>
      </c>
      <c r="B405" s="4" t="s">
        <v>830</v>
      </c>
      <c r="C405" s="5">
        <v>14724</v>
      </c>
      <c r="D405" s="6" t="s">
        <v>31</v>
      </c>
      <c r="E405" s="6" t="s">
        <v>17</v>
      </c>
      <c r="F405" s="7">
        <v>32954</v>
      </c>
      <c r="G405" s="8">
        <f t="shared" si="6"/>
        <v>32954</v>
      </c>
      <c r="H405" s="6" t="s">
        <v>13</v>
      </c>
      <c r="I405" s="9">
        <v>8341.4172101802906</v>
      </c>
      <c r="J405" s="62">
        <v>129.559720874319</v>
      </c>
      <c r="K405" s="17">
        <v>1</v>
      </c>
    </row>
    <row r="406" spans="1:11" x14ac:dyDescent="0.25">
      <c r="A406" s="3" t="s">
        <v>831</v>
      </c>
      <c r="B406" s="4" t="s">
        <v>832</v>
      </c>
      <c r="C406" s="5">
        <v>1978</v>
      </c>
      <c r="D406" s="6" t="s">
        <v>31</v>
      </c>
      <c r="E406" s="6" t="s">
        <v>17</v>
      </c>
      <c r="F406" s="7">
        <v>29221</v>
      </c>
      <c r="G406" s="8">
        <f t="shared" si="6"/>
        <v>29221</v>
      </c>
      <c r="H406" s="6" t="s">
        <v>13</v>
      </c>
      <c r="I406" s="9">
        <v>15121.934397831901</v>
      </c>
      <c r="J406" s="62">
        <v>54.0409507823585</v>
      </c>
      <c r="K406" s="17">
        <v>2</v>
      </c>
    </row>
    <row r="407" spans="1:11" x14ac:dyDescent="0.25">
      <c r="A407" s="3" t="s">
        <v>833</v>
      </c>
      <c r="B407" s="4" t="s">
        <v>834</v>
      </c>
      <c r="C407" s="5">
        <v>54545</v>
      </c>
      <c r="D407" s="6" t="s">
        <v>31</v>
      </c>
      <c r="E407" s="6" t="s">
        <v>17</v>
      </c>
      <c r="F407" s="7">
        <v>39143</v>
      </c>
      <c r="G407" s="8">
        <f t="shared" si="6"/>
        <v>39143</v>
      </c>
      <c r="H407" s="6" t="s">
        <v>13</v>
      </c>
      <c r="I407" s="9">
        <v>695.53207663138289</v>
      </c>
      <c r="J407" s="62">
        <v>8.4371067249928196</v>
      </c>
      <c r="K407" s="17">
        <v>1</v>
      </c>
    </row>
    <row r="408" spans="1:11" x14ac:dyDescent="0.25">
      <c r="A408" s="3" t="s">
        <v>835</v>
      </c>
      <c r="B408" s="4" t="s">
        <v>836</v>
      </c>
      <c r="C408" s="5">
        <v>14727</v>
      </c>
      <c r="D408" s="6" t="s">
        <v>31</v>
      </c>
      <c r="E408" s="6" t="s">
        <v>17</v>
      </c>
      <c r="F408" s="7">
        <v>33695</v>
      </c>
      <c r="G408" s="8">
        <f t="shared" si="6"/>
        <v>33695</v>
      </c>
      <c r="H408" s="6" t="s">
        <v>13</v>
      </c>
      <c r="I408" s="9">
        <v>11076.9707574609</v>
      </c>
      <c r="J408" s="62">
        <v>87.538795810470106</v>
      </c>
      <c r="K408" s="17">
        <v>1</v>
      </c>
    </row>
    <row r="409" spans="1:11" x14ac:dyDescent="0.25">
      <c r="A409" s="12" t="s">
        <v>837</v>
      </c>
      <c r="B409" s="4" t="s">
        <v>838</v>
      </c>
      <c r="C409" s="5">
        <v>1260</v>
      </c>
      <c r="D409" s="6" t="s">
        <v>28</v>
      </c>
      <c r="E409" s="6" t="s">
        <v>17</v>
      </c>
      <c r="F409" s="7">
        <v>39639</v>
      </c>
      <c r="G409" s="8">
        <f t="shared" si="6"/>
        <v>39639</v>
      </c>
      <c r="H409" s="6" t="s">
        <v>13</v>
      </c>
      <c r="I409" s="9" t="s">
        <v>3380</v>
      </c>
      <c r="J409" s="62" t="s">
        <v>3380</v>
      </c>
      <c r="K409" s="17">
        <v>4</v>
      </c>
    </row>
    <row r="410" spans="1:11" x14ac:dyDescent="0.25">
      <c r="A410" s="3" t="s">
        <v>839</v>
      </c>
      <c r="B410" s="4" t="s">
        <v>840</v>
      </c>
      <c r="C410" s="5">
        <v>1900</v>
      </c>
      <c r="D410" s="6" t="s">
        <v>31</v>
      </c>
      <c r="E410" s="6" t="s">
        <v>17</v>
      </c>
      <c r="F410" s="7">
        <v>35065</v>
      </c>
      <c r="G410" s="8">
        <f t="shared" si="6"/>
        <v>35065</v>
      </c>
      <c r="H410" s="6" t="s">
        <v>13</v>
      </c>
      <c r="I410" s="9">
        <v>3971.1609415971802</v>
      </c>
      <c r="J410" s="62">
        <v>350.41308254291198</v>
      </c>
      <c r="K410" s="17">
        <v>1</v>
      </c>
    </row>
    <row r="411" spans="1:11" x14ac:dyDescent="0.25">
      <c r="A411" s="3" t="s">
        <v>841</v>
      </c>
      <c r="B411" s="4" t="s">
        <v>842</v>
      </c>
      <c r="C411" s="14">
        <v>26897</v>
      </c>
      <c r="D411" s="6" t="s">
        <v>11</v>
      </c>
      <c r="E411" s="6" t="s">
        <v>12</v>
      </c>
      <c r="F411" s="7">
        <v>41313</v>
      </c>
      <c r="G411" s="8">
        <f t="shared" si="6"/>
        <v>41313</v>
      </c>
      <c r="H411" s="6" t="s">
        <v>39</v>
      </c>
      <c r="I411" s="9">
        <v>65307.745831051303</v>
      </c>
      <c r="J411" s="62">
        <v>133.86948914765</v>
      </c>
      <c r="K411" s="17">
        <v>2</v>
      </c>
    </row>
    <row r="412" spans="1:11" x14ac:dyDescent="0.25">
      <c r="A412" s="3" t="s">
        <v>843</v>
      </c>
      <c r="B412" s="4" t="s">
        <v>844</v>
      </c>
      <c r="C412" s="14">
        <v>1307</v>
      </c>
      <c r="D412" s="6" t="s">
        <v>16</v>
      </c>
      <c r="E412" s="6" t="s">
        <v>17</v>
      </c>
      <c r="F412" s="7">
        <v>29221</v>
      </c>
      <c r="G412" s="8">
        <f t="shared" si="6"/>
        <v>29221</v>
      </c>
      <c r="H412" s="6" t="s">
        <v>13</v>
      </c>
      <c r="I412" s="9">
        <v>109641.219023789</v>
      </c>
      <c r="J412" s="62">
        <v>486.35181643854798</v>
      </c>
      <c r="K412" s="17">
        <v>2</v>
      </c>
    </row>
    <row r="413" spans="1:11" x14ac:dyDescent="0.25">
      <c r="A413" s="3" t="s">
        <v>845</v>
      </c>
      <c r="B413" s="4" t="s">
        <v>846</v>
      </c>
      <c r="C413" s="14">
        <v>16653</v>
      </c>
      <c r="D413" s="6" t="s">
        <v>16</v>
      </c>
      <c r="E413" s="6" t="s">
        <v>17</v>
      </c>
      <c r="F413" s="7">
        <v>38133</v>
      </c>
      <c r="G413" s="8">
        <f t="shared" si="6"/>
        <v>38133</v>
      </c>
      <c r="H413" s="6" t="s">
        <v>13</v>
      </c>
      <c r="I413" s="9" t="s">
        <v>3380</v>
      </c>
      <c r="J413" s="62" t="s">
        <v>3380</v>
      </c>
      <c r="K413" s="17">
        <v>4</v>
      </c>
    </row>
    <row r="414" spans="1:11" x14ac:dyDescent="0.25">
      <c r="A414" s="3" t="s">
        <v>847</v>
      </c>
      <c r="B414" s="4" t="s">
        <v>848</v>
      </c>
      <c r="C414" s="5">
        <v>17296</v>
      </c>
      <c r="D414" s="6" t="s">
        <v>16</v>
      </c>
      <c r="E414" s="6" t="s">
        <v>17</v>
      </c>
      <c r="F414" s="7">
        <v>38363</v>
      </c>
      <c r="G414" s="8">
        <f t="shared" si="6"/>
        <v>38363</v>
      </c>
      <c r="H414" s="6" t="s">
        <v>13</v>
      </c>
      <c r="I414" s="9">
        <v>28028.9196655265</v>
      </c>
      <c r="J414" s="62">
        <v>252.45260573932299</v>
      </c>
      <c r="K414" s="17">
        <v>1</v>
      </c>
    </row>
    <row r="415" spans="1:11" x14ac:dyDescent="0.25">
      <c r="A415" s="3" t="s">
        <v>849</v>
      </c>
      <c r="B415" s="4" t="s">
        <v>850</v>
      </c>
      <c r="C415" s="5">
        <v>54547</v>
      </c>
      <c r="D415" s="6" t="s">
        <v>16</v>
      </c>
      <c r="E415" s="6" t="s">
        <v>17</v>
      </c>
      <c r="F415" s="7">
        <v>38287</v>
      </c>
      <c r="G415" s="8">
        <f t="shared" si="6"/>
        <v>38287</v>
      </c>
      <c r="H415" s="6" t="s">
        <v>13</v>
      </c>
      <c r="I415" s="9">
        <v>47092.5187342875</v>
      </c>
      <c r="J415" s="62">
        <v>607.59470690973399</v>
      </c>
      <c r="K415" s="17">
        <v>1</v>
      </c>
    </row>
    <row r="416" spans="1:11" x14ac:dyDescent="0.25">
      <c r="A416" s="3" t="s">
        <v>851</v>
      </c>
      <c r="B416" s="4" t="s">
        <v>852</v>
      </c>
      <c r="C416" s="5">
        <v>1421</v>
      </c>
      <c r="D416" s="6" t="s">
        <v>31</v>
      </c>
      <c r="E416" s="6" t="s">
        <v>17</v>
      </c>
      <c r="F416" s="7">
        <v>25569</v>
      </c>
      <c r="G416" s="8">
        <f t="shared" si="6"/>
        <v>25569</v>
      </c>
      <c r="H416" s="6" t="s">
        <v>13</v>
      </c>
      <c r="I416" s="9">
        <v>30139.960089649398</v>
      </c>
      <c r="J416" s="62">
        <v>233.61553035733499</v>
      </c>
      <c r="K416" s="17">
        <v>1</v>
      </c>
    </row>
    <row r="417" spans="1:11" x14ac:dyDescent="0.25">
      <c r="A417" s="3" t="s">
        <v>853</v>
      </c>
      <c r="B417" s="4" t="s">
        <v>854</v>
      </c>
      <c r="C417" s="5">
        <v>54546</v>
      </c>
      <c r="D417" s="6" t="s">
        <v>31</v>
      </c>
      <c r="E417" s="6" t="s">
        <v>17</v>
      </c>
      <c r="F417" s="7">
        <v>38898</v>
      </c>
      <c r="G417" s="8">
        <f t="shared" si="6"/>
        <v>38898</v>
      </c>
      <c r="H417" s="6" t="s">
        <v>13</v>
      </c>
      <c r="I417" s="9">
        <v>1998.32949873803</v>
      </c>
      <c r="J417" s="62">
        <v>29.640283018788701</v>
      </c>
      <c r="K417" s="17">
        <v>1</v>
      </c>
    </row>
    <row r="418" spans="1:11" x14ac:dyDescent="0.25">
      <c r="A418" s="3" t="s">
        <v>855</v>
      </c>
      <c r="B418" s="4" t="s">
        <v>856</v>
      </c>
      <c r="C418" s="5">
        <v>18567</v>
      </c>
      <c r="D418" s="6" t="s">
        <v>34</v>
      </c>
      <c r="E418" s="6" t="s">
        <v>17</v>
      </c>
      <c r="F418" s="7">
        <v>38894</v>
      </c>
      <c r="G418" s="8">
        <f t="shared" si="6"/>
        <v>38894</v>
      </c>
      <c r="H418" s="6" t="s">
        <v>13</v>
      </c>
      <c r="I418" s="9">
        <v>5424.1332524438994</v>
      </c>
      <c r="J418" s="62">
        <v>143.74878435641099</v>
      </c>
      <c r="K418" s="17">
        <v>1</v>
      </c>
    </row>
    <row r="419" spans="1:11" x14ac:dyDescent="0.25">
      <c r="A419" s="3" t="s">
        <v>857</v>
      </c>
      <c r="B419" s="4" t="s">
        <v>858</v>
      </c>
      <c r="C419" s="5">
        <v>1282</v>
      </c>
      <c r="D419" s="6" t="s">
        <v>34</v>
      </c>
      <c r="E419" s="6" t="s">
        <v>17</v>
      </c>
      <c r="F419" s="7">
        <v>29221</v>
      </c>
      <c r="G419" s="8">
        <f t="shared" si="6"/>
        <v>29221</v>
      </c>
      <c r="H419" s="6" t="s">
        <v>13</v>
      </c>
      <c r="I419" s="9">
        <v>15555.197823046299</v>
      </c>
      <c r="J419" s="62">
        <v>84.753689585093497</v>
      </c>
      <c r="K419" s="17">
        <v>1</v>
      </c>
    </row>
    <row r="420" spans="1:11" x14ac:dyDescent="0.25">
      <c r="A420" s="3" t="s">
        <v>859</v>
      </c>
      <c r="B420" s="4" t="s">
        <v>860</v>
      </c>
      <c r="C420" s="5">
        <v>54548</v>
      </c>
      <c r="D420" s="6" t="s">
        <v>16</v>
      </c>
      <c r="E420" s="6" t="s">
        <v>17</v>
      </c>
      <c r="F420" s="7">
        <v>32953</v>
      </c>
      <c r="G420" s="8">
        <f t="shared" si="6"/>
        <v>32953</v>
      </c>
      <c r="H420" s="6" t="s">
        <v>13</v>
      </c>
      <c r="I420" s="9">
        <v>1284.7889264174598</v>
      </c>
      <c r="J420" s="62">
        <v>73.691896505617706</v>
      </c>
      <c r="K420" s="17">
        <v>1</v>
      </c>
    </row>
    <row r="421" spans="1:11" x14ac:dyDescent="0.25">
      <c r="A421" s="3" t="s">
        <v>861</v>
      </c>
      <c r="B421" s="4" t="s">
        <v>862</v>
      </c>
      <c r="C421" s="5">
        <v>37489</v>
      </c>
      <c r="D421" s="6" t="s">
        <v>37</v>
      </c>
      <c r="E421" s="6" t="s">
        <v>38</v>
      </c>
      <c r="F421" s="7">
        <v>29074</v>
      </c>
      <c r="G421" s="8">
        <f t="shared" si="6"/>
        <v>29074</v>
      </c>
      <c r="H421" s="6" t="s">
        <v>39</v>
      </c>
      <c r="I421" s="9">
        <v>5245.8365059585794</v>
      </c>
      <c r="J421" s="62">
        <v>174.29121895823499</v>
      </c>
      <c r="K421" s="17">
        <v>2</v>
      </c>
    </row>
    <row r="422" spans="1:11" x14ac:dyDescent="0.25">
      <c r="A422" s="3" t="s">
        <v>863</v>
      </c>
      <c r="B422" s="4" t="s">
        <v>864</v>
      </c>
      <c r="C422" s="5">
        <v>72127</v>
      </c>
      <c r="D422" s="6" t="s">
        <v>28</v>
      </c>
      <c r="E422" s="6" t="s">
        <v>17</v>
      </c>
      <c r="F422" s="7">
        <v>39209</v>
      </c>
      <c r="G422" s="8">
        <f t="shared" si="6"/>
        <v>39209</v>
      </c>
      <c r="H422" s="6" t="s">
        <v>13</v>
      </c>
      <c r="I422" s="9">
        <v>2048.7947462622901</v>
      </c>
      <c r="J422" s="62">
        <v>244.49698638979899</v>
      </c>
      <c r="K422" s="17">
        <v>1</v>
      </c>
    </row>
    <row r="423" spans="1:11" x14ac:dyDescent="0.25">
      <c r="A423" s="3" t="s">
        <v>865</v>
      </c>
      <c r="B423" s="4" t="s">
        <v>866</v>
      </c>
      <c r="C423" s="5">
        <v>1345</v>
      </c>
      <c r="D423" s="6" t="s">
        <v>31</v>
      </c>
      <c r="E423" s="6" t="s">
        <v>17</v>
      </c>
      <c r="F423" s="7">
        <v>29615</v>
      </c>
      <c r="G423" s="8">
        <f t="shared" si="6"/>
        <v>29615</v>
      </c>
      <c r="H423" s="6" t="s">
        <v>13</v>
      </c>
      <c r="I423" s="9">
        <v>23317.029503052003</v>
      </c>
      <c r="J423" s="62">
        <v>308.18694303184401</v>
      </c>
      <c r="K423" s="17">
        <v>1</v>
      </c>
    </row>
    <row r="424" spans="1:11" x14ac:dyDescent="0.25">
      <c r="A424" s="3" t="s">
        <v>867</v>
      </c>
      <c r="B424" s="4" t="s">
        <v>868</v>
      </c>
      <c r="C424" s="5">
        <v>1488</v>
      </c>
      <c r="D424" s="6" t="s">
        <v>34</v>
      </c>
      <c r="E424" s="6" t="s">
        <v>17</v>
      </c>
      <c r="F424" s="7">
        <v>35431</v>
      </c>
      <c r="G424" s="8">
        <f t="shared" si="6"/>
        <v>35431</v>
      </c>
      <c r="H424" s="6" t="s">
        <v>13</v>
      </c>
      <c r="I424" s="9">
        <v>2668.7552566858099</v>
      </c>
      <c r="J424" s="62">
        <v>76.677554598288097</v>
      </c>
      <c r="K424" s="17">
        <v>1</v>
      </c>
    </row>
    <row r="425" spans="1:11" x14ac:dyDescent="0.25">
      <c r="A425" s="3" t="s">
        <v>869</v>
      </c>
      <c r="B425" s="4" t="s">
        <v>870</v>
      </c>
      <c r="C425" s="14">
        <v>13442</v>
      </c>
      <c r="D425" s="6" t="s">
        <v>11</v>
      </c>
      <c r="E425" s="6" t="s">
        <v>17</v>
      </c>
      <c r="F425" s="7">
        <v>37945</v>
      </c>
      <c r="G425" s="8">
        <f t="shared" si="6"/>
        <v>37945</v>
      </c>
      <c r="H425" s="6" t="s">
        <v>13</v>
      </c>
      <c r="I425" s="9">
        <v>252306.24992722599</v>
      </c>
      <c r="J425" s="62">
        <v>982.60835792480202</v>
      </c>
      <c r="K425" s="17">
        <v>4</v>
      </c>
    </row>
    <row r="426" spans="1:11" x14ac:dyDescent="0.25">
      <c r="A426" s="3" t="s">
        <v>871</v>
      </c>
      <c r="B426" s="4" t="s">
        <v>872</v>
      </c>
      <c r="C426" s="5">
        <v>34177</v>
      </c>
      <c r="D426" s="6" t="s">
        <v>31</v>
      </c>
      <c r="E426" s="6" t="s">
        <v>17</v>
      </c>
      <c r="F426" s="7">
        <v>31199</v>
      </c>
      <c r="G426" s="8">
        <f t="shared" si="6"/>
        <v>31199</v>
      </c>
      <c r="H426" s="6" t="s">
        <v>13</v>
      </c>
      <c r="I426" s="9">
        <v>9756.3545364089896</v>
      </c>
      <c r="J426" s="62">
        <v>105.34489541961</v>
      </c>
      <c r="K426" s="17">
        <v>1</v>
      </c>
    </row>
    <row r="427" spans="1:11" x14ac:dyDescent="0.25">
      <c r="A427" s="3" t="s">
        <v>873</v>
      </c>
      <c r="B427" s="4" t="s">
        <v>874</v>
      </c>
      <c r="C427" s="5">
        <v>1633</v>
      </c>
      <c r="D427" s="6" t="s">
        <v>31</v>
      </c>
      <c r="E427" s="6" t="s">
        <v>17</v>
      </c>
      <c r="F427" s="7">
        <v>29221</v>
      </c>
      <c r="G427" s="8">
        <f t="shared" si="6"/>
        <v>29221</v>
      </c>
      <c r="H427" s="6" t="s">
        <v>13</v>
      </c>
      <c r="I427" s="9">
        <v>3254.02505730639</v>
      </c>
      <c r="J427" s="62">
        <v>117.543691322575</v>
      </c>
      <c r="K427" s="17">
        <v>1</v>
      </c>
    </row>
    <row r="428" spans="1:11" x14ac:dyDescent="0.25">
      <c r="A428" s="3" t="s">
        <v>875</v>
      </c>
      <c r="B428" s="4" t="s">
        <v>876</v>
      </c>
      <c r="C428" s="5">
        <v>10573</v>
      </c>
      <c r="D428" s="6" t="s">
        <v>34</v>
      </c>
      <c r="E428" s="6" t="s">
        <v>17</v>
      </c>
      <c r="F428" s="7">
        <v>37468</v>
      </c>
      <c r="G428" s="8">
        <f t="shared" si="6"/>
        <v>37468</v>
      </c>
      <c r="H428" s="6" t="s">
        <v>13</v>
      </c>
      <c r="I428" s="9">
        <v>30699.1287090277</v>
      </c>
      <c r="J428" s="62">
        <v>55.717991590778801</v>
      </c>
      <c r="K428" s="17">
        <v>1</v>
      </c>
    </row>
    <row r="429" spans="1:11" x14ac:dyDescent="0.25">
      <c r="A429" s="3" t="s">
        <v>877</v>
      </c>
      <c r="B429" s="4" t="s">
        <v>878</v>
      </c>
      <c r="C429" s="5">
        <v>1609</v>
      </c>
      <c r="D429" s="6" t="s">
        <v>31</v>
      </c>
      <c r="E429" s="6" t="s">
        <v>17</v>
      </c>
      <c r="F429" s="7">
        <v>29952</v>
      </c>
      <c r="G429" s="8">
        <f t="shared" si="6"/>
        <v>29952</v>
      </c>
      <c r="H429" s="6" t="s">
        <v>13</v>
      </c>
      <c r="I429" s="9">
        <v>122918.821513424</v>
      </c>
      <c r="J429" s="62">
        <v>912.81536972982099</v>
      </c>
      <c r="K429" s="17">
        <v>3</v>
      </c>
    </row>
    <row r="430" spans="1:11" x14ac:dyDescent="0.25">
      <c r="A430" s="3" t="s">
        <v>879</v>
      </c>
      <c r="B430" s="4" t="s">
        <v>880</v>
      </c>
      <c r="C430" s="5">
        <v>41649</v>
      </c>
      <c r="D430" s="6" t="s">
        <v>28</v>
      </c>
      <c r="E430" s="6" t="s">
        <v>17</v>
      </c>
      <c r="F430" s="7">
        <v>38422</v>
      </c>
      <c r="G430" s="8">
        <f t="shared" si="6"/>
        <v>38422</v>
      </c>
      <c r="H430" s="6" t="s">
        <v>13</v>
      </c>
      <c r="I430" s="9">
        <v>5506.2601579251605</v>
      </c>
      <c r="J430" s="62">
        <v>49.080070018999898</v>
      </c>
      <c r="K430" s="17">
        <v>1</v>
      </c>
    </row>
    <row r="431" spans="1:11" x14ac:dyDescent="0.25">
      <c r="A431" s="3" t="s">
        <v>881</v>
      </c>
      <c r="B431" s="4" t="s">
        <v>882</v>
      </c>
      <c r="C431" s="5">
        <v>19204</v>
      </c>
      <c r="D431" s="6" t="s">
        <v>31</v>
      </c>
      <c r="E431" s="6" t="s">
        <v>17</v>
      </c>
      <c r="F431" s="7">
        <v>38509</v>
      </c>
      <c r="G431" s="8">
        <f t="shared" si="6"/>
        <v>38509</v>
      </c>
      <c r="H431" s="6" t="s">
        <v>13</v>
      </c>
      <c r="I431" s="9">
        <v>23290.678776076198</v>
      </c>
      <c r="J431" s="62">
        <v>253.674203336267</v>
      </c>
      <c r="K431" s="17">
        <v>1</v>
      </c>
    </row>
    <row r="432" spans="1:11" x14ac:dyDescent="0.25">
      <c r="A432" s="3" t="s">
        <v>883</v>
      </c>
      <c r="B432" s="4" t="s">
        <v>884</v>
      </c>
      <c r="C432" s="14">
        <v>20171</v>
      </c>
      <c r="D432" s="6" t="s">
        <v>31</v>
      </c>
      <c r="E432" s="6" t="s">
        <v>17</v>
      </c>
      <c r="F432" s="7">
        <v>38568</v>
      </c>
      <c r="G432" s="8">
        <f t="shared" si="6"/>
        <v>38568</v>
      </c>
      <c r="H432" s="6" t="s">
        <v>13</v>
      </c>
      <c r="I432" s="9">
        <v>51477.665585446201</v>
      </c>
      <c r="J432" s="62">
        <v>818.24790426867003</v>
      </c>
      <c r="K432" s="17">
        <v>2</v>
      </c>
    </row>
    <row r="433" spans="1:11" x14ac:dyDescent="0.25">
      <c r="A433" s="3" t="s">
        <v>885</v>
      </c>
      <c r="B433" s="4" t="s">
        <v>886</v>
      </c>
      <c r="C433" s="5">
        <v>55185</v>
      </c>
      <c r="D433" s="6" t="s">
        <v>28</v>
      </c>
      <c r="E433" s="6" t="s">
        <v>17</v>
      </c>
      <c r="F433" s="7">
        <v>38917</v>
      </c>
      <c r="G433" s="8">
        <f t="shared" si="6"/>
        <v>38917</v>
      </c>
      <c r="H433" s="6" t="s">
        <v>13</v>
      </c>
      <c r="I433" s="9">
        <v>29755.3843287253</v>
      </c>
      <c r="J433" s="62">
        <v>564.76995802704801</v>
      </c>
      <c r="K433" s="17">
        <v>1</v>
      </c>
    </row>
    <row r="434" spans="1:11" x14ac:dyDescent="0.25">
      <c r="A434" s="3" t="s">
        <v>887</v>
      </c>
      <c r="B434" s="4" t="s">
        <v>888</v>
      </c>
      <c r="C434" s="5">
        <v>1208</v>
      </c>
      <c r="D434" s="6" t="s">
        <v>31</v>
      </c>
      <c r="E434" s="6" t="s">
        <v>17</v>
      </c>
      <c r="F434" s="7">
        <v>24108</v>
      </c>
      <c r="G434" s="8">
        <f t="shared" si="6"/>
        <v>24108</v>
      </c>
      <c r="H434" s="6" t="s">
        <v>13</v>
      </c>
      <c r="I434" s="9">
        <v>9999.9344496136891</v>
      </c>
      <c r="J434" s="62">
        <v>332.19222194310498</v>
      </c>
      <c r="K434" s="17">
        <v>1</v>
      </c>
    </row>
    <row r="435" spans="1:11" x14ac:dyDescent="0.25">
      <c r="A435" s="3" t="s">
        <v>889</v>
      </c>
      <c r="B435" s="4" t="s">
        <v>890</v>
      </c>
      <c r="C435" s="14">
        <v>17289</v>
      </c>
      <c r="D435" s="6" t="s">
        <v>31</v>
      </c>
      <c r="E435" s="6" t="s">
        <v>17</v>
      </c>
      <c r="F435" s="7">
        <v>40542</v>
      </c>
      <c r="G435" s="8">
        <f t="shared" si="6"/>
        <v>40542</v>
      </c>
      <c r="H435" s="6" t="s">
        <v>13</v>
      </c>
      <c r="I435" s="9">
        <v>22508.227499210603</v>
      </c>
      <c r="J435" s="62">
        <v>82.748930983249707</v>
      </c>
      <c r="K435" s="17">
        <v>1</v>
      </c>
    </row>
    <row r="436" spans="1:11" x14ac:dyDescent="0.25">
      <c r="A436" s="3" t="s">
        <v>891</v>
      </c>
      <c r="B436" s="4" t="s">
        <v>892</v>
      </c>
      <c r="C436" s="5">
        <v>1034</v>
      </c>
      <c r="D436" s="6" t="s">
        <v>31</v>
      </c>
      <c r="E436" s="6" t="s">
        <v>17</v>
      </c>
      <c r="F436" s="7">
        <v>29221</v>
      </c>
      <c r="G436" s="8">
        <f t="shared" si="6"/>
        <v>29221</v>
      </c>
      <c r="H436" s="6" t="s">
        <v>13</v>
      </c>
      <c r="I436" s="9">
        <v>44959.563984212204</v>
      </c>
      <c r="J436" s="62">
        <v>335.04308363347798</v>
      </c>
      <c r="K436" s="17">
        <v>2</v>
      </c>
    </row>
    <row r="437" spans="1:11" x14ac:dyDescent="0.25">
      <c r="A437" s="18" t="s">
        <v>893</v>
      </c>
      <c r="B437" s="19" t="s">
        <v>894</v>
      </c>
      <c r="C437" s="20">
        <v>1540</v>
      </c>
      <c r="D437" s="21" t="s">
        <v>28</v>
      </c>
      <c r="E437" s="21" t="s">
        <v>17</v>
      </c>
      <c r="F437" s="22">
        <v>29952</v>
      </c>
      <c r="G437" s="23">
        <f t="shared" si="6"/>
        <v>29952</v>
      </c>
      <c r="H437" s="21" t="s">
        <v>13</v>
      </c>
      <c r="I437" s="9">
        <v>247101.20580190301</v>
      </c>
      <c r="J437" s="62">
        <v>531.94544724664001</v>
      </c>
      <c r="K437" s="25">
        <v>2</v>
      </c>
    </row>
    <row r="438" spans="1:11" x14ac:dyDescent="0.25">
      <c r="A438" s="3" t="s">
        <v>895</v>
      </c>
      <c r="B438" s="4" t="s">
        <v>896</v>
      </c>
      <c r="C438" s="5">
        <v>2029</v>
      </c>
      <c r="D438" s="6" t="s">
        <v>11</v>
      </c>
      <c r="E438" s="6" t="s">
        <v>17</v>
      </c>
      <c r="F438" s="7">
        <v>29221</v>
      </c>
      <c r="G438" s="8">
        <f t="shared" si="6"/>
        <v>29221</v>
      </c>
      <c r="H438" s="6" t="s">
        <v>13</v>
      </c>
      <c r="I438" s="9">
        <v>303818.84000162804</v>
      </c>
      <c r="J438" s="62">
        <v>950.36053142957405</v>
      </c>
      <c r="K438" s="17">
        <v>2</v>
      </c>
    </row>
    <row r="439" spans="1:11" x14ac:dyDescent="0.25">
      <c r="A439" s="3" t="s">
        <v>897</v>
      </c>
      <c r="B439" s="4" t="s">
        <v>898</v>
      </c>
      <c r="C439" s="5">
        <v>52273</v>
      </c>
      <c r="D439" s="6" t="s">
        <v>37</v>
      </c>
      <c r="E439" s="6" t="s">
        <v>38</v>
      </c>
      <c r="F439" s="7">
        <v>39090</v>
      </c>
      <c r="G439" s="8">
        <f t="shared" si="6"/>
        <v>39090</v>
      </c>
      <c r="H439" s="6" t="s">
        <v>39</v>
      </c>
      <c r="I439" s="9">
        <v>6434.9827562156797</v>
      </c>
      <c r="J439" s="62">
        <v>56.300252086790003</v>
      </c>
      <c r="K439" s="17">
        <v>1</v>
      </c>
    </row>
    <row r="440" spans="1:11" x14ac:dyDescent="0.25">
      <c r="A440" s="3" t="s">
        <v>899</v>
      </c>
      <c r="B440" s="4" t="s">
        <v>900</v>
      </c>
      <c r="C440" s="14">
        <v>1516</v>
      </c>
      <c r="D440" s="6" t="s">
        <v>31</v>
      </c>
      <c r="E440" s="6" t="s">
        <v>17</v>
      </c>
      <c r="F440" s="7">
        <v>29952</v>
      </c>
      <c r="G440" s="8">
        <f t="shared" si="6"/>
        <v>29952</v>
      </c>
      <c r="H440" s="6" t="s">
        <v>13</v>
      </c>
      <c r="I440" s="9">
        <v>18855.254174907499</v>
      </c>
      <c r="J440" s="62">
        <v>397.74144303886197</v>
      </c>
      <c r="K440" s="17">
        <v>1</v>
      </c>
    </row>
    <row r="441" spans="1:11" x14ac:dyDescent="0.25">
      <c r="A441" s="3" t="s">
        <v>901</v>
      </c>
      <c r="B441" s="4" t="s">
        <v>902</v>
      </c>
      <c r="C441" s="14">
        <v>1984</v>
      </c>
      <c r="D441" s="6" t="s">
        <v>28</v>
      </c>
      <c r="E441" s="6" t="s">
        <v>17</v>
      </c>
      <c r="F441" s="7">
        <v>29587</v>
      </c>
      <c r="G441" s="8">
        <f t="shared" si="6"/>
        <v>29587</v>
      </c>
      <c r="H441" s="6" t="s">
        <v>13</v>
      </c>
      <c r="I441" s="9">
        <v>15024.0433352621</v>
      </c>
      <c r="J441" s="62">
        <v>75.086577906572799</v>
      </c>
      <c r="K441" s="17">
        <v>1</v>
      </c>
    </row>
    <row r="442" spans="1:11" x14ac:dyDescent="0.25">
      <c r="A442" s="3" t="s">
        <v>903</v>
      </c>
      <c r="B442" s="4" t="s">
        <v>904</v>
      </c>
      <c r="C442" s="5">
        <v>54549</v>
      </c>
      <c r="D442" s="6" t="s">
        <v>28</v>
      </c>
      <c r="E442" s="6" t="s">
        <v>17</v>
      </c>
      <c r="F442" s="7">
        <v>38353</v>
      </c>
      <c r="G442" s="8">
        <f t="shared" si="6"/>
        <v>38353</v>
      </c>
      <c r="H442" s="6" t="s">
        <v>13</v>
      </c>
      <c r="I442" s="9">
        <v>126088.185390742</v>
      </c>
      <c r="J442" s="62">
        <v>626.79588977292497</v>
      </c>
      <c r="K442" s="17">
        <v>2</v>
      </c>
    </row>
    <row r="443" spans="1:11" x14ac:dyDescent="0.25">
      <c r="A443" s="3" t="s">
        <v>905</v>
      </c>
      <c r="B443" s="4" t="s">
        <v>906</v>
      </c>
      <c r="C443" s="5">
        <v>1590</v>
      </c>
      <c r="D443" s="6" t="s">
        <v>28</v>
      </c>
      <c r="E443" s="6" t="s">
        <v>17</v>
      </c>
      <c r="F443" s="7">
        <v>37361</v>
      </c>
      <c r="G443" s="8">
        <f t="shared" si="6"/>
        <v>37361</v>
      </c>
      <c r="H443" s="6" t="s">
        <v>13</v>
      </c>
      <c r="I443" s="9">
        <v>5909.8738820112103</v>
      </c>
      <c r="J443" s="62">
        <v>55.087546640050903</v>
      </c>
      <c r="K443" s="17">
        <v>1</v>
      </c>
    </row>
    <row r="444" spans="1:11" x14ac:dyDescent="0.25">
      <c r="A444" s="3" t="s">
        <v>907</v>
      </c>
      <c r="B444" s="4" t="s">
        <v>908</v>
      </c>
      <c r="C444" s="14">
        <v>18893</v>
      </c>
      <c r="D444" s="6" t="s">
        <v>11</v>
      </c>
      <c r="E444" s="6" t="s">
        <v>17</v>
      </c>
      <c r="F444" s="7">
        <v>38422</v>
      </c>
      <c r="G444" s="8">
        <f t="shared" si="6"/>
        <v>38422</v>
      </c>
      <c r="H444" s="6" t="s">
        <v>13</v>
      </c>
      <c r="I444" s="9">
        <v>107557.302903256</v>
      </c>
      <c r="J444" s="62">
        <v>639.53227801556795</v>
      </c>
      <c r="K444" s="17">
        <v>2</v>
      </c>
    </row>
    <row r="445" spans="1:11" x14ac:dyDescent="0.25">
      <c r="A445" s="3" t="s">
        <v>909</v>
      </c>
      <c r="B445" s="4" t="s">
        <v>910</v>
      </c>
      <c r="C445" s="5">
        <v>36129</v>
      </c>
      <c r="D445" s="6" t="s">
        <v>11</v>
      </c>
      <c r="E445" s="6" t="s">
        <v>12</v>
      </c>
      <c r="F445" s="7">
        <v>37097</v>
      </c>
      <c r="G445" s="8">
        <f t="shared" si="6"/>
        <v>37097</v>
      </c>
      <c r="H445" s="6" t="s">
        <v>39</v>
      </c>
      <c r="I445" s="9">
        <v>14629.276682180602</v>
      </c>
      <c r="J445" s="62">
        <v>60.3363750806434</v>
      </c>
      <c r="K445" s="17">
        <v>2</v>
      </c>
    </row>
    <row r="446" spans="1:11" x14ac:dyDescent="0.25">
      <c r="A446" s="3" t="s">
        <v>911</v>
      </c>
      <c r="B446" s="4" t="s">
        <v>912</v>
      </c>
      <c r="C446" s="5">
        <v>12488</v>
      </c>
      <c r="D446" s="6" t="s">
        <v>11</v>
      </c>
      <c r="E446" s="6" t="s">
        <v>17</v>
      </c>
      <c r="F446" s="7">
        <v>37819</v>
      </c>
      <c r="G446" s="8">
        <f t="shared" si="6"/>
        <v>37819</v>
      </c>
      <c r="H446" s="6" t="s">
        <v>13</v>
      </c>
      <c r="I446" s="9">
        <v>12912.6359782502</v>
      </c>
      <c r="J446" s="62">
        <v>297.27897196696898</v>
      </c>
      <c r="K446" s="17">
        <v>1</v>
      </c>
    </row>
    <row r="447" spans="1:11" x14ac:dyDescent="0.25">
      <c r="A447" s="3" t="s">
        <v>913</v>
      </c>
      <c r="B447" s="4" t="s">
        <v>914</v>
      </c>
      <c r="C447" s="5">
        <v>30536</v>
      </c>
      <c r="D447" s="6" t="s">
        <v>16</v>
      </c>
      <c r="E447" s="6" t="s">
        <v>17</v>
      </c>
      <c r="F447" s="7">
        <v>38540</v>
      </c>
      <c r="G447" s="8">
        <f t="shared" si="6"/>
        <v>38540</v>
      </c>
      <c r="H447" s="6" t="s">
        <v>13</v>
      </c>
      <c r="I447" s="9">
        <v>45739.323238802695</v>
      </c>
      <c r="J447" s="62">
        <v>208.85454565164201</v>
      </c>
      <c r="K447" s="17">
        <v>1</v>
      </c>
    </row>
    <row r="448" spans="1:11" x14ac:dyDescent="0.25">
      <c r="A448" s="3" t="s">
        <v>915</v>
      </c>
      <c r="B448" s="4" t="s">
        <v>916</v>
      </c>
      <c r="C448" s="5">
        <v>1324</v>
      </c>
      <c r="D448" s="6" t="s">
        <v>16</v>
      </c>
      <c r="E448" s="6" t="s">
        <v>17</v>
      </c>
      <c r="F448" s="7">
        <v>25569</v>
      </c>
      <c r="G448" s="8">
        <f t="shared" si="6"/>
        <v>25569</v>
      </c>
      <c r="H448" s="6" t="s">
        <v>13</v>
      </c>
      <c r="I448" s="9">
        <v>21121.7096936708</v>
      </c>
      <c r="J448" s="62">
        <v>264.85051143257999</v>
      </c>
      <c r="K448" s="17">
        <v>1</v>
      </c>
    </row>
    <row r="449" spans="1:11" x14ac:dyDescent="0.25">
      <c r="A449" s="3" t="s">
        <v>917</v>
      </c>
      <c r="B449" s="4" t="s">
        <v>918</v>
      </c>
      <c r="C449" s="5">
        <v>1444</v>
      </c>
      <c r="D449" s="6" t="s">
        <v>16</v>
      </c>
      <c r="E449" s="6" t="s">
        <v>17</v>
      </c>
      <c r="F449" s="7">
        <v>32874</v>
      </c>
      <c r="G449" s="8">
        <f t="shared" si="6"/>
        <v>32874</v>
      </c>
      <c r="H449" s="6" t="s">
        <v>13</v>
      </c>
      <c r="I449" s="9">
        <v>82185.432513581007</v>
      </c>
      <c r="J449" s="62">
        <v>344.40727684251101</v>
      </c>
      <c r="K449" s="17">
        <v>1</v>
      </c>
    </row>
    <row r="450" spans="1:11" x14ac:dyDescent="0.25">
      <c r="A450" s="3" t="s">
        <v>919</v>
      </c>
      <c r="B450" s="4" t="s">
        <v>920</v>
      </c>
      <c r="C450" s="5">
        <v>30535</v>
      </c>
      <c r="D450" s="6" t="s">
        <v>16</v>
      </c>
      <c r="E450" s="6" t="s">
        <v>17</v>
      </c>
      <c r="F450" s="7">
        <v>39534</v>
      </c>
      <c r="G450" s="8">
        <f t="shared" ref="G450:G513" si="7">F450</f>
        <v>39534</v>
      </c>
      <c r="H450" s="6" t="s">
        <v>13</v>
      </c>
      <c r="I450" s="9">
        <v>21666.191507268501</v>
      </c>
      <c r="J450" s="62">
        <v>336.82574533867898</v>
      </c>
      <c r="K450" s="17">
        <v>1</v>
      </c>
    </row>
    <row r="451" spans="1:11" x14ac:dyDescent="0.25">
      <c r="A451" s="3" t="s">
        <v>921</v>
      </c>
      <c r="B451" s="4" t="s">
        <v>922</v>
      </c>
      <c r="C451" s="14">
        <v>1857</v>
      </c>
      <c r="D451" s="6" t="s">
        <v>16</v>
      </c>
      <c r="E451" s="6" t="s">
        <v>17</v>
      </c>
      <c r="F451" s="7">
        <v>32874</v>
      </c>
      <c r="G451" s="8">
        <f t="shared" si="7"/>
        <v>32874</v>
      </c>
      <c r="H451" s="6" t="s">
        <v>13</v>
      </c>
      <c r="I451" s="9" t="s">
        <v>3380</v>
      </c>
      <c r="J451" s="62" t="s">
        <v>3380</v>
      </c>
      <c r="K451" s="17">
        <v>1</v>
      </c>
    </row>
    <row r="452" spans="1:11" x14ac:dyDescent="0.25">
      <c r="A452" s="42" t="s">
        <v>923</v>
      </c>
      <c r="B452" s="43" t="s">
        <v>924</v>
      </c>
      <c r="C452" s="5">
        <v>1108</v>
      </c>
      <c r="D452" s="44" t="s">
        <v>28</v>
      </c>
      <c r="E452" s="44" t="s">
        <v>17</v>
      </c>
      <c r="F452" s="45">
        <v>38026</v>
      </c>
      <c r="G452" s="30">
        <f t="shared" si="7"/>
        <v>38026</v>
      </c>
      <c r="H452" s="44" t="s">
        <v>13</v>
      </c>
      <c r="I452" s="9">
        <v>22694.62405789</v>
      </c>
      <c r="J452" s="62">
        <v>134.72800278076301</v>
      </c>
      <c r="K452" s="33">
        <v>2</v>
      </c>
    </row>
    <row r="453" spans="1:11" x14ac:dyDescent="0.25">
      <c r="A453" s="3" t="s">
        <v>925</v>
      </c>
      <c r="B453" s="4" t="s">
        <v>926</v>
      </c>
      <c r="C453" s="5">
        <v>15362</v>
      </c>
      <c r="D453" s="6" t="s">
        <v>28</v>
      </c>
      <c r="E453" s="6" t="s">
        <v>17</v>
      </c>
      <c r="F453" s="7">
        <v>32325</v>
      </c>
      <c r="G453" s="8">
        <f t="shared" si="7"/>
        <v>32325</v>
      </c>
      <c r="H453" s="6" t="s">
        <v>13</v>
      </c>
      <c r="I453" s="9">
        <v>59577.871486595395</v>
      </c>
      <c r="J453" s="62">
        <v>342.98765698864901</v>
      </c>
      <c r="K453" s="17">
        <v>2</v>
      </c>
    </row>
    <row r="454" spans="1:11" x14ac:dyDescent="0.25">
      <c r="A454" s="26" t="s">
        <v>927</v>
      </c>
      <c r="B454" s="27" t="s">
        <v>928</v>
      </c>
      <c r="C454" s="34">
        <v>28209</v>
      </c>
      <c r="D454" s="28" t="s">
        <v>28</v>
      </c>
      <c r="E454" s="28" t="s">
        <v>17</v>
      </c>
      <c r="F454" s="29">
        <v>26573</v>
      </c>
      <c r="G454" s="30">
        <f t="shared" si="7"/>
        <v>26573</v>
      </c>
      <c r="H454" s="28" t="s">
        <v>13</v>
      </c>
      <c r="I454" s="9">
        <v>6115.7391963166892</v>
      </c>
      <c r="J454" s="62">
        <v>54.489177632350099</v>
      </c>
      <c r="K454" s="33">
        <v>1</v>
      </c>
    </row>
    <row r="455" spans="1:11" x14ac:dyDescent="0.25">
      <c r="A455" s="3" t="s">
        <v>929</v>
      </c>
      <c r="B455" s="4" t="s">
        <v>930</v>
      </c>
      <c r="C455" s="5">
        <v>54550</v>
      </c>
      <c r="D455" s="6" t="s">
        <v>31</v>
      </c>
      <c r="E455" s="6" t="s">
        <v>17</v>
      </c>
      <c r="F455" s="7">
        <v>33067</v>
      </c>
      <c r="G455" s="8">
        <f t="shared" si="7"/>
        <v>33067</v>
      </c>
      <c r="H455" s="6" t="s">
        <v>13</v>
      </c>
      <c r="I455" s="9">
        <v>3238.1266501198002</v>
      </c>
      <c r="J455" s="62">
        <v>77.289602804509002</v>
      </c>
      <c r="K455" s="17">
        <v>2</v>
      </c>
    </row>
    <row r="456" spans="1:11" x14ac:dyDescent="0.25">
      <c r="A456" s="3" t="s">
        <v>931</v>
      </c>
      <c r="B456" s="4" t="s">
        <v>932</v>
      </c>
      <c r="C456" s="5">
        <v>1347</v>
      </c>
      <c r="D456" s="6" t="s">
        <v>31</v>
      </c>
      <c r="E456" s="6" t="s">
        <v>17</v>
      </c>
      <c r="F456" s="7">
        <v>27227</v>
      </c>
      <c r="G456" s="8">
        <f t="shared" si="7"/>
        <v>27227</v>
      </c>
      <c r="H456" s="6" t="s">
        <v>13</v>
      </c>
      <c r="I456" s="9">
        <v>418966.03596062196</v>
      </c>
      <c r="J456" s="62">
        <v>681.99438032854698</v>
      </c>
      <c r="K456" s="17">
        <v>3</v>
      </c>
    </row>
    <row r="457" spans="1:11" x14ac:dyDescent="0.25">
      <c r="A457" s="3" t="s">
        <v>933</v>
      </c>
      <c r="B457" s="4" t="s">
        <v>934</v>
      </c>
      <c r="C457" s="5">
        <v>9601</v>
      </c>
      <c r="D457" s="6" t="s">
        <v>28</v>
      </c>
      <c r="E457" s="6" t="s">
        <v>17</v>
      </c>
      <c r="F457" s="7">
        <v>37635</v>
      </c>
      <c r="G457" s="8">
        <f t="shared" si="7"/>
        <v>37635</v>
      </c>
      <c r="H457" s="6" t="s">
        <v>13</v>
      </c>
      <c r="I457" s="9">
        <v>73525.377284010698</v>
      </c>
      <c r="J457" s="62">
        <v>571.321841095183</v>
      </c>
      <c r="K457" s="17">
        <v>2</v>
      </c>
    </row>
    <row r="458" spans="1:11" x14ac:dyDescent="0.25">
      <c r="A458" s="3" t="s">
        <v>935</v>
      </c>
      <c r="B458" s="4" t="s">
        <v>936</v>
      </c>
      <c r="C458" s="5">
        <v>1436</v>
      </c>
      <c r="D458" s="6" t="s">
        <v>16</v>
      </c>
      <c r="E458" s="6" t="s">
        <v>17</v>
      </c>
      <c r="F458" s="7">
        <v>29221</v>
      </c>
      <c r="G458" s="8">
        <f t="shared" si="7"/>
        <v>29221</v>
      </c>
      <c r="H458" s="6" t="s">
        <v>13</v>
      </c>
      <c r="I458" s="9">
        <v>1623.72204580108</v>
      </c>
      <c r="J458" s="62">
        <v>276.04190537615602</v>
      </c>
      <c r="K458" s="17">
        <v>1</v>
      </c>
    </row>
    <row r="459" spans="1:11" x14ac:dyDescent="0.25">
      <c r="A459" s="3" t="s">
        <v>937</v>
      </c>
      <c r="B459" s="4" t="s">
        <v>938</v>
      </c>
      <c r="C459" s="5">
        <v>1848</v>
      </c>
      <c r="D459" s="6" t="s">
        <v>16</v>
      </c>
      <c r="E459" s="6" t="s">
        <v>17</v>
      </c>
      <c r="F459" s="7">
        <v>31048</v>
      </c>
      <c r="G459" s="8">
        <f t="shared" si="7"/>
        <v>31048</v>
      </c>
      <c r="H459" s="6" t="s">
        <v>13</v>
      </c>
      <c r="I459" s="9">
        <v>28347.387819370098</v>
      </c>
      <c r="J459" s="62">
        <v>435.82004488685902</v>
      </c>
      <c r="K459" s="17">
        <v>2</v>
      </c>
    </row>
    <row r="460" spans="1:11" x14ac:dyDescent="0.25">
      <c r="A460" s="3" t="s">
        <v>939</v>
      </c>
      <c r="B460" s="4" t="s">
        <v>940</v>
      </c>
      <c r="C460" s="5">
        <v>21448</v>
      </c>
      <c r="D460" s="6" t="s">
        <v>28</v>
      </c>
      <c r="E460" s="6" t="s">
        <v>17</v>
      </c>
      <c r="F460" s="7">
        <v>38415</v>
      </c>
      <c r="G460" s="8">
        <f t="shared" si="7"/>
        <v>38415</v>
      </c>
      <c r="H460" s="6" t="s">
        <v>13</v>
      </c>
      <c r="I460" s="9">
        <v>7031.2684195971706</v>
      </c>
      <c r="J460" s="62">
        <v>201.73490422548701</v>
      </c>
      <c r="K460" s="17">
        <v>1</v>
      </c>
    </row>
    <row r="461" spans="1:11" x14ac:dyDescent="0.25">
      <c r="A461" s="3" t="s">
        <v>941</v>
      </c>
      <c r="B461" s="4" t="s">
        <v>942</v>
      </c>
      <c r="C461" s="5">
        <v>1647</v>
      </c>
      <c r="D461" s="6" t="s">
        <v>28</v>
      </c>
      <c r="E461" s="6" t="s">
        <v>17</v>
      </c>
      <c r="F461" s="7">
        <v>35065</v>
      </c>
      <c r="G461" s="8">
        <f t="shared" si="7"/>
        <v>35065</v>
      </c>
      <c r="H461" s="6" t="s">
        <v>13</v>
      </c>
      <c r="I461" s="9">
        <v>18296.714483867301</v>
      </c>
      <c r="J461" s="62">
        <v>119.330284526032</v>
      </c>
      <c r="K461" s="17">
        <v>1</v>
      </c>
    </row>
    <row r="462" spans="1:11" x14ac:dyDescent="0.25">
      <c r="A462" s="3" t="s">
        <v>943</v>
      </c>
      <c r="B462" s="4" t="s">
        <v>944</v>
      </c>
      <c r="C462" s="5">
        <v>1367</v>
      </c>
      <c r="D462" s="6" t="s">
        <v>28</v>
      </c>
      <c r="E462" s="6" t="s">
        <v>17</v>
      </c>
      <c r="F462" s="7">
        <v>31413</v>
      </c>
      <c r="G462" s="8">
        <f t="shared" si="7"/>
        <v>31413</v>
      </c>
      <c r="H462" s="6" t="s">
        <v>13</v>
      </c>
      <c r="I462" s="9">
        <v>62979.527697039899</v>
      </c>
      <c r="J462" s="62">
        <v>389.87969765548002</v>
      </c>
      <c r="K462" s="17">
        <v>1</v>
      </c>
    </row>
    <row r="463" spans="1:11" x14ac:dyDescent="0.25">
      <c r="A463" s="3" t="s">
        <v>945</v>
      </c>
      <c r="B463" s="4" t="s">
        <v>946</v>
      </c>
      <c r="C463" s="5">
        <v>2025</v>
      </c>
      <c r="D463" s="6" t="s">
        <v>16</v>
      </c>
      <c r="E463" s="6" t="s">
        <v>17</v>
      </c>
      <c r="F463" s="7">
        <v>29221</v>
      </c>
      <c r="G463" s="8">
        <f t="shared" si="7"/>
        <v>29221</v>
      </c>
      <c r="H463" s="6" t="s">
        <v>13</v>
      </c>
      <c r="I463" s="9">
        <v>40735.065924229602</v>
      </c>
      <c r="J463" s="62">
        <v>352.959942596112</v>
      </c>
      <c r="K463" s="17">
        <v>1</v>
      </c>
    </row>
    <row r="464" spans="1:11" x14ac:dyDescent="0.25">
      <c r="A464" s="3" t="s">
        <v>947</v>
      </c>
      <c r="B464" s="4" t="s">
        <v>948</v>
      </c>
      <c r="C464" s="5">
        <v>52276</v>
      </c>
      <c r="D464" s="6" t="s">
        <v>37</v>
      </c>
      <c r="E464" s="6" t="s">
        <v>38</v>
      </c>
      <c r="F464" s="7">
        <v>37467</v>
      </c>
      <c r="G464" s="8">
        <f t="shared" si="7"/>
        <v>37467</v>
      </c>
      <c r="H464" s="6" t="s">
        <v>39</v>
      </c>
      <c r="I464" s="9">
        <v>37115.0719330145</v>
      </c>
      <c r="J464" s="62">
        <v>181.734686195476</v>
      </c>
      <c r="K464" s="17">
        <v>1</v>
      </c>
    </row>
    <row r="465" spans="1:11" x14ac:dyDescent="0.25">
      <c r="A465" s="26" t="s">
        <v>949</v>
      </c>
      <c r="B465" s="27" t="s">
        <v>950</v>
      </c>
      <c r="C465" s="34">
        <v>14087</v>
      </c>
      <c r="D465" s="28" t="s">
        <v>37</v>
      </c>
      <c r="E465" s="28" t="s">
        <v>38</v>
      </c>
      <c r="F465" s="29">
        <v>37125</v>
      </c>
      <c r="G465" s="30">
        <f t="shared" si="7"/>
        <v>37125</v>
      </c>
      <c r="H465" s="28" t="s">
        <v>39</v>
      </c>
      <c r="I465" s="9">
        <v>39762.386480077403</v>
      </c>
      <c r="J465" s="62">
        <v>462.20481730204602</v>
      </c>
      <c r="K465" s="33">
        <v>2</v>
      </c>
    </row>
    <row r="466" spans="1:11" x14ac:dyDescent="0.25">
      <c r="A466" s="3" t="s">
        <v>951</v>
      </c>
      <c r="B466" s="4" t="s">
        <v>952</v>
      </c>
      <c r="C466" s="5">
        <v>24961</v>
      </c>
      <c r="D466" s="6" t="s">
        <v>37</v>
      </c>
      <c r="E466" s="6" t="s">
        <v>38</v>
      </c>
      <c r="F466" s="7">
        <v>38384</v>
      </c>
      <c r="G466" s="8">
        <f t="shared" si="7"/>
        <v>38384</v>
      </c>
      <c r="H466" s="6" t="s">
        <v>39</v>
      </c>
      <c r="I466" s="9">
        <v>10562.648601288</v>
      </c>
      <c r="J466" s="62">
        <v>93.319514910439196</v>
      </c>
      <c r="K466" s="17">
        <v>1</v>
      </c>
    </row>
    <row r="467" spans="1:11" x14ac:dyDescent="0.25">
      <c r="A467" s="3" t="s">
        <v>953</v>
      </c>
      <c r="B467" s="4" t="s">
        <v>954</v>
      </c>
      <c r="C467" s="5">
        <v>2027</v>
      </c>
      <c r="D467" s="6" t="s">
        <v>16</v>
      </c>
      <c r="E467" s="6" t="s">
        <v>17</v>
      </c>
      <c r="F467" s="7">
        <v>37019</v>
      </c>
      <c r="G467" s="8">
        <f t="shared" si="7"/>
        <v>37019</v>
      </c>
      <c r="H467" s="6" t="s">
        <v>13</v>
      </c>
      <c r="I467" s="9">
        <v>51555.023170617096</v>
      </c>
      <c r="J467" s="62">
        <v>354.051899022398</v>
      </c>
      <c r="K467" s="17">
        <v>1</v>
      </c>
    </row>
    <row r="468" spans="1:11" x14ac:dyDescent="0.25">
      <c r="A468" s="3" t="s">
        <v>955</v>
      </c>
      <c r="B468" s="4" t="s">
        <v>956</v>
      </c>
      <c r="C468" s="5">
        <v>1627</v>
      </c>
      <c r="D468" s="6" t="s">
        <v>16</v>
      </c>
      <c r="E468" s="6" t="s">
        <v>17</v>
      </c>
      <c r="F468" s="7">
        <v>35608</v>
      </c>
      <c r="G468" s="8">
        <f t="shared" si="7"/>
        <v>35608</v>
      </c>
      <c r="H468" s="6" t="s">
        <v>13</v>
      </c>
      <c r="I468" s="9">
        <v>77752.77492516971</v>
      </c>
      <c r="J468" s="62">
        <v>432.34394999471698</v>
      </c>
      <c r="K468" s="17">
        <v>2</v>
      </c>
    </row>
    <row r="469" spans="1:11" x14ac:dyDescent="0.25">
      <c r="A469" s="26" t="s">
        <v>957</v>
      </c>
      <c r="B469" s="27" t="s">
        <v>958</v>
      </c>
      <c r="C469" s="34">
        <v>27860</v>
      </c>
      <c r="D469" s="28" t="s">
        <v>28</v>
      </c>
      <c r="E469" s="28" t="s">
        <v>17</v>
      </c>
      <c r="F469" s="29">
        <v>32534</v>
      </c>
      <c r="G469" s="30">
        <f t="shared" si="7"/>
        <v>32534</v>
      </c>
      <c r="H469" s="28" t="s">
        <v>13</v>
      </c>
      <c r="I469" s="9">
        <v>71030.488418863402</v>
      </c>
      <c r="J469" s="62">
        <v>380.12048316952303</v>
      </c>
      <c r="K469" s="33">
        <v>2</v>
      </c>
    </row>
    <row r="470" spans="1:11" x14ac:dyDescent="0.25">
      <c r="A470" s="3" t="s">
        <v>959</v>
      </c>
      <c r="B470" s="4" t="s">
        <v>960</v>
      </c>
      <c r="C470" s="5">
        <v>16005</v>
      </c>
      <c r="D470" s="6" t="s">
        <v>31</v>
      </c>
      <c r="E470" s="6" t="s">
        <v>17</v>
      </c>
      <c r="F470" s="7">
        <v>33394</v>
      </c>
      <c r="G470" s="8">
        <f t="shared" si="7"/>
        <v>33394</v>
      </c>
      <c r="H470" s="6" t="s">
        <v>13</v>
      </c>
      <c r="I470" s="9">
        <v>1653.4770489999501</v>
      </c>
      <c r="J470" s="62">
        <v>63.9035707818405</v>
      </c>
      <c r="K470" s="17">
        <v>1</v>
      </c>
    </row>
    <row r="471" spans="1:11" x14ac:dyDescent="0.25">
      <c r="A471" s="18" t="s">
        <v>961</v>
      </c>
      <c r="B471" s="19" t="s">
        <v>962</v>
      </c>
      <c r="C471" s="20">
        <v>1544</v>
      </c>
      <c r="D471" s="21" t="s">
        <v>34</v>
      </c>
      <c r="E471" s="21" t="s">
        <v>17</v>
      </c>
      <c r="F471" s="22">
        <v>20992</v>
      </c>
      <c r="G471" s="23">
        <f t="shared" si="7"/>
        <v>20992</v>
      </c>
      <c r="H471" s="21" t="s">
        <v>13</v>
      </c>
      <c r="I471" s="9">
        <v>25430.722648553899</v>
      </c>
      <c r="J471" s="62">
        <v>222.78564775887</v>
      </c>
      <c r="K471" s="25">
        <v>1</v>
      </c>
    </row>
    <row r="472" spans="1:11" x14ac:dyDescent="0.25">
      <c r="A472" s="3" t="s">
        <v>963</v>
      </c>
      <c r="B472" s="4" t="s">
        <v>964</v>
      </c>
      <c r="C472" s="5">
        <v>15682</v>
      </c>
      <c r="D472" s="6" t="s">
        <v>31</v>
      </c>
      <c r="E472" s="6" t="s">
        <v>17</v>
      </c>
      <c r="F472" s="7">
        <v>31155</v>
      </c>
      <c r="G472" s="8">
        <f t="shared" si="7"/>
        <v>31155</v>
      </c>
      <c r="H472" s="6" t="s">
        <v>13</v>
      </c>
      <c r="I472" s="9">
        <v>6993.2310580612893</v>
      </c>
      <c r="J472" s="62">
        <v>144.39480116957299</v>
      </c>
      <c r="K472" s="17">
        <v>1</v>
      </c>
    </row>
    <row r="473" spans="1:11" x14ac:dyDescent="0.25">
      <c r="A473" s="3" t="s">
        <v>965</v>
      </c>
      <c r="B473" s="4" t="s">
        <v>966</v>
      </c>
      <c r="C473" s="5">
        <v>1411</v>
      </c>
      <c r="D473" s="6" t="s">
        <v>28</v>
      </c>
      <c r="E473" s="6" t="s">
        <v>17</v>
      </c>
      <c r="F473" s="7">
        <v>19725</v>
      </c>
      <c r="G473" s="8">
        <f t="shared" si="7"/>
        <v>19725</v>
      </c>
      <c r="H473" s="6" t="s">
        <v>13</v>
      </c>
      <c r="I473" s="9">
        <v>258899.77558812898</v>
      </c>
      <c r="J473" s="62">
        <v>941.88054197586496</v>
      </c>
      <c r="K473" s="17">
        <v>2</v>
      </c>
    </row>
    <row r="474" spans="1:11" x14ac:dyDescent="0.25">
      <c r="A474" s="3" t="s">
        <v>967</v>
      </c>
      <c r="B474" s="4" t="s">
        <v>968</v>
      </c>
      <c r="C474" s="5">
        <v>41665</v>
      </c>
      <c r="D474" s="6" t="s">
        <v>31</v>
      </c>
      <c r="E474" s="6" t="s">
        <v>17</v>
      </c>
      <c r="F474" s="7">
        <v>34225</v>
      </c>
      <c r="G474" s="8">
        <f t="shared" si="7"/>
        <v>34225</v>
      </c>
      <c r="H474" s="6" t="s">
        <v>13</v>
      </c>
      <c r="I474" s="9">
        <v>58007.407533511803</v>
      </c>
      <c r="J474" s="62">
        <v>298.34832233692998</v>
      </c>
      <c r="K474" s="17">
        <v>2</v>
      </c>
    </row>
    <row r="475" spans="1:11" x14ac:dyDescent="0.25">
      <c r="A475" s="3" t="s">
        <v>969</v>
      </c>
      <c r="B475" s="4" t="s">
        <v>970</v>
      </c>
      <c r="C475" s="5">
        <v>1437</v>
      </c>
      <c r="D475" s="6" t="s">
        <v>16</v>
      </c>
      <c r="E475" s="6" t="s">
        <v>17</v>
      </c>
      <c r="F475" s="7">
        <v>31048</v>
      </c>
      <c r="G475" s="8">
        <f t="shared" si="7"/>
        <v>31048</v>
      </c>
      <c r="H475" s="6" t="s">
        <v>13</v>
      </c>
      <c r="I475" s="9">
        <v>22751.0884060565</v>
      </c>
      <c r="J475" s="62">
        <v>347.061772295884</v>
      </c>
      <c r="K475" s="17">
        <v>1</v>
      </c>
    </row>
    <row r="476" spans="1:11" x14ac:dyDescent="0.25">
      <c r="A476" s="3" t="s">
        <v>971</v>
      </c>
      <c r="B476" s="4" t="s">
        <v>972</v>
      </c>
      <c r="C476" s="14">
        <v>1435</v>
      </c>
      <c r="D476" s="6" t="s">
        <v>16</v>
      </c>
      <c r="E476" s="6" t="s">
        <v>17</v>
      </c>
      <c r="F476" s="7">
        <v>27282</v>
      </c>
      <c r="G476" s="8">
        <f t="shared" si="7"/>
        <v>27282</v>
      </c>
      <c r="H476" s="6" t="s">
        <v>13</v>
      </c>
      <c r="I476" s="9">
        <v>61745.298428130198</v>
      </c>
      <c r="J476" s="62">
        <v>502.07674972374099</v>
      </c>
      <c r="K476" s="17">
        <v>2</v>
      </c>
    </row>
    <row r="477" spans="1:11" x14ac:dyDescent="0.25">
      <c r="A477" s="3" t="s">
        <v>973</v>
      </c>
      <c r="B477" s="4" t="s">
        <v>974</v>
      </c>
      <c r="C477" s="14">
        <v>1077</v>
      </c>
      <c r="D477" s="6" t="s">
        <v>34</v>
      </c>
      <c r="E477" s="6" t="s">
        <v>17</v>
      </c>
      <c r="F477" s="7">
        <v>29952</v>
      </c>
      <c r="G477" s="8">
        <f t="shared" si="7"/>
        <v>29952</v>
      </c>
      <c r="H477" s="6" t="s">
        <v>13</v>
      </c>
      <c r="I477" s="9">
        <v>144693.66008115001</v>
      </c>
      <c r="J477" s="62">
        <v>640.08322290054605</v>
      </c>
      <c r="K477" s="17">
        <v>1</v>
      </c>
    </row>
    <row r="478" spans="1:11" x14ac:dyDescent="0.25">
      <c r="A478" s="12" t="s">
        <v>975</v>
      </c>
      <c r="B478" s="4" t="s">
        <v>976</v>
      </c>
      <c r="C478" s="5">
        <v>1881</v>
      </c>
      <c r="D478" s="6" t="s">
        <v>34</v>
      </c>
      <c r="E478" s="6" t="s">
        <v>17</v>
      </c>
      <c r="F478" s="7">
        <v>29221</v>
      </c>
      <c r="G478" s="8">
        <f t="shared" si="7"/>
        <v>29221</v>
      </c>
      <c r="H478" s="6" t="s">
        <v>13</v>
      </c>
      <c r="I478" s="9" t="s">
        <v>3380</v>
      </c>
      <c r="J478" s="62" t="s">
        <v>3380</v>
      </c>
      <c r="K478" s="17">
        <v>4</v>
      </c>
    </row>
    <row r="479" spans="1:11" x14ac:dyDescent="0.25">
      <c r="A479" s="3" t="s">
        <v>977</v>
      </c>
      <c r="B479" s="4" t="s">
        <v>978</v>
      </c>
      <c r="C479" s="5">
        <v>1343</v>
      </c>
      <c r="D479" s="6" t="s">
        <v>34</v>
      </c>
      <c r="E479" s="6" t="s">
        <v>17</v>
      </c>
      <c r="F479" s="7">
        <v>37012</v>
      </c>
      <c r="G479" s="8">
        <f t="shared" si="7"/>
        <v>37012</v>
      </c>
      <c r="H479" s="6" t="s">
        <v>13</v>
      </c>
      <c r="I479" s="9">
        <v>23639.086299726499</v>
      </c>
      <c r="J479" s="62">
        <v>383.81872655057202</v>
      </c>
      <c r="K479" s="17">
        <v>1</v>
      </c>
    </row>
    <row r="480" spans="1:11" x14ac:dyDescent="0.25">
      <c r="A480" s="3" t="s">
        <v>979</v>
      </c>
      <c r="B480" s="12" t="s">
        <v>980</v>
      </c>
      <c r="C480" s="14">
        <v>1578</v>
      </c>
      <c r="D480" s="6" t="s">
        <v>16</v>
      </c>
      <c r="E480" s="6" t="s">
        <v>17</v>
      </c>
      <c r="F480" s="7">
        <v>29221</v>
      </c>
      <c r="G480" s="8">
        <f t="shared" si="7"/>
        <v>29221</v>
      </c>
      <c r="H480" s="6" t="s">
        <v>13</v>
      </c>
      <c r="I480" s="9">
        <v>64728.495342934395</v>
      </c>
      <c r="J480" s="62">
        <v>399.04925764234201</v>
      </c>
      <c r="K480" s="17">
        <v>2</v>
      </c>
    </row>
    <row r="481" spans="1:11" x14ac:dyDescent="0.25">
      <c r="A481" s="3" t="s">
        <v>981</v>
      </c>
      <c r="B481" s="4" t="s">
        <v>982</v>
      </c>
      <c r="C481" s="5">
        <v>1733</v>
      </c>
      <c r="D481" s="6" t="s">
        <v>16</v>
      </c>
      <c r="E481" s="6" t="s">
        <v>17</v>
      </c>
      <c r="F481" s="7">
        <v>29221</v>
      </c>
      <c r="G481" s="8">
        <f t="shared" si="7"/>
        <v>29221</v>
      </c>
      <c r="H481" s="6" t="s">
        <v>13</v>
      </c>
      <c r="I481" s="9">
        <v>70285.5496831747</v>
      </c>
      <c r="J481" s="62">
        <v>431.862905768948</v>
      </c>
      <c r="K481" s="17">
        <v>2</v>
      </c>
    </row>
    <row r="482" spans="1:11" x14ac:dyDescent="0.25">
      <c r="A482" s="3" t="s">
        <v>983</v>
      </c>
      <c r="B482" s="4" t="s">
        <v>984</v>
      </c>
      <c r="C482" s="5">
        <v>54552</v>
      </c>
      <c r="D482" s="6" t="s">
        <v>28</v>
      </c>
      <c r="E482" s="6" t="s">
        <v>17</v>
      </c>
      <c r="F482" s="7">
        <v>38758</v>
      </c>
      <c r="G482" s="8">
        <f t="shared" si="7"/>
        <v>38758</v>
      </c>
      <c r="H482" s="6" t="s">
        <v>13</v>
      </c>
      <c r="I482" s="9">
        <v>20155.278379695497</v>
      </c>
      <c r="J482" s="62">
        <v>115.445713062351</v>
      </c>
      <c r="K482" s="17">
        <v>1</v>
      </c>
    </row>
    <row r="483" spans="1:11" x14ac:dyDescent="0.25">
      <c r="A483" s="3" t="s">
        <v>985</v>
      </c>
      <c r="B483" s="4" t="s">
        <v>986</v>
      </c>
      <c r="C483" s="14">
        <v>1891</v>
      </c>
      <c r="D483" s="6" t="s">
        <v>31</v>
      </c>
      <c r="E483" s="6" t="s">
        <v>17</v>
      </c>
      <c r="F483" s="7">
        <v>36019</v>
      </c>
      <c r="G483" s="8">
        <f t="shared" si="7"/>
        <v>36019</v>
      </c>
      <c r="H483" s="6" t="s">
        <v>13</v>
      </c>
      <c r="I483" s="9">
        <v>53784.155795667095</v>
      </c>
      <c r="J483" s="62">
        <v>487.18476871314999</v>
      </c>
      <c r="K483" s="17">
        <v>2</v>
      </c>
    </row>
    <row r="484" spans="1:11" x14ac:dyDescent="0.25">
      <c r="A484" s="3" t="s">
        <v>987</v>
      </c>
      <c r="B484" s="4" t="s">
        <v>988</v>
      </c>
      <c r="C484" s="5">
        <v>11521</v>
      </c>
      <c r="D484" s="6" t="s">
        <v>28</v>
      </c>
      <c r="E484" s="6" t="s">
        <v>17</v>
      </c>
      <c r="F484" s="7">
        <v>37859</v>
      </c>
      <c r="G484" s="8">
        <f t="shared" si="7"/>
        <v>37859</v>
      </c>
      <c r="H484" s="6" t="s">
        <v>13</v>
      </c>
      <c r="I484" s="9">
        <v>41083.605082205999</v>
      </c>
      <c r="J484" s="62">
        <v>587.15409001742398</v>
      </c>
      <c r="K484" s="17">
        <v>1</v>
      </c>
    </row>
    <row r="485" spans="1:11" x14ac:dyDescent="0.25">
      <c r="A485" s="3" t="s">
        <v>989</v>
      </c>
      <c r="B485" s="4" t="s">
        <v>990</v>
      </c>
      <c r="C485" s="5">
        <v>72157</v>
      </c>
      <c r="D485" s="6" t="s">
        <v>28</v>
      </c>
      <c r="E485" s="6" t="s">
        <v>508</v>
      </c>
      <c r="F485" s="7">
        <v>38398</v>
      </c>
      <c r="G485" s="8">
        <f t="shared" si="7"/>
        <v>38398</v>
      </c>
      <c r="H485" s="6" t="s">
        <v>509</v>
      </c>
      <c r="I485" s="9">
        <v>63835.655134260596</v>
      </c>
      <c r="J485" s="62">
        <v>343.38500210018202</v>
      </c>
      <c r="K485" s="17">
        <v>1</v>
      </c>
    </row>
    <row r="486" spans="1:11" x14ac:dyDescent="0.25">
      <c r="A486" s="3" t="s">
        <v>991</v>
      </c>
      <c r="B486" s="4" t="s">
        <v>992</v>
      </c>
      <c r="C486" s="5">
        <v>1950</v>
      </c>
      <c r="D486" s="6" t="s">
        <v>28</v>
      </c>
      <c r="E486" s="6" t="s">
        <v>17</v>
      </c>
      <c r="F486" s="7">
        <v>32509</v>
      </c>
      <c r="G486" s="8">
        <f t="shared" si="7"/>
        <v>32509</v>
      </c>
      <c r="H486" s="6" t="s">
        <v>13</v>
      </c>
      <c r="I486" s="9">
        <v>19177.749838329197</v>
      </c>
      <c r="J486" s="62">
        <v>110.880791103177</v>
      </c>
      <c r="K486" s="17">
        <v>2</v>
      </c>
    </row>
    <row r="487" spans="1:11" x14ac:dyDescent="0.25">
      <c r="A487" s="3" t="s">
        <v>993</v>
      </c>
      <c r="B487" s="4" t="s">
        <v>994</v>
      </c>
      <c r="C487" s="5">
        <v>1125</v>
      </c>
      <c r="D487" s="6" t="s">
        <v>16</v>
      </c>
      <c r="E487" s="6" t="s">
        <v>17</v>
      </c>
      <c r="F487" s="7">
        <v>25569</v>
      </c>
      <c r="G487" s="8">
        <f t="shared" si="7"/>
        <v>25569</v>
      </c>
      <c r="H487" s="6" t="s">
        <v>13</v>
      </c>
      <c r="I487" s="9">
        <v>32017.650597712702</v>
      </c>
      <c r="J487" s="62">
        <v>233.505382366427</v>
      </c>
      <c r="K487" s="17">
        <v>1</v>
      </c>
    </row>
    <row r="488" spans="1:11" x14ac:dyDescent="0.25">
      <c r="A488" s="3" t="s">
        <v>995</v>
      </c>
      <c r="B488" s="4" t="s">
        <v>996</v>
      </c>
      <c r="C488" s="5">
        <v>1794</v>
      </c>
      <c r="D488" s="6" t="s">
        <v>31</v>
      </c>
      <c r="E488" s="6" t="s">
        <v>17</v>
      </c>
      <c r="F488" s="7">
        <v>29221</v>
      </c>
      <c r="G488" s="8">
        <f t="shared" si="7"/>
        <v>29221</v>
      </c>
      <c r="H488" s="6" t="s">
        <v>13</v>
      </c>
      <c r="I488" s="9">
        <v>5258.1708728040103</v>
      </c>
      <c r="J488" s="62">
        <v>31.711859829039799</v>
      </c>
      <c r="K488" s="17">
        <v>1</v>
      </c>
    </row>
    <row r="489" spans="1:11" x14ac:dyDescent="0.25">
      <c r="A489" s="3" t="s">
        <v>997</v>
      </c>
      <c r="B489" s="4" t="s">
        <v>998</v>
      </c>
      <c r="C489" s="5">
        <v>1531</v>
      </c>
      <c r="D489" s="6" t="s">
        <v>31</v>
      </c>
      <c r="E489" s="6" t="s">
        <v>17</v>
      </c>
      <c r="F489" s="7">
        <v>27395</v>
      </c>
      <c r="G489" s="8">
        <f t="shared" si="7"/>
        <v>27395</v>
      </c>
      <c r="H489" s="6" t="s">
        <v>13</v>
      </c>
      <c r="I489" s="9">
        <v>1593.4028722703699</v>
      </c>
      <c r="J489" s="62">
        <v>73.889494312467903</v>
      </c>
      <c r="K489" s="17">
        <v>2</v>
      </c>
    </row>
    <row r="490" spans="1:11" x14ac:dyDescent="0.25">
      <c r="A490" s="3" t="s">
        <v>999</v>
      </c>
      <c r="B490" s="4" t="s">
        <v>1000</v>
      </c>
      <c r="C490" s="5">
        <v>1977</v>
      </c>
      <c r="D490" s="6" t="s">
        <v>31</v>
      </c>
      <c r="E490" s="6" t="s">
        <v>17</v>
      </c>
      <c r="F490" s="7">
        <v>18264</v>
      </c>
      <c r="G490" s="8">
        <f t="shared" si="7"/>
        <v>18264</v>
      </c>
      <c r="H490" s="6" t="s">
        <v>13</v>
      </c>
      <c r="I490" s="9">
        <v>6698.8641156751801</v>
      </c>
      <c r="J490" s="62">
        <v>76.144149219456494</v>
      </c>
      <c r="K490" s="17">
        <v>1</v>
      </c>
    </row>
    <row r="491" spans="1:11" x14ac:dyDescent="0.25">
      <c r="A491" s="3" t="s">
        <v>1001</v>
      </c>
      <c r="B491" s="4" t="s">
        <v>1002</v>
      </c>
      <c r="C491" s="14">
        <v>17616</v>
      </c>
      <c r="D491" s="6" t="s">
        <v>16</v>
      </c>
      <c r="E491" s="6" t="s">
        <v>17</v>
      </c>
      <c r="F491" s="7">
        <v>29132</v>
      </c>
      <c r="G491" s="8">
        <f t="shared" si="7"/>
        <v>29132</v>
      </c>
      <c r="H491" s="6" t="s">
        <v>13</v>
      </c>
      <c r="I491" s="9">
        <v>184821.80860769402</v>
      </c>
      <c r="J491" s="62">
        <v>616.41936668276799</v>
      </c>
      <c r="K491" s="17">
        <v>2</v>
      </c>
    </row>
    <row r="492" spans="1:11" x14ac:dyDescent="0.25">
      <c r="A492" s="3" t="s">
        <v>1003</v>
      </c>
      <c r="B492" s="4" t="s">
        <v>1004</v>
      </c>
      <c r="C492" s="5">
        <v>28929</v>
      </c>
      <c r="D492" s="6" t="s">
        <v>37</v>
      </c>
      <c r="E492" s="6" t="s">
        <v>38</v>
      </c>
      <c r="F492" s="7">
        <v>38489</v>
      </c>
      <c r="G492" s="8">
        <f t="shared" si="7"/>
        <v>38489</v>
      </c>
      <c r="H492" s="6" t="s">
        <v>39</v>
      </c>
      <c r="I492" s="9">
        <v>101529.95351300199</v>
      </c>
      <c r="J492" s="62">
        <v>520.62483743062705</v>
      </c>
      <c r="K492" s="17">
        <v>2</v>
      </c>
    </row>
    <row r="493" spans="1:11" x14ac:dyDescent="0.25">
      <c r="A493" s="3" t="s">
        <v>1005</v>
      </c>
      <c r="B493" s="4" t="s">
        <v>1006</v>
      </c>
      <c r="C493" s="14">
        <v>1953</v>
      </c>
      <c r="D493" s="6" t="s">
        <v>28</v>
      </c>
      <c r="E493" s="6" t="s">
        <v>17</v>
      </c>
      <c r="F493" s="7">
        <v>38653</v>
      </c>
      <c r="G493" s="8">
        <f t="shared" si="7"/>
        <v>38653</v>
      </c>
      <c r="H493" s="6" t="s">
        <v>13</v>
      </c>
      <c r="I493" s="9" t="s">
        <v>3380</v>
      </c>
      <c r="J493" s="62" t="s">
        <v>3380</v>
      </c>
      <c r="K493" s="17">
        <v>4</v>
      </c>
    </row>
    <row r="494" spans="1:11" x14ac:dyDescent="0.25">
      <c r="A494" s="26" t="s">
        <v>1007</v>
      </c>
      <c r="B494" s="27" t="s">
        <v>1008</v>
      </c>
      <c r="C494" s="34">
        <v>1598</v>
      </c>
      <c r="D494" s="28" t="s">
        <v>31</v>
      </c>
      <c r="E494" s="28" t="s">
        <v>17</v>
      </c>
      <c r="F494" s="29">
        <v>25569</v>
      </c>
      <c r="G494" s="30">
        <f t="shared" si="7"/>
        <v>25569</v>
      </c>
      <c r="H494" s="28" t="s">
        <v>13</v>
      </c>
      <c r="I494" s="9">
        <v>34857.384901092802</v>
      </c>
      <c r="J494" s="62">
        <v>285.01264543736602</v>
      </c>
      <c r="K494" s="33">
        <v>1</v>
      </c>
    </row>
    <row r="495" spans="1:11" x14ac:dyDescent="0.25">
      <c r="A495" s="26" t="s">
        <v>1009</v>
      </c>
      <c r="B495" s="27" t="s">
        <v>1010</v>
      </c>
      <c r="C495" s="5">
        <v>1296</v>
      </c>
      <c r="D495" s="28" t="s">
        <v>31</v>
      </c>
      <c r="E495" s="28" t="s">
        <v>17</v>
      </c>
      <c r="F495" s="29">
        <v>29952</v>
      </c>
      <c r="G495" s="30">
        <f t="shared" si="7"/>
        <v>29952</v>
      </c>
      <c r="H495" s="28" t="s">
        <v>13</v>
      </c>
      <c r="I495" s="9">
        <v>118182.831616774</v>
      </c>
      <c r="J495" s="62">
        <v>534.20404773717803</v>
      </c>
      <c r="K495" s="33">
        <v>2</v>
      </c>
    </row>
    <row r="496" spans="1:11" x14ac:dyDescent="0.25">
      <c r="A496" s="26" t="s">
        <v>1011</v>
      </c>
      <c r="B496" s="27" t="s">
        <v>1012</v>
      </c>
      <c r="C496" s="34">
        <v>1501</v>
      </c>
      <c r="D496" s="28" t="s">
        <v>28</v>
      </c>
      <c r="E496" s="28" t="s">
        <v>17</v>
      </c>
      <c r="F496" s="29">
        <v>28491</v>
      </c>
      <c r="G496" s="30">
        <f t="shared" si="7"/>
        <v>28491</v>
      </c>
      <c r="H496" s="28" t="s">
        <v>13</v>
      </c>
      <c r="I496" s="9">
        <v>265788.53396591899</v>
      </c>
      <c r="J496" s="62">
        <v>1318.5132979975599</v>
      </c>
      <c r="K496" s="33">
        <v>2</v>
      </c>
    </row>
    <row r="497" spans="1:11" x14ac:dyDescent="0.25">
      <c r="A497" s="3" t="s">
        <v>1013</v>
      </c>
      <c r="B497" s="4" t="s">
        <v>1014</v>
      </c>
      <c r="C497" s="5">
        <v>12496</v>
      </c>
      <c r="D497" s="6" t="s">
        <v>37</v>
      </c>
      <c r="E497" s="6" t="s">
        <v>38</v>
      </c>
      <c r="F497" s="7">
        <v>34463</v>
      </c>
      <c r="G497" s="8">
        <f t="shared" si="7"/>
        <v>34463</v>
      </c>
      <c r="H497" s="6" t="s">
        <v>39</v>
      </c>
      <c r="I497" s="9">
        <v>15870.053746961499</v>
      </c>
      <c r="J497" s="62">
        <v>496.04348577208401</v>
      </c>
      <c r="K497" s="17">
        <v>2</v>
      </c>
    </row>
    <row r="498" spans="1:11" x14ac:dyDescent="0.25">
      <c r="A498" s="3" t="s">
        <v>1015</v>
      </c>
      <c r="B498" s="4" t="s">
        <v>1016</v>
      </c>
      <c r="C498" s="5">
        <v>1800</v>
      </c>
      <c r="D498" s="6" t="s">
        <v>31</v>
      </c>
      <c r="E498" s="6" t="s">
        <v>17</v>
      </c>
      <c r="F498" s="7">
        <v>34759</v>
      </c>
      <c r="G498" s="8">
        <f t="shared" si="7"/>
        <v>34759</v>
      </c>
      <c r="H498" s="6" t="s">
        <v>13</v>
      </c>
      <c r="I498" s="9">
        <v>36559.640554887999</v>
      </c>
      <c r="J498" s="62">
        <v>165.78164062070999</v>
      </c>
      <c r="K498" s="17">
        <v>1</v>
      </c>
    </row>
    <row r="499" spans="1:11" x14ac:dyDescent="0.25">
      <c r="A499" s="3" t="s">
        <v>1017</v>
      </c>
      <c r="B499" s="4" t="s">
        <v>1018</v>
      </c>
      <c r="C499" s="5">
        <v>15685</v>
      </c>
      <c r="D499" s="6" t="s">
        <v>31</v>
      </c>
      <c r="E499" s="6" t="s">
        <v>17</v>
      </c>
      <c r="F499" s="7">
        <v>30235</v>
      </c>
      <c r="G499" s="8">
        <f t="shared" si="7"/>
        <v>30235</v>
      </c>
      <c r="H499" s="6" t="s">
        <v>13</v>
      </c>
      <c r="I499" s="9">
        <v>27711.367182483598</v>
      </c>
      <c r="J499" s="62">
        <v>187.69002271197201</v>
      </c>
      <c r="K499" s="11">
        <v>1</v>
      </c>
    </row>
    <row r="500" spans="1:11" x14ac:dyDescent="0.25">
      <c r="A500" s="3" t="s">
        <v>1019</v>
      </c>
      <c r="B500" s="4" t="s">
        <v>1020</v>
      </c>
      <c r="C500" s="5">
        <v>54553</v>
      </c>
      <c r="D500" s="6" t="s">
        <v>16</v>
      </c>
      <c r="E500" s="6" t="s">
        <v>17</v>
      </c>
      <c r="F500" s="7">
        <v>38504</v>
      </c>
      <c r="G500" s="8">
        <f t="shared" si="7"/>
        <v>38504</v>
      </c>
      <c r="H500" s="6" t="s">
        <v>13</v>
      </c>
      <c r="I500" s="9">
        <v>39797.158774341806</v>
      </c>
      <c r="J500" s="62">
        <v>441.25588367967902</v>
      </c>
      <c r="K500" s="17">
        <v>1</v>
      </c>
    </row>
    <row r="501" spans="1:11" x14ac:dyDescent="0.25">
      <c r="A501" s="3" t="s">
        <v>1021</v>
      </c>
      <c r="B501" s="4" t="s">
        <v>1022</v>
      </c>
      <c r="C501" s="5">
        <v>1048</v>
      </c>
      <c r="D501" s="6" t="s">
        <v>16</v>
      </c>
      <c r="E501" s="6" t="s">
        <v>17</v>
      </c>
      <c r="F501" s="7">
        <v>25569</v>
      </c>
      <c r="G501" s="8">
        <f t="shared" si="7"/>
        <v>25569</v>
      </c>
      <c r="H501" s="6" t="s">
        <v>13</v>
      </c>
      <c r="I501" s="9">
        <v>22336.150788029499</v>
      </c>
      <c r="J501" s="62">
        <v>136.24988135830699</v>
      </c>
      <c r="K501" s="17">
        <v>1</v>
      </c>
    </row>
    <row r="502" spans="1:11" x14ac:dyDescent="0.25">
      <c r="A502" s="3" t="s">
        <v>1023</v>
      </c>
      <c r="B502" s="4" t="s">
        <v>1024</v>
      </c>
      <c r="C502" s="5">
        <v>1293</v>
      </c>
      <c r="D502" s="6" t="s">
        <v>31</v>
      </c>
      <c r="E502" s="6" t="s">
        <v>17</v>
      </c>
      <c r="F502" s="7">
        <v>29221</v>
      </c>
      <c r="G502" s="8">
        <f t="shared" si="7"/>
        <v>29221</v>
      </c>
      <c r="H502" s="6" t="s">
        <v>13</v>
      </c>
      <c r="I502" s="9">
        <v>190066.054930149</v>
      </c>
      <c r="J502" s="62">
        <v>491.28517264914302</v>
      </c>
      <c r="K502" s="17">
        <v>4</v>
      </c>
    </row>
    <row r="503" spans="1:11" x14ac:dyDescent="0.25">
      <c r="A503" s="3" t="s">
        <v>1025</v>
      </c>
      <c r="B503" s="4" t="s">
        <v>1026</v>
      </c>
      <c r="C503" s="5">
        <v>1700</v>
      </c>
      <c r="D503" s="6" t="s">
        <v>31</v>
      </c>
      <c r="E503" s="6" t="s">
        <v>17</v>
      </c>
      <c r="F503" s="7">
        <v>29221</v>
      </c>
      <c r="G503" s="8">
        <f t="shared" si="7"/>
        <v>29221</v>
      </c>
      <c r="H503" s="6" t="s">
        <v>13</v>
      </c>
      <c r="I503" s="9">
        <v>23893.029419459497</v>
      </c>
      <c r="J503" s="62">
        <v>303.79584058819802</v>
      </c>
      <c r="K503" s="17">
        <v>1</v>
      </c>
    </row>
    <row r="504" spans="1:11" x14ac:dyDescent="0.25">
      <c r="A504" s="3" t="s">
        <v>1027</v>
      </c>
      <c r="B504" s="4" t="s">
        <v>1028</v>
      </c>
      <c r="C504" s="5">
        <v>1270</v>
      </c>
      <c r="D504" s="6" t="s">
        <v>16</v>
      </c>
      <c r="E504" s="6" t="s">
        <v>17</v>
      </c>
      <c r="F504" s="7">
        <v>25569</v>
      </c>
      <c r="G504" s="8">
        <f t="shared" si="7"/>
        <v>25569</v>
      </c>
      <c r="H504" s="6" t="s">
        <v>13</v>
      </c>
      <c r="I504" s="9">
        <v>7004.3138968086596</v>
      </c>
      <c r="J504" s="62">
        <v>31.085993124958399</v>
      </c>
      <c r="K504" s="17">
        <v>1</v>
      </c>
    </row>
    <row r="505" spans="1:11" x14ac:dyDescent="0.25">
      <c r="A505" s="18" t="s">
        <v>1029</v>
      </c>
      <c r="B505" s="19" t="s">
        <v>1030</v>
      </c>
      <c r="C505" s="5">
        <v>1395</v>
      </c>
      <c r="D505" s="21" t="s">
        <v>31</v>
      </c>
      <c r="E505" s="21" t="s">
        <v>17</v>
      </c>
      <c r="F505" s="22">
        <v>29830</v>
      </c>
      <c r="G505" s="23">
        <f t="shared" si="7"/>
        <v>29830</v>
      </c>
      <c r="H505" s="21" t="s">
        <v>13</v>
      </c>
      <c r="I505" s="9" t="s">
        <v>3380</v>
      </c>
      <c r="J505" s="62" t="s">
        <v>3380</v>
      </c>
      <c r="K505" s="25">
        <v>4</v>
      </c>
    </row>
    <row r="506" spans="1:11" x14ac:dyDescent="0.25">
      <c r="A506" s="3" t="s">
        <v>1031</v>
      </c>
      <c r="B506" s="4" t="s">
        <v>1032</v>
      </c>
      <c r="C506" s="5">
        <v>17291</v>
      </c>
      <c r="D506" s="6" t="s">
        <v>16</v>
      </c>
      <c r="E506" s="6" t="s">
        <v>17</v>
      </c>
      <c r="F506" s="7">
        <v>33161</v>
      </c>
      <c r="G506" s="8">
        <f t="shared" si="7"/>
        <v>33161</v>
      </c>
      <c r="H506" s="6" t="s">
        <v>13</v>
      </c>
      <c r="I506" s="9">
        <v>2360.1240420774202</v>
      </c>
      <c r="J506" s="62">
        <v>185.30320398420201</v>
      </c>
      <c r="K506" s="17">
        <v>1</v>
      </c>
    </row>
    <row r="507" spans="1:11" x14ac:dyDescent="0.25">
      <c r="A507" s="3" t="s">
        <v>1033</v>
      </c>
      <c r="B507" s="4" t="s">
        <v>1034</v>
      </c>
      <c r="C507" s="5">
        <v>21121</v>
      </c>
      <c r="D507" s="6" t="s">
        <v>31</v>
      </c>
      <c r="E507" s="6" t="s">
        <v>17</v>
      </c>
      <c r="F507" s="7">
        <v>35142</v>
      </c>
      <c r="G507" s="8">
        <f t="shared" si="7"/>
        <v>35142</v>
      </c>
      <c r="H507" s="6" t="s">
        <v>13</v>
      </c>
      <c r="I507" s="9">
        <v>122121.209696445</v>
      </c>
      <c r="J507" s="62">
        <v>400.804908569068</v>
      </c>
      <c r="K507" s="17">
        <v>1</v>
      </c>
    </row>
    <row r="508" spans="1:11" x14ac:dyDescent="0.25">
      <c r="A508" s="3" t="s">
        <v>1035</v>
      </c>
      <c r="B508" s="4" t="s">
        <v>1036</v>
      </c>
      <c r="C508" s="5">
        <v>18244</v>
      </c>
      <c r="D508" s="6" t="s">
        <v>31</v>
      </c>
      <c r="E508" s="6" t="s">
        <v>17</v>
      </c>
      <c r="F508" s="7">
        <v>24400</v>
      </c>
      <c r="G508" s="8">
        <f t="shared" si="7"/>
        <v>24400</v>
      </c>
      <c r="H508" s="6" t="s">
        <v>13</v>
      </c>
      <c r="I508" s="9">
        <v>30959.195498349101</v>
      </c>
      <c r="J508" s="62">
        <v>463.57627303049702</v>
      </c>
      <c r="K508" s="17">
        <v>1</v>
      </c>
    </row>
    <row r="509" spans="1:11" x14ac:dyDescent="0.25">
      <c r="A509" s="3" t="s">
        <v>1037</v>
      </c>
      <c r="B509" s="4" t="s">
        <v>1038</v>
      </c>
      <c r="C509" s="5">
        <v>77554</v>
      </c>
      <c r="D509" s="6" t="s">
        <v>11</v>
      </c>
      <c r="E509" s="6" t="s">
        <v>12</v>
      </c>
      <c r="F509" s="7">
        <v>38378</v>
      </c>
      <c r="G509" s="8">
        <f t="shared" si="7"/>
        <v>38378</v>
      </c>
      <c r="H509" s="6" t="s">
        <v>39</v>
      </c>
      <c r="I509" s="9">
        <v>5952.4795538977696</v>
      </c>
      <c r="J509" s="62">
        <v>77.634358741314898</v>
      </c>
      <c r="K509" s="17">
        <v>1</v>
      </c>
    </row>
    <row r="510" spans="1:11" x14ac:dyDescent="0.25">
      <c r="A510" s="12" t="s">
        <v>1039</v>
      </c>
      <c r="B510" s="4" t="s">
        <v>1040</v>
      </c>
      <c r="C510" s="14">
        <v>1684</v>
      </c>
      <c r="D510" s="6" t="s">
        <v>34</v>
      </c>
      <c r="E510" s="6" t="s">
        <v>17</v>
      </c>
      <c r="F510" s="7">
        <v>24108</v>
      </c>
      <c r="G510" s="8">
        <f t="shared" si="7"/>
        <v>24108</v>
      </c>
      <c r="H510" s="6" t="s">
        <v>13</v>
      </c>
      <c r="I510" s="9" t="s">
        <v>3380</v>
      </c>
      <c r="J510" s="62" t="s">
        <v>3380</v>
      </c>
      <c r="K510" s="17">
        <v>4</v>
      </c>
    </row>
    <row r="511" spans="1:11" x14ac:dyDescent="0.25">
      <c r="A511" s="3" t="s">
        <v>1041</v>
      </c>
      <c r="B511" s="4" t="s">
        <v>1042</v>
      </c>
      <c r="C511" s="5">
        <v>1178</v>
      </c>
      <c r="D511" s="6" t="s">
        <v>16</v>
      </c>
      <c r="E511" s="6" t="s">
        <v>17</v>
      </c>
      <c r="F511" s="7">
        <v>42005</v>
      </c>
      <c r="G511" s="8">
        <f t="shared" si="7"/>
        <v>42005</v>
      </c>
      <c r="H511" s="6" t="s">
        <v>13</v>
      </c>
      <c r="I511" s="9">
        <v>5381.1078664871202</v>
      </c>
      <c r="J511" s="62">
        <v>35.702895171844702</v>
      </c>
      <c r="K511" s="17">
        <v>1</v>
      </c>
    </row>
    <row r="512" spans="1:11" x14ac:dyDescent="0.25">
      <c r="A512" s="3" t="s">
        <v>1043</v>
      </c>
      <c r="B512" s="4" t="s">
        <v>1044</v>
      </c>
      <c r="C512" s="5">
        <v>27553</v>
      </c>
      <c r="D512" s="6" t="s">
        <v>31</v>
      </c>
      <c r="E512" s="6" t="s">
        <v>17</v>
      </c>
      <c r="F512" s="7">
        <v>33023</v>
      </c>
      <c r="G512" s="8">
        <f t="shared" si="7"/>
        <v>33023</v>
      </c>
      <c r="H512" s="6" t="s">
        <v>13</v>
      </c>
      <c r="I512" s="9">
        <v>28122.515745565899</v>
      </c>
      <c r="J512" s="62">
        <v>343.89838884578199</v>
      </c>
      <c r="K512" s="17">
        <v>1</v>
      </c>
    </row>
    <row r="513" spans="1:11" x14ac:dyDescent="0.25">
      <c r="A513" s="3" t="s">
        <v>1045</v>
      </c>
      <c r="B513" s="4" t="s">
        <v>1046</v>
      </c>
      <c r="C513" s="5">
        <v>159476</v>
      </c>
      <c r="D513" s="6" t="s">
        <v>31</v>
      </c>
      <c r="E513" s="6" t="s">
        <v>17</v>
      </c>
      <c r="F513" s="7">
        <v>41134</v>
      </c>
      <c r="G513" s="8">
        <f t="shared" si="7"/>
        <v>41134</v>
      </c>
      <c r="H513" s="6" t="s">
        <v>13</v>
      </c>
      <c r="I513" s="9">
        <v>1355.9545441494799</v>
      </c>
      <c r="J513" s="62">
        <v>30.599425568632601</v>
      </c>
      <c r="K513" s="17">
        <v>1</v>
      </c>
    </row>
    <row r="514" spans="1:11" x14ac:dyDescent="0.25">
      <c r="A514" s="3" t="s">
        <v>1047</v>
      </c>
      <c r="B514" s="4" t="s">
        <v>1048</v>
      </c>
      <c r="C514" s="5">
        <v>199844</v>
      </c>
      <c r="D514" s="6" t="s">
        <v>16</v>
      </c>
      <c r="E514" s="6" t="s">
        <v>17</v>
      </c>
      <c r="F514" s="7">
        <v>32874</v>
      </c>
      <c r="G514" s="8">
        <f t="shared" ref="G514:G577" si="8">F514</f>
        <v>32874</v>
      </c>
      <c r="H514" s="6" t="s">
        <v>13</v>
      </c>
      <c r="I514" s="9" t="s">
        <v>3380</v>
      </c>
      <c r="J514" s="62" t="s">
        <v>3380</v>
      </c>
      <c r="K514" s="17">
        <v>2</v>
      </c>
    </row>
    <row r="515" spans="1:11" x14ac:dyDescent="0.25">
      <c r="A515" s="3" t="s">
        <v>1049</v>
      </c>
      <c r="B515" s="4" t="s">
        <v>1050</v>
      </c>
      <c r="C515" s="5">
        <v>1200</v>
      </c>
      <c r="D515" s="6" t="s">
        <v>16</v>
      </c>
      <c r="E515" s="6" t="s">
        <v>17</v>
      </c>
      <c r="F515" s="7">
        <v>29221</v>
      </c>
      <c r="G515" s="8">
        <f t="shared" si="8"/>
        <v>29221</v>
      </c>
      <c r="H515" s="6" t="s">
        <v>13</v>
      </c>
      <c r="I515" s="9">
        <v>57483.257522186796</v>
      </c>
      <c r="J515" s="62">
        <v>259.49805766200097</v>
      </c>
      <c r="K515" s="17">
        <v>1</v>
      </c>
    </row>
    <row r="516" spans="1:11" x14ac:dyDescent="0.25">
      <c r="A516" s="3" t="s">
        <v>1051</v>
      </c>
      <c r="B516" s="4" t="s">
        <v>1052</v>
      </c>
      <c r="C516" s="5">
        <v>1064</v>
      </c>
      <c r="D516" s="6" t="s">
        <v>16</v>
      </c>
      <c r="E516" s="6" t="s">
        <v>17</v>
      </c>
      <c r="F516" s="7">
        <v>31048</v>
      </c>
      <c r="G516" s="8">
        <f t="shared" si="8"/>
        <v>31048</v>
      </c>
      <c r="H516" s="6" t="s">
        <v>13</v>
      </c>
      <c r="I516" s="9">
        <v>25729.894505399097</v>
      </c>
      <c r="J516" s="62">
        <v>216.612703250735</v>
      </c>
      <c r="K516" s="17">
        <v>2</v>
      </c>
    </row>
    <row r="517" spans="1:11" x14ac:dyDescent="0.25">
      <c r="A517" s="3" t="s">
        <v>1053</v>
      </c>
      <c r="B517" s="4" t="s">
        <v>1054</v>
      </c>
      <c r="C517" s="14">
        <v>1999</v>
      </c>
      <c r="D517" s="6" t="s">
        <v>31</v>
      </c>
      <c r="E517" s="6" t="s">
        <v>17</v>
      </c>
      <c r="F517" s="7">
        <v>29952</v>
      </c>
      <c r="G517" s="8">
        <f t="shared" si="8"/>
        <v>29952</v>
      </c>
      <c r="H517" s="6" t="s">
        <v>13</v>
      </c>
      <c r="I517" s="9">
        <v>47181.7051493748</v>
      </c>
      <c r="J517" s="62">
        <v>396.32320763040201</v>
      </c>
      <c r="K517" s="17">
        <v>1</v>
      </c>
    </row>
    <row r="518" spans="1:11" x14ac:dyDescent="0.25">
      <c r="A518" s="3" t="s">
        <v>1055</v>
      </c>
      <c r="B518" s="4" t="s">
        <v>1056</v>
      </c>
      <c r="C518" s="5">
        <v>52369</v>
      </c>
      <c r="D518" s="6" t="s">
        <v>34</v>
      </c>
      <c r="E518" s="6" t="s">
        <v>17</v>
      </c>
      <c r="F518" s="7">
        <v>38814</v>
      </c>
      <c r="G518" s="8">
        <f t="shared" si="8"/>
        <v>38814</v>
      </c>
      <c r="H518" s="6" t="s">
        <v>13</v>
      </c>
      <c r="I518" s="9">
        <v>17295.721975160199</v>
      </c>
      <c r="J518" s="62">
        <v>208.84575737650599</v>
      </c>
      <c r="K518" s="17">
        <v>1</v>
      </c>
    </row>
    <row r="519" spans="1:11" x14ac:dyDescent="0.25">
      <c r="A519" s="3" t="s">
        <v>1057</v>
      </c>
      <c r="B519" s="4" t="s">
        <v>1058</v>
      </c>
      <c r="C519" s="5">
        <v>54554</v>
      </c>
      <c r="D519" s="6" t="s">
        <v>31</v>
      </c>
      <c r="E519" s="6" t="s">
        <v>17</v>
      </c>
      <c r="F519" s="7">
        <v>37082</v>
      </c>
      <c r="G519" s="8">
        <f t="shared" si="8"/>
        <v>37082</v>
      </c>
      <c r="H519" s="6" t="s">
        <v>13</v>
      </c>
      <c r="I519" s="9">
        <v>3838.4512330703001</v>
      </c>
      <c r="J519" s="62">
        <v>130.54662775737901</v>
      </c>
      <c r="K519" s="17">
        <v>1</v>
      </c>
    </row>
    <row r="520" spans="1:11" x14ac:dyDescent="0.25">
      <c r="A520" s="12" t="s">
        <v>1059</v>
      </c>
      <c r="B520" s="4" t="s">
        <v>1060</v>
      </c>
      <c r="C520" s="5">
        <v>1457</v>
      </c>
      <c r="D520" s="6" t="s">
        <v>31</v>
      </c>
      <c r="E520" s="6" t="s">
        <v>17</v>
      </c>
      <c r="F520" s="7">
        <v>29952</v>
      </c>
      <c r="G520" s="8">
        <f t="shared" si="8"/>
        <v>29952</v>
      </c>
      <c r="H520" s="6" t="s">
        <v>13</v>
      </c>
      <c r="I520" s="9" t="s">
        <v>3380</v>
      </c>
      <c r="J520" s="62" t="s">
        <v>3380</v>
      </c>
      <c r="K520" s="17">
        <v>4</v>
      </c>
    </row>
    <row r="521" spans="1:11" x14ac:dyDescent="0.25">
      <c r="A521" s="18" t="s">
        <v>1061</v>
      </c>
      <c r="B521" s="19" t="s">
        <v>1062</v>
      </c>
      <c r="C521" s="5">
        <v>1874</v>
      </c>
      <c r="D521" s="21" t="s">
        <v>31</v>
      </c>
      <c r="E521" s="21" t="s">
        <v>17</v>
      </c>
      <c r="F521" s="22">
        <v>29221</v>
      </c>
      <c r="G521" s="23">
        <f t="shared" si="8"/>
        <v>29221</v>
      </c>
      <c r="H521" s="21" t="s">
        <v>13</v>
      </c>
      <c r="I521" s="9">
        <v>1467.4651959369401</v>
      </c>
      <c r="J521" s="62">
        <v>32.747794366342298</v>
      </c>
      <c r="K521" s="25">
        <v>1</v>
      </c>
    </row>
    <row r="522" spans="1:11" x14ac:dyDescent="0.25">
      <c r="A522" s="3" t="s">
        <v>1063</v>
      </c>
      <c r="B522" s="4" t="s">
        <v>1064</v>
      </c>
      <c r="C522" s="14">
        <v>1539</v>
      </c>
      <c r="D522" s="6" t="s">
        <v>28</v>
      </c>
      <c r="E522" s="6" t="s">
        <v>17</v>
      </c>
      <c r="F522" s="7">
        <v>37928</v>
      </c>
      <c r="G522" s="8">
        <f t="shared" si="8"/>
        <v>37928</v>
      </c>
      <c r="H522" s="6" t="s">
        <v>13</v>
      </c>
      <c r="I522" s="9">
        <v>320827.83178320603</v>
      </c>
      <c r="J522" s="62">
        <v>981.746556137688</v>
      </c>
      <c r="K522" s="17">
        <v>2</v>
      </c>
    </row>
    <row r="523" spans="1:11" x14ac:dyDescent="0.25">
      <c r="A523" s="3" t="s">
        <v>1065</v>
      </c>
      <c r="B523" s="4" t="s">
        <v>1066</v>
      </c>
      <c r="C523" s="5">
        <v>1849</v>
      </c>
      <c r="D523" s="6" t="s">
        <v>16</v>
      </c>
      <c r="E523" s="6" t="s">
        <v>17</v>
      </c>
      <c r="F523" s="7">
        <v>36354</v>
      </c>
      <c r="G523" s="8">
        <f t="shared" si="8"/>
        <v>36354</v>
      </c>
      <c r="H523" s="6" t="s">
        <v>13</v>
      </c>
      <c r="I523" s="9">
        <v>223582.22547772102</v>
      </c>
      <c r="J523" s="62">
        <v>668.80818126909401</v>
      </c>
      <c r="K523" s="17">
        <v>2</v>
      </c>
    </row>
    <row r="524" spans="1:11" x14ac:dyDescent="0.25">
      <c r="A524" s="3" t="s">
        <v>1067</v>
      </c>
      <c r="B524" s="4" t="s">
        <v>1068</v>
      </c>
      <c r="C524" s="14">
        <v>185412</v>
      </c>
      <c r="D524" s="6" t="s">
        <v>11</v>
      </c>
      <c r="E524" s="6" t="s">
        <v>17</v>
      </c>
      <c r="F524" s="7">
        <v>36982</v>
      </c>
      <c r="G524" s="8">
        <f t="shared" si="8"/>
        <v>36982</v>
      </c>
      <c r="H524" s="6" t="s">
        <v>13</v>
      </c>
      <c r="I524" s="9">
        <v>12330.7344468629</v>
      </c>
      <c r="J524" s="62">
        <v>163.67489271488299</v>
      </c>
      <c r="K524" s="17">
        <v>2</v>
      </c>
    </row>
    <row r="525" spans="1:11" x14ac:dyDescent="0.25">
      <c r="A525" s="3" t="s">
        <v>1069</v>
      </c>
      <c r="B525" s="4" t="s">
        <v>1070</v>
      </c>
      <c r="C525" s="5">
        <v>54556</v>
      </c>
      <c r="D525" s="6" t="s">
        <v>11</v>
      </c>
      <c r="E525" s="6" t="s">
        <v>12</v>
      </c>
      <c r="F525" s="7">
        <v>39518</v>
      </c>
      <c r="G525" s="8">
        <f t="shared" si="8"/>
        <v>39518</v>
      </c>
      <c r="H525" s="6" t="s">
        <v>13</v>
      </c>
      <c r="I525" s="9">
        <v>7544.7668298706003</v>
      </c>
      <c r="J525" s="62">
        <v>105.00707885493399</v>
      </c>
      <c r="K525" s="17">
        <v>1</v>
      </c>
    </row>
    <row r="526" spans="1:11" x14ac:dyDescent="0.25">
      <c r="A526" s="3" t="s">
        <v>1071</v>
      </c>
      <c r="B526" s="4" t="s">
        <v>1072</v>
      </c>
      <c r="C526" s="5">
        <v>1354</v>
      </c>
      <c r="D526" s="6" t="s">
        <v>31</v>
      </c>
      <c r="E526" s="6" t="s">
        <v>17</v>
      </c>
      <c r="F526" s="7">
        <v>29221</v>
      </c>
      <c r="G526" s="8">
        <f t="shared" si="8"/>
        <v>29221</v>
      </c>
      <c r="H526" s="6" t="s">
        <v>13</v>
      </c>
      <c r="I526" s="9">
        <v>11881.5017391984</v>
      </c>
      <c r="J526" s="62">
        <v>91.707669740583398</v>
      </c>
      <c r="K526" s="17">
        <v>1</v>
      </c>
    </row>
    <row r="527" spans="1:11" x14ac:dyDescent="0.25">
      <c r="A527" s="3" t="s">
        <v>1073</v>
      </c>
      <c r="B527" s="4" t="s">
        <v>1074</v>
      </c>
      <c r="C527" s="14">
        <v>1244</v>
      </c>
      <c r="D527" s="6" t="s">
        <v>28</v>
      </c>
      <c r="E527" s="6" t="s">
        <v>17</v>
      </c>
      <c r="F527" s="7">
        <v>33604</v>
      </c>
      <c r="G527" s="8">
        <f t="shared" si="8"/>
        <v>33604</v>
      </c>
      <c r="H527" s="6" t="s">
        <v>13</v>
      </c>
      <c r="I527" s="9">
        <v>10014.381768069899</v>
      </c>
      <c r="J527" s="62">
        <v>890.72050862349204</v>
      </c>
      <c r="K527" s="17">
        <v>2</v>
      </c>
    </row>
    <row r="528" spans="1:11" x14ac:dyDescent="0.25">
      <c r="A528" s="26" t="s">
        <v>1075</v>
      </c>
      <c r="B528" s="27" t="s">
        <v>1076</v>
      </c>
      <c r="C528" s="34">
        <v>9602</v>
      </c>
      <c r="D528" s="28" t="s">
        <v>11</v>
      </c>
      <c r="E528" s="28" t="s">
        <v>17</v>
      </c>
      <c r="F528" s="29">
        <v>35642</v>
      </c>
      <c r="G528" s="30">
        <f t="shared" si="8"/>
        <v>35642</v>
      </c>
      <c r="H528" s="28" t="s">
        <v>13</v>
      </c>
      <c r="I528" s="9">
        <v>28815.4185187898</v>
      </c>
      <c r="J528" s="62">
        <v>203.40509067288201</v>
      </c>
      <c r="K528" s="33">
        <v>1</v>
      </c>
    </row>
    <row r="529" spans="1:11" x14ac:dyDescent="0.25">
      <c r="A529" s="3" t="s">
        <v>1077</v>
      </c>
      <c r="B529" s="4" t="s">
        <v>1078</v>
      </c>
      <c r="C529" s="5">
        <v>1699</v>
      </c>
      <c r="D529" s="6" t="s">
        <v>31</v>
      </c>
      <c r="E529" s="6" t="s">
        <v>17</v>
      </c>
      <c r="F529" s="7">
        <v>29221</v>
      </c>
      <c r="G529" s="8">
        <f t="shared" si="8"/>
        <v>29221</v>
      </c>
      <c r="H529" s="6" t="s">
        <v>13</v>
      </c>
      <c r="I529" s="9">
        <v>239527.14519956501</v>
      </c>
      <c r="J529" s="62">
        <v>1311.1426293064001</v>
      </c>
      <c r="K529" s="17">
        <v>1</v>
      </c>
    </row>
    <row r="530" spans="1:11" x14ac:dyDescent="0.25">
      <c r="A530" s="3" t="s">
        <v>1079</v>
      </c>
      <c r="B530" s="4" t="s">
        <v>1080</v>
      </c>
      <c r="C530" s="14">
        <v>2018</v>
      </c>
      <c r="D530" s="6" t="s">
        <v>16</v>
      </c>
      <c r="E530" s="6" t="s">
        <v>17</v>
      </c>
      <c r="F530" s="7">
        <v>29221</v>
      </c>
      <c r="G530" s="8">
        <f t="shared" si="8"/>
        <v>29221</v>
      </c>
      <c r="H530" s="6" t="s">
        <v>13</v>
      </c>
      <c r="I530" s="9">
        <v>175462.191941019</v>
      </c>
      <c r="J530" s="62">
        <v>803.86791232186397</v>
      </c>
      <c r="K530" s="17">
        <v>2</v>
      </c>
    </row>
    <row r="531" spans="1:11" x14ac:dyDescent="0.25">
      <c r="A531" s="26" t="s">
        <v>1081</v>
      </c>
      <c r="B531" s="27" t="s">
        <v>1082</v>
      </c>
      <c r="C531" s="34">
        <v>12801</v>
      </c>
      <c r="D531" s="28" t="s">
        <v>31</v>
      </c>
      <c r="E531" s="28" t="s">
        <v>17</v>
      </c>
      <c r="F531" s="29">
        <v>36614</v>
      </c>
      <c r="G531" s="30">
        <f t="shared" si="8"/>
        <v>36614</v>
      </c>
      <c r="H531" s="28" t="s">
        <v>13</v>
      </c>
      <c r="I531" s="9">
        <v>31497.102209979701</v>
      </c>
      <c r="J531" s="62">
        <v>279.24395801438902</v>
      </c>
      <c r="K531" s="33">
        <v>1</v>
      </c>
    </row>
    <row r="532" spans="1:11" x14ac:dyDescent="0.25">
      <c r="A532" s="3" t="s">
        <v>1083</v>
      </c>
      <c r="B532" s="4" t="s">
        <v>1084</v>
      </c>
      <c r="C532" s="5">
        <v>23043</v>
      </c>
      <c r="D532" s="6" t="s">
        <v>31</v>
      </c>
      <c r="E532" s="6" t="s">
        <v>17</v>
      </c>
      <c r="F532" s="7">
        <v>32357</v>
      </c>
      <c r="G532" s="8">
        <f t="shared" si="8"/>
        <v>32357</v>
      </c>
      <c r="H532" s="6" t="s">
        <v>13</v>
      </c>
      <c r="I532" s="9">
        <v>12938.7059742782</v>
      </c>
      <c r="J532" s="62">
        <v>69.536541377046902</v>
      </c>
      <c r="K532" s="17">
        <v>1</v>
      </c>
    </row>
    <row r="533" spans="1:11" x14ac:dyDescent="0.25">
      <c r="A533" s="3" t="s">
        <v>1085</v>
      </c>
      <c r="B533" s="4" t="s">
        <v>1086</v>
      </c>
      <c r="C533" s="5">
        <v>1116</v>
      </c>
      <c r="D533" s="6" t="s">
        <v>28</v>
      </c>
      <c r="E533" s="6" t="s">
        <v>17</v>
      </c>
      <c r="F533" s="7">
        <v>34335</v>
      </c>
      <c r="G533" s="8">
        <f t="shared" si="8"/>
        <v>34335</v>
      </c>
      <c r="H533" s="6" t="s">
        <v>13</v>
      </c>
      <c r="I533" s="9">
        <v>24774.818611375998</v>
      </c>
      <c r="J533" s="62">
        <v>181.48445600872799</v>
      </c>
      <c r="K533" s="17">
        <v>1</v>
      </c>
    </row>
    <row r="534" spans="1:11" x14ac:dyDescent="0.25">
      <c r="A534" s="3" t="s">
        <v>1087</v>
      </c>
      <c r="B534" s="4" t="s">
        <v>1088</v>
      </c>
      <c r="C534" s="5">
        <v>2062</v>
      </c>
      <c r="D534" s="6" t="s">
        <v>34</v>
      </c>
      <c r="E534" s="6" t="s">
        <v>17</v>
      </c>
      <c r="F534" s="7">
        <v>29221</v>
      </c>
      <c r="G534" s="8">
        <f t="shared" si="8"/>
        <v>29221</v>
      </c>
      <c r="H534" s="6" t="s">
        <v>13</v>
      </c>
      <c r="I534" s="9">
        <v>22148.1709855226</v>
      </c>
      <c r="J534" s="62">
        <v>71.296983815856905</v>
      </c>
      <c r="K534" s="17">
        <v>2</v>
      </c>
    </row>
    <row r="535" spans="1:11" x14ac:dyDescent="0.25">
      <c r="A535" s="3" t="s">
        <v>1089</v>
      </c>
      <c r="B535" s="4" t="s">
        <v>1090</v>
      </c>
      <c r="C535" s="5">
        <v>52937</v>
      </c>
      <c r="D535" s="6" t="s">
        <v>34</v>
      </c>
      <c r="E535" s="6" t="s">
        <v>17</v>
      </c>
      <c r="F535" s="7">
        <v>38950</v>
      </c>
      <c r="G535" s="8">
        <f t="shared" si="8"/>
        <v>38950</v>
      </c>
      <c r="H535" s="6" t="s">
        <v>13</v>
      </c>
      <c r="I535" s="9">
        <v>19245.661158688799</v>
      </c>
      <c r="J535" s="62">
        <v>523.09267367068401</v>
      </c>
      <c r="K535" s="17">
        <v>1</v>
      </c>
    </row>
    <row r="536" spans="1:11" x14ac:dyDescent="0.25">
      <c r="A536" s="3" t="s">
        <v>1091</v>
      </c>
      <c r="B536" s="4" t="s">
        <v>1092</v>
      </c>
      <c r="C536" s="14">
        <v>72175</v>
      </c>
      <c r="D536" s="6" t="s">
        <v>11</v>
      </c>
      <c r="E536" s="6" t="s">
        <v>17</v>
      </c>
      <c r="F536" s="7">
        <v>39133</v>
      </c>
      <c r="G536" s="8">
        <f t="shared" si="8"/>
        <v>39133</v>
      </c>
      <c r="H536" s="6" t="s">
        <v>13</v>
      </c>
      <c r="I536" s="9">
        <v>218865.72246177599</v>
      </c>
      <c r="J536" s="62">
        <v>1339.57564956637</v>
      </c>
      <c r="K536" s="17">
        <v>3</v>
      </c>
    </row>
    <row r="537" spans="1:11" x14ac:dyDescent="0.25">
      <c r="A537" s="3" t="s">
        <v>1093</v>
      </c>
      <c r="B537" s="4" t="s">
        <v>1094</v>
      </c>
      <c r="C537" s="5">
        <v>72174</v>
      </c>
      <c r="D537" s="6" t="s">
        <v>11</v>
      </c>
      <c r="E537" s="6" t="s">
        <v>12</v>
      </c>
      <c r="F537" s="7">
        <v>37915</v>
      </c>
      <c r="G537" s="8">
        <f t="shared" si="8"/>
        <v>37915</v>
      </c>
      <c r="H537" s="6" t="s">
        <v>39</v>
      </c>
      <c r="I537" s="9">
        <v>69705.792903809197</v>
      </c>
      <c r="J537" s="62">
        <v>174.138892071849</v>
      </c>
      <c r="K537" s="17">
        <v>2</v>
      </c>
    </row>
    <row r="538" spans="1:11" x14ac:dyDescent="0.25">
      <c r="A538" s="3" t="s">
        <v>1095</v>
      </c>
      <c r="B538" s="4" t="s">
        <v>1096</v>
      </c>
      <c r="C538" s="14">
        <v>1301</v>
      </c>
      <c r="D538" s="6" t="s">
        <v>16</v>
      </c>
      <c r="E538" s="6" t="s">
        <v>17</v>
      </c>
      <c r="F538" s="7">
        <v>19725</v>
      </c>
      <c r="G538" s="8">
        <f t="shared" si="8"/>
        <v>19725</v>
      </c>
      <c r="H538" s="6" t="s">
        <v>13</v>
      </c>
      <c r="I538" s="9">
        <v>467227.455871235</v>
      </c>
      <c r="J538" s="62">
        <v>1029.5538823976899</v>
      </c>
      <c r="K538" s="17">
        <v>4</v>
      </c>
    </row>
    <row r="539" spans="1:11" x14ac:dyDescent="0.25">
      <c r="A539" s="3" t="s">
        <v>1097</v>
      </c>
      <c r="B539" s="4" t="s">
        <v>1098</v>
      </c>
      <c r="C539" s="5">
        <v>54557</v>
      </c>
      <c r="D539" s="6" t="s">
        <v>28</v>
      </c>
      <c r="E539" s="6" t="s">
        <v>17</v>
      </c>
      <c r="F539" s="7">
        <v>39518</v>
      </c>
      <c r="G539" s="8">
        <f t="shared" si="8"/>
        <v>39518</v>
      </c>
      <c r="H539" s="6" t="s">
        <v>13</v>
      </c>
      <c r="I539" s="9">
        <v>26423.081380915501</v>
      </c>
      <c r="J539" s="62">
        <v>135.829213427029</v>
      </c>
      <c r="K539" s="11">
        <v>1</v>
      </c>
    </row>
    <row r="540" spans="1:11" x14ac:dyDescent="0.25">
      <c r="A540" s="3" t="s">
        <v>1099</v>
      </c>
      <c r="B540" s="4" t="s">
        <v>1100</v>
      </c>
      <c r="C540" s="14">
        <v>1652</v>
      </c>
      <c r="D540" s="6" t="s">
        <v>28</v>
      </c>
      <c r="E540" s="6" t="s">
        <v>17</v>
      </c>
      <c r="F540" s="7">
        <v>36446</v>
      </c>
      <c r="G540" s="8">
        <f t="shared" si="8"/>
        <v>36446</v>
      </c>
      <c r="H540" s="6" t="s">
        <v>13</v>
      </c>
      <c r="I540" s="9">
        <v>24573.7159324729</v>
      </c>
      <c r="J540" s="62">
        <v>58.006262384602401</v>
      </c>
      <c r="K540" s="17">
        <v>1</v>
      </c>
    </row>
    <row r="541" spans="1:11" x14ac:dyDescent="0.25">
      <c r="A541" s="3" t="s">
        <v>1101</v>
      </c>
      <c r="B541" s="4" t="s">
        <v>1102</v>
      </c>
      <c r="C541" s="5">
        <v>1374</v>
      </c>
      <c r="D541" s="6" t="s">
        <v>28</v>
      </c>
      <c r="E541" s="6" t="s">
        <v>17</v>
      </c>
      <c r="F541" s="7">
        <v>32509</v>
      </c>
      <c r="G541" s="8">
        <f t="shared" si="8"/>
        <v>32509</v>
      </c>
      <c r="H541" s="6" t="s">
        <v>13</v>
      </c>
      <c r="I541" s="9">
        <v>37357.031304730903</v>
      </c>
      <c r="J541" s="62">
        <v>75.053377086989897</v>
      </c>
      <c r="K541" s="17">
        <v>1</v>
      </c>
    </row>
    <row r="542" spans="1:11" x14ac:dyDescent="0.25">
      <c r="A542" s="3" t="s">
        <v>1103</v>
      </c>
      <c r="B542" s="4" t="s">
        <v>1104</v>
      </c>
      <c r="C542" s="5">
        <v>10891</v>
      </c>
      <c r="D542" s="6" t="s">
        <v>28</v>
      </c>
      <c r="E542" s="6" t="s">
        <v>17</v>
      </c>
      <c r="F542" s="7">
        <v>37804</v>
      </c>
      <c r="G542" s="8">
        <f t="shared" si="8"/>
        <v>37804</v>
      </c>
      <c r="H542" s="6" t="s">
        <v>13</v>
      </c>
      <c r="I542" s="9">
        <v>19082.3164076475</v>
      </c>
      <c r="J542" s="62">
        <v>89.494162088861998</v>
      </c>
      <c r="K542" s="17">
        <v>1</v>
      </c>
    </row>
    <row r="543" spans="1:11" x14ac:dyDescent="0.25">
      <c r="A543" s="3" t="s">
        <v>1105</v>
      </c>
      <c r="B543" s="4" t="s">
        <v>1106</v>
      </c>
      <c r="C543" s="5">
        <v>12811</v>
      </c>
      <c r="D543" s="6" t="s">
        <v>34</v>
      </c>
      <c r="E543" s="6" t="s">
        <v>17</v>
      </c>
      <c r="F543" s="7">
        <v>38153</v>
      </c>
      <c r="G543" s="8">
        <f t="shared" si="8"/>
        <v>38153</v>
      </c>
      <c r="H543" s="6" t="s">
        <v>13</v>
      </c>
      <c r="I543" s="9">
        <v>39871.363937466595</v>
      </c>
      <c r="J543" s="62">
        <v>298.16691269921199</v>
      </c>
      <c r="K543" s="17">
        <v>1</v>
      </c>
    </row>
    <row r="544" spans="1:11" x14ac:dyDescent="0.25">
      <c r="A544" s="3" t="s">
        <v>1107</v>
      </c>
      <c r="B544" s="4" t="s">
        <v>1108</v>
      </c>
      <c r="C544" s="5">
        <v>1779</v>
      </c>
      <c r="D544" s="6" t="s">
        <v>28</v>
      </c>
      <c r="E544" s="6" t="s">
        <v>17</v>
      </c>
      <c r="F544" s="7">
        <v>35796</v>
      </c>
      <c r="G544" s="8">
        <f t="shared" si="8"/>
        <v>35796</v>
      </c>
      <c r="H544" s="6" t="s">
        <v>13</v>
      </c>
      <c r="I544" s="9">
        <v>4251.0675764301304</v>
      </c>
      <c r="J544" s="62">
        <v>253.80163732037201</v>
      </c>
      <c r="K544" s="17">
        <v>1</v>
      </c>
    </row>
    <row r="545" spans="1:11" x14ac:dyDescent="0.25">
      <c r="A545" s="3" t="s">
        <v>1109</v>
      </c>
      <c r="B545" s="4" t="s">
        <v>1110</v>
      </c>
      <c r="C545" s="5">
        <v>1998</v>
      </c>
      <c r="D545" s="6" t="s">
        <v>31</v>
      </c>
      <c r="E545" s="6" t="s">
        <v>17</v>
      </c>
      <c r="F545" s="7">
        <v>29221</v>
      </c>
      <c r="G545" s="8">
        <f t="shared" si="8"/>
        <v>29221</v>
      </c>
      <c r="H545" s="6" t="s">
        <v>13</v>
      </c>
      <c r="I545" s="9">
        <v>63890.722025883799</v>
      </c>
      <c r="J545" s="62">
        <v>520.50946104864602</v>
      </c>
      <c r="K545" s="17">
        <v>2</v>
      </c>
    </row>
    <row r="546" spans="1:11" x14ac:dyDescent="0.25">
      <c r="A546" s="3" t="s">
        <v>1111</v>
      </c>
      <c r="B546" s="4" t="s">
        <v>1112</v>
      </c>
      <c r="C546" s="5">
        <v>1070</v>
      </c>
      <c r="D546" s="6" t="s">
        <v>31</v>
      </c>
      <c r="E546" s="6" t="s">
        <v>17</v>
      </c>
      <c r="F546" s="7">
        <v>29221</v>
      </c>
      <c r="G546" s="8">
        <f t="shared" si="8"/>
        <v>29221</v>
      </c>
      <c r="H546" s="6" t="s">
        <v>13</v>
      </c>
      <c r="I546" s="9">
        <v>32851.466191498999</v>
      </c>
      <c r="J546" s="62">
        <v>204.84116973178601</v>
      </c>
      <c r="K546" s="17">
        <v>1</v>
      </c>
    </row>
    <row r="547" spans="1:11" x14ac:dyDescent="0.25">
      <c r="A547" s="3" t="s">
        <v>1113</v>
      </c>
      <c r="B547" s="4" t="s">
        <v>1114</v>
      </c>
      <c r="C547" s="14">
        <v>54559</v>
      </c>
      <c r="D547" s="6" t="s">
        <v>11</v>
      </c>
      <c r="E547" s="6" t="s">
        <v>12</v>
      </c>
      <c r="F547" s="7">
        <v>38022</v>
      </c>
      <c r="G547" s="8">
        <f t="shared" si="8"/>
        <v>38022</v>
      </c>
      <c r="H547" s="6" t="s">
        <v>39</v>
      </c>
      <c r="I547" s="9">
        <v>35273.704368061997</v>
      </c>
      <c r="J547" s="62">
        <v>344.03226373143201</v>
      </c>
      <c r="K547" s="17">
        <v>1</v>
      </c>
    </row>
    <row r="548" spans="1:11" x14ac:dyDescent="0.25">
      <c r="A548" s="3" t="s">
        <v>1115</v>
      </c>
      <c r="B548" s="4" t="s">
        <v>1116</v>
      </c>
      <c r="C548" s="5">
        <v>54558</v>
      </c>
      <c r="D548" s="6" t="s">
        <v>11</v>
      </c>
      <c r="E548" s="6" t="s">
        <v>12</v>
      </c>
      <c r="F548" s="7">
        <v>38022</v>
      </c>
      <c r="G548" s="8">
        <f t="shared" si="8"/>
        <v>38022</v>
      </c>
      <c r="H548" s="6" t="s">
        <v>39</v>
      </c>
      <c r="I548" s="9">
        <v>70135.000734479399</v>
      </c>
      <c r="J548" s="62">
        <v>290.33483563854799</v>
      </c>
      <c r="K548" s="17">
        <v>1</v>
      </c>
    </row>
    <row r="549" spans="1:11" x14ac:dyDescent="0.25">
      <c r="A549" s="3" t="s">
        <v>1117</v>
      </c>
      <c r="B549" s="4" t="s">
        <v>1118</v>
      </c>
      <c r="C549" s="5">
        <v>1782</v>
      </c>
      <c r="D549" s="6" t="s">
        <v>28</v>
      </c>
      <c r="E549" s="6" t="s">
        <v>17</v>
      </c>
      <c r="F549" s="7">
        <v>32143</v>
      </c>
      <c r="G549" s="8">
        <f t="shared" si="8"/>
        <v>32143</v>
      </c>
      <c r="H549" s="6" t="s">
        <v>13</v>
      </c>
      <c r="I549" s="9">
        <v>63956.4107723501</v>
      </c>
      <c r="J549" s="62">
        <v>333.056930492633</v>
      </c>
      <c r="K549" s="17">
        <v>1</v>
      </c>
    </row>
    <row r="550" spans="1:11" x14ac:dyDescent="0.25">
      <c r="A550" s="3" t="s">
        <v>1119</v>
      </c>
      <c r="B550" s="4" t="s">
        <v>1120</v>
      </c>
      <c r="C550" s="5">
        <v>24017</v>
      </c>
      <c r="D550" s="6" t="s">
        <v>31</v>
      </c>
      <c r="E550" s="6" t="s">
        <v>17</v>
      </c>
      <c r="F550" s="7">
        <v>36369</v>
      </c>
      <c r="G550" s="8">
        <f t="shared" si="8"/>
        <v>36369</v>
      </c>
      <c r="H550" s="6" t="s">
        <v>13</v>
      </c>
      <c r="I550" s="9">
        <v>2600.7108347284402</v>
      </c>
      <c r="J550" s="62">
        <v>134.74545611652599</v>
      </c>
      <c r="K550" s="17">
        <v>2</v>
      </c>
    </row>
    <row r="551" spans="1:11" x14ac:dyDescent="0.25">
      <c r="A551" s="3" t="s">
        <v>1121</v>
      </c>
      <c r="B551" s="4" t="s">
        <v>1122</v>
      </c>
      <c r="C551" s="14">
        <v>1606</v>
      </c>
      <c r="D551" s="6" t="s">
        <v>16</v>
      </c>
      <c r="E551" s="6" t="s">
        <v>17</v>
      </c>
      <c r="F551" s="7">
        <v>32813</v>
      </c>
      <c r="G551" s="8">
        <f t="shared" si="8"/>
        <v>32813</v>
      </c>
      <c r="H551" s="6" t="s">
        <v>13</v>
      </c>
      <c r="I551" s="9">
        <v>16883.4988945531</v>
      </c>
      <c r="J551" s="62">
        <v>130.00449900814101</v>
      </c>
      <c r="K551" s="17">
        <v>1</v>
      </c>
    </row>
    <row r="552" spans="1:11" x14ac:dyDescent="0.25">
      <c r="A552" s="3" t="s">
        <v>1123</v>
      </c>
      <c r="B552" s="4" t="s">
        <v>1124</v>
      </c>
      <c r="C552" s="14">
        <v>21765</v>
      </c>
      <c r="D552" s="6" t="s">
        <v>31</v>
      </c>
      <c r="E552" s="6" t="s">
        <v>17</v>
      </c>
      <c r="F552" s="7">
        <v>31748</v>
      </c>
      <c r="G552" s="8">
        <f t="shared" si="8"/>
        <v>31748</v>
      </c>
      <c r="H552" s="6" t="s">
        <v>13</v>
      </c>
      <c r="I552" s="9">
        <v>52461.247739111299</v>
      </c>
      <c r="J552" s="62">
        <v>282.80701755198902</v>
      </c>
      <c r="K552" s="17">
        <v>1</v>
      </c>
    </row>
    <row r="553" spans="1:11" x14ac:dyDescent="0.25">
      <c r="A553" s="3" t="s">
        <v>1125</v>
      </c>
      <c r="B553" s="4" t="s">
        <v>1126</v>
      </c>
      <c r="C553" s="5">
        <v>12809</v>
      </c>
      <c r="D553" s="6" t="s">
        <v>28</v>
      </c>
      <c r="E553" s="6" t="s">
        <v>17</v>
      </c>
      <c r="F553" s="7">
        <v>37761</v>
      </c>
      <c r="G553" s="8">
        <f t="shared" si="8"/>
        <v>37761</v>
      </c>
      <c r="H553" s="6" t="s">
        <v>13</v>
      </c>
      <c r="I553" s="9">
        <v>38554.230927586097</v>
      </c>
      <c r="J553" s="62">
        <v>267.06284809286399</v>
      </c>
      <c r="K553" s="17">
        <v>1</v>
      </c>
    </row>
    <row r="554" spans="1:11" x14ac:dyDescent="0.25">
      <c r="A554" s="3" t="s">
        <v>1127</v>
      </c>
      <c r="B554" s="4" t="s">
        <v>1128</v>
      </c>
      <c r="C554" s="5">
        <v>2036</v>
      </c>
      <c r="D554" s="6" t="s">
        <v>31</v>
      </c>
      <c r="E554" s="6" t="s">
        <v>17</v>
      </c>
      <c r="F554" s="7">
        <v>25569</v>
      </c>
      <c r="G554" s="8">
        <f t="shared" si="8"/>
        <v>25569</v>
      </c>
      <c r="H554" s="6" t="s">
        <v>13</v>
      </c>
      <c r="I554" s="9">
        <v>3887.17717938652</v>
      </c>
      <c r="J554" s="62">
        <v>561.12466086995198</v>
      </c>
      <c r="K554" s="17">
        <v>1</v>
      </c>
    </row>
    <row r="555" spans="1:11" x14ac:dyDescent="0.25">
      <c r="A555" s="3" t="s">
        <v>1129</v>
      </c>
      <c r="B555" s="4" t="s">
        <v>1130</v>
      </c>
      <c r="C555" s="5">
        <v>2028</v>
      </c>
      <c r="D555" s="6" t="s">
        <v>16</v>
      </c>
      <c r="E555" s="6" t="s">
        <v>17</v>
      </c>
      <c r="F555" s="7">
        <v>29221</v>
      </c>
      <c r="G555" s="8">
        <f t="shared" si="8"/>
        <v>29221</v>
      </c>
      <c r="H555" s="6" t="s">
        <v>13</v>
      </c>
      <c r="I555" s="9">
        <v>44463.6928884761</v>
      </c>
      <c r="J555" s="62">
        <v>172.07323770216499</v>
      </c>
      <c r="K555" s="17">
        <v>1</v>
      </c>
    </row>
    <row r="556" spans="1:11" x14ac:dyDescent="0.25">
      <c r="A556" s="3" t="s">
        <v>1131</v>
      </c>
      <c r="B556" s="4" t="s">
        <v>1132</v>
      </c>
      <c r="C556" s="14">
        <v>1487</v>
      </c>
      <c r="D556" s="6" t="s">
        <v>34</v>
      </c>
      <c r="E556" s="6" t="s">
        <v>17</v>
      </c>
      <c r="F556" s="7">
        <v>29221</v>
      </c>
      <c r="G556" s="8">
        <f t="shared" si="8"/>
        <v>29221</v>
      </c>
      <c r="H556" s="6" t="s">
        <v>13</v>
      </c>
      <c r="I556" s="9">
        <v>71652.492820577711</v>
      </c>
      <c r="J556" s="62">
        <v>349.468849389458</v>
      </c>
      <c r="K556" s="17">
        <v>2</v>
      </c>
    </row>
    <row r="557" spans="1:11" x14ac:dyDescent="0.25">
      <c r="A557" s="3" t="s">
        <v>1133</v>
      </c>
      <c r="B557" s="4" t="s">
        <v>1134</v>
      </c>
      <c r="C557" s="5">
        <v>20801</v>
      </c>
      <c r="D557" s="6" t="s">
        <v>31</v>
      </c>
      <c r="E557" s="6" t="s">
        <v>17</v>
      </c>
      <c r="F557" s="7">
        <v>38504</v>
      </c>
      <c r="G557" s="8">
        <f t="shared" si="8"/>
        <v>38504</v>
      </c>
      <c r="H557" s="6" t="s">
        <v>13</v>
      </c>
      <c r="I557" s="9">
        <v>57635.856852938901</v>
      </c>
      <c r="J557" s="62">
        <v>337.97508041131402</v>
      </c>
      <c r="K557" s="17">
        <v>1</v>
      </c>
    </row>
    <row r="558" spans="1:11" x14ac:dyDescent="0.25">
      <c r="A558" s="3" t="s">
        <v>1135</v>
      </c>
      <c r="B558" s="4" t="s">
        <v>1136</v>
      </c>
      <c r="C558" s="5">
        <v>16963</v>
      </c>
      <c r="D558" s="6" t="s">
        <v>31</v>
      </c>
      <c r="E558" s="6" t="s">
        <v>17</v>
      </c>
      <c r="F558" s="7">
        <v>21100</v>
      </c>
      <c r="G558" s="8">
        <f t="shared" si="8"/>
        <v>21100</v>
      </c>
      <c r="H558" s="6" t="s">
        <v>13</v>
      </c>
      <c r="I558" s="9">
        <v>71447.193917860102</v>
      </c>
      <c r="J558" s="62">
        <v>180.354327524833</v>
      </c>
      <c r="K558" s="17">
        <v>1</v>
      </c>
    </row>
    <row r="559" spans="1:11" x14ac:dyDescent="0.25">
      <c r="A559" s="3" t="s">
        <v>1137</v>
      </c>
      <c r="B559" s="4" t="s">
        <v>1138</v>
      </c>
      <c r="C559" s="14">
        <v>1573</v>
      </c>
      <c r="D559" s="6" t="s">
        <v>16</v>
      </c>
      <c r="E559" s="6" t="s">
        <v>17</v>
      </c>
      <c r="F559" s="7">
        <v>33521</v>
      </c>
      <c r="G559" s="8">
        <f t="shared" si="8"/>
        <v>33521</v>
      </c>
      <c r="H559" s="6" t="s">
        <v>13</v>
      </c>
      <c r="I559" s="9" t="s">
        <v>3380</v>
      </c>
      <c r="J559" s="62" t="s">
        <v>3380</v>
      </c>
      <c r="K559" s="17">
        <v>3</v>
      </c>
    </row>
    <row r="560" spans="1:11" x14ac:dyDescent="0.25">
      <c r="A560" s="3" t="s">
        <v>1139</v>
      </c>
      <c r="B560" s="4" t="s">
        <v>1140</v>
      </c>
      <c r="C560" s="5">
        <v>1698</v>
      </c>
      <c r="D560" s="6" t="s">
        <v>31</v>
      </c>
      <c r="E560" s="6" t="s">
        <v>17</v>
      </c>
      <c r="F560" s="7">
        <v>29221</v>
      </c>
      <c r="G560" s="8">
        <f t="shared" si="8"/>
        <v>29221</v>
      </c>
      <c r="H560" s="6" t="s">
        <v>13</v>
      </c>
      <c r="I560" s="9">
        <v>58574.105155731602</v>
      </c>
      <c r="J560" s="62">
        <v>370.588042589937</v>
      </c>
      <c r="K560" s="17">
        <v>2</v>
      </c>
    </row>
    <row r="561" spans="1:11" x14ac:dyDescent="0.25">
      <c r="A561" s="3" t="s">
        <v>1141</v>
      </c>
      <c r="B561" s="4" t="s">
        <v>1142</v>
      </c>
      <c r="C561" s="14">
        <v>52354</v>
      </c>
      <c r="D561" s="6" t="s">
        <v>31</v>
      </c>
      <c r="E561" s="6" t="s">
        <v>17</v>
      </c>
      <c r="F561" s="7">
        <v>36301</v>
      </c>
      <c r="G561" s="8">
        <f t="shared" si="8"/>
        <v>36301</v>
      </c>
      <c r="H561" s="6" t="s">
        <v>13</v>
      </c>
      <c r="I561" s="9" t="s">
        <v>3380</v>
      </c>
      <c r="J561" s="62" t="s">
        <v>3380</v>
      </c>
      <c r="K561" s="17">
        <v>1</v>
      </c>
    </row>
    <row r="562" spans="1:11" x14ac:dyDescent="0.25">
      <c r="A562" s="3" t="s">
        <v>1143</v>
      </c>
      <c r="B562" s="4" t="s">
        <v>1144</v>
      </c>
      <c r="C562" s="14">
        <v>1919</v>
      </c>
      <c r="D562" s="6" t="s">
        <v>31</v>
      </c>
      <c r="E562" s="6" t="s">
        <v>17</v>
      </c>
      <c r="F562" s="7">
        <v>29221</v>
      </c>
      <c r="G562" s="8">
        <f t="shared" si="8"/>
        <v>29221</v>
      </c>
      <c r="H562" s="6" t="s">
        <v>13</v>
      </c>
      <c r="I562" s="9">
        <v>468616.26070710202</v>
      </c>
      <c r="J562" s="62">
        <v>1512.7788601449899</v>
      </c>
      <c r="K562" s="17">
        <v>3</v>
      </c>
    </row>
    <row r="563" spans="1:11" x14ac:dyDescent="0.25">
      <c r="A563" s="3" t="s">
        <v>1145</v>
      </c>
      <c r="B563" s="4" t="s">
        <v>1146</v>
      </c>
      <c r="C563" s="5">
        <v>52385</v>
      </c>
      <c r="D563" s="6" t="s">
        <v>31</v>
      </c>
      <c r="E563" s="6" t="s">
        <v>17</v>
      </c>
      <c r="F563" s="7">
        <v>37378</v>
      </c>
      <c r="G563" s="8">
        <f t="shared" si="8"/>
        <v>37378</v>
      </c>
      <c r="H563" s="6" t="s">
        <v>13</v>
      </c>
      <c r="I563" s="9">
        <v>38041.4801172921</v>
      </c>
      <c r="J563" s="62">
        <v>795.03986529576002</v>
      </c>
      <c r="K563" s="17">
        <v>2</v>
      </c>
    </row>
    <row r="564" spans="1:11" x14ac:dyDescent="0.25">
      <c r="A564" s="3" t="s">
        <v>1147</v>
      </c>
      <c r="B564" s="4" t="s">
        <v>1148</v>
      </c>
      <c r="C564" s="5">
        <v>1056</v>
      </c>
      <c r="D564" s="6" t="s">
        <v>31</v>
      </c>
      <c r="E564" s="6" t="s">
        <v>17</v>
      </c>
      <c r="F564" s="7">
        <v>36858</v>
      </c>
      <c r="G564" s="8">
        <f t="shared" si="8"/>
        <v>36858</v>
      </c>
      <c r="H564" s="6" t="s">
        <v>13</v>
      </c>
      <c r="I564" s="9">
        <v>74572.030975579488</v>
      </c>
      <c r="J564" s="62">
        <v>493.83892662797598</v>
      </c>
      <c r="K564" s="17">
        <v>1</v>
      </c>
    </row>
    <row r="565" spans="1:11" x14ac:dyDescent="0.25">
      <c r="A565" s="3" t="s">
        <v>1149</v>
      </c>
      <c r="B565" s="4" t="s">
        <v>1150</v>
      </c>
      <c r="C565" s="5">
        <v>10888</v>
      </c>
      <c r="D565" s="6" t="s">
        <v>31</v>
      </c>
      <c r="E565" s="6" t="s">
        <v>17</v>
      </c>
      <c r="F565" s="7">
        <v>37819</v>
      </c>
      <c r="G565" s="8">
        <f t="shared" si="8"/>
        <v>37819</v>
      </c>
      <c r="H565" s="6" t="s">
        <v>13</v>
      </c>
      <c r="I565" s="9">
        <v>48842.684020080902</v>
      </c>
      <c r="J565" s="62">
        <v>467.86335942691801</v>
      </c>
      <c r="K565" s="17">
        <v>2</v>
      </c>
    </row>
    <row r="566" spans="1:11" x14ac:dyDescent="0.25">
      <c r="A566" s="3" t="s">
        <v>1151</v>
      </c>
      <c r="B566" s="4" t="s">
        <v>1152</v>
      </c>
      <c r="C566" s="46">
        <v>399645</v>
      </c>
      <c r="D566" s="6" t="s">
        <v>34</v>
      </c>
      <c r="E566" s="6" t="s">
        <v>17</v>
      </c>
      <c r="F566" s="7">
        <v>45721</v>
      </c>
      <c r="G566" s="8">
        <f t="shared" si="8"/>
        <v>45721</v>
      </c>
      <c r="H566" s="6" t="s">
        <v>13</v>
      </c>
      <c r="I566" s="9" t="s">
        <v>3380</v>
      </c>
      <c r="J566" s="62" t="s">
        <v>3380</v>
      </c>
      <c r="K566" s="17">
        <v>3</v>
      </c>
    </row>
    <row r="567" spans="1:11" x14ac:dyDescent="0.25">
      <c r="A567" s="3" t="s">
        <v>1153</v>
      </c>
      <c r="B567" s="4" t="s">
        <v>1154</v>
      </c>
      <c r="C567" s="14">
        <v>8327</v>
      </c>
      <c r="D567" s="6" t="s">
        <v>28</v>
      </c>
      <c r="E567" s="6" t="s">
        <v>17</v>
      </c>
      <c r="F567" s="7">
        <v>34607</v>
      </c>
      <c r="G567" s="8">
        <f t="shared" si="8"/>
        <v>34607</v>
      </c>
      <c r="H567" s="6" t="s">
        <v>13</v>
      </c>
      <c r="I567" s="9">
        <v>18324.329429275898</v>
      </c>
      <c r="J567" s="62">
        <v>492.76130188613001</v>
      </c>
      <c r="K567" s="17">
        <v>2</v>
      </c>
    </row>
    <row r="568" spans="1:11" x14ac:dyDescent="0.25">
      <c r="A568" s="3" t="s">
        <v>1155</v>
      </c>
      <c r="B568" s="4" t="s">
        <v>1156</v>
      </c>
      <c r="C568" s="14">
        <v>1154</v>
      </c>
      <c r="D568" s="6" t="s">
        <v>28</v>
      </c>
      <c r="E568" s="6" t="s">
        <v>17</v>
      </c>
      <c r="F568" s="7">
        <v>41190</v>
      </c>
      <c r="G568" s="8">
        <f t="shared" si="8"/>
        <v>41190</v>
      </c>
      <c r="H568" s="6" t="s">
        <v>13</v>
      </c>
      <c r="I568" s="9" t="s">
        <v>3380</v>
      </c>
      <c r="J568" s="62" t="s">
        <v>3380</v>
      </c>
      <c r="K568" s="17">
        <v>4</v>
      </c>
    </row>
    <row r="569" spans="1:11" x14ac:dyDescent="0.25">
      <c r="A569" s="3" t="s">
        <v>1157</v>
      </c>
      <c r="B569" s="4" t="s">
        <v>1158</v>
      </c>
      <c r="C569" s="5">
        <v>21763</v>
      </c>
      <c r="D569" s="6" t="s">
        <v>11</v>
      </c>
      <c r="E569" s="6" t="s">
        <v>12</v>
      </c>
      <c r="F569" s="7">
        <v>32143</v>
      </c>
      <c r="G569" s="8">
        <f t="shared" si="8"/>
        <v>32143</v>
      </c>
      <c r="H569" s="6" t="s">
        <v>39</v>
      </c>
      <c r="I569" s="9">
        <v>11287.840326968</v>
      </c>
      <c r="J569" s="62">
        <v>225.32713505195301</v>
      </c>
      <c r="K569" s="17">
        <v>1</v>
      </c>
    </row>
    <row r="570" spans="1:11" x14ac:dyDescent="0.25">
      <c r="A570" s="3" t="s">
        <v>1159</v>
      </c>
      <c r="B570" s="4" t="s">
        <v>1160</v>
      </c>
      <c r="C570" s="14">
        <v>1279</v>
      </c>
      <c r="D570" s="6" t="s">
        <v>34</v>
      </c>
      <c r="E570" s="6" t="s">
        <v>17</v>
      </c>
      <c r="F570" s="7">
        <v>34957</v>
      </c>
      <c r="G570" s="8">
        <f t="shared" si="8"/>
        <v>34957</v>
      </c>
      <c r="H570" s="6" t="s">
        <v>13</v>
      </c>
      <c r="I570" s="9">
        <v>189174.78776065802</v>
      </c>
      <c r="J570" s="62">
        <v>935.62001374598697</v>
      </c>
      <c r="K570" s="17">
        <v>4</v>
      </c>
    </row>
    <row r="571" spans="1:11" x14ac:dyDescent="0.25">
      <c r="A571" s="3" t="s">
        <v>1161</v>
      </c>
      <c r="B571" s="4" t="s">
        <v>1162</v>
      </c>
      <c r="C571" s="5">
        <v>72142</v>
      </c>
      <c r="D571" s="6" t="s">
        <v>28</v>
      </c>
      <c r="E571" s="6" t="s">
        <v>17</v>
      </c>
      <c r="F571" s="7">
        <v>39341</v>
      </c>
      <c r="G571" s="8">
        <f t="shared" si="8"/>
        <v>39341</v>
      </c>
      <c r="H571" s="6" t="s">
        <v>13</v>
      </c>
      <c r="I571" s="9">
        <v>24964.758455471099</v>
      </c>
      <c r="J571" s="62">
        <v>341.38338047112302</v>
      </c>
      <c r="K571" s="17">
        <v>1</v>
      </c>
    </row>
    <row r="572" spans="1:11" x14ac:dyDescent="0.25">
      <c r="A572" s="3" t="s">
        <v>1163</v>
      </c>
      <c r="B572" s="4" t="s">
        <v>1164</v>
      </c>
      <c r="C572" s="5">
        <v>54560</v>
      </c>
      <c r="D572" s="6" t="s">
        <v>31</v>
      </c>
      <c r="E572" s="6" t="s">
        <v>17</v>
      </c>
      <c r="F572" s="7">
        <v>29768</v>
      </c>
      <c r="G572" s="8">
        <f t="shared" si="8"/>
        <v>29768</v>
      </c>
      <c r="H572" s="6" t="s">
        <v>13</v>
      </c>
      <c r="I572" s="9">
        <v>3658.1304270017799</v>
      </c>
      <c r="J572" s="62">
        <v>27.768405489607499</v>
      </c>
      <c r="K572" s="17">
        <v>1</v>
      </c>
    </row>
    <row r="573" spans="1:11" x14ac:dyDescent="0.25">
      <c r="A573" s="18" t="s">
        <v>1165</v>
      </c>
      <c r="B573" s="19" t="s">
        <v>1166</v>
      </c>
      <c r="C573" s="20">
        <v>1284</v>
      </c>
      <c r="D573" s="21" t="s">
        <v>28</v>
      </c>
      <c r="E573" s="21" t="s">
        <v>17</v>
      </c>
      <c r="F573" s="22">
        <v>18264</v>
      </c>
      <c r="G573" s="23">
        <f t="shared" si="8"/>
        <v>18264</v>
      </c>
      <c r="H573" s="21" t="s">
        <v>13</v>
      </c>
      <c r="I573" s="9">
        <v>10126.7557854198</v>
      </c>
      <c r="J573" s="62">
        <v>28.687901350504301</v>
      </c>
      <c r="K573" s="25">
        <v>1</v>
      </c>
    </row>
    <row r="574" spans="1:11" x14ac:dyDescent="0.25">
      <c r="A574" s="3" t="s">
        <v>1167</v>
      </c>
      <c r="B574" s="4" t="s">
        <v>1168</v>
      </c>
      <c r="C574" s="5">
        <v>1850</v>
      </c>
      <c r="D574" s="6" t="s">
        <v>16</v>
      </c>
      <c r="E574" s="6" t="s">
        <v>17</v>
      </c>
      <c r="F574" s="7">
        <v>29221</v>
      </c>
      <c r="G574" s="8">
        <f t="shared" si="8"/>
        <v>29221</v>
      </c>
      <c r="H574" s="6" t="s">
        <v>13</v>
      </c>
      <c r="I574" s="9">
        <v>21257.8277835974</v>
      </c>
      <c r="J574" s="62">
        <v>207.277470519811</v>
      </c>
      <c r="K574" s="17">
        <v>2</v>
      </c>
    </row>
    <row r="575" spans="1:11" x14ac:dyDescent="0.25">
      <c r="A575" s="3" t="s">
        <v>1169</v>
      </c>
      <c r="B575" s="4" t="s">
        <v>1170</v>
      </c>
      <c r="C575" s="5">
        <v>1330</v>
      </c>
      <c r="D575" s="6" t="s">
        <v>31</v>
      </c>
      <c r="E575" s="6" t="s">
        <v>17</v>
      </c>
      <c r="F575" s="7">
        <v>25569</v>
      </c>
      <c r="G575" s="8">
        <f t="shared" si="8"/>
        <v>25569</v>
      </c>
      <c r="H575" s="6" t="s">
        <v>13</v>
      </c>
      <c r="I575" s="9">
        <v>43848.593191178203</v>
      </c>
      <c r="J575" s="62">
        <v>232.39936414226401</v>
      </c>
      <c r="K575" s="11">
        <v>1</v>
      </c>
    </row>
    <row r="576" spans="1:11" x14ac:dyDescent="0.25">
      <c r="A576" s="18" t="s">
        <v>1171</v>
      </c>
      <c r="B576" s="19" t="s">
        <v>1172</v>
      </c>
      <c r="C576" s="5">
        <v>1376</v>
      </c>
      <c r="D576" s="21" t="s">
        <v>28</v>
      </c>
      <c r="E576" s="21" t="s">
        <v>17</v>
      </c>
      <c r="F576" s="22">
        <v>38091</v>
      </c>
      <c r="G576" s="23">
        <f t="shared" si="8"/>
        <v>38091</v>
      </c>
      <c r="H576" s="21" t="s">
        <v>13</v>
      </c>
      <c r="I576" s="9">
        <v>34585.6750258635</v>
      </c>
      <c r="J576" s="62">
        <v>119.192670950005</v>
      </c>
      <c r="K576" s="25">
        <v>1</v>
      </c>
    </row>
    <row r="577" spans="1:11" x14ac:dyDescent="0.25">
      <c r="A577" s="3" t="s">
        <v>1173</v>
      </c>
      <c r="B577" s="4" t="s">
        <v>1174</v>
      </c>
      <c r="C577" s="5">
        <v>17285</v>
      </c>
      <c r="D577" s="6" t="s">
        <v>16</v>
      </c>
      <c r="E577" s="6" t="s">
        <v>17</v>
      </c>
      <c r="F577" s="7">
        <v>32316</v>
      </c>
      <c r="G577" s="8">
        <f t="shared" si="8"/>
        <v>32316</v>
      </c>
      <c r="H577" s="6" t="s">
        <v>13</v>
      </c>
      <c r="I577" s="9">
        <v>2272.6410811094697</v>
      </c>
      <c r="J577" s="62">
        <v>292.44211471691</v>
      </c>
      <c r="K577" s="17">
        <v>1</v>
      </c>
    </row>
    <row r="578" spans="1:11" x14ac:dyDescent="0.25">
      <c r="A578" s="3" t="s">
        <v>1175</v>
      </c>
      <c r="B578" s="4" t="s">
        <v>1176</v>
      </c>
      <c r="C578" s="14">
        <v>16648</v>
      </c>
      <c r="D578" s="6" t="s">
        <v>16</v>
      </c>
      <c r="E578" s="6" t="s">
        <v>17</v>
      </c>
      <c r="F578" s="7">
        <v>31027</v>
      </c>
      <c r="G578" s="8">
        <f t="shared" ref="G578:G641" si="9">F578</f>
        <v>31027</v>
      </c>
      <c r="H578" s="6" t="s">
        <v>13</v>
      </c>
      <c r="I578" s="9">
        <v>232089.752624168</v>
      </c>
      <c r="J578" s="62">
        <v>1017.82337086973</v>
      </c>
      <c r="K578" s="17">
        <v>3</v>
      </c>
    </row>
    <row r="579" spans="1:11" x14ac:dyDescent="0.25">
      <c r="A579" s="3" t="s">
        <v>1177</v>
      </c>
      <c r="B579" s="4" t="s">
        <v>1178</v>
      </c>
      <c r="C579" s="5">
        <v>12492</v>
      </c>
      <c r="D579" s="6" t="s">
        <v>34</v>
      </c>
      <c r="E579" s="6" t="s">
        <v>17</v>
      </c>
      <c r="F579" s="7">
        <v>38113</v>
      </c>
      <c r="G579" s="8">
        <f t="shared" si="9"/>
        <v>38113</v>
      </c>
      <c r="H579" s="6" t="s">
        <v>13</v>
      </c>
      <c r="I579" s="9">
        <v>42258.531217391101</v>
      </c>
      <c r="J579" s="62">
        <v>521.98381929627806</v>
      </c>
      <c r="K579" s="17">
        <v>2</v>
      </c>
    </row>
    <row r="580" spans="1:11" x14ac:dyDescent="0.25">
      <c r="A580" s="3" t="s">
        <v>1179</v>
      </c>
      <c r="B580" s="4" t="s">
        <v>1180</v>
      </c>
      <c r="C580" s="5">
        <v>72169</v>
      </c>
      <c r="D580" s="6" t="s">
        <v>37</v>
      </c>
      <c r="E580" s="6" t="s">
        <v>38</v>
      </c>
      <c r="F580" s="7">
        <v>39184</v>
      </c>
      <c r="G580" s="8">
        <f t="shared" si="9"/>
        <v>39184</v>
      </c>
      <c r="H580" s="6" t="s">
        <v>39</v>
      </c>
      <c r="I580" s="9">
        <v>14591.6548355839</v>
      </c>
      <c r="J580" s="62">
        <v>252.06576913205299</v>
      </c>
      <c r="K580" s="17">
        <v>1</v>
      </c>
    </row>
    <row r="581" spans="1:11" x14ac:dyDescent="0.25">
      <c r="A581" s="3" t="s">
        <v>1181</v>
      </c>
      <c r="B581" s="4" t="s">
        <v>1182</v>
      </c>
      <c r="C581" s="5">
        <v>29185</v>
      </c>
      <c r="D581" s="6" t="s">
        <v>34</v>
      </c>
      <c r="E581" s="6" t="s">
        <v>17</v>
      </c>
      <c r="F581" s="7">
        <v>38275</v>
      </c>
      <c r="G581" s="8">
        <f t="shared" si="9"/>
        <v>38275</v>
      </c>
      <c r="H581" s="6" t="s">
        <v>13</v>
      </c>
      <c r="I581" s="9">
        <v>12374.970689661001</v>
      </c>
      <c r="J581" s="62">
        <v>277.74218759822202</v>
      </c>
      <c r="K581" s="17">
        <v>1</v>
      </c>
    </row>
    <row r="582" spans="1:11" x14ac:dyDescent="0.25">
      <c r="A582" s="3" t="s">
        <v>1183</v>
      </c>
      <c r="B582" s="4" t="s">
        <v>1184</v>
      </c>
      <c r="C582" s="5">
        <v>32273</v>
      </c>
      <c r="D582" s="6" t="s">
        <v>28</v>
      </c>
      <c r="E582" s="6" t="s">
        <v>17</v>
      </c>
      <c r="F582" s="7">
        <v>38474</v>
      </c>
      <c r="G582" s="8">
        <f t="shared" si="9"/>
        <v>38474</v>
      </c>
      <c r="H582" s="6" t="s">
        <v>13</v>
      </c>
      <c r="I582" s="9">
        <v>8819.0810057565304</v>
      </c>
      <c r="J582" s="62">
        <v>528.93077282205797</v>
      </c>
      <c r="K582" s="17">
        <v>1</v>
      </c>
    </row>
    <row r="583" spans="1:11" x14ac:dyDescent="0.25">
      <c r="A583" s="3" t="s">
        <v>1185</v>
      </c>
      <c r="B583" s="4" t="s">
        <v>1186</v>
      </c>
      <c r="C583" s="5">
        <v>10572</v>
      </c>
      <c r="D583" s="6" t="s">
        <v>16</v>
      </c>
      <c r="E583" s="6" t="s">
        <v>17</v>
      </c>
      <c r="F583" s="7">
        <v>37148</v>
      </c>
      <c r="G583" s="8">
        <f t="shared" si="9"/>
        <v>37148</v>
      </c>
      <c r="H583" s="6" t="s">
        <v>13</v>
      </c>
      <c r="I583" s="9">
        <v>13804.3727881056</v>
      </c>
      <c r="J583" s="62">
        <v>238.04908844654099</v>
      </c>
      <c r="K583" s="17">
        <v>1</v>
      </c>
    </row>
    <row r="584" spans="1:11" x14ac:dyDescent="0.25">
      <c r="A584" s="3" t="s">
        <v>1187</v>
      </c>
      <c r="B584" s="4" t="s">
        <v>1188</v>
      </c>
      <c r="C584" s="5">
        <v>2243</v>
      </c>
      <c r="D584" s="6" t="s">
        <v>28</v>
      </c>
      <c r="E584" s="6" t="s">
        <v>17</v>
      </c>
      <c r="F584" s="7">
        <v>31958</v>
      </c>
      <c r="G584" s="8">
        <f t="shared" si="9"/>
        <v>31958</v>
      </c>
      <c r="H584" s="6" t="s">
        <v>13</v>
      </c>
      <c r="I584" s="9">
        <v>16767.167867623102</v>
      </c>
      <c r="J584" s="62">
        <v>281.74865175738103</v>
      </c>
      <c r="K584" s="17">
        <v>1</v>
      </c>
    </row>
    <row r="585" spans="1:11" x14ac:dyDescent="0.25">
      <c r="A585" s="3" t="s">
        <v>1189</v>
      </c>
      <c r="B585" s="4" t="s">
        <v>1190</v>
      </c>
      <c r="C585" s="14">
        <v>19207</v>
      </c>
      <c r="D585" s="6" t="s">
        <v>16</v>
      </c>
      <c r="E585" s="6" t="s">
        <v>17</v>
      </c>
      <c r="F585" s="7">
        <v>24737</v>
      </c>
      <c r="G585" s="8">
        <f t="shared" si="9"/>
        <v>24737</v>
      </c>
      <c r="H585" s="6" t="s">
        <v>13</v>
      </c>
      <c r="I585" s="9">
        <v>107188.096213849</v>
      </c>
      <c r="J585" s="62">
        <v>370.35783214247999</v>
      </c>
      <c r="K585" s="17">
        <v>1</v>
      </c>
    </row>
    <row r="586" spans="1:11" x14ac:dyDescent="0.25">
      <c r="A586" s="3" t="s">
        <v>1191</v>
      </c>
      <c r="B586" s="4" t="s">
        <v>1192</v>
      </c>
      <c r="C586" s="14">
        <v>1722</v>
      </c>
      <c r="D586" s="6" t="s">
        <v>16</v>
      </c>
      <c r="E586" s="6" t="s">
        <v>17</v>
      </c>
      <c r="F586" s="7">
        <v>25569</v>
      </c>
      <c r="G586" s="8">
        <f t="shared" si="9"/>
        <v>25569</v>
      </c>
      <c r="H586" s="6" t="s">
        <v>13</v>
      </c>
      <c r="I586" s="9">
        <v>133957.067781777</v>
      </c>
      <c r="J586" s="62">
        <v>1014.22174426905</v>
      </c>
      <c r="K586" s="17">
        <v>1</v>
      </c>
    </row>
    <row r="587" spans="1:11" x14ac:dyDescent="0.25">
      <c r="A587" s="3" t="s">
        <v>1193</v>
      </c>
      <c r="B587" s="4" t="s">
        <v>1194</v>
      </c>
      <c r="C587" s="14">
        <v>1745</v>
      </c>
      <c r="D587" s="6" t="s">
        <v>34</v>
      </c>
      <c r="E587" s="6" t="s">
        <v>17</v>
      </c>
      <c r="F587" s="7">
        <v>36850</v>
      </c>
      <c r="G587" s="8">
        <f t="shared" si="9"/>
        <v>36850</v>
      </c>
      <c r="H587" s="6" t="s">
        <v>13</v>
      </c>
      <c r="I587" s="9">
        <v>24805.358004773003</v>
      </c>
      <c r="J587" s="62">
        <v>92.5558419998994</v>
      </c>
      <c r="K587" s="17">
        <v>2</v>
      </c>
    </row>
    <row r="588" spans="1:11" x14ac:dyDescent="0.25">
      <c r="A588" s="3" t="s">
        <v>1195</v>
      </c>
      <c r="B588" s="4" t="s">
        <v>1196</v>
      </c>
      <c r="C588" s="5">
        <v>14081</v>
      </c>
      <c r="D588" s="6" t="s">
        <v>34</v>
      </c>
      <c r="E588" s="6" t="s">
        <v>17</v>
      </c>
      <c r="F588" s="7">
        <v>38049</v>
      </c>
      <c r="G588" s="8">
        <f t="shared" si="9"/>
        <v>38049</v>
      </c>
      <c r="H588" s="6" t="s">
        <v>13</v>
      </c>
      <c r="I588" s="9">
        <v>25579.8742630163</v>
      </c>
      <c r="J588" s="62">
        <v>252.01419793188001</v>
      </c>
      <c r="K588" s="17">
        <v>1</v>
      </c>
    </row>
    <row r="589" spans="1:11" x14ac:dyDescent="0.25">
      <c r="A589" s="3" t="s">
        <v>1197</v>
      </c>
      <c r="B589" s="4" t="s">
        <v>1198</v>
      </c>
      <c r="C589" s="14">
        <v>1110</v>
      </c>
      <c r="D589" s="6" t="s">
        <v>28</v>
      </c>
      <c r="E589" s="6" t="s">
        <v>17</v>
      </c>
      <c r="F589" s="7">
        <v>36901</v>
      </c>
      <c r="G589" s="8">
        <f t="shared" si="9"/>
        <v>36901</v>
      </c>
      <c r="H589" s="6" t="s">
        <v>13</v>
      </c>
      <c r="I589" s="9">
        <v>244870.242968084</v>
      </c>
      <c r="J589" s="62">
        <v>2244.64748225024</v>
      </c>
      <c r="K589" s="17">
        <v>2</v>
      </c>
    </row>
    <row r="590" spans="1:11" x14ac:dyDescent="0.25">
      <c r="A590" s="3" t="s">
        <v>1199</v>
      </c>
      <c r="B590" s="4" t="s">
        <v>1200</v>
      </c>
      <c r="C590" s="5">
        <v>1371</v>
      </c>
      <c r="D590" s="6" t="s">
        <v>28</v>
      </c>
      <c r="E590" s="6" t="s">
        <v>17</v>
      </c>
      <c r="F590" s="7">
        <v>29952</v>
      </c>
      <c r="G590" s="8">
        <f t="shared" si="9"/>
        <v>29952</v>
      </c>
      <c r="H590" s="6" t="s">
        <v>13</v>
      </c>
      <c r="I590" s="9">
        <v>68621.747685706898</v>
      </c>
      <c r="J590" s="62">
        <v>535.04874226498998</v>
      </c>
      <c r="K590" s="17">
        <v>2</v>
      </c>
    </row>
    <row r="591" spans="1:11" x14ac:dyDescent="0.25">
      <c r="A591" s="26" t="s">
        <v>1201</v>
      </c>
      <c r="B591" s="27" t="s">
        <v>1202</v>
      </c>
      <c r="C591" s="5">
        <v>1255</v>
      </c>
      <c r="D591" s="28" t="s">
        <v>28</v>
      </c>
      <c r="E591" s="28" t="s">
        <v>17</v>
      </c>
      <c r="F591" s="29">
        <v>28491</v>
      </c>
      <c r="G591" s="30">
        <f t="shared" si="9"/>
        <v>28491</v>
      </c>
      <c r="H591" s="28" t="s">
        <v>13</v>
      </c>
      <c r="I591" s="9">
        <v>29984.104606244902</v>
      </c>
      <c r="J591" s="62">
        <v>241.218603017817</v>
      </c>
      <c r="K591" s="33">
        <v>1</v>
      </c>
    </row>
    <row r="592" spans="1:11" x14ac:dyDescent="0.25">
      <c r="A592" s="3" t="s">
        <v>1203</v>
      </c>
      <c r="B592" s="4" t="s">
        <v>1204</v>
      </c>
      <c r="C592" s="14">
        <v>9922</v>
      </c>
      <c r="D592" s="6" t="s">
        <v>34</v>
      </c>
      <c r="E592" s="6" t="s">
        <v>17</v>
      </c>
      <c r="F592" s="7">
        <v>37575</v>
      </c>
      <c r="G592" s="8">
        <f t="shared" si="9"/>
        <v>37575</v>
      </c>
      <c r="H592" s="6" t="s">
        <v>13</v>
      </c>
      <c r="I592" s="9">
        <v>113587.22505343601</v>
      </c>
      <c r="J592" s="62">
        <v>1322.7556649888299</v>
      </c>
      <c r="K592" s="17">
        <v>2</v>
      </c>
    </row>
    <row r="593" spans="1:11" x14ac:dyDescent="0.25">
      <c r="A593" s="3" t="s">
        <v>1205</v>
      </c>
      <c r="B593" s="4" t="s">
        <v>1206</v>
      </c>
      <c r="C593" s="5">
        <v>1683</v>
      </c>
      <c r="D593" s="6" t="s">
        <v>28</v>
      </c>
      <c r="E593" s="6" t="s">
        <v>17</v>
      </c>
      <c r="F593" s="7">
        <v>33239</v>
      </c>
      <c r="G593" s="8">
        <f t="shared" si="9"/>
        <v>33239</v>
      </c>
      <c r="H593" s="6" t="s">
        <v>13</v>
      </c>
      <c r="I593" s="9">
        <v>60044.074926136505</v>
      </c>
      <c r="J593" s="62">
        <v>584.98293480688801</v>
      </c>
      <c r="K593" s="17">
        <v>2</v>
      </c>
    </row>
    <row r="594" spans="1:11" x14ac:dyDescent="0.25">
      <c r="A594" s="3" t="s">
        <v>1207</v>
      </c>
      <c r="B594" s="4" t="s">
        <v>1208</v>
      </c>
      <c r="C594" s="5">
        <v>54563</v>
      </c>
      <c r="D594" s="6" t="s">
        <v>28</v>
      </c>
      <c r="E594" s="6" t="s">
        <v>17</v>
      </c>
      <c r="F594" s="7">
        <v>37138</v>
      </c>
      <c r="G594" s="8">
        <f t="shared" si="9"/>
        <v>37138</v>
      </c>
      <c r="H594" s="6" t="s">
        <v>13</v>
      </c>
      <c r="I594" s="9">
        <v>4380.8290080648394</v>
      </c>
      <c r="J594" s="62">
        <v>77.082807633651498</v>
      </c>
      <c r="K594" s="17">
        <v>1</v>
      </c>
    </row>
    <row r="595" spans="1:11" x14ac:dyDescent="0.25">
      <c r="A595" s="3" t="s">
        <v>1209</v>
      </c>
      <c r="B595" s="4" t="s">
        <v>1210</v>
      </c>
      <c r="C595" s="5">
        <v>89409</v>
      </c>
      <c r="D595" s="6" t="s">
        <v>16</v>
      </c>
      <c r="E595" s="6" t="s">
        <v>17</v>
      </c>
      <c r="F595" s="7">
        <v>39295</v>
      </c>
      <c r="G595" s="8">
        <f t="shared" si="9"/>
        <v>39295</v>
      </c>
      <c r="H595" s="6" t="s">
        <v>13</v>
      </c>
      <c r="I595" s="9">
        <v>10201.3603040939</v>
      </c>
      <c r="J595" s="62">
        <v>252.122852216306</v>
      </c>
      <c r="K595" s="17">
        <v>1</v>
      </c>
    </row>
    <row r="596" spans="1:11" x14ac:dyDescent="0.25">
      <c r="A596" s="3" t="s">
        <v>1211</v>
      </c>
      <c r="B596" s="4" t="s">
        <v>1212</v>
      </c>
      <c r="C596" s="5">
        <v>1909</v>
      </c>
      <c r="D596" s="6" t="s">
        <v>34</v>
      </c>
      <c r="E596" s="6" t="s">
        <v>17</v>
      </c>
      <c r="F596" s="7">
        <v>25569</v>
      </c>
      <c r="G596" s="8">
        <f t="shared" si="9"/>
        <v>25569</v>
      </c>
      <c r="H596" s="6" t="s">
        <v>13</v>
      </c>
      <c r="I596" s="9">
        <v>2137.8276174515299</v>
      </c>
      <c r="J596" s="62">
        <v>104.265002108593</v>
      </c>
      <c r="K596" s="17">
        <v>1</v>
      </c>
    </row>
    <row r="597" spans="1:11" x14ac:dyDescent="0.25">
      <c r="A597" s="3" t="s">
        <v>1213</v>
      </c>
      <c r="B597" s="4" t="s">
        <v>1214</v>
      </c>
      <c r="C597" s="5">
        <v>54562</v>
      </c>
      <c r="D597" s="6" t="s">
        <v>31</v>
      </c>
      <c r="E597" s="6" t="s">
        <v>17</v>
      </c>
      <c r="F597" s="7">
        <v>39518</v>
      </c>
      <c r="G597" s="8">
        <f t="shared" si="9"/>
        <v>39518</v>
      </c>
      <c r="H597" s="6" t="s">
        <v>13</v>
      </c>
      <c r="I597" s="9">
        <v>5980.7519436891098</v>
      </c>
      <c r="J597" s="62">
        <v>91.969005685106694</v>
      </c>
      <c r="K597" s="17">
        <v>1</v>
      </c>
    </row>
    <row r="598" spans="1:11" x14ac:dyDescent="0.25">
      <c r="A598" s="26" t="s">
        <v>1215</v>
      </c>
      <c r="B598" s="27" t="s">
        <v>1216</v>
      </c>
      <c r="C598" s="34">
        <v>1138</v>
      </c>
      <c r="D598" s="28" t="s">
        <v>31</v>
      </c>
      <c r="E598" s="28" t="s">
        <v>17</v>
      </c>
      <c r="F598" s="29">
        <v>29221</v>
      </c>
      <c r="G598" s="30">
        <f t="shared" si="9"/>
        <v>29221</v>
      </c>
      <c r="H598" s="28" t="s">
        <v>13</v>
      </c>
      <c r="I598" s="9">
        <v>3439.7638042133199</v>
      </c>
      <c r="J598" s="62">
        <v>40.721553294849301</v>
      </c>
      <c r="K598" s="33">
        <v>1</v>
      </c>
    </row>
    <row r="599" spans="1:11" x14ac:dyDescent="0.25">
      <c r="A599" s="18" t="s">
        <v>1217</v>
      </c>
      <c r="B599" s="19" t="s">
        <v>1218</v>
      </c>
      <c r="C599" s="5">
        <v>20173</v>
      </c>
      <c r="D599" s="21" t="s">
        <v>34</v>
      </c>
      <c r="E599" s="21" t="s">
        <v>17</v>
      </c>
      <c r="F599" s="22">
        <v>20821</v>
      </c>
      <c r="G599" s="23">
        <f t="shared" si="9"/>
        <v>20821</v>
      </c>
      <c r="H599" s="21" t="s">
        <v>13</v>
      </c>
      <c r="I599" s="9">
        <v>64303.795840717998</v>
      </c>
      <c r="J599" s="62">
        <v>387.65681283088298</v>
      </c>
      <c r="K599" s="25">
        <v>1</v>
      </c>
    </row>
    <row r="600" spans="1:11" x14ac:dyDescent="0.25">
      <c r="A600" s="3" t="s">
        <v>1219</v>
      </c>
      <c r="B600" s="4" t="s">
        <v>1220</v>
      </c>
      <c r="C600" s="14">
        <v>1204</v>
      </c>
      <c r="D600" s="6" t="s">
        <v>31</v>
      </c>
      <c r="E600" s="6" t="s">
        <v>17</v>
      </c>
      <c r="F600" s="7">
        <v>29221</v>
      </c>
      <c r="G600" s="8">
        <f t="shared" si="9"/>
        <v>29221</v>
      </c>
      <c r="H600" s="6" t="s">
        <v>13</v>
      </c>
      <c r="I600" s="9">
        <v>55073.0743129646</v>
      </c>
      <c r="J600" s="62">
        <v>495.13877202995297</v>
      </c>
      <c r="K600" s="17">
        <v>2</v>
      </c>
    </row>
    <row r="601" spans="1:11" x14ac:dyDescent="0.25">
      <c r="A601" s="3" t="s">
        <v>1221</v>
      </c>
      <c r="B601" s="4" t="s">
        <v>1222</v>
      </c>
      <c r="C601" s="5">
        <v>16654</v>
      </c>
      <c r="D601" s="6" t="s">
        <v>16</v>
      </c>
      <c r="E601" s="6" t="s">
        <v>17</v>
      </c>
      <c r="F601" s="7">
        <v>26276</v>
      </c>
      <c r="G601" s="8">
        <f t="shared" si="9"/>
        <v>26276</v>
      </c>
      <c r="H601" s="6" t="s">
        <v>13</v>
      </c>
      <c r="I601" s="9">
        <v>19626.342790131999</v>
      </c>
      <c r="J601" s="62">
        <v>49.280235630919897</v>
      </c>
      <c r="K601" s="17">
        <v>1</v>
      </c>
    </row>
    <row r="602" spans="1:11" x14ac:dyDescent="0.25">
      <c r="A602" s="3" t="s">
        <v>1223</v>
      </c>
      <c r="B602" s="4" t="s">
        <v>1224</v>
      </c>
      <c r="C602" s="5">
        <v>33889</v>
      </c>
      <c r="D602" s="6" t="s">
        <v>31</v>
      </c>
      <c r="E602" s="6" t="s">
        <v>17</v>
      </c>
      <c r="F602" s="7">
        <v>39983</v>
      </c>
      <c r="G602" s="8">
        <f t="shared" si="9"/>
        <v>39983</v>
      </c>
      <c r="H602" s="6" t="s">
        <v>13</v>
      </c>
      <c r="I602" s="9">
        <v>183880.432793557</v>
      </c>
      <c r="J602" s="62">
        <v>306.16800871411903</v>
      </c>
      <c r="K602" s="17">
        <v>1</v>
      </c>
    </row>
    <row r="603" spans="1:11" x14ac:dyDescent="0.25">
      <c r="A603" s="3" t="s">
        <v>1225</v>
      </c>
      <c r="B603" s="4" t="s">
        <v>1226</v>
      </c>
      <c r="C603" s="5">
        <v>1315</v>
      </c>
      <c r="D603" s="6" t="s">
        <v>16</v>
      </c>
      <c r="E603" s="6" t="s">
        <v>17</v>
      </c>
      <c r="F603" s="7">
        <v>29221</v>
      </c>
      <c r="G603" s="8">
        <f t="shared" si="9"/>
        <v>29221</v>
      </c>
      <c r="H603" s="6" t="s">
        <v>13</v>
      </c>
      <c r="I603" s="9">
        <v>126748.50356418799</v>
      </c>
      <c r="J603" s="62">
        <v>647.01746226714397</v>
      </c>
      <c r="K603" s="17">
        <v>2</v>
      </c>
    </row>
    <row r="604" spans="1:11" ht="30" x14ac:dyDescent="0.25">
      <c r="A604" s="3" t="s">
        <v>1227</v>
      </c>
      <c r="B604" s="4" t="s">
        <v>1228</v>
      </c>
      <c r="C604" s="14">
        <v>35489</v>
      </c>
      <c r="D604" s="6" t="s">
        <v>11</v>
      </c>
      <c r="E604" s="6" t="s">
        <v>12</v>
      </c>
      <c r="F604" s="7">
        <v>28843</v>
      </c>
      <c r="G604" s="8">
        <f t="shared" si="9"/>
        <v>28843</v>
      </c>
      <c r="H604" s="6" t="s">
        <v>776</v>
      </c>
      <c r="I604" s="9" t="s">
        <v>3380</v>
      </c>
      <c r="J604" s="62" t="s">
        <v>3380</v>
      </c>
      <c r="K604" s="11">
        <v>1</v>
      </c>
    </row>
    <row r="605" spans="1:11" x14ac:dyDescent="0.25">
      <c r="A605" s="3" t="s">
        <v>1229</v>
      </c>
      <c r="B605" s="4" t="s">
        <v>1230</v>
      </c>
      <c r="C605" s="14">
        <v>1944</v>
      </c>
      <c r="D605" s="6" t="s">
        <v>34</v>
      </c>
      <c r="E605" s="6" t="s">
        <v>17</v>
      </c>
      <c r="F605" s="7">
        <v>18264</v>
      </c>
      <c r="G605" s="8">
        <f t="shared" si="9"/>
        <v>18264</v>
      </c>
      <c r="H605" s="6" t="s">
        <v>13</v>
      </c>
      <c r="I605" s="9" t="s">
        <v>3380</v>
      </c>
      <c r="J605" s="62" t="s">
        <v>3380</v>
      </c>
      <c r="K605" s="17">
        <v>4</v>
      </c>
    </row>
    <row r="606" spans="1:11" x14ac:dyDescent="0.25">
      <c r="A606" s="26" t="s">
        <v>1231</v>
      </c>
      <c r="B606" s="27" t="s">
        <v>1232</v>
      </c>
      <c r="C606" s="34">
        <v>1917</v>
      </c>
      <c r="D606" s="28" t="s">
        <v>31</v>
      </c>
      <c r="E606" s="28" t="s">
        <v>17</v>
      </c>
      <c r="F606" s="29">
        <v>27011</v>
      </c>
      <c r="G606" s="30">
        <f t="shared" si="9"/>
        <v>27011</v>
      </c>
      <c r="H606" s="28" t="s">
        <v>13</v>
      </c>
      <c r="I606" s="9">
        <v>16347.646423816301</v>
      </c>
      <c r="J606" s="62">
        <v>128.52051568479001</v>
      </c>
      <c r="K606" s="33">
        <v>1</v>
      </c>
    </row>
    <row r="607" spans="1:11" x14ac:dyDescent="0.25">
      <c r="A607" s="26" t="s">
        <v>1233</v>
      </c>
      <c r="B607" s="27" t="s">
        <v>1234</v>
      </c>
      <c r="C607" s="34">
        <v>1860</v>
      </c>
      <c r="D607" s="28" t="s">
        <v>31</v>
      </c>
      <c r="E607" s="28" t="s">
        <v>17</v>
      </c>
      <c r="F607" s="29">
        <v>38029</v>
      </c>
      <c r="G607" s="30">
        <f t="shared" si="9"/>
        <v>38029</v>
      </c>
      <c r="H607" s="28" t="s">
        <v>13</v>
      </c>
      <c r="I607" s="9">
        <v>26162.538181695701</v>
      </c>
      <c r="J607" s="62">
        <v>139.61560853129799</v>
      </c>
      <c r="K607" s="33">
        <v>1</v>
      </c>
    </row>
    <row r="608" spans="1:11" ht="30" x14ac:dyDescent="0.25">
      <c r="A608" s="3" t="s">
        <v>1235</v>
      </c>
      <c r="B608" s="4" t="s">
        <v>1236</v>
      </c>
      <c r="C608" s="14">
        <v>37169</v>
      </c>
      <c r="D608" s="6" t="s">
        <v>11</v>
      </c>
      <c r="E608" s="6" t="s">
        <v>12</v>
      </c>
      <c r="F608" s="7">
        <v>27046</v>
      </c>
      <c r="G608" s="8">
        <f t="shared" si="9"/>
        <v>27046</v>
      </c>
      <c r="H608" s="6" t="s">
        <v>776</v>
      </c>
      <c r="I608" s="9">
        <v>144324.20887506002</v>
      </c>
      <c r="J608" s="62">
        <v>880.68367353666304</v>
      </c>
      <c r="K608" s="17">
        <v>2</v>
      </c>
    </row>
    <row r="609" spans="1:11" x14ac:dyDescent="0.25">
      <c r="A609" s="3" t="s">
        <v>1237</v>
      </c>
      <c r="B609" s="4" t="s">
        <v>1238</v>
      </c>
      <c r="C609" s="5">
        <v>2245</v>
      </c>
      <c r="D609" s="6" t="s">
        <v>16</v>
      </c>
      <c r="E609" s="6" t="s">
        <v>17</v>
      </c>
      <c r="F609" s="7">
        <v>37084</v>
      </c>
      <c r="G609" s="8">
        <f t="shared" si="9"/>
        <v>37084</v>
      </c>
      <c r="H609" s="6" t="s">
        <v>13</v>
      </c>
      <c r="I609" s="9">
        <v>11115.0880045432</v>
      </c>
      <c r="J609" s="62">
        <v>69.340806756397996</v>
      </c>
      <c r="K609" s="17">
        <v>1</v>
      </c>
    </row>
    <row r="610" spans="1:11" x14ac:dyDescent="0.25">
      <c r="A610" s="3" t="s">
        <v>1239</v>
      </c>
      <c r="B610" s="4" t="s">
        <v>1240</v>
      </c>
      <c r="C610" s="5">
        <v>2001</v>
      </c>
      <c r="D610" s="6" t="s">
        <v>31</v>
      </c>
      <c r="E610" s="6" t="s">
        <v>17</v>
      </c>
      <c r="F610" s="7">
        <v>29952</v>
      </c>
      <c r="G610" s="8">
        <f t="shared" si="9"/>
        <v>29952</v>
      </c>
      <c r="H610" s="6" t="s">
        <v>13</v>
      </c>
      <c r="I610" s="9">
        <v>27933.380507892402</v>
      </c>
      <c r="J610" s="62">
        <v>60.819999182337398</v>
      </c>
      <c r="K610" s="17">
        <v>1</v>
      </c>
    </row>
    <row r="611" spans="1:11" x14ac:dyDescent="0.25">
      <c r="A611" s="3" t="s">
        <v>1241</v>
      </c>
      <c r="B611" s="4" t="s">
        <v>1242</v>
      </c>
      <c r="C611" s="5">
        <v>1141</v>
      </c>
      <c r="D611" s="6" t="s">
        <v>31</v>
      </c>
      <c r="E611" s="6" t="s">
        <v>17</v>
      </c>
      <c r="F611" s="7">
        <v>40998</v>
      </c>
      <c r="G611" s="8">
        <f t="shared" si="9"/>
        <v>40998</v>
      </c>
      <c r="H611" s="6" t="s">
        <v>13</v>
      </c>
      <c r="I611" s="9">
        <v>20025.286602472999</v>
      </c>
      <c r="J611" s="62">
        <v>205.27990276208999</v>
      </c>
      <c r="K611" s="17">
        <v>1</v>
      </c>
    </row>
    <row r="612" spans="1:11" x14ac:dyDescent="0.25">
      <c r="A612" s="26" t="s">
        <v>1243</v>
      </c>
      <c r="B612" s="27" t="s">
        <v>1244</v>
      </c>
      <c r="C612" s="34">
        <v>1458</v>
      </c>
      <c r="D612" s="28" t="s">
        <v>34</v>
      </c>
      <c r="E612" s="28" t="s">
        <v>17</v>
      </c>
      <c r="F612" s="29">
        <v>29221</v>
      </c>
      <c r="G612" s="30">
        <f t="shared" si="9"/>
        <v>29221</v>
      </c>
      <c r="H612" s="28" t="s">
        <v>13</v>
      </c>
      <c r="I612" s="9">
        <v>9989.7412496238212</v>
      </c>
      <c r="J612" s="62">
        <v>202.06107016488701</v>
      </c>
      <c r="K612" s="33">
        <v>1</v>
      </c>
    </row>
    <row r="613" spans="1:11" x14ac:dyDescent="0.25">
      <c r="A613" s="3" t="s">
        <v>1245</v>
      </c>
      <c r="B613" s="4" t="s">
        <v>1246</v>
      </c>
      <c r="C613" s="5">
        <v>29844</v>
      </c>
      <c r="D613" s="6" t="s">
        <v>34</v>
      </c>
      <c r="E613" s="6" t="s">
        <v>17</v>
      </c>
      <c r="F613" s="7">
        <v>35584</v>
      </c>
      <c r="G613" s="8">
        <f t="shared" si="9"/>
        <v>35584</v>
      </c>
      <c r="H613" s="6" t="s">
        <v>13</v>
      </c>
      <c r="I613" s="9">
        <v>3667.2503492565597</v>
      </c>
      <c r="J613" s="62">
        <v>141.469344140945</v>
      </c>
      <c r="K613" s="17">
        <v>1</v>
      </c>
    </row>
    <row r="614" spans="1:11" x14ac:dyDescent="0.25">
      <c r="A614" s="18" t="s">
        <v>1247</v>
      </c>
      <c r="B614" s="19" t="s">
        <v>1248</v>
      </c>
      <c r="C614" s="5">
        <v>1987</v>
      </c>
      <c r="D614" s="21" t="s">
        <v>28</v>
      </c>
      <c r="E614" s="21" t="s">
        <v>17</v>
      </c>
      <c r="F614" s="22">
        <v>18264</v>
      </c>
      <c r="G614" s="23">
        <f t="shared" si="9"/>
        <v>18264</v>
      </c>
      <c r="H614" s="21" t="s">
        <v>13</v>
      </c>
      <c r="I614" s="9" t="s">
        <v>3380</v>
      </c>
      <c r="J614" s="62" t="s">
        <v>3380</v>
      </c>
      <c r="K614" s="25">
        <v>3</v>
      </c>
    </row>
    <row r="615" spans="1:11" x14ac:dyDescent="0.25">
      <c r="A615" s="3" t="s">
        <v>1249</v>
      </c>
      <c r="B615" s="4" t="s">
        <v>1250</v>
      </c>
      <c r="C615" s="5">
        <v>72097</v>
      </c>
      <c r="D615" s="6" t="s">
        <v>37</v>
      </c>
      <c r="E615" s="6" t="s">
        <v>38</v>
      </c>
      <c r="F615" s="7">
        <v>38491</v>
      </c>
      <c r="G615" s="8">
        <f t="shared" si="9"/>
        <v>38491</v>
      </c>
      <c r="H615" s="6" t="s">
        <v>39</v>
      </c>
      <c r="I615" s="9">
        <v>21201.968001311401</v>
      </c>
      <c r="J615" s="62">
        <v>218.78073592947999</v>
      </c>
      <c r="K615" s="17">
        <v>2</v>
      </c>
    </row>
    <row r="616" spans="1:11" x14ac:dyDescent="0.25">
      <c r="A616" s="26" t="s">
        <v>1251</v>
      </c>
      <c r="B616" s="27" t="s">
        <v>1252</v>
      </c>
      <c r="C616" s="34">
        <v>30546</v>
      </c>
      <c r="D616" s="28" t="s">
        <v>11</v>
      </c>
      <c r="E616" s="28" t="s">
        <v>12</v>
      </c>
      <c r="F616" s="29">
        <v>39294</v>
      </c>
      <c r="G616" s="30">
        <f t="shared" si="9"/>
        <v>39294</v>
      </c>
      <c r="H616" s="28" t="s">
        <v>39</v>
      </c>
      <c r="I616" s="9">
        <v>75338.233517149303</v>
      </c>
      <c r="J616" s="62">
        <v>367.51534300138201</v>
      </c>
      <c r="K616" s="33">
        <v>2</v>
      </c>
    </row>
    <row r="617" spans="1:11" x14ac:dyDescent="0.25">
      <c r="A617" s="3" t="s">
        <v>1253</v>
      </c>
      <c r="B617" s="4" t="s">
        <v>1254</v>
      </c>
      <c r="C617" s="14">
        <v>54564</v>
      </c>
      <c r="D617" s="6" t="s">
        <v>11</v>
      </c>
      <c r="E617" s="6" t="s">
        <v>12</v>
      </c>
      <c r="F617" s="7">
        <v>37386</v>
      </c>
      <c r="G617" s="8">
        <f t="shared" si="9"/>
        <v>37386</v>
      </c>
      <c r="H617" s="6" t="s">
        <v>39</v>
      </c>
      <c r="I617" s="9">
        <v>58190.9002622193</v>
      </c>
      <c r="J617" s="62">
        <v>432.77095009882299</v>
      </c>
      <c r="K617" s="17">
        <v>2</v>
      </c>
    </row>
    <row r="618" spans="1:11" x14ac:dyDescent="0.25">
      <c r="A618" s="3" t="s">
        <v>1255</v>
      </c>
      <c r="B618" s="4" t="s">
        <v>1256</v>
      </c>
      <c r="C618" s="5">
        <v>1939</v>
      </c>
      <c r="D618" s="6" t="s">
        <v>34</v>
      </c>
      <c r="E618" s="6" t="s">
        <v>17</v>
      </c>
      <c r="F618" s="7">
        <v>29221</v>
      </c>
      <c r="G618" s="8">
        <f t="shared" si="9"/>
        <v>29221</v>
      </c>
      <c r="H618" s="6" t="s">
        <v>13</v>
      </c>
      <c r="I618" s="9">
        <v>7538.6301620322301</v>
      </c>
      <c r="J618" s="62">
        <v>260.54653651964298</v>
      </c>
      <c r="K618" s="17">
        <v>1</v>
      </c>
    </row>
    <row r="619" spans="1:11" x14ac:dyDescent="0.25">
      <c r="A619" s="3" t="s">
        <v>1257</v>
      </c>
      <c r="B619" s="4" t="s">
        <v>1258</v>
      </c>
      <c r="C619" s="5">
        <v>1546</v>
      </c>
      <c r="D619" s="6" t="s">
        <v>28</v>
      </c>
      <c r="E619" s="6" t="s">
        <v>17</v>
      </c>
      <c r="F619" s="7">
        <v>25569</v>
      </c>
      <c r="G619" s="8">
        <f t="shared" si="9"/>
        <v>25569</v>
      </c>
      <c r="H619" s="6" t="s">
        <v>13</v>
      </c>
      <c r="I619" s="9">
        <v>57632.599328993696</v>
      </c>
      <c r="J619" s="62">
        <v>114.81132106550901</v>
      </c>
      <c r="K619" s="17">
        <v>1</v>
      </c>
    </row>
    <row r="620" spans="1:11" x14ac:dyDescent="0.25">
      <c r="A620" s="3" t="s">
        <v>1259</v>
      </c>
      <c r="B620" s="4" t="s">
        <v>1260</v>
      </c>
      <c r="C620" s="5">
        <v>12807</v>
      </c>
      <c r="D620" s="6" t="s">
        <v>37</v>
      </c>
      <c r="E620" s="6" t="s">
        <v>38</v>
      </c>
      <c r="F620" s="7">
        <v>37818</v>
      </c>
      <c r="G620" s="8">
        <f t="shared" si="9"/>
        <v>37818</v>
      </c>
      <c r="H620" s="6" t="s">
        <v>39</v>
      </c>
      <c r="I620" s="9">
        <v>9179.8066653262886</v>
      </c>
      <c r="J620" s="62">
        <v>204.41630838820799</v>
      </c>
      <c r="K620" s="17">
        <v>2</v>
      </c>
    </row>
    <row r="621" spans="1:11" x14ac:dyDescent="0.25">
      <c r="A621" s="3" t="s">
        <v>1261</v>
      </c>
      <c r="B621" s="4" t="s">
        <v>1262</v>
      </c>
      <c r="C621" s="5">
        <v>48801</v>
      </c>
      <c r="D621" s="6" t="s">
        <v>37</v>
      </c>
      <c r="E621" s="6" t="s">
        <v>38</v>
      </c>
      <c r="F621" s="7">
        <v>37873</v>
      </c>
      <c r="G621" s="8">
        <f t="shared" si="9"/>
        <v>37873</v>
      </c>
      <c r="H621" s="6" t="s">
        <v>39</v>
      </c>
      <c r="I621" s="9">
        <v>11205.9709378058</v>
      </c>
      <c r="J621" s="62">
        <v>200.81207220386</v>
      </c>
      <c r="K621" s="17">
        <v>1</v>
      </c>
    </row>
    <row r="622" spans="1:11" x14ac:dyDescent="0.25">
      <c r="A622" s="18" t="s">
        <v>1263</v>
      </c>
      <c r="B622" s="19" t="s">
        <v>1264</v>
      </c>
      <c r="C622" s="20">
        <v>1840</v>
      </c>
      <c r="D622" s="21" t="s">
        <v>16</v>
      </c>
      <c r="E622" s="21" t="s">
        <v>17</v>
      </c>
      <c r="F622" s="22">
        <v>18264</v>
      </c>
      <c r="G622" s="23">
        <f t="shared" si="9"/>
        <v>18264</v>
      </c>
      <c r="H622" s="21" t="s">
        <v>13</v>
      </c>
      <c r="I622" s="9">
        <v>43078.126808482702</v>
      </c>
      <c r="J622" s="62">
        <v>108.18215945206001</v>
      </c>
      <c r="K622" s="25">
        <v>2</v>
      </c>
    </row>
    <row r="623" spans="1:11" x14ac:dyDescent="0.25">
      <c r="A623" s="3" t="s">
        <v>1265</v>
      </c>
      <c r="B623" s="4" t="s">
        <v>1266</v>
      </c>
      <c r="C623" s="5">
        <v>1579</v>
      </c>
      <c r="D623" s="6" t="s">
        <v>16</v>
      </c>
      <c r="E623" s="6" t="s">
        <v>17</v>
      </c>
      <c r="F623" s="7">
        <v>29221</v>
      </c>
      <c r="G623" s="8">
        <f t="shared" si="9"/>
        <v>29221</v>
      </c>
      <c r="H623" s="6" t="s">
        <v>13</v>
      </c>
      <c r="I623" s="9">
        <v>71293.272948809303</v>
      </c>
      <c r="J623" s="62">
        <v>301.32441065418197</v>
      </c>
      <c r="K623" s="17">
        <v>4</v>
      </c>
    </row>
    <row r="624" spans="1:11" x14ac:dyDescent="0.25">
      <c r="A624" s="3" t="s">
        <v>1267</v>
      </c>
      <c r="B624" s="4" t="s">
        <v>1268</v>
      </c>
      <c r="C624" s="5">
        <v>54565</v>
      </c>
      <c r="D624" s="6" t="s">
        <v>16</v>
      </c>
      <c r="E624" s="6" t="s">
        <v>17</v>
      </c>
      <c r="F624" s="7">
        <v>37312</v>
      </c>
      <c r="G624" s="8">
        <f t="shared" si="9"/>
        <v>37312</v>
      </c>
      <c r="H624" s="6" t="s">
        <v>13</v>
      </c>
      <c r="I624" s="9">
        <v>21544.7887150922</v>
      </c>
      <c r="J624" s="62">
        <v>116.57211411449801</v>
      </c>
      <c r="K624" s="17">
        <v>1</v>
      </c>
    </row>
    <row r="625" spans="1:11" x14ac:dyDescent="0.25">
      <c r="A625" s="3" t="s">
        <v>1269</v>
      </c>
      <c r="B625" s="4" t="s">
        <v>1270</v>
      </c>
      <c r="C625" s="5">
        <v>18887</v>
      </c>
      <c r="D625" s="6" t="s">
        <v>31</v>
      </c>
      <c r="E625" s="6" t="s">
        <v>17</v>
      </c>
      <c r="F625" s="7">
        <v>32646</v>
      </c>
      <c r="G625" s="8">
        <f t="shared" si="9"/>
        <v>32646</v>
      </c>
      <c r="H625" s="6" t="s">
        <v>13</v>
      </c>
      <c r="I625" s="9">
        <v>2984.72259991485</v>
      </c>
      <c r="J625" s="62">
        <v>117.40987244342099</v>
      </c>
      <c r="K625" s="17">
        <v>1</v>
      </c>
    </row>
    <row r="626" spans="1:11" x14ac:dyDescent="0.25">
      <c r="A626" s="3" t="s">
        <v>1271</v>
      </c>
      <c r="B626" s="4" t="s">
        <v>1272</v>
      </c>
      <c r="C626" s="14">
        <v>1509</v>
      </c>
      <c r="D626" s="6" t="s">
        <v>28</v>
      </c>
      <c r="E626" s="6" t="s">
        <v>17</v>
      </c>
      <c r="F626" s="7">
        <v>18264</v>
      </c>
      <c r="G626" s="8">
        <f t="shared" si="9"/>
        <v>18264</v>
      </c>
      <c r="H626" s="6" t="s">
        <v>13</v>
      </c>
      <c r="I626" s="9">
        <v>94353.649333848502</v>
      </c>
      <c r="J626" s="62">
        <v>670.25785107889703</v>
      </c>
      <c r="K626" s="17">
        <v>1</v>
      </c>
    </row>
    <row r="627" spans="1:11" x14ac:dyDescent="0.25">
      <c r="A627" s="3" t="s">
        <v>1273</v>
      </c>
      <c r="B627" s="4" t="s">
        <v>1274</v>
      </c>
      <c r="C627" s="14">
        <v>1147</v>
      </c>
      <c r="D627" s="6" t="s">
        <v>34</v>
      </c>
      <c r="E627" s="6" t="s">
        <v>17</v>
      </c>
      <c r="F627" s="7">
        <v>37697</v>
      </c>
      <c r="G627" s="8">
        <f t="shared" si="9"/>
        <v>37697</v>
      </c>
      <c r="H627" s="6" t="s">
        <v>13</v>
      </c>
      <c r="I627" s="9">
        <v>35278.795351770495</v>
      </c>
      <c r="J627" s="62">
        <v>292.66249440224999</v>
      </c>
      <c r="K627" s="17">
        <v>2</v>
      </c>
    </row>
    <row r="628" spans="1:11" x14ac:dyDescent="0.25">
      <c r="A628" s="3" t="s">
        <v>1275</v>
      </c>
      <c r="B628" s="4" t="s">
        <v>1276</v>
      </c>
      <c r="C628" s="5">
        <v>1879</v>
      </c>
      <c r="D628" s="6" t="s">
        <v>34</v>
      </c>
      <c r="E628" s="6" t="s">
        <v>17</v>
      </c>
      <c r="F628" s="7">
        <v>32617</v>
      </c>
      <c r="G628" s="8">
        <f t="shared" si="9"/>
        <v>32617</v>
      </c>
      <c r="H628" s="6" t="s">
        <v>13</v>
      </c>
      <c r="I628" s="9">
        <v>9306.3039182326593</v>
      </c>
      <c r="J628" s="62">
        <v>95.355306616005194</v>
      </c>
      <c r="K628" s="17">
        <v>1</v>
      </c>
    </row>
    <row r="629" spans="1:11" x14ac:dyDescent="0.25">
      <c r="A629" s="3" t="s">
        <v>1277</v>
      </c>
      <c r="B629" s="4" t="s">
        <v>1278</v>
      </c>
      <c r="C629" s="5">
        <v>10562</v>
      </c>
      <c r="D629" s="6" t="s">
        <v>11</v>
      </c>
      <c r="E629" s="6" t="s">
        <v>17</v>
      </c>
      <c r="F629" s="7">
        <v>37231</v>
      </c>
      <c r="G629" s="8">
        <f t="shared" si="9"/>
        <v>37231</v>
      </c>
      <c r="H629" s="6" t="s">
        <v>13</v>
      </c>
      <c r="I629" s="9">
        <v>30100.410349657199</v>
      </c>
      <c r="J629" s="62">
        <v>208.60083313095899</v>
      </c>
      <c r="K629" s="17">
        <v>1</v>
      </c>
    </row>
    <row r="630" spans="1:11" x14ac:dyDescent="0.25">
      <c r="A630" s="3" t="s">
        <v>1279</v>
      </c>
      <c r="B630" s="4" t="s">
        <v>1280</v>
      </c>
      <c r="C630" s="5">
        <v>1533</v>
      </c>
      <c r="D630" s="6" t="s">
        <v>34</v>
      </c>
      <c r="E630" s="6" t="s">
        <v>17</v>
      </c>
      <c r="F630" s="7">
        <v>19725</v>
      </c>
      <c r="G630" s="8">
        <f t="shared" si="9"/>
        <v>19725</v>
      </c>
      <c r="H630" s="6" t="s">
        <v>13</v>
      </c>
      <c r="I630" s="9">
        <v>2509.5955782011501</v>
      </c>
      <c r="J630" s="62">
        <v>35.345766891290801</v>
      </c>
      <c r="K630" s="17">
        <v>2</v>
      </c>
    </row>
    <row r="631" spans="1:11" x14ac:dyDescent="0.25">
      <c r="A631" s="3" t="s">
        <v>1281</v>
      </c>
      <c r="B631" s="4" t="s">
        <v>1282</v>
      </c>
      <c r="C631" s="5">
        <v>12802</v>
      </c>
      <c r="D631" s="6" t="s">
        <v>34</v>
      </c>
      <c r="E631" s="6" t="s">
        <v>17</v>
      </c>
      <c r="F631" s="7">
        <v>38110</v>
      </c>
      <c r="G631" s="8">
        <f t="shared" si="9"/>
        <v>38110</v>
      </c>
      <c r="H631" s="6" t="s">
        <v>13</v>
      </c>
      <c r="I631" s="9">
        <v>56203.770350626801</v>
      </c>
      <c r="J631" s="62">
        <v>447.11611740328601</v>
      </c>
      <c r="K631" s="17">
        <v>1</v>
      </c>
    </row>
    <row r="632" spans="1:11" x14ac:dyDescent="0.25">
      <c r="A632" s="3" t="s">
        <v>1283</v>
      </c>
      <c r="B632" s="4" t="s">
        <v>1284</v>
      </c>
      <c r="C632" s="5">
        <v>1196</v>
      </c>
      <c r="D632" s="6" t="s">
        <v>16</v>
      </c>
      <c r="E632" s="6" t="s">
        <v>17</v>
      </c>
      <c r="F632" s="7">
        <v>29221</v>
      </c>
      <c r="G632" s="8">
        <f t="shared" si="9"/>
        <v>29221</v>
      </c>
      <c r="H632" s="6" t="s">
        <v>13</v>
      </c>
      <c r="I632" s="9">
        <v>8954.0907625539203</v>
      </c>
      <c r="J632" s="62">
        <v>89.195674164057195</v>
      </c>
      <c r="K632" s="17">
        <v>1</v>
      </c>
    </row>
    <row r="633" spans="1:11" x14ac:dyDescent="0.25">
      <c r="A633" s="3" t="s">
        <v>1285</v>
      </c>
      <c r="B633" s="4" t="s">
        <v>1286</v>
      </c>
      <c r="C633" s="14">
        <v>1439</v>
      </c>
      <c r="D633" s="6" t="s">
        <v>16</v>
      </c>
      <c r="E633" s="6" t="s">
        <v>17</v>
      </c>
      <c r="F633" s="7">
        <v>29221</v>
      </c>
      <c r="G633" s="8">
        <f t="shared" si="9"/>
        <v>29221</v>
      </c>
      <c r="H633" s="6" t="s">
        <v>13</v>
      </c>
      <c r="I633" s="9">
        <v>225814.284220937</v>
      </c>
      <c r="J633" s="62">
        <v>780.44295422194398</v>
      </c>
      <c r="K633" s="17">
        <v>2</v>
      </c>
    </row>
    <row r="634" spans="1:11" x14ac:dyDescent="0.25">
      <c r="A634" s="3" t="s">
        <v>1287</v>
      </c>
      <c r="B634" s="4" t="s">
        <v>1288</v>
      </c>
      <c r="C634" s="5">
        <v>1063</v>
      </c>
      <c r="D634" s="6" t="s">
        <v>16</v>
      </c>
      <c r="E634" s="6" t="s">
        <v>17</v>
      </c>
      <c r="F634" s="7">
        <v>25569</v>
      </c>
      <c r="G634" s="8">
        <f t="shared" si="9"/>
        <v>25569</v>
      </c>
      <c r="H634" s="6" t="s">
        <v>13</v>
      </c>
      <c r="I634" s="9">
        <v>12560.3593443235</v>
      </c>
      <c r="J634" s="62">
        <v>276.75545257493297</v>
      </c>
      <c r="K634" s="17">
        <v>1</v>
      </c>
    </row>
    <row r="635" spans="1:11" x14ac:dyDescent="0.25">
      <c r="A635" s="3" t="s">
        <v>1289</v>
      </c>
      <c r="B635" s="4" t="s">
        <v>1290</v>
      </c>
      <c r="C635" s="5">
        <v>1854</v>
      </c>
      <c r="D635" s="6" t="s">
        <v>16</v>
      </c>
      <c r="E635" s="6" t="s">
        <v>17</v>
      </c>
      <c r="F635" s="7">
        <v>29221</v>
      </c>
      <c r="G635" s="8">
        <f t="shared" si="9"/>
        <v>29221</v>
      </c>
      <c r="H635" s="6" t="s">
        <v>13</v>
      </c>
      <c r="I635" s="9">
        <v>34262.074780996598</v>
      </c>
      <c r="J635" s="62">
        <v>423.07209235709502</v>
      </c>
      <c r="K635" s="17">
        <v>1</v>
      </c>
    </row>
    <row r="636" spans="1:11" x14ac:dyDescent="0.25">
      <c r="A636" s="3" t="s">
        <v>1291</v>
      </c>
      <c r="B636" s="4" t="s">
        <v>1292</v>
      </c>
      <c r="C636" s="5">
        <v>1190</v>
      </c>
      <c r="D636" s="6" t="s">
        <v>16</v>
      </c>
      <c r="E636" s="6" t="s">
        <v>17</v>
      </c>
      <c r="F636" s="7">
        <v>25569</v>
      </c>
      <c r="G636" s="8">
        <f t="shared" si="9"/>
        <v>25569</v>
      </c>
      <c r="H636" s="6" t="s">
        <v>13</v>
      </c>
      <c r="I636" s="9">
        <v>4506.9063235905396</v>
      </c>
      <c r="J636" s="62">
        <v>237.03619819289901</v>
      </c>
      <c r="K636" s="17">
        <v>1</v>
      </c>
    </row>
    <row r="637" spans="1:11" x14ac:dyDescent="0.25">
      <c r="A637" s="3" t="s">
        <v>1293</v>
      </c>
      <c r="B637" s="4" t="s">
        <v>1294</v>
      </c>
      <c r="C637" s="5">
        <v>1862</v>
      </c>
      <c r="D637" s="6" t="s">
        <v>31</v>
      </c>
      <c r="E637" s="6" t="s">
        <v>17</v>
      </c>
      <c r="F637" s="7">
        <v>29221</v>
      </c>
      <c r="G637" s="8">
        <f t="shared" si="9"/>
        <v>29221</v>
      </c>
      <c r="H637" s="6" t="s">
        <v>13</v>
      </c>
      <c r="I637" s="9">
        <v>27270.029330443202</v>
      </c>
      <c r="J637" s="62">
        <v>325.82432673452701</v>
      </c>
      <c r="K637" s="17">
        <v>2</v>
      </c>
    </row>
    <row r="638" spans="1:11" x14ac:dyDescent="0.25">
      <c r="A638" s="3" t="s">
        <v>1295</v>
      </c>
      <c r="B638" s="4" t="s">
        <v>1296</v>
      </c>
      <c r="C638" s="5">
        <v>54169</v>
      </c>
      <c r="D638" s="6" t="s">
        <v>28</v>
      </c>
      <c r="E638" s="6" t="s">
        <v>17</v>
      </c>
      <c r="F638" s="7">
        <v>38562</v>
      </c>
      <c r="G638" s="8">
        <f t="shared" si="9"/>
        <v>38562</v>
      </c>
      <c r="H638" s="6" t="s">
        <v>13</v>
      </c>
      <c r="I638" s="9">
        <v>23882.060759562999</v>
      </c>
      <c r="J638" s="62">
        <v>156.71022323835601</v>
      </c>
      <c r="K638" s="17">
        <v>1</v>
      </c>
    </row>
    <row r="639" spans="1:11" x14ac:dyDescent="0.25">
      <c r="A639" s="3" t="s">
        <v>1297</v>
      </c>
      <c r="B639" s="4" t="s">
        <v>1298</v>
      </c>
      <c r="C639" s="5">
        <v>1964</v>
      </c>
      <c r="D639" s="6" t="s">
        <v>11</v>
      </c>
      <c r="E639" s="6" t="s">
        <v>17</v>
      </c>
      <c r="F639" s="7">
        <v>34633</v>
      </c>
      <c r="G639" s="8">
        <f t="shared" si="9"/>
        <v>34633</v>
      </c>
      <c r="H639" s="6" t="s">
        <v>13</v>
      </c>
      <c r="I639" s="9">
        <v>75383.401024928404</v>
      </c>
      <c r="J639" s="62">
        <v>194.56495881231001</v>
      </c>
      <c r="K639" s="17">
        <v>2</v>
      </c>
    </row>
    <row r="640" spans="1:11" x14ac:dyDescent="0.25">
      <c r="A640" s="3" t="s">
        <v>1299</v>
      </c>
      <c r="B640" s="4" t="s">
        <v>1300</v>
      </c>
      <c r="C640" s="5">
        <v>52945</v>
      </c>
      <c r="D640" s="6" t="s">
        <v>28</v>
      </c>
      <c r="E640" s="6" t="s">
        <v>17</v>
      </c>
      <c r="F640" s="7">
        <v>38548</v>
      </c>
      <c r="G640" s="8">
        <f t="shared" si="9"/>
        <v>38548</v>
      </c>
      <c r="H640" s="6" t="s">
        <v>13</v>
      </c>
      <c r="I640" s="9">
        <v>36666.227142404699</v>
      </c>
      <c r="J640" s="62">
        <v>371.34653296643597</v>
      </c>
      <c r="K640" s="17">
        <v>1</v>
      </c>
    </row>
    <row r="641" spans="1:11" x14ac:dyDescent="0.25">
      <c r="A641" s="3" t="s">
        <v>1301</v>
      </c>
      <c r="B641" s="4" t="s">
        <v>1302</v>
      </c>
      <c r="C641" s="5">
        <v>1861</v>
      </c>
      <c r="D641" s="6" t="s">
        <v>31</v>
      </c>
      <c r="E641" s="6" t="s">
        <v>17</v>
      </c>
      <c r="F641" s="7">
        <v>31048</v>
      </c>
      <c r="G641" s="8">
        <f t="shared" si="9"/>
        <v>31048</v>
      </c>
      <c r="H641" s="6" t="s">
        <v>13</v>
      </c>
      <c r="I641" s="9">
        <v>15503.611731389799</v>
      </c>
      <c r="J641" s="62">
        <v>148.17309792488899</v>
      </c>
      <c r="K641" s="11">
        <v>1</v>
      </c>
    </row>
    <row r="642" spans="1:11" x14ac:dyDescent="0.25">
      <c r="A642" s="3" t="s">
        <v>1303</v>
      </c>
      <c r="B642" s="4" t="s">
        <v>1304</v>
      </c>
      <c r="C642" s="5">
        <v>1332</v>
      </c>
      <c r="D642" s="6" t="s">
        <v>31</v>
      </c>
      <c r="E642" s="6" t="s">
        <v>17</v>
      </c>
      <c r="F642" s="7">
        <v>28856</v>
      </c>
      <c r="G642" s="8">
        <f t="shared" ref="G642:G705" si="10">F642</f>
        <v>28856</v>
      </c>
      <c r="H642" s="6" t="s">
        <v>13</v>
      </c>
      <c r="I642" s="9">
        <v>34253.711399203101</v>
      </c>
      <c r="J642" s="62">
        <v>350.74935047819901</v>
      </c>
      <c r="K642" s="17">
        <v>1</v>
      </c>
    </row>
    <row r="643" spans="1:11" x14ac:dyDescent="0.25">
      <c r="A643" s="3" t="s">
        <v>1305</v>
      </c>
      <c r="B643" s="4" t="s">
        <v>1306</v>
      </c>
      <c r="C643" s="5">
        <v>41329</v>
      </c>
      <c r="D643" s="6" t="s">
        <v>34</v>
      </c>
      <c r="E643" s="6" t="s">
        <v>17</v>
      </c>
      <c r="F643" s="7">
        <v>38639</v>
      </c>
      <c r="G643" s="8">
        <f t="shared" si="10"/>
        <v>38639</v>
      </c>
      <c r="H643" s="6" t="s">
        <v>13</v>
      </c>
      <c r="I643" s="9">
        <v>7847.6013037008697</v>
      </c>
      <c r="J643" s="62">
        <v>200.910924229172</v>
      </c>
      <c r="K643" s="17">
        <v>1</v>
      </c>
    </row>
    <row r="644" spans="1:11" x14ac:dyDescent="0.25">
      <c r="A644" s="3" t="s">
        <v>1307</v>
      </c>
      <c r="B644" s="4" t="s">
        <v>1308</v>
      </c>
      <c r="C644" s="14">
        <v>54713</v>
      </c>
      <c r="D644" s="6" t="s">
        <v>34</v>
      </c>
      <c r="E644" s="6" t="s">
        <v>17</v>
      </c>
      <c r="F644" s="7">
        <v>39276</v>
      </c>
      <c r="G644" s="8">
        <f t="shared" si="10"/>
        <v>39276</v>
      </c>
      <c r="H644" s="6" t="s">
        <v>13</v>
      </c>
      <c r="I644" s="9">
        <v>99237.473121352901</v>
      </c>
      <c r="J644" s="62">
        <v>457.809528587557</v>
      </c>
      <c r="K644" s="17">
        <v>2</v>
      </c>
    </row>
    <row r="645" spans="1:11" x14ac:dyDescent="0.25">
      <c r="A645" s="3" t="s">
        <v>1309</v>
      </c>
      <c r="B645" s="4" t="s">
        <v>1310</v>
      </c>
      <c r="C645" s="14">
        <v>72110</v>
      </c>
      <c r="D645" s="6" t="s">
        <v>11</v>
      </c>
      <c r="E645" s="6" t="s">
        <v>17</v>
      </c>
      <c r="F645" s="7">
        <v>39169</v>
      </c>
      <c r="G645" s="8">
        <f t="shared" si="10"/>
        <v>39169</v>
      </c>
      <c r="H645" s="6" t="s">
        <v>13</v>
      </c>
      <c r="I645" s="9">
        <v>104514.10195569499</v>
      </c>
      <c r="J645" s="62">
        <v>653.67309126366399</v>
      </c>
      <c r="K645" s="17">
        <v>2</v>
      </c>
    </row>
    <row r="646" spans="1:11" x14ac:dyDescent="0.25">
      <c r="A646" s="3" t="s">
        <v>1311</v>
      </c>
      <c r="B646" s="4" t="s">
        <v>1312</v>
      </c>
      <c r="C646" s="14">
        <v>72176</v>
      </c>
      <c r="D646" s="6" t="s">
        <v>11</v>
      </c>
      <c r="E646" s="6" t="s">
        <v>12</v>
      </c>
      <c r="F646" s="7">
        <v>39296</v>
      </c>
      <c r="G646" s="8">
        <f t="shared" si="10"/>
        <v>39296</v>
      </c>
      <c r="H646" s="6" t="s">
        <v>39</v>
      </c>
      <c r="I646" s="9">
        <v>79090.766823120503</v>
      </c>
      <c r="J646" s="62">
        <v>539.10749677476701</v>
      </c>
      <c r="K646" s="17">
        <v>1</v>
      </c>
    </row>
    <row r="647" spans="1:11" x14ac:dyDescent="0.25">
      <c r="A647" s="18" t="s">
        <v>1313</v>
      </c>
      <c r="B647" s="19" t="s">
        <v>1314</v>
      </c>
      <c r="C647" s="20">
        <v>1220</v>
      </c>
      <c r="D647" s="21" t="s">
        <v>31</v>
      </c>
      <c r="E647" s="21" t="s">
        <v>17</v>
      </c>
      <c r="F647" s="22">
        <v>25569</v>
      </c>
      <c r="G647" s="23">
        <f t="shared" si="10"/>
        <v>25569</v>
      </c>
      <c r="H647" s="21" t="s">
        <v>13</v>
      </c>
      <c r="I647" s="9">
        <v>6516.9942409564101</v>
      </c>
      <c r="J647" s="62">
        <v>48.921487403558103</v>
      </c>
      <c r="K647" s="25">
        <v>1</v>
      </c>
    </row>
    <row r="648" spans="1:11" x14ac:dyDescent="0.25">
      <c r="A648" s="3" t="s">
        <v>1315</v>
      </c>
      <c r="B648" s="4" t="s">
        <v>1316</v>
      </c>
      <c r="C648" s="5">
        <v>24321</v>
      </c>
      <c r="D648" s="6" t="s">
        <v>11</v>
      </c>
      <c r="E648" s="6" t="s">
        <v>17</v>
      </c>
      <c r="F648" s="7">
        <v>34182</v>
      </c>
      <c r="G648" s="8">
        <f t="shared" si="10"/>
        <v>34182</v>
      </c>
      <c r="H648" s="6" t="s">
        <v>13</v>
      </c>
      <c r="I648" s="9">
        <v>19223.841172957702</v>
      </c>
      <c r="J648" s="62">
        <v>296.36202329019699</v>
      </c>
      <c r="K648" s="17">
        <v>1</v>
      </c>
    </row>
    <row r="649" spans="1:11" x14ac:dyDescent="0.25">
      <c r="A649" s="3" t="s">
        <v>1317</v>
      </c>
      <c r="B649" s="4" t="s">
        <v>1318</v>
      </c>
      <c r="C649" s="5">
        <v>1597</v>
      </c>
      <c r="D649" s="6" t="s">
        <v>28</v>
      </c>
      <c r="E649" s="6" t="s">
        <v>17</v>
      </c>
      <c r="F649" s="7">
        <v>38020</v>
      </c>
      <c r="G649" s="8">
        <f t="shared" si="10"/>
        <v>38020</v>
      </c>
      <c r="H649" s="6" t="s">
        <v>13</v>
      </c>
      <c r="I649" s="9">
        <v>5215.5686939890602</v>
      </c>
      <c r="J649" s="62">
        <v>79.005724152539003</v>
      </c>
      <c r="K649" s="17">
        <v>1</v>
      </c>
    </row>
    <row r="650" spans="1:11" x14ac:dyDescent="0.25">
      <c r="A650" s="3" t="s">
        <v>1319</v>
      </c>
      <c r="B650" s="4" t="s">
        <v>1320</v>
      </c>
      <c r="C650" s="14">
        <v>1185</v>
      </c>
      <c r="D650" s="6" t="s">
        <v>16</v>
      </c>
      <c r="E650" s="6" t="s">
        <v>17</v>
      </c>
      <c r="F650" s="7">
        <v>29221</v>
      </c>
      <c r="G650" s="8">
        <f t="shared" si="10"/>
        <v>29221</v>
      </c>
      <c r="H650" s="6" t="s">
        <v>13</v>
      </c>
      <c r="I650" s="9">
        <v>140062.94159492798</v>
      </c>
      <c r="J650" s="62">
        <v>356.55551031345101</v>
      </c>
      <c r="K650" s="17">
        <v>2</v>
      </c>
    </row>
    <row r="651" spans="1:11" x14ac:dyDescent="0.25">
      <c r="A651" s="18" t="s">
        <v>1321</v>
      </c>
      <c r="B651" s="19" t="s">
        <v>1322</v>
      </c>
      <c r="C651" s="20">
        <v>1121</v>
      </c>
      <c r="D651" s="21" t="s">
        <v>16</v>
      </c>
      <c r="E651" s="21" t="s">
        <v>17</v>
      </c>
      <c r="F651" s="22">
        <v>31048</v>
      </c>
      <c r="G651" s="23">
        <f t="shared" si="10"/>
        <v>31048</v>
      </c>
      <c r="H651" s="21" t="s">
        <v>13</v>
      </c>
      <c r="I651" s="9">
        <v>38707.531816098199</v>
      </c>
      <c r="J651" s="62">
        <v>271.44416366092298</v>
      </c>
      <c r="K651" s="25">
        <v>2</v>
      </c>
    </row>
    <row r="652" spans="1:11" x14ac:dyDescent="0.25">
      <c r="A652" s="3" t="s">
        <v>1323</v>
      </c>
      <c r="B652" s="4" t="s">
        <v>1324</v>
      </c>
      <c r="C652" s="5">
        <v>54568</v>
      </c>
      <c r="D652" s="6" t="s">
        <v>16</v>
      </c>
      <c r="E652" s="6" t="s">
        <v>17</v>
      </c>
      <c r="F652" s="7">
        <v>38390</v>
      </c>
      <c r="G652" s="8">
        <f t="shared" si="10"/>
        <v>38390</v>
      </c>
      <c r="H652" s="6" t="s">
        <v>13</v>
      </c>
      <c r="I652" s="9">
        <v>1489.0901676339302</v>
      </c>
      <c r="J652" s="62">
        <v>270.121679924582</v>
      </c>
      <c r="K652" s="17">
        <v>1</v>
      </c>
    </row>
    <row r="653" spans="1:11" x14ac:dyDescent="0.25">
      <c r="A653" s="3" t="s">
        <v>1325</v>
      </c>
      <c r="B653" s="4" t="s">
        <v>1326</v>
      </c>
      <c r="C653" s="5">
        <v>2022</v>
      </c>
      <c r="D653" s="6" t="s">
        <v>16</v>
      </c>
      <c r="E653" s="6" t="s">
        <v>17</v>
      </c>
      <c r="F653" s="7">
        <v>36020</v>
      </c>
      <c r="G653" s="8">
        <f t="shared" si="10"/>
        <v>36020</v>
      </c>
      <c r="H653" s="6" t="s">
        <v>13</v>
      </c>
      <c r="I653" s="9">
        <v>6584.4067051245902</v>
      </c>
      <c r="J653" s="62">
        <v>92.7529550728689</v>
      </c>
      <c r="K653" s="17">
        <v>1</v>
      </c>
    </row>
    <row r="654" spans="1:11" x14ac:dyDescent="0.25">
      <c r="A654" s="26" t="s">
        <v>1327</v>
      </c>
      <c r="B654" s="27" t="s">
        <v>1328</v>
      </c>
      <c r="C654" s="5">
        <v>1134</v>
      </c>
      <c r="D654" s="28" t="s">
        <v>16</v>
      </c>
      <c r="E654" s="28" t="s">
        <v>17</v>
      </c>
      <c r="F654" s="29">
        <v>29221</v>
      </c>
      <c r="G654" s="30">
        <f t="shared" si="10"/>
        <v>29221</v>
      </c>
      <c r="H654" s="28" t="s">
        <v>13</v>
      </c>
      <c r="I654" s="9">
        <v>15933.945390278699</v>
      </c>
      <c r="J654" s="62">
        <v>68.073814605949295</v>
      </c>
      <c r="K654" s="33">
        <v>1</v>
      </c>
    </row>
    <row r="655" spans="1:11" x14ac:dyDescent="0.25">
      <c r="A655" s="42" t="s">
        <v>1329</v>
      </c>
      <c r="B655" s="43" t="s">
        <v>1330</v>
      </c>
      <c r="C655" s="5">
        <v>1869</v>
      </c>
      <c r="D655" s="44" t="s">
        <v>31</v>
      </c>
      <c r="E655" s="44" t="s">
        <v>17</v>
      </c>
      <c r="F655" s="45">
        <v>25569</v>
      </c>
      <c r="G655" s="30">
        <f t="shared" si="10"/>
        <v>25569</v>
      </c>
      <c r="H655" s="44" t="s">
        <v>13</v>
      </c>
      <c r="I655" s="9">
        <v>72766.755913848698</v>
      </c>
      <c r="J655" s="62">
        <v>190.25121345352099</v>
      </c>
      <c r="K655" s="33">
        <v>2</v>
      </c>
    </row>
    <row r="656" spans="1:11" x14ac:dyDescent="0.25">
      <c r="A656" s="3" t="s">
        <v>1331</v>
      </c>
      <c r="B656" s="4" t="s">
        <v>1332</v>
      </c>
      <c r="C656" s="5">
        <v>54567</v>
      </c>
      <c r="D656" s="6" t="s">
        <v>28</v>
      </c>
      <c r="E656" s="6" t="s">
        <v>17</v>
      </c>
      <c r="F656" s="7">
        <v>38730</v>
      </c>
      <c r="G656" s="8">
        <f t="shared" si="10"/>
        <v>38730</v>
      </c>
      <c r="H656" s="6" t="s">
        <v>13</v>
      </c>
      <c r="I656" s="9">
        <v>17366.318303295699</v>
      </c>
      <c r="J656" s="62">
        <v>427.85637860007603</v>
      </c>
      <c r="K656" s="17">
        <v>1</v>
      </c>
    </row>
    <row r="657" spans="1:11" x14ac:dyDescent="0.25">
      <c r="A657" s="3" t="s">
        <v>1333</v>
      </c>
      <c r="B657" s="4" t="s">
        <v>1334</v>
      </c>
      <c r="C657" s="5">
        <v>1510</v>
      </c>
      <c r="D657" s="6" t="s">
        <v>28</v>
      </c>
      <c r="E657" s="6" t="s">
        <v>17</v>
      </c>
      <c r="F657" s="7">
        <v>25569</v>
      </c>
      <c r="G657" s="8">
        <f t="shared" si="10"/>
        <v>25569</v>
      </c>
      <c r="H657" s="6" t="s">
        <v>13</v>
      </c>
      <c r="I657" s="9">
        <v>56876.227371400295</v>
      </c>
      <c r="J657" s="62">
        <v>240.95024435785501</v>
      </c>
      <c r="K657" s="17">
        <v>2</v>
      </c>
    </row>
    <row r="658" spans="1:11" x14ac:dyDescent="0.25">
      <c r="A658" s="3" t="s">
        <v>1335</v>
      </c>
      <c r="B658" s="4" t="s">
        <v>1336</v>
      </c>
      <c r="C658" s="5">
        <v>1319</v>
      </c>
      <c r="D658" s="6" t="s">
        <v>16</v>
      </c>
      <c r="E658" s="6" t="s">
        <v>17</v>
      </c>
      <c r="F658" s="7">
        <v>31048</v>
      </c>
      <c r="G658" s="8">
        <f t="shared" si="10"/>
        <v>31048</v>
      </c>
      <c r="H658" s="6" t="s">
        <v>13</v>
      </c>
      <c r="I658" s="9">
        <v>23586.8744333369</v>
      </c>
      <c r="J658" s="62">
        <v>177.94572434384699</v>
      </c>
      <c r="K658" s="17">
        <v>1</v>
      </c>
    </row>
    <row r="659" spans="1:11" x14ac:dyDescent="0.25">
      <c r="A659" s="3" t="s">
        <v>1337</v>
      </c>
      <c r="B659" s="4" t="s">
        <v>1338</v>
      </c>
      <c r="C659" s="5">
        <v>1777</v>
      </c>
      <c r="D659" s="6" t="s">
        <v>34</v>
      </c>
      <c r="E659" s="6" t="s">
        <v>17</v>
      </c>
      <c r="F659" s="7">
        <v>25569</v>
      </c>
      <c r="G659" s="8">
        <f t="shared" si="10"/>
        <v>25569</v>
      </c>
      <c r="H659" s="6" t="s">
        <v>13</v>
      </c>
      <c r="I659" s="9">
        <v>5753.0194367918593</v>
      </c>
      <c r="J659" s="62">
        <v>180.81415562098601</v>
      </c>
      <c r="K659" s="17">
        <v>1</v>
      </c>
    </row>
    <row r="660" spans="1:11" x14ac:dyDescent="0.25">
      <c r="A660" s="3" t="s">
        <v>1339</v>
      </c>
      <c r="B660" s="4" t="s">
        <v>1340</v>
      </c>
      <c r="C660" s="5">
        <v>1505</v>
      </c>
      <c r="D660" s="6" t="s">
        <v>28</v>
      </c>
      <c r="E660" s="6" t="s">
        <v>17</v>
      </c>
      <c r="F660" s="7">
        <v>32143</v>
      </c>
      <c r="G660" s="8">
        <f t="shared" si="10"/>
        <v>32143</v>
      </c>
      <c r="H660" s="6" t="s">
        <v>13</v>
      </c>
      <c r="I660" s="9">
        <v>4610.5477029484</v>
      </c>
      <c r="J660" s="62">
        <v>49.587027919910199</v>
      </c>
      <c r="K660" s="17">
        <v>1</v>
      </c>
    </row>
    <row r="661" spans="1:11" x14ac:dyDescent="0.25">
      <c r="A661" s="3" t="s">
        <v>1341</v>
      </c>
      <c r="B661" s="4" t="s">
        <v>1342</v>
      </c>
      <c r="C661" s="5">
        <v>52561</v>
      </c>
      <c r="D661" s="6" t="s">
        <v>28</v>
      </c>
      <c r="E661" s="6" t="s">
        <v>17</v>
      </c>
      <c r="F661" s="7">
        <v>38292</v>
      </c>
      <c r="G661" s="8">
        <f t="shared" si="10"/>
        <v>38292</v>
      </c>
      <c r="H661" s="6" t="s">
        <v>13</v>
      </c>
      <c r="I661" s="9">
        <v>12405.623469013699</v>
      </c>
      <c r="J661" s="62">
        <v>94.3350748078809</v>
      </c>
      <c r="K661" s="17">
        <v>1</v>
      </c>
    </row>
    <row r="662" spans="1:11" x14ac:dyDescent="0.25">
      <c r="A662" s="3" t="s">
        <v>1343</v>
      </c>
      <c r="B662" s="4" t="s">
        <v>1344</v>
      </c>
      <c r="C662" s="5">
        <v>21450</v>
      </c>
      <c r="D662" s="6" t="s">
        <v>31</v>
      </c>
      <c r="E662" s="6" t="s">
        <v>17</v>
      </c>
      <c r="F662" s="7">
        <v>29875</v>
      </c>
      <c r="G662" s="8">
        <f t="shared" si="10"/>
        <v>29875</v>
      </c>
      <c r="H662" s="6" t="s">
        <v>13</v>
      </c>
      <c r="I662" s="9">
        <v>11598.691808342901</v>
      </c>
      <c r="J662" s="62">
        <v>258.79326924304303</v>
      </c>
      <c r="K662" s="17">
        <v>1</v>
      </c>
    </row>
    <row r="663" spans="1:11" x14ac:dyDescent="0.25">
      <c r="A663" s="3" t="s">
        <v>1345</v>
      </c>
      <c r="B663" s="4" t="s">
        <v>1346</v>
      </c>
      <c r="C663" s="5">
        <v>41681</v>
      </c>
      <c r="D663" s="6" t="s">
        <v>31</v>
      </c>
      <c r="E663" s="6" t="s">
        <v>17</v>
      </c>
      <c r="F663" s="7">
        <v>35887</v>
      </c>
      <c r="G663" s="8">
        <f t="shared" si="10"/>
        <v>35887</v>
      </c>
      <c r="H663" s="6" t="s">
        <v>13</v>
      </c>
      <c r="I663" s="9">
        <v>4362.1289039322201</v>
      </c>
      <c r="J663" s="62">
        <v>195.04262382735999</v>
      </c>
      <c r="K663" s="17">
        <v>1</v>
      </c>
    </row>
    <row r="664" spans="1:11" x14ac:dyDescent="0.25">
      <c r="A664" s="3" t="s">
        <v>1347</v>
      </c>
      <c r="B664" s="4" t="s">
        <v>1348</v>
      </c>
      <c r="C664" s="5">
        <v>21455</v>
      </c>
      <c r="D664" s="6" t="s">
        <v>31</v>
      </c>
      <c r="E664" s="6" t="s">
        <v>17</v>
      </c>
      <c r="F664" s="7">
        <v>36431</v>
      </c>
      <c r="G664" s="8">
        <f t="shared" si="10"/>
        <v>36431</v>
      </c>
      <c r="H664" s="6" t="s">
        <v>13</v>
      </c>
      <c r="I664" s="9">
        <v>1143.6981160120101</v>
      </c>
      <c r="J664" s="62">
        <v>383.32353076467803</v>
      </c>
      <c r="K664" s="17">
        <v>1</v>
      </c>
    </row>
    <row r="665" spans="1:11" x14ac:dyDescent="0.25">
      <c r="A665" s="3" t="s">
        <v>1349</v>
      </c>
      <c r="B665" s="4" t="s">
        <v>1350</v>
      </c>
      <c r="C665" s="5">
        <v>32257</v>
      </c>
      <c r="D665" s="6" t="s">
        <v>37</v>
      </c>
      <c r="E665" s="6" t="s">
        <v>38</v>
      </c>
      <c r="F665" s="7">
        <v>32093</v>
      </c>
      <c r="G665" s="8">
        <f t="shared" si="10"/>
        <v>32093</v>
      </c>
      <c r="H665" s="6" t="s">
        <v>39</v>
      </c>
      <c r="I665" s="9">
        <v>21874.488745218499</v>
      </c>
      <c r="J665" s="62">
        <v>227.346541887776</v>
      </c>
      <c r="K665" s="17">
        <v>1</v>
      </c>
    </row>
    <row r="666" spans="1:11" x14ac:dyDescent="0.25">
      <c r="A666" s="3" t="s">
        <v>1351</v>
      </c>
      <c r="B666" s="4" t="s">
        <v>1352</v>
      </c>
      <c r="C666" s="5">
        <v>54569</v>
      </c>
      <c r="D666" s="6" t="s">
        <v>11</v>
      </c>
      <c r="E666" s="6" t="s">
        <v>12</v>
      </c>
      <c r="F666" s="7">
        <v>38013</v>
      </c>
      <c r="G666" s="8">
        <f t="shared" si="10"/>
        <v>38013</v>
      </c>
      <c r="H666" s="6" t="s">
        <v>39</v>
      </c>
      <c r="I666" s="9">
        <v>11433.078491280299</v>
      </c>
      <c r="J666" s="62">
        <v>245.58519517934101</v>
      </c>
      <c r="K666" s="17">
        <v>1</v>
      </c>
    </row>
    <row r="667" spans="1:11" x14ac:dyDescent="0.25">
      <c r="A667" s="3" t="s">
        <v>1353</v>
      </c>
      <c r="B667" s="4" t="s">
        <v>1354</v>
      </c>
      <c r="C667" s="5">
        <v>16004</v>
      </c>
      <c r="D667" s="6" t="s">
        <v>28</v>
      </c>
      <c r="E667" s="6" t="s">
        <v>17</v>
      </c>
      <c r="F667" s="7">
        <v>38308</v>
      </c>
      <c r="G667" s="8">
        <f t="shared" si="10"/>
        <v>38308</v>
      </c>
      <c r="H667" s="6" t="s">
        <v>13</v>
      </c>
      <c r="I667" s="9">
        <v>20848.351869591901</v>
      </c>
      <c r="J667" s="62">
        <v>192.95281608833201</v>
      </c>
      <c r="K667" s="17">
        <v>1</v>
      </c>
    </row>
    <row r="668" spans="1:11" x14ac:dyDescent="0.25">
      <c r="A668" s="3" t="s">
        <v>1355</v>
      </c>
      <c r="B668" s="4" t="s">
        <v>1356</v>
      </c>
      <c r="C668" s="5">
        <v>9285</v>
      </c>
      <c r="D668" s="6" t="s">
        <v>28</v>
      </c>
      <c r="E668" s="6" t="s">
        <v>17</v>
      </c>
      <c r="F668" s="7">
        <v>37636</v>
      </c>
      <c r="G668" s="8">
        <f t="shared" si="10"/>
        <v>37636</v>
      </c>
      <c r="H668" s="6" t="s">
        <v>13</v>
      </c>
      <c r="I668" s="9">
        <v>48283.060525297995</v>
      </c>
      <c r="J668" s="62">
        <v>345.82575207383002</v>
      </c>
      <c r="K668" s="17">
        <v>2</v>
      </c>
    </row>
    <row r="669" spans="1:11" x14ac:dyDescent="0.25">
      <c r="A669" s="3" t="s">
        <v>1357</v>
      </c>
      <c r="B669" s="4" t="s">
        <v>1358</v>
      </c>
      <c r="C669" s="5">
        <v>1363</v>
      </c>
      <c r="D669" s="6" t="s">
        <v>34</v>
      </c>
      <c r="E669" s="6" t="s">
        <v>17</v>
      </c>
      <c r="F669" s="7">
        <v>18264</v>
      </c>
      <c r="G669" s="8">
        <f t="shared" si="10"/>
        <v>18264</v>
      </c>
      <c r="H669" s="6" t="s">
        <v>13</v>
      </c>
      <c r="I669" s="9">
        <v>6278.3980317169407</v>
      </c>
      <c r="J669" s="62">
        <v>43.199769436153503</v>
      </c>
      <c r="K669" s="17">
        <v>1</v>
      </c>
    </row>
    <row r="670" spans="1:11" x14ac:dyDescent="0.25">
      <c r="A670" s="3" t="s">
        <v>1359</v>
      </c>
      <c r="B670" s="4" t="s">
        <v>1360</v>
      </c>
      <c r="C670" s="5">
        <v>27969</v>
      </c>
      <c r="D670" s="6" t="s">
        <v>31</v>
      </c>
      <c r="E670" s="6" t="s">
        <v>17</v>
      </c>
      <c r="F670" s="7">
        <v>34095</v>
      </c>
      <c r="G670" s="8">
        <f t="shared" si="10"/>
        <v>34095</v>
      </c>
      <c r="H670" s="6" t="s">
        <v>13</v>
      </c>
      <c r="I670" s="9">
        <v>73837.516699205298</v>
      </c>
      <c r="J670" s="62">
        <v>417.06133152679598</v>
      </c>
      <c r="K670" s="17">
        <v>1</v>
      </c>
    </row>
    <row r="671" spans="1:11" x14ac:dyDescent="0.25">
      <c r="A671" s="12" t="s">
        <v>1361</v>
      </c>
      <c r="B671" s="4" t="s">
        <v>1362</v>
      </c>
      <c r="C671" s="14">
        <v>2068</v>
      </c>
      <c r="D671" s="6" t="s">
        <v>34</v>
      </c>
      <c r="E671" s="6" t="s">
        <v>17</v>
      </c>
      <c r="F671" s="7">
        <v>35838</v>
      </c>
      <c r="G671" s="8">
        <f t="shared" si="10"/>
        <v>35838</v>
      </c>
      <c r="H671" s="6" t="s">
        <v>13</v>
      </c>
      <c r="I671" s="9">
        <v>2310491.8290143399</v>
      </c>
      <c r="J671" s="62">
        <v>1643.7609677898799</v>
      </c>
      <c r="K671" s="17">
        <v>4</v>
      </c>
    </row>
    <row r="672" spans="1:11" x14ac:dyDescent="0.25">
      <c r="A672" s="3" t="s">
        <v>1363</v>
      </c>
      <c r="B672" s="4" t="s">
        <v>1364</v>
      </c>
      <c r="C672" s="5">
        <v>27585</v>
      </c>
      <c r="D672" s="6" t="s">
        <v>31</v>
      </c>
      <c r="E672" s="6" t="s">
        <v>17</v>
      </c>
      <c r="F672" s="7">
        <v>39872</v>
      </c>
      <c r="G672" s="8">
        <f t="shared" si="10"/>
        <v>39872</v>
      </c>
      <c r="H672" s="6" t="s">
        <v>13</v>
      </c>
      <c r="I672" s="9">
        <v>6181.1284154974001</v>
      </c>
      <c r="J672" s="62">
        <v>89.712983847281905</v>
      </c>
      <c r="K672" s="17">
        <v>1</v>
      </c>
    </row>
    <row r="673" spans="1:11" x14ac:dyDescent="0.25">
      <c r="A673" s="3" t="s">
        <v>1365</v>
      </c>
      <c r="B673" s="4" t="s">
        <v>1366</v>
      </c>
      <c r="C673" s="5">
        <v>15051</v>
      </c>
      <c r="D673" s="6" t="s">
        <v>31</v>
      </c>
      <c r="E673" s="6" t="s">
        <v>17</v>
      </c>
      <c r="F673" s="7">
        <v>33137</v>
      </c>
      <c r="G673" s="8">
        <f t="shared" si="10"/>
        <v>33137</v>
      </c>
      <c r="H673" s="6" t="s">
        <v>13</v>
      </c>
      <c r="I673" s="9">
        <v>4732.1671193676093</v>
      </c>
      <c r="J673" s="62">
        <v>16.286416341278098</v>
      </c>
      <c r="K673" s="17">
        <v>1</v>
      </c>
    </row>
    <row r="674" spans="1:11" x14ac:dyDescent="0.25">
      <c r="A674" s="3" t="s">
        <v>1367</v>
      </c>
      <c r="B674" s="4" t="s">
        <v>1368</v>
      </c>
      <c r="C674" s="5">
        <v>1419</v>
      </c>
      <c r="D674" s="6" t="s">
        <v>34</v>
      </c>
      <c r="E674" s="6" t="s">
        <v>17</v>
      </c>
      <c r="F674" s="7">
        <v>24108</v>
      </c>
      <c r="G674" s="8">
        <f t="shared" si="10"/>
        <v>24108</v>
      </c>
      <c r="H674" s="6" t="s">
        <v>13</v>
      </c>
      <c r="I674" s="9">
        <v>57940.399781192602</v>
      </c>
      <c r="J674" s="62">
        <v>494.03490634777802</v>
      </c>
      <c r="K674" s="17">
        <v>1</v>
      </c>
    </row>
    <row r="675" spans="1:11" x14ac:dyDescent="0.25">
      <c r="A675" s="3" t="s">
        <v>1369</v>
      </c>
      <c r="B675" s="4" t="s">
        <v>1370</v>
      </c>
      <c r="C675" s="14">
        <v>1370</v>
      </c>
      <c r="D675" s="6" t="s">
        <v>28</v>
      </c>
      <c r="E675" s="6" t="s">
        <v>17</v>
      </c>
      <c r="F675" s="7">
        <v>40591</v>
      </c>
      <c r="G675" s="8">
        <f t="shared" si="10"/>
        <v>40591</v>
      </c>
      <c r="H675" s="6" t="s">
        <v>13</v>
      </c>
      <c r="I675" s="9">
        <v>81520.554031041203</v>
      </c>
      <c r="J675" s="62">
        <v>549.80800726105099</v>
      </c>
      <c r="K675" s="17">
        <v>2</v>
      </c>
    </row>
    <row r="676" spans="1:11" x14ac:dyDescent="0.25">
      <c r="A676" s="3" t="s">
        <v>1371</v>
      </c>
      <c r="B676" s="4" t="s">
        <v>1372</v>
      </c>
      <c r="C676" s="5">
        <v>1785</v>
      </c>
      <c r="D676" s="6" t="s">
        <v>28</v>
      </c>
      <c r="E676" s="6" t="s">
        <v>17</v>
      </c>
      <c r="F676" s="7">
        <v>36931</v>
      </c>
      <c r="G676" s="8">
        <f t="shared" si="10"/>
        <v>36931</v>
      </c>
      <c r="H676" s="6" t="s">
        <v>13</v>
      </c>
      <c r="I676" s="9">
        <v>5122.7846090627199</v>
      </c>
      <c r="J676" s="62">
        <v>64.990388799438094</v>
      </c>
      <c r="K676" s="17">
        <v>1</v>
      </c>
    </row>
    <row r="677" spans="1:11" x14ac:dyDescent="0.25">
      <c r="A677" s="3" t="s">
        <v>1373</v>
      </c>
      <c r="B677" s="4" t="s">
        <v>1374</v>
      </c>
      <c r="C677" s="14">
        <v>44561</v>
      </c>
      <c r="D677" s="6" t="s">
        <v>28</v>
      </c>
      <c r="E677" s="6" t="s">
        <v>17</v>
      </c>
      <c r="F677" s="7">
        <v>39029</v>
      </c>
      <c r="G677" s="8">
        <f t="shared" si="10"/>
        <v>39029</v>
      </c>
      <c r="H677" s="6" t="s">
        <v>13</v>
      </c>
      <c r="I677" s="9">
        <v>24468.664077111702</v>
      </c>
      <c r="J677" s="62">
        <v>148.12902516182299</v>
      </c>
      <c r="K677" s="17">
        <v>1</v>
      </c>
    </row>
    <row r="678" spans="1:11" x14ac:dyDescent="0.25">
      <c r="A678" s="3" t="s">
        <v>1375</v>
      </c>
      <c r="B678" s="4" t="s">
        <v>1376</v>
      </c>
      <c r="C678" s="5">
        <v>19215</v>
      </c>
      <c r="D678" s="6" t="s">
        <v>16</v>
      </c>
      <c r="E678" s="6" t="s">
        <v>17</v>
      </c>
      <c r="F678" s="7">
        <v>35607</v>
      </c>
      <c r="G678" s="8">
        <f t="shared" si="10"/>
        <v>35607</v>
      </c>
      <c r="H678" s="6" t="s">
        <v>13</v>
      </c>
      <c r="I678" s="9">
        <v>5179.7245698555298</v>
      </c>
      <c r="J678" s="62">
        <v>52.796994381775299</v>
      </c>
      <c r="K678" s="17">
        <v>1</v>
      </c>
    </row>
    <row r="679" spans="1:11" x14ac:dyDescent="0.25">
      <c r="A679" s="3" t="s">
        <v>1377</v>
      </c>
      <c r="B679" s="4" t="s">
        <v>1378</v>
      </c>
      <c r="C679" s="5">
        <v>1247</v>
      </c>
      <c r="D679" s="6" t="s">
        <v>28</v>
      </c>
      <c r="E679" s="6" t="s">
        <v>17</v>
      </c>
      <c r="F679" s="7">
        <v>36342</v>
      </c>
      <c r="G679" s="8">
        <f t="shared" si="10"/>
        <v>36342</v>
      </c>
      <c r="H679" s="6" t="s">
        <v>13</v>
      </c>
      <c r="I679" s="9">
        <v>44183.914509806396</v>
      </c>
      <c r="J679" s="62">
        <v>296.28395308747099</v>
      </c>
      <c r="K679" s="17">
        <v>1</v>
      </c>
    </row>
    <row r="680" spans="1:11" x14ac:dyDescent="0.25">
      <c r="A680" s="3" t="s">
        <v>1379</v>
      </c>
      <c r="B680" s="4" t="s">
        <v>1380</v>
      </c>
      <c r="C680" s="5">
        <v>54571</v>
      </c>
      <c r="D680" s="6" t="s">
        <v>16</v>
      </c>
      <c r="E680" s="6" t="s">
        <v>17</v>
      </c>
      <c r="F680" s="7">
        <v>25982</v>
      </c>
      <c r="G680" s="8">
        <f t="shared" si="10"/>
        <v>25982</v>
      </c>
      <c r="H680" s="6" t="s">
        <v>13</v>
      </c>
      <c r="I680" s="9">
        <v>24873.9952526255</v>
      </c>
      <c r="J680" s="62">
        <v>87.444291880231205</v>
      </c>
      <c r="K680" s="17">
        <v>1</v>
      </c>
    </row>
    <row r="681" spans="1:11" x14ac:dyDescent="0.25">
      <c r="A681" s="18" t="s">
        <v>1381</v>
      </c>
      <c r="B681" s="19" t="s">
        <v>1382</v>
      </c>
      <c r="C681" s="5">
        <v>1037</v>
      </c>
      <c r="D681" s="21" t="s">
        <v>31</v>
      </c>
      <c r="E681" s="21" t="s">
        <v>17</v>
      </c>
      <c r="F681" s="22">
        <v>29221</v>
      </c>
      <c r="G681" s="23">
        <f t="shared" si="10"/>
        <v>29221</v>
      </c>
      <c r="H681" s="21" t="s">
        <v>13</v>
      </c>
      <c r="I681" s="9">
        <v>40127.513117977898</v>
      </c>
      <c r="J681" s="62">
        <v>305.794058386492</v>
      </c>
      <c r="K681" s="25">
        <v>1</v>
      </c>
    </row>
    <row r="682" spans="1:11" x14ac:dyDescent="0.25">
      <c r="A682" s="3" t="s">
        <v>1383</v>
      </c>
      <c r="B682" s="4" t="s">
        <v>1384</v>
      </c>
      <c r="C682" s="5">
        <v>54572</v>
      </c>
      <c r="D682" s="6" t="s">
        <v>31</v>
      </c>
      <c r="E682" s="6" t="s">
        <v>17</v>
      </c>
      <c r="F682" s="7">
        <v>21602</v>
      </c>
      <c r="G682" s="8">
        <f t="shared" si="10"/>
        <v>21602</v>
      </c>
      <c r="H682" s="6" t="s">
        <v>13</v>
      </c>
      <c r="I682" s="9">
        <v>13097.651029084202</v>
      </c>
      <c r="J682" s="62">
        <v>55.081937396437802</v>
      </c>
      <c r="K682" s="17">
        <v>1</v>
      </c>
    </row>
    <row r="683" spans="1:11" x14ac:dyDescent="0.25">
      <c r="A683" s="3" t="s">
        <v>1385</v>
      </c>
      <c r="B683" s="4" t="s">
        <v>1386</v>
      </c>
      <c r="C683" s="5">
        <v>18890</v>
      </c>
      <c r="D683" s="6" t="s">
        <v>28</v>
      </c>
      <c r="E683" s="6" t="s">
        <v>17</v>
      </c>
      <c r="F683" s="7">
        <v>38499</v>
      </c>
      <c r="G683" s="8">
        <f t="shared" si="10"/>
        <v>38499</v>
      </c>
      <c r="H683" s="6" t="s">
        <v>13</v>
      </c>
      <c r="I683" s="9">
        <v>88758.766964505194</v>
      </c>
      <c r="J683" s="62">
        <v>924.57234091873602</v>
      </c>
      <c r="K683" s="17">
        <v>2</v>
      </c>
    </row>
    <row r="684" spans="1:11" x14ac:dyDescent="0.25">
      <c r="A684" s="3" t="s">
        <v>1387</v>
      </c>
      <c r="B684" s="4" t="s">
        <v>1388</v>
      </c>
      <c r="C684" s="14">
        <v>1910</v>
      </c>
      <c r="D684" s="6" t="s">
        <v>34</v>
      </c>
      <c r="E684" s="6" t="s">
        <v>17</v>
      </c>
      <c r="F684" s="7">
        <v>35907</v>
      </c>
      <c r="G684" s="8">
        <f t="shared" si="10"/>
        <v>35907</v>
      </c>
      <c r="H684" s="6" t="s">
        <v>13</v>
      </c>
      <c r="I684" s="9" t="s">
        <v>3380</v>
      </c>
      <c r="J684" s="62" t="s">
        <v>3380</v>
      </c>
      <c r="K684" s="17">
        <v>4</v>
      </c>
    </row>
    <row r="685" spans="1:11" x14ac:dyDescent="0.25">
      <c r="A685" s="3" t="s">
        <v>1389</v>
      </c>
      <c r="B685" s="4" t="s">
        <v>1390</v>
      </c>
      <c r="C685" s="5">
        <v>52278</v>
      </c>
      <c r="D685" s="6" t="s">
        <v>37</v>
      </c>
      <c r="E685" s="6" t="s">
        <v>38</v>
      </c>
      <c r="F685" s="7">
        <v>34820</v>
      </c>
      <c r="G685" s="8">
        <f t="shared" si="10"/>
        <v>34820</v>
      </c>
      <c r="H685" s="6" t="s">
        <v>39</v>
      </c>
      <c r="I685" s="9">
        <v>26969.869906213698</v>
      </c>
      <c r="J685" s="62">
        <v>394.67431181290101</v>
      </c>
      <c r="K685" s="11">
        <v>2</v>
      </c>
    </row>
    <row r="686" spans="1:11" x14ac:dyDescent="0.25">
      <c r="A686" s="26" t="s">
        <v>1391</v>
      </c>
      <c r="B686" s="27" t="s">
        <v>1392</v>
      </c>
      <c r="C686" s="5">
        <v>1603</v>
      </c>
      <c r="D686" s="28" t="s">
        <v>16</v>
      </c>
      <c r="E686" s="28" t="s">
        <v>17</v>
      </c>
      <c r="F686" s="29">
        <v>29221</v>
      </c>
      <c r="G686" s="30">
        <f t="shared" si="10"/>
        <v>29221</v>
      </c>
      <c r="H686" s="28" t="s">
        <v>13</v>
      </c>
      <c r="I686" s="9">
        <v>23673.505294231501</v>
      </c>
      <c r="J686" s="62">
        <v>226.75774208594299</v>
      </c>
      <c r="K686" s="33">
        <v>1</v>
      </c>
    </row>
    <row r="687" spans="1:11" x14ac:dyDescent="0.25">
      <c r="A687" s="3" t="s">
        <v>1393</v>
      </c>
      <c r="B687" s="4" t="s">
        <v>1394</v>
      </c>
      <c r="C687" s="5">
        <v>31298</v>
      </c>
      <c r="D687" s="6" t="s">
        <v>28</v>
      </c>
      <c r="E687" s="6" t="s">
        <v>17</v>
      </c>
      <c r="F687" s="7">
        <v>38025</v>
      </c>
      <c r="G687" s="8">
        <f t="shared" si="10"/>
        <v>38025</v>
      </c>
      <c r="H687" s="6" t="s">
        <v>13</v>
      </c>
      <c r="I687" s="9">
        <v>38611.629137698103</v>
      </c>
      <c r="J687" s="62">
        <v>219.1138990577</v>
      </c>
      <c r="K687" s="17">
        <v>1</v>
      </c>
    </row>
    <row r="688" spans="1:11" x14ac:dyDescent="0.25">
      <c r="A688" s="3" t="s">
        <v>1395</v>
      </c>
      <c r="B688" s="4" t="s">
        <v>1396</v>
      </c>
      <c r="C688" s="14">
        <v>52899</v>
      </c>
      <c r="D688" s="6" t="s">
        <v>28</v>
      </c>
      <c r="E688" s="6" t="s">
        <v>17</v>
      </c>
      <c r="F688" s="7">
        <v>38657</v>
      </c>
      <c r="G688" s="8">
        <f t="shared" si="10"/>
        <v>38657</v>
      </c>
      <c r="H688" s="6" t="s">
        <v>13</v>
      </c>
      <c r="I688" s="9">
        <v>43936.308547844295</v>
      </c>
      <c r="J688" s="62">
        <v>871.86020736097498</v>
      </c>
      <c r="K688" s="17">
        <v>2</v>
      </c>
    </row>
    <row r="689" spans="1:11" x14ac:dyDescent="0.25">
      <c r="A689" s="3" t="s">
        <v>1397</v>
      </c>
      <c r="B689" s="4" t="s">
        <v>1398</v>
      </c>
      <c r="C689" s="5">
        <v>1385</v>
      </c>
      <c r="D689" s="6" t="s">
        <v>16</v>
      </c>
      <c r="E689" s="6" t="s">
        <v>17</v>
      </c>
      <c r="F689" s="7">
        <v>29221</v>
      </c>
      <c r="G689" s="8">
        <f t="shared" si="10"/>
        <v>29221</v>
      </c>
      <c r="H689" s="6" t="s">
        <v>13</v>
      </c>
      <c r="I689" s="9">
        <v>20098.750737320501</v>
      </c>
      <c r="J689" s="62">
        <v>484.23080934983602</v>
      </c>
      <c r="K689" s="17">
        <v>1</v>
      </c>
    </row>
    <row r="690" spans="1:11" x14ac:dyDescent="0.25">
      <c r="A690" s="26" t="s">
        <v>1399</v>
      </c>
      <c r="B690" s="27" t="s">
        <v>1400</v>
      </c>
      <c r="C690" s="34">
        <v>27873</v>
      </c>
      <c r="D690" s="28" t="s">
        <v>31</v>
      </c>
      <c r="E690" s="28" t="s">
        <v>17</v>
      </c>
      <c r="F690" s="29">
        <v>21979</v>
      </c>
      <c r="G690" s="30">
        <f t="shared" si="10"/>
        <v>21979</v>
      </c>
      <c r="H690" s="28" t="s">
        <v>13</v>
      </c>
      <c r="I690" s="9">
        <v>55558.982308758503</v>
      </c>
      <c r="J690" s="62">
        <v>117.65897500376001</v>
      </c>
      <c r="K690" s="33">
        <v>3</v>
      </c>
    </row>
    <row r="691" spans="1:11" x14ac:dyDescent="0.25">
      <c r="A691" s="3" t="s">
        <v>1401</v>
      </c>
      <c r="B691" s="4" t="s">
        <v>1402</v>
      </c>
      <c r="C691" s="14">
        <v>1648</v>
      </c>
      <c r="D691" s="6" t="s">
        <v>28</v>
      </c>
      <c r="E691" s="6" t="s">
        <v>17</v>
      </c>
      <c r="F691" s="7">
        <v>30317</v>
      </c>
      <c r="G691" s="8">
        <f t="shared" si="10"/>
        <v>30317</v>
      </c>
      <c r="H691" s="6" t="s">
        <v>13</v>
      </c>
      <c r="I691" s="9">
        <v>4394.2284203687204</v>
      </c>
      <c r="J691" s="62">
        <v>191.21145415754299</v>
      </c>
      <c r="K691" s="17">
        <v>1</v>
      </c>
    </row>
    <row r="692" spans="1:11" x14ac:dyDescent="0.25">
      <c r="A692" s="3" t="s">
        <v>1403</v>
      </c>
      <c r="B692" s="4" t="s">
        <v>1404</v>
      </c>
      <c r="C692" s="14">
        <v>1384</v>
      </c>
      <c r="D692" s="6" t="s">
        <v>16</v>
      </c>
      <c r="E692" s="6" t="s">
        <v>17</v>
      </c>
      <c r="F692" s="7">
        <v>29221</v>
      </c>
      <c r="G692" s="8">
        <f t="shared" si="10"/>
        <v>29221</v>
      </c>
      <c r="H692" s="6" t="s">
        <v>13</v>
      </c>
      <c r="I692" s="9">
        <v>92208.284777873007</v>
      </c>
      <c r="J692" s="62">
        <v>252.47826882681599</v>
      </c>
      <c r="K692" s="17">
        <v>1</v>
      </c>
    </row>
    <row r="693" spans="1:11" x14ac:dyDescent="0.25">
      <c r="A693" s="3" t="s">
        <v>1405</v>
      </c>
      <c r="B693" s="4" t="s">
        <v>1406</v>
      </c>
      <c r="C693" s="5">
        <v>54574</v>
      </c>
      <c r="D693" s="6" t="s">
        <v>1407</v>
      </c>
      <c r="E693" s="6" t="s">
        <v>17</v>
      </c>
      <c r="F693" s="7">
        <v>38189</v>
      </c>
      <c r="G693" s="8">
        <f t="shared" si="10"/>
        <v>38189</v>
      </c>
      <c r="H693" s="6" t="s">
        <v>13</v>
      </c>
      <c r="I693" s="9">
        <v>831.90840209781004</v>
      </c>
      <c r="J693" s="62">
        <v>196.16561035452199</v>
      </c>
      <c r="K693" s="17">
        <v>1</v>
      </c>
    </row>
    <row r="694" spans="1:11" x14ac:dyDescent="0.25">
      <c r="A694" s="3" t="s">
        <v>1408</v>
      </c>
      <c r="B694" s="4" t="s">
        <v>1409</v>
      </c>
      <c r="C694" s="5">
        <v>1695</v>
      </c>
      <c r="D694" s="6" t="s">
        <v>28</v>
      </c>
      <c r="E694" s="6" t="s">
        <v>17</v>
      </c>
      <c r="F694" s="7">
        <v>29221</v>
      </c>
      <c r="G694" s="8">
        <f t="shared" si="10"/>
        <v>29221</v>
      </c>
      <c r="H694" s="6" t="s">
        <v>13</v>
      </c>
      <c r="I694" s="9">
        <v>20506.039616266702</v>
      </c>
      <c r="J694" s="62">
        <v>340.97077427052301</v>
      </c>
      <c r="K694" s="17">
        <v>2</v>
      </c>
    </row>
    <row r="695" spans="1:11" x14ac:dyDescent="0.25">
      <c r="A695" s="3" t="s">
        <v>1410</v>
      </c>
      <c r="B695" s="4" t="s">
        <v>1411</v>
      </c>
      <c r="C695" s="14">
        <v>1529</v>
      </c>
      <c r="D695" s="6" t="s">
        <v>31</v>
      </c>
      <c r="E695" s="6" t="s">
        <v>17</v>
      </c>
      <c r="F695" s="7">
        <v>37072</v>
      </c>
      <c r="G695" s="8">
        <f t="shared" si="10"/>
        <v>37072</v>
      </c>
      <c r="H695" s="6" t="s">
        <v>13</v>
      </c>
      <c r="I695" s="9" t="s">
        <v>3380</v>
      </c>
      <c r="J695" s="62" t="s">
        <v>3380</v>
      </c>
      <c r="K695" s="17">
        <v>3</v>
      </c>
    </row>
    <row r="696" spans="1:11" x14ac:dyDescent="0.25">
      <c r="A696" s="3" t="s">
        <v>1412</v>
      </c>
      <c r="B696" s="4" t="s">
        <v>1413</v>
      </c>
      <c r="C696" s="5">
        <v>2021</v>
      </c>
      <c r="D696" s="6" t="s">
        <v>16</v>
      </c>
      <c r="E696" s="6" t="s">
        <v>17</v>
      </c>
      <c r="F696" s="7">
        <v>29221</v>
      </c>
      <c r="G696" s="8">
        <f t="shared" si="10"/>
        <v>29221</v>
      </c>
      <c r="H696" s="6" t="s">
        <v>13</v>
      </c>
      <c r="I696" s="9">
        <v>23789.6386159875</v>
      </c>
      <c r="J696" s="62">
        <v>598.450392575406</v>
      </c>
      <c r="K696" s="17">
        <v>1</v>
      </c>
    </row>
    <row r="697" spans="1:11" x14ac:dyDescent="0.25">
      <c r="A697" s="3" t="s">
        <v>1414</v>
      </c>
      <c r="B697" s="4" t="s">
        <v>1415</v>
      </c>
      <c r="C697" s="5">
        <v>22081</v>
      </c>
      <c r="D697" s="6" t="s">
        <v>31</v>
      </c>
      <c r="E697" s="6" t="s">
        <v>17</v>
      </c>
      <c r="F697" s="7">
        <v>34025</v>
      </c>
      <c r="G697" s="8">
        <f t="shared" si="10"/>
        <v>34025</v>
      </c>
      <c r="H697" s="6" t="s">
        <v>13</v>
      </c>
      <c r="I697" s="9">
        <v>428.95099464234198</v>
      </c>
      <c r="J697" s="62">
        <v>98.317884040493794</v>
      </c>
      <c r="K697" s="17">
        <v>2</v>
      </c>
    </row>
    <row r="698" spans="1:11" x14ac:dyDescent="0.25">
      <c r="A698" s="3" t="s">
        <v>1416</v>
      </c>
      <c r="B698" s="4" t="s">
        <v>1417</v>
      </c>
      <c r="C698" s="5">
        <v>1812</v>
      </c>
      <c r="D698" s="6" t="s">
        <v>28</v>
      </c>
      <c r="E698" s="6" t="s">
        <v>17</v>
      </c>
      <c r="F698" s="7">
        <v>29221</v>
      </c>
      <c r="G698" s="8">
        <f t="shared" si="10"/>
        <v>29221</v>
      </c>
      <c r="H698" s="6" t="s">
        <v>13</v>
      </c>
      <c r="I698" s="9">
        <v>8449.0173047521403</v>
      </c>
      <c r="J698" s="62">
        <v>46.875457452293297</v>
      </c>
      <c r="K698" s="17">
        <v>1</v>
      </c>
    </row>
    <row r="699" spans="1:11" x14ac:dyDescent="0.25">
      <c r="A699" s="3" t="s">
        <v>1418</v>
      </c>
      <c r="B699" s="4" t="s">
        <v>1419</v>
      </c>
      <c r="C699" s="14">
        <v>1635</v>
      </c>
      <c r="D699" s="6" t="s">
        <v>31</v>
      </c>
      <c r="E699" s="6" t="s">
        <v>17</v>
      </c>
      <c r="F699" s="7">
        <v>25569</v>
      </c>
      <c r="G699" s="8">
        <f t="shared" si="10"/>
        <v>25569</v>
      </c>
      <c r="H699" s="6" t="s">
        <v>13</v>
      </c>
      <c r="I699" s="9">
        <v>147574.136650575</v>
      </c>
      <c r="J699" s="62">
        <v>704.62653774716603</v>
      </c>
      <c r="K699" s="17">
        <v>2</v>
      </c>
    </row>
    <row r="700" spans="1:11" x14ac:dyDescent="0.25">
      <c r="A700" s="3" t="s">
        <v>1420</v>
      </c>
      <c r="B700" s="4" t="s">
        <v>1421</v>
      </c>
      <c r="C700" s="5">
        <v>11202</v>
      </c>
      <c r="D700" s="6" t="s">
        <v>37</v>
      </c>
      <c r="E700" s="6" t="s">
        <v>38</v>
      </c>
      <c r="F700" s="7">
        <v>37405</v>
      </c>
      <c r="G700" s="8">
        <f t="shared" si="10"/>
        <v>37405</v>
      </c>
      <c r="H700" s="6" t="s">
        <v>39</v>
      </c>
      <c r="I700" s="9">
        <v>47673.694405861395</v>
      </c>
      <c r="J700" s="62">
        <v>347.18058695497302</v>
      </c>
      <c r="K700" s="17">
        <v>2</v>
      </c>
    </row>
    <row r="701" spans="1:11" x14ac:dyDescent="0.25">
      <c r="A701" s="18" t="s">
        <v>1422</v>
      </c>
      <c r="B701" s="19" t="s">
        <v>1423</v>
      </c>
      <c r="C701" s="20">
        <v>1440</v>
      </c>
      <c r="D701" s="21" t="s">
        <v>16</v>
      </c>
      <c r="E701" s="21" t="s">
        <v>17</v>
      </c>
      <c r="F701" s="22">
        <v>25569</v>
      </c>
      <c r="G701" s="23">
        <f t="shared" si="10"/>
        <v>25569</v>
      </c>
      <c r="H701" s="21" t="s">
        <v>13</v>
      </c>
      <c r="I701" s="9">
        <v>3780.8990518403302</v>
      </c>
      <c r="J701" s="62">
        <v>141.16380933966599</v>
      </c>
      <c r="K701" s="25">
        <v>1</v>
      </c>
    </row>
    <row r="702" spans="1:11" x14ac:dyDescent="0.25">
      <c r="A702" s="3" t="s">
        <v>1424</v>
      </c>
      <c r="B702" s="4" t="s">
        <v>1425</v>
      </c>
      <c r="C702" s="5">
        <v>1677</v>
      </c>
      <c r="D702" s="6" t="s">
        <v>34</v>
      </c>
      <c r="E702" s="6" t="s">
        <v>17</v>
      </c>
      <c r="F702" s="7">
        <v>32143</v>
      </c>
      <c r="G702" s="8">
        <f t="shared" si="10"/>
        <v>32143</v>
      </c>
      <c r="H702" s="6" t="s">
        <v>13</v>
      </c>
      <c r="I702" s="9">
        <v>14540.4653577397</v>
      </c>
      <c r="J702" s="62">
        <v>111.26624761396</v>
      </c>
      <c r="K702" s="17">
        <v>1</v>
      </c>
    </row>
    <row r="703" spans="1:11" x14ac:dyDescent="0.25">
      <c r="A703" s="3" t="s">
        <v>1426</v>
      </c>
      <c r="B703" s="4" t="s">
        <v>1427</v>
      </c>
      <c r="C703" s="5">
        <v>16003</v>
      </c>
      <c r="D703" s="6" t="s">
        <v>31</v>
      </c>
      <c r="E703" s="6" t="s">
        <v>17</v>
      </c>
      <c r="F703" s="7">
        <v>32531</v>
      </c>
      <c r="G703" s="8">
        <f t="shared" si="10"/>
        <v>32531</v>
      </c>
      <c r="H703" s="6" t="s">
        <v>13</v>
      </c>
      <c r="I703" s="9">
        <v>3205.5140833833698</v>
      </c>
      <c r="J703" s="62">
        <v>189.90251698717501</v>
      </c>
      <c r="K703" s="17">
        <v>1</v>
      </c>
    </row>
    <row r="704" spans="1:11" x14ac:dyDescent="0.25">
      <c r="A704" s="3" t="s">
        <v>1428</v>
      </c>
      <c r="B704" s="4" t="s">
        <v>1429</v>
      </c>
      <c r="C704" s="5">
        <v>16001</v>
      </c>
      <c r="D704" s="6" t="s">
        <v>31</v>
      </c>
      <c r="E704" s="6" t="s">
        <v>17</v>
      </c>
      <c r="F704" s="7">
        <v>32531</v>
      </c>
      <c r="G704" s="8">
        <f t="shared" si="10"/>
        <v>32531</v>
      </c>
      <c r="H704" s="6" t="s">
        <v>13</v>
      </c>
      <c r="I704" s="9">
        <v>3632.7964310322</v>
      </c>
      <c r="J704" s="62">
        <v>46.991885591537901</v>
      </c>
      <c r="K704" s="17">
        <v>2</v>
      </c>
    </row>
    <row r="705" spans="1:11" x14ac:dyDescent="0.25">
      <c r="A705" s="3" t="s">
        <v>1430</v>
      </c>
      <c r="B705" s="4" t="s">
        <v>1431</v>
      </c>
      <c r="C705" s="5">
        <v>1239</v>
      </c>
      <c r="D705" s="6" t="s">
        <v>34</v>
      </c>
      <c r="E705" s="6" t="s">
        <v>17</v>
      </c>
      <c r="F705" s="7">
        <v>30165</v>
      </c>
      <c r="G705" s="8">
        <f t="shared" si="10"/>
        <v>30165</v>
      </c>
      <c r="H705" s="6" t="s">
        <v>13</v>
      </c>
      <c r="I705" s="9">
        <v>4223.4237570688701</v>
      </c>
      <c r="J705" s="62">
        <v>151.660077178151</v>
      </c>
      <c r="K705" s="17">
        <v>1</v>
      </c>
    </row>
    <row r="706" spans="1:11" x14ac:dyDescent="0.25">
      <c r="A706" s="3" t="s">
        <v>1432</v>
      </c>
      <c r="B706" s="4" t="s">
        <v>1433</v>
      </c>
      <c r="C706" s="5">
        <v>11201</v>
      </c>
      <c r="D706" s="6" t="s">
        <v>28</v>
      </c>
      <c r="E706" s="6" t="s">
        <v>17</v>
      </c>
      <c r="F706" s="7">
        <v>37959</v>
      </c>
      <c r="G706" s="8">
        <f t="shared" ref="G706:G769" si="11">F706</f>
        <v>37959</v>
      </c>
      <c r="H706" s="6" t="s">
        <v>13</v>
      </c>
      <c r="I706" s="9">
        <v>6946.44136136616</v>
      </c>
      <c r="J706" s="62">
        <v>163.250679102991</v>
      </c>
      <c r="K706" s="17">
        <v>1</v>
      </c>
    </row>
    <row r="707" spans="1:11" x14ac:dyDescent="0.25">
      <c r="A707" s="3" t="s">
        <v>1434</v>
      </c>
      <c r="B707" s="4" t="s">
        <v>1435</v>
      </c>
      <c r="C707" s="5">
        <v>10574</v>
      </c>
      <c r="D707" s="6" t="s">
        <v>31</v>
      </c>
      <c r="E707" s="6" t="s">
        <v>17</v>
      </c>
      <c r="F707" s="7">
        <v>37047</v>
      </c>
      <c r="G707" s="8">
        <f t="shared" si="11"/>
        <v>37047</v>
      </c>
      <c r="H707" s="6" t="s">
        <v>13</v>
      </c>
      <c r="I707" s="9">
        <v>27033.344812494899</v>
      </c>
      <c r="J707" s="62">
        <v>137.02259452827099</v>
      </c>
      <c r="K707" s="17">
        <v>1</v>
      </c>
    </row>
    <row r="708" spans="1:11" x14ac:dyDescent="0.25">
      <c r="A708" s="3" t="s">
        <v>1436</v>
      </c>
      <c r="B708" s="4" t="s">
        <v>1437</v>
      </c>
      <c r="C708" s="5">
        <v>52898</v>
      </c>
      <c r="D708" s="6" t="s">
        <v>28</v>
      </c>
      <c r="E708" s="6" t="s">
        <v>17</v>
      </c>
      <c r="F708" s="7">
        <v>39295</v>
      </c>
      <c r="G708" s="8">
        <f t="shared" si="11"/>
        <v>39295</v>
      </c>
      <c r="H708" s="6" t="s">
        <v>13</v>
      </c>
      <c r="I708" s="9">
        <v>22129.640773048599</v>
      </c>
      <c r="J708" s="62">
        <v>493.14937951226602</v>
      </c>
      <c r="K708" s="17">
        <v>1</v>
      </c>
    </row>
    <row r="709" spans="1:11" x14ac:dyDescent="0.25">
      <c r="A709" s="3" t="s">
        <v>1438</v>
      </c>
      <c r="B709" s="4" t="s">
        <v>1439</v>
      </c>
      <c r="C709" s="5">
        <v>136117</v>
      </c>
      <c r="D709" s="6" t="s">
        <v>34</v>
      </c>
      <c r="E709" s="6" t="s">
        <v>17</v>
      </c>
      <c r="F709" s="7">
        <v>29221</v>
      </c>
      <c r="G709" s="8">
        <f t="shared" si="11"/>
        <v>29221</v>
      </c>
      <c r="H709" s="6" t="s">
        <v>13</v>
      </c>
      <c r="I709" s="9">
        <v>11350.341169580201</v>
      </c>
      <c r="J709" s="62">
        <v>100.55596678952401</v>
      </c>
      <c r="K709" s="17">
        <v>1</v>
      </c>
    </row>
    <row r="710" spans="1:11" x14ac:dyDescent="0.25">
      <c r="A710" s="3" t="s">
        <v>1440</v>
      </c>
      <c r="B710" s="4" t="s">
        <v>1441</v>
      </c>
      <c r="C710" s="5">
        <v>54576</v>
      </c>
      <c r="D710" s="6" t="s">
        <v>34</v>
      </c>
      <c r="E710" s="6" t="s">
        <v>17</v>
      </c>
      <c r="F710" s="7">
        <v>38930</v>
      </c>
      <c r="G710" s="8">
        <f t="shared" si="11"/>
        <v>38930</v>
      </c>
      <c r="H710" s="6" t="s">
        <v>13</v>
      </c>
      <c r="I710" s="9">
        <v>64223.027201532903</v>
      </c>
      <c r="J710" s="62">
        <v>492.88809488520099</v>
      </c>
      <c r="K710" s="17">
        <v>2</v>
      </c>
    </row>
    <row r="711" spans="1:11" x14ac:dyDescent="0.25">
      <c r="A711" s="3" t="s">
        <v>1442</v>
      </c>
      <c r="B711" s="4" t="s">
        <v>1443</v>
      </c>
      <c r="C711" s="5">
        <v>1238</v>
      </c>
      <c r="D711" s="6" t="s">
        <v>34</v>
      </c>
      <c r="E711" s="6" t="s">
        <v>17</v>
      </c>
      <c r="F711" s="7">
        <v>29221</v>
      </c>
      <c r="G711" s="8">
        <f t="shared" si="11"/>
        <v>29221</v>
      </c>
      <c r="H711" s="6" t="s">
        <v>13</v>
      </c>
      <c r="I711" s="9">
        <v>1967.3597387444099</v>
      </c>
      <c r="J711" s="62">
        <v>97.994786341730403</v>
      </c>
      <c r="K711" s="17">
        <v>1</v>
      </c>
    </row>
    <row r="712" spans="1:11" x14ac:dyDescent="0.25">
      <c r="A712" s="3" t="s">
        <v>1444</v>
      </c>
      <c r="B712" s="4" t="s">
        <v>1445</v>
      </c>
      <c r="C712" s="5">
        <v>30161</v>
      </c>
      <c r="D712" s="6" t="s">
        <v>16</v>
      </c>
      <c r="E712" s="6" t="s">
        <v>17</v>
      </c>
      <c r="F712" s="7">
        <v>38945</v>
      </c>
      <c r="G712" s="8">
        <f t="shared" si="11"/>
        <v>38945</v>
      </c>
      <c r="H712" s="6" t="s">
        <v>13</v>
      </c>
      <c r="I712" s="9">
        <v>550.14731958297307</v>
      </c>
      <c r="J712" s="62">
        <v>19.4816350948681</v>
      </c>
      <c r="K712" s="17">
        <v>1</v>
      </c>
    </row>
    <row r="713" spans="1:11" x14ac:dyDescent="0.25">
      <c r="A713" s="3" t="s">
        <v>1446</v>
      </c>
      <c r="B713" s="4" t="s">
        <v>1447</v>
      </c>
      <c r="C713" s="5">
        <v>54575</v>
      </c>
      <c r="D713" s="6" t="s">
        <v>31</v>
      </c>
      <c r="E713" s="6" t="s">
        <v>17</v>
      </c>
      <c r="F713" s="7">
        <v>38910</v>
      </c>
      <c r="G713" s="8">
        <f t="shared" si="11"/>
        <v>38910</v>
      </c>
      <c r="H713" s="6" t="s">
        <v>13</v>
      </c>
      <c r="I713" s="9">
        <v>24531.828455487899</v>
      </c>
      <c r="J713" s="62">
        <v>588.15404432151604</v>
      </c>
      <c r="K713" s="17">
        <v>1</v>
      </c>
    </row>
    <row r="714" spans="1:11" x14ac:dyDescent="0.25">
      <c r="A714" s="3" t="s">
        <v>1448</v>
      </c>
      <c r="B714" s="4" t="s">
        <v>1449</v>
      </c>
      <c r="C714" s="5">
        <v>12482</v>
      </c>
      <c r="D714" s="6" t="s">
        <v>16</v>
      </c>
      <c r="E714" s="6" t="s">
        <v>17</v>
      </c>
      <c r="F714" s="7">
        <v>37145</v>
      </c>
      <c r="G714" s="8">
        <f t="shared" si="11"/>
        <v>37145</v>
      </c>
      <c r="H714" s="6" t="s">
        <v>13</v>
      </c>
      <c r="I714" s="9">
        <v>36618.355805839696</v>
      </c>
      <c r="J714" s="62">
        <v>262.22598829682801</v>
      </c>
      <c r="K714" s="17">
        <v>1</v>
      </c>
    </row>
    <row r="715" spans="1:11" x14ac:dyDescent="0.25">
      <c r="A715" s="3" t="s">
        <v>1450</v>
      </c>
      <c r="B715" s="4" t="s">
        <v>1451</v>
      </c>
      <c r="C715" s="5">
        <v>1758</v>
      </c>
      <c r="D715" s="6" t="s">
        <v>31</v>
      </c>
      <c r="E715" s="6" t="s">
        <v>17</v>
      </c>
      <c r="F715" s="7">
        <v>29221</v>
      </c>
      <c r="G715" s="8">
        <f t="shared" si="11"/>
        <v>29221</v>
      </c>
      <c r="H715" s="6" t="s">
        <v>13</v>
      </c>
      <c r="I715" s="9">
        <v>8939.5326360755789</v>
      </c>
      <c r="J715" s="62">
        <v>130.248560994971</v>
      </c>
      <c r="K715" s="17">
        <v>1</v>
      </c>
    </row>
    <row r="716" spans="1:11" x14ac:dyDescent="0.25">
      <c r="A716" s="3" t="s">
        <v>1452</v>
      </c>
      <c r="B716" s="4" t="s">
        <v>1453</v>
      </c>
      <c r="C716" s="5">
        <v>19209</v>
      </c>
      <c r="D716" s="6" t="s">
        <v>31</v>
      </c>
      <c r="E716" s="6" t="s">
        <v>17</v>
      </c>
      <c r="F716" s="7">
        <v>36528</v>
      </c>
      <c r="G716" s="8">
        <f t="shared" si="11"/>
        <v>36528</v>
      </c>
      <c r="H716" s="6" t="s">
        <v>13</v>
      </c>
      <c r="I716" s="9">
        <v>121860.203403358</v>
      </c>
      <c r="J716" s="62">
        <v>996.02996435131797</v>
      </c>
      <c r="K716" s="17">
        <v>2</v>
      </c>
    </row>
    <row r="717" spans="1:11" x14ac:dyDescent="0.25">
      <c r="A717" s="3" t="s">
        <v>1454</v>
      </c>
      <c r="B717" s="4" t="s">
        <v>1455</v>
      </c>
      <c r="C717" s="5">
        <v>16964</v>
      </c>
      <c r="D717" s="6" t="s">
        <v>31</v>
      </c>
      <c r="E717" s="6" t="s">
        <v>17</v>
      </c>
      <c r="F717" s="7">
        <v>25583</v>
      </c>
      <c r="G717" s="8">
        <f t="shared" si="11"/>
        <v>25583</v>
      </c>
      <c r="H717" s="6" t="s">
        <v>13</v>
      </c>
      <c r="I717" s="9" t="s">
        <v>3380</v>
      </c>
      <c r="J717" s="62" t="s">
        <v>3380</v>
      </c>
      <c r="K717" s="17">
        <v>1</v>
      </c>
    </row>
    <row r="718" spans="1:11" x14ac:dyDescent="0.25">
      <c r="A718" s="3" t="s">
        <v>1456</v>
      </c>
      <c r="B718" s="4" t="s">
        <v>1457</v>
      </c>
      <c r="C718" s="5">
        <v>25921</v>
      </c>
      <c r="D718" s="6" t="s">
        <v>31</v>
      </c>
      <c r="E718" s="6" t="s">
        <v>17</v>
      </c>
      <c r="F718" s="7">
        <v>31685</v>
      </c>
      <c r="G718" s="8">
        <f t="shared" si="11"/>
        <v>31685</v>
      </c>
      <c r="H718" s="6" t="s">
        <v>13</v>
      </c>
      <c r="I718" s="9">
        <v>12177.0956646383</v>
      </c>
      <c r="J718" s="62">
        <v>243.93423603444501</v>
      </c>
      <c r="K718" s="17">
        <v>1</v>
      </c>
    </row>
    <row r="719" spans="1:11" x14ac:dyDescent="0.25">
      <c r="A719" s="3" t="s">
        <v>1458</v>
      </c>
      <c r="B719" s="4" t="s">
        <v>1459</v>
      </c>
      <c r="C719" s="14">
        <v>18895</v>
      </c>
      <c r="D719" s="6" t="s">
        <v>31</v>
      </c>
      <c r="E719" s="6" t="s">
        <v>17</v>
      </c>
      <c r="F719" s="7">
        <v>28564</v>
      </c>
      <c r="G719" s="8">
        <f t="shared" si="11"/>
        <v>28564</v>
      </c>
      <c r="H719" s="6" t="s">
        <v>13</v>
      </c>
      <c r="I719" s="9">
        <v>39439.204559828802</v>
      </c>
      <c r="J719" s="62">
        <v>208.37863675023101</v>
      </c>
      <c r="K719" s="17">
        <v>2</v>
      </c>
    </row>
    <row r="720" spans="1:11" x14ac:dyDescent="0.25">
      <c r="A720" s="3" t="s">
        <v>1460</v>
      </c>
      <c r="B720" s="4" t="s">
        <v>1461</v>
      </c>
      <c r="C720" s="5">
        <v>15363</v>
      </c>
      <c r="D720" s="6" t="s">
        <v>31</v>
      </c>
      <c r="E720" s="6" t="s">
        <v>17</v>
      </c>
      <c r="F720" s="7">
        <v>31331</v>
      </c>
      <c r="G720" s="8">
        <f t="shared" si="11"/>
        <v>31331</v>
      </c>
      <c r="H720" s="6" t="s">
        <v>13</v>
      </c>
      <c r="I720" s="9">
        <v>10775.515495600701</v>
      </c>
      <c r="J720" s="62">
        <v>49.509054330723899</v>
      </c>
      <c r="K720" s="17">
        <v>1</v>
      </c>
    </row>
    <row r="721" spans="1:11" x14ac:dyDescent="0.25">
      <c r="A721" s="3" t="s">
        <v>1462</v>
      </c>
      <c r="B721" s="4" t="s">
        <v>1463</v>
      </c>
      <c r="C721" s="5">
        <v>15045</v>
      </c>
      <c r="D721" s="6" t="s">
        <v>31</v>
      </c>
      <c r="E721" s="6" t="s">
        <v>17</v>
      </c>
      <c r="F721" s="7">
        <v>30573</v>
      </c>
      <c r="G721" s="8">
        <f t="shared" si="11"/>
        <v>30573</v>
      </c>
      <c r="H721" s="6" t="s">
        <v>13</v>
      </c>
      <c r="I721" s="9">
        <v>4541.3071244307002</v>
      </c>
      <c r="J721" s="62">
        <v>157.67535535669001</v>
      </c>
      <c r="K721" s="17">
        <v>1</v>
      </c>
    </row>
    <row r="722" spans="1:11" x14ac:dyDescent="0.25">
      <c r="A722" s="3" t="s">
        <v>1464</v>
      </c>
      <c r="B722" s="4" t="s">
        <v>1465</v>
      </c>
      <c r="C722" s="5">
        <v>14728</v>
      </c>
      <c r="D722" s="6" t="s">
        <v>31</v>
      </c>
      <c r="E722" s="6" t="s">
        <v>17</v>
      </c>
      <c r="F722" s="7">
        <v>32143</v>
      </c>
      <c r="G722" s="8">
        <f t="shared" si="11"/>
        <v>32143</v>
      </c>
      <c r="H722" s="6" t="s">
        <v>13</v>
      </c>
      <c r="I722" s="9">
        <v>21068.1418891209</v>
      </c>
      <c r="J722" s="62">
        <v>191.750300646037</v>
      </c>
      <c r="K722" s="17">
        <v>1</v>
      </c>
    </row>
    <row r="723" spans="1:11" x14ac:dyDescent="0.25">
      <c r="A723" s="3" t="s">
        <v>1466</v>
      </c>
      <c r="B723" s="4" t="s">
        <v>1467</v>
      </c>
      <c r="C723" s="5">
        <v>1908</v>
      </c>
      <c r="D723" s="6" t="s">
        <v>34</v>
      </c>
      <c r="E723" s="6" t="s">
        <v>17</v>
      </c>
      <c r="F723" s="7">
        <v>29221</v>
      </c>
      <c r="G723" s="8">
        <f t="shared" si="11"/>
        <v>29221</v>
      </c>
      <c r="H723" s="6" t="s">
        <v>13</v>
      </c>
      <c r="I723" s="9">
        <v>21908.9015525225</v>
      </c>
      <c r="J723" s="62">
        <v>114.20809615152901</v>
      </c>
      <c r="K723" s="17">
        <v>1</v>
      </c>
    </row>
    <row r="724" spans="1:11" x14ac:dyDescent="0.25">
      <c r="A724" s="3" t="s">
        <v>1468</v>
      </c>
      <c r="B724" s="4" t="s">
        <v>1469</v>
      </c>
      <c r="C724" s="5">
        <v>1114</v>
      </c>
      <c r="D724" s="6" t="s">
        <v>28</v>
      </c>
      <c r="E724" s="6" t="s">
        <v>17</v>
      </c>
      <c r="F724" s="7">
        <v>38677</v>
      </c>
      <c r="G724" s="8">
        <f t="shared" si="11"/>
        <v>38677</v>
      </c>
      <c r="H724" s="6" t="s">
        <v>13</v>
      </c>
      <c r="I724" s="9">
        <v>11626.8919730049</v>
      </c>
      <c r="J724" s="62">
        <v>170.776776000588</v>
      </c>
      <c r="K724" s="17">
        <v>1</v>
      </c>
    </row>
    <row r="725" spans="1:11" x14ac:dyDescent="0.25">
      <c r="A725" s="3" t="s">
        <v>1470</v>
      </c>
      <c r="B725" s="4" t="s">
        <v>1471</v>
      </c>
      <c r="C725" s="5">
        <v>25922</v>
      </c>
      <c r="D725" s="6" t="s">
        <v>28</v>
      </c>
      <c r="E725" s="6" t="s">
        <v>17</v>
      </c>
      <c r="F725" s="7">
        <v>20891</v>
      </c>
      <c r="G725" s="8">
        <f t="shared" si="11"/>
        <v>20891</v>
      </c>
      <c r="H725" s="6" t="s">
        <v>13</v>
      </c>
      <c r="I725" s="9">
        <v>25677.6566136562</v>
      </c>
      <c r="J725" s="62">
        <v>166.50855935662301</v>
      </c>
      <c r="K725" s="17">
        <v>1</v>
      </c>
    </row>
    <row r="726" spans="1:11" x14ac:dyDescent="0.25">
      <c r="A726" s="26" t="s">
        <v>1472</v>
      </c>
      <c r="B726" s="27" t="s">
        <v>1473</v>
      </c>
      <c r="C726" s="5">
        <v>1397</v>
      </c>
      <c r="D726" s="28" t="s">
        <v>34</v>
      </c>
      <c r="E726" s="28" t="s">
        <v>17</v>
      </c>
      <c r="F726" s="29">
        <v>18264</v>
      </c>
      <c r="G726" s="30">
        <f t="shared" si="11"/>
        <v>18264</v>
      </c>
      <c r="H726" s="28" t="s">
        <v>13</v>
      </c>
      <c r="I726" s="9">
        <v>3780.3036066888399</v>
      </c>
      <c r="J726" s="62">
        <v>44.258797149852199</v>
      </c>
      <c r="K726" s="33">
        <v>1</v>
      </c>
    </row>
    <row r="727" spans="1:11" x14ac:dyDescent="0.25">
      <c r="A727" s="3" t="s">
        <v>1474</v>
      </c>
      <c r="B727" s="4" t="s">
        <v>1475</v>
      </c>
      <c r="C727" s="5">
        <v>59969</v>
      </c>
      <c r="D727" s="6" t="s">
        <v>28</v>
      </c>
      <c r="E727" s="6" t="s">
        <v>17</v>
      </c>
      <c r="F727" s="7">
        <v>39234</v>
      </c>
      <c r="G727" s="8">
        <f t="shared" si="11"/>
        <v>39234</v>
      </c>
      <c r="H727" s="6" t="s">
        <v>13</v>
      </c>
      <c r="I727" s="9">
        <v>1436.8790657757299</v>
      </c>
      <c r="J727" s="62">
        <v>44.727952156609703</v>
      </c>
      <c r="K727" s="17">
        <v>1</v>
      </c>
    </row>
    <row r="728" spans="1:11" x14ac:dyDescent="0.25">
      <c r="A728" s="3" t="s">
        <v>1476</v>
      </c>
      <c r="B728" s="4" t="s">
        <v>1477</v>
      </c>
      <c r="C728" s="5">
        <v>19844</v>
      </c>
      <c r="D728" s="6" t="s">
        <v>28</v>
      </c>
      <c r="E728" s="6" t="s">
        <v>17</v>
      </c>
      <c r="F728" s="7">
        <v>38468</v>
      </c>
      <c r="G728" s="8">
        <f t="shared" si="11"/>
        <v>38468</v>
      </c>
      <c r="H728" s="6" t="s">
        <v>13</v>
      </c>
      <c r="I728" s="9">
        <v>18097.0067440864</v>
      </c>
      <c r="J728" s="62">
        <v>372.56022748262302</v>
      </c>
      <c r="K728" s="17">
        <v>1</v>
      </c>
    </row>
    <row r="729" spans="1:11" x14ac:dyDescent="0.25">
      <c r="A729" s="3" t="s">
        <v>1478</v>
      </c>
      <c r="B729" s="4" t="s">
        <v>1479</v>
      </c>
      <c r="C729" s="14">
        <v>12808</v>
      </c>
      <c r="D729" s="6" t="s">
        <v>28</v>
      </c>
      <c r="E729" s="6" t="s">
        <v>17</v>
      </c>
      <c r="F729" s="7">
        <v>39569</v>
      </c>
      <c r="G729" s="8">
        <f t="shared" si="11"/>
        <v>39569</v>
      </c>
      <c r="H729" s="6" t="s">
        <v>13</v>
      </c>
      <c r="I729" s="9">
        <v>110930.88430404199</v>
      </c>
      <c r="J729" s="62">
        <v>939.03397147526505</v>
      </c>
      <c r="K729" s="17">
        <v>2</v>
      </c>
    </row>
    <row r="730" spans="1:11" x14ac:dyDescent="0.25">
      <c r="A730" s="3" t="s">
        <v>1480</v>
      </c>
      <c r="B730" s="4" t="s">
        <v>1481</v>
      </c>
      <c r="C730" s="14">
        <v>1653</v>
      </c>
      <c r="D730" s="6" t="s">
        <v>28</v>
      </c>
      <c r="E730" s="6" t="s">
        <v>17</v>
      </c>
      <c r="F730" s="7">
        <v>29952</v>
      </c>
      <c r="G730" s="8">
        <f t="shared" si="11"/>
        <v>29952</v>
      </c>
      <c r="H730" s="6" t="s">
        <v>13</v>
      </c>
      <c r="I730" s="9">
        <v>52516.763088200103</v>
      </c>
      <c r="J730" s="62">
        <v>185.53042363253499</v>
      </c>
      <c r="K730" s="17">
        <v>2</v>
      </c>
    </row>
    <row r="731" spans="1:11" x14ac:dyDescent="0.25">
      <c r="A731" s="3" t="s">
        <v>1482</v>
      </c>
      <c r="B731" s="4" t="s">
        <v>1483</v>
      </c>
      <c r="C731" s="14">
        <v>54577</v>
      </c>
      <c r="D731" s="6" t="s">
        <v>34</v>
      </c>
      <c r="E731" s="6" t="s">
        <v>17</v>
      </c>
      <c r="F731" s="7">
        <v>36847</v>
      </c>
      <c r="G731" s="8">
        <f t="shared" si="11"/>
        <v>36847</v>
      </c>
      <c r="H731" s="6" t="s">
        <v>13</v>
      </c>
      <c r="I731" s="9">
        <v>15530.8692191765</v>
      </c>
      <c r="J731" s="62">
        <v>341.25192049689201</v>
      </c>
      <c r="K731" s="17">
        <v>1</v>
      </c>
    </row>
    <row r="732" spans="1:11" x14ac:dyDescent="0.25">
      <c r="A732" s="3" t="s">
        <v>1484</v>
      </c>
      <c r="B732" s="4" t="s">
        <v>1485</v>
      </c>
      <c r="C732" s="14">
        <v>1522</v>
      </c>
      <c r="D732" s="6" t="s">
        <v>16</v>
      </c>
      <c r="E732" s="6" t="s">
        <v>17</v>
      </c>
      <c r="F732" s="7">
        <v>24108</v>
      </c>
      <c r="G732" s="8">
        <f t="shared" si="11"/>
        <v>24108</v>
      </c>
      <c r="H732" s="6" t="s">
        <v>13</v>
      </c>
      <c r="I732" s="9">
        <v>104029.772418294</v>
      </c>
      <c r="J732" s="62">
        <v>386.28490037668598</v>
      </c>
      <c r="K732" s="17">
        <v>2</v>
      </c>
    </row>
    <row r="733" spans="1:11" x14ac:dyDescent="0.25">
      <c r="A733" s="3" t="s">
        <v>1486</v>
      </c>
      <c r="B733" s="4" t="s">
        <v>1487</v>
      </c>
      <c r="C733" s="5">
        <v>14736</v>
      </c>
      <c r="D733" s="6" t="s">
        <v>31</v>
      </c>
      <c r="E733" s="6" t="s">
        <v>17</v>
      </c>
      <c r="F733" s="7">
        <v>31253</v>
      </c>
      <c r="G733" s="8">
        <f t="shared" si="11"/>
        <v>31253</v>
      </c>
      <c r="H733" s="6" t="s">
        <v>13</v>
      </c>
      <c r="I733" s="9">
        <v>4414.8509604165502</v>
      </c>
      <c r="J733" s="62">
        <v>25.261717572456</v>
      </c>
      <c r="K733" s="17">
        <v>1</v>
      </c>
    </row>
    <row r="734" spans="1:11" x14ac:dyDescent="0.25">
      <c r="A734" s="3" t="s">
        <v>1488</v>
      </c>
      <c r="B734" s="4" t="s">
        <v>1489</v>
      </c>
      <c r="C734" s="5">
        <v>1425</v>
      </c>
      <c r="D734" s="6" t="s">
        <v>31</v>
      </c>
      <c r="E734" s="6" t="s">
        <v>17</v>
      </c>
      <c r="F734" s="7">
        <v>31048</v>
      </c>
      <c r="G734" s="8">
        <f t="shared" si="11"/>
        <v>31048</v>
      </c>
      <c r="H734" s="6" t="s">
        <v>13</v>
      </c>
      <c r="I734" s="9">
        <v>20085.192109351599</v>
      </c>
      <c r="J734" s="62">
        <v>132.08945177708301</v>
      </c>
      <c r="K734" s="17">
        <v>1</v>
      </c>
    </row>
    <row r="735" spans="1:11" x14ac:dyDescent="0.25">
      <c r="A735" s="3" t="s">
        <v>1490</v>
      </c>
      <c r="B735" s="4" t="s">
        <v>1491</v>
      </c>
      <c r="C735" s="5">
        <v>15369</v>
      </c>
      <c r="D735" s="6" t="s">
        <v>31</v>
      </c>
      <c r="E735" s="6" t="s">
        <v>17</v>
      </c>
      <c r="F735" s="7">
        <v>32531</v>
      </c>
      <c r="G735" s="8">
        <f t="shared" si="11"/>
        <v>32531</v>
      </c>
      <c r="H735" s="6" t="s">
        <v>13</v>
      </c>
      <c r="I735" s="9">
        <v>44737.501205597298</v>
      </c>
      <c r="J735" s="62">
        <v>214.63715349225501</v>
      </c>
      <c r="K735" s="17">
        <v>1</v>
      </c>
    </row>
    <row r="736" spans="1:11" x14ac:dyDescent="0.25">
      <c r="A736" s="3" t="s">
        <v>1492</v>
      </c>
      <c r="B736" s="4" t="s">
        <v>1493</v>
      </c>
      <c r="C736" s="14">
        <v>52882</v>
      </c>
      <c r="D736" s="6" t="s">
        <v>34</v>
      </c>
      <c r="E736" s="6" t="s">
        <v>17</v>
      </c>
      <c r="F736" s="7">
        <v>36892</v>
      </c>
      <c r="G736" s="8">
        <f t="shared" si="11"/>
        <v>36892</v>
      </c>
      <c r="H736" s="6" t="s">
        <v>13</v>
      </c>
      <c r="I736" s="9">
        <v>540988.83793568797</v>
      </c>
      <c r="J736" s="62">
        <v>3092.5126441756001</v>
      </c>
      <c r="K736" s="17">
        <v>3</v>
      </c>
    </row>
    <row r="737" spans="1:11" x14ac:dyDescent="0.25">
      <c r="A737" s="3" t="s">
        <v>1494</v>
      </c>
      <c r="B737" s="4" t="s">
        <v>1495</v>
      </c>
      <c r="C737" s="5">
        <v>36769</v>
      </c>
      <c r="D737" s="6" t="s">
        <v>37</v>
      </c>
      <c r="E737" s="6" t="s">
        <v>38</v>
      </c>
      <c r="F737" s="7">
        <v>36640</v>
      </c>
      <c r="G737" s="8">
        <f t="shared" si="11"/>
        <v>36640</v>
      </c>
      <c r="H737" s="6" t="s">
        <v>39</v>
      </c>
      <c r="I737" s="9">
        <v>1996.1508198957699</v>
      </c>
      <c r="J737" s="62">
        <v>41.564917764777597</v>
      </c>
      <c r="K737" s="17">
        <v>1</v>
      </c>
    </row>
    <row r="738" spans="1:11" x14ac:dyDescent="0.25">
      <c r="A738" s="3" t="s">
        <v>1496</v>
      </c>
      <c r="B738" s="4" t="s">
        <v>1497</v>
      </c>
      <c r="C738" s="5">
        <v>54578</v>
      </c>
      <c r="D738" s="6" t="s">
        <v>34</v>
      </c>
      <c r="E738" s="6" t="s">
        <v>17</v>
      </c>
      <c r="F738" s="7">
        <v>37134</v>
      </c>
      <c r="G738" s="8">
        <f t="shared" si="11"/>
        <v>37134</v>
      </c>
      <c r="H738" s="6" t="s">
        <v>13</v>
      </c>
      <c r="I738" s="9">
        <v>9942.257318558979</v>
      </c>
      <c r="J738" s="62">
        <v>125.789210379945</v>
      </c>
      <c r="K738" s="17">
        <v>1</v>
      </c>
    </row>
    <row r="739" spans="1:11" x14ac:dyDescent="0.25">
      <c r="A739" s="3" t="s">
        <v>1498</v>
      </c>
      <c r="B739" s="4" t="s">
        <v>1499</v>
      </c>
      <c r="C739" s="5">
        <v>1175</v>
      </c>
      <c r="D739" s="6" t="s">
        <v>16</v>
      </c>
      <c r="E739" s="6" t="s">
        <v>17</v>
      </c>
      <c r="F739" s="7">
        <v>38529</v>
      </c>
      <c r="G739" s="8">
        <f t="shared" si="11"/>
        <v>38529</v>
      </c>
      <c r="H739" s="6" t="s">
        <v>13</v>
      </c>
      <c r="I739" s="9">
        <v>37958.449259772897</v>
      </c>
      <c r="J739" s="62">
        <v>221.26301112079599</v>
      </c>
      <c r="K739" s="17">
        <v>1</v>
      </c>
    </row>
    <row r="740" spans="1:11" x14ac:dyDescent="0.25">
      <c r="A740" s="18" t="s">
        <v>1500</v>
      </c>
      <c r="B740" s="19" t="s">
        <v>1501</v>
      </c>
      <c r="C740" s="5">
        <v>1417</v>
      </c>
      <c r="D740" s="21" t="s">
        <v>28</v>
      </c>
      <c r="E740" s="21" t="s">
        <v>17</v>
      </c>
      <c r="F740" s="22">
        <v>24473</v>
      </c>
      <c r="G740" s="23">
        <f t="shared" si="11"/>
        <v>24473</v>
      </c>
      <c r="H740" s="21" t="s">
        <v>13</v>
      </c>
      <c r="I740" s="9">
        <v>98950.431086480501</v>
      </c>
      <c r="J740" s="62">
        <v>569.00986873468196</v>
      </c>
      <c r="K740" s="25">
        <v>1</v>
      </c>
    </row>
    <row r="741" spans="1:11" x14ac:dyDescent="0.25">
      <c r="A741" s="3" t="s">
        <v>1502</v>
      </c>
      <c r="B741" s="4" t="s">
        <v>1503</v>
      </c>
      <c r="C741" s="5">
        <v>1297</v>
      </c>
      <c r="D741" s="6" t="s">
        <v>31</v>
      </c>
      <c r="E741" s="6" t="s">
        <v>17</v>
      </c>
      <c r="F741" s="7">
        <v>29952</v>
      </c>
      <c r="G741" s="8">
        <f t="shared" si="11"/>
        <v>29952</v>
      </c>
      <c r="H741" s="6" t="s">
        <v>13</v>
      </c>
      <c r="I741" s="9">
        <v>38854.556969951198</v>
      </c>
      <c r="J741" s="62">
        <v>412.66167590673899</v>
      </c>
      <c r="K741" s="17">
        <v>1</v>
      </c>
    </row>
    <row r="742" spans="1:11" x14ac:dyDescent="0.25">
      <c r="A742" s="3" t="s">
        <v>1504</v>
      </c>
      <c r="B742" s="4" t="s">
        <v>1505</v>
      </c>
      <c r="C742" s="14">
        <v>10886</v>
      </c>
      <c r="D742" s="6" t="s">
        <v>34</v>
      </c>
      <c r="E742" s="6" t="s">
        <v>17</v>
      </c>
      <c r="F742" s="7">
        <v>37719</v>
      </c>
      <c r="G742" s="8">
        <f t="shared" si="11"/>
        <v>37719</v>
      </c>
      <c r="H742" s="6" t="s">
        <v>13</v>
      </c>
      <c r="I742" s="9">
        <v>8085.7812612400403</v>
      </c>
      <c r="J742" s="62">
        <v>468.25256105349501</v>
      </c>
      <c r="K742" s="17">
        <v>1</v>
      </c>
    </row>
    <row r="743" spans="1:11" x14ac:dyDescent="0.25">
      <c r="A743" s="3" t="s">
        <v>1506</v>
      </c>
      <c r="B743" s="4" t="s">
        <v>1507</v>
      </c>
      <c r="C743" s="5">
        <v>2059</v>
      </c>
      <c r="D743" s="6" t="s">
        <v>34</v>
      </c>
      <c r="E743" s="6" t="s">
        <v>17</v>
      </c>
      <c r="F743" s="7">
        <v>32509</v>
      </c>
      <c r="G743" s="8">
        <f t="shared" si="11"/>
        <v>32509</v>
      </c>
      <c r="H743" s="6" t="s">
        <v>13</v>
      </c>
      <c r="I743" s="9">
        <v>92343.469958638801</v>
      </c>
      <c r="J743" s="62">
        <v>404.17578636626001</v>
      </c>
      <c r="K743" s="17">
        <v>2</v>
      </c>
    </row>
    <row r="744" spans="1:11" x14ac:dyDescent="0.25">
      <c r="A744" s="3" t="s">
        <v>1508</v>
      </c>
      <c r="B744" s="4" t="s">
        <v>1509</v>
      </c>
      <c r="C744" s="14">
        <v>21442</v>
      </c>
      <c r="D744" s="6" t="s">
        <v>28</v>
      </c>
      <c r="E744" s="6" t="s">
        <v>17</v>
      </c>
      <c r="F744" s="7">
        <v>38036</v>
      </c>
      <c r="G744" s="8">
        <f t="shared" si="11"/>
        <v>38036</v>
      </c>
      <c r="H744" s="6" t="s">
        <v>13</v>
      </c>
      <c r="I744" s="9">
        <v>6652.6547794118705</v>
      </c>
      <c r="J744" s="62">
        <v>537.26733355495605</v>
      </c>
      <c r="K744" s="17">
        <v>2</v>
      </c>
    </row>
    <row r="745" spans="1:11" x14ac:dyDescent="0.25">
      <c r="A745" s="3" t="s">
        <v>1510</v>
      </c>
      <c r="B745" s="4" t="s">
        <v>1511</v>
      </c>
      <c r="C745" s="14">
        <v>33873</v>
      </c>
      <c r="D745" s="6" t="s">
        <v>28</v>
      </c>
      <c r="E745" s="6" t="s">
        <v>17</v>
      </c>
      <c r="F745" s="7">
        <v>39188</v>
      </c>
      <c r="G745" s="8">
        <f t="shared" si="11"/>
        <v>39188</v>
      </c>
      <c r="H745" s="6" t="s">
        <v>13</v>
      </c>
      <c r="I745" s="9">
        <v>1645.0848559190899</v>
      </c>
      <c r="J745" s="62">
        <v>103.469124248003</v>
      </c>
      <c r="K745" s="17">
        <v>2</v>
      </c>
    </row>
    <row r="746" spans="1:11" x14ac:dyDescent="0.25">
      <c r="A746" s="3" t="s">
        <v>1512</v>
      </c>
      <c r="B746" s="4" t="s">
        <v>1513</v>
      </c>
      <c r="C746" s="5">
        <v>105750</v>
      </c>
      <c r="D746" s="6" t="s">
        <v>34</v>
      </c>
      <c r="E746" s="6" t="s">
        <v>17</v>
      </c>
      <c r="F746" s="7">
        <v>36526</v>
      </c>
      <c r="G746" s="8">
        <f t="shared" si="11"/>
        <v>36526</v>
      </c>
      <c r="H746" s="6" t="s">
        <v>13</v>
      </c>
      <c r="I746" s="9" t="s">
        <v>3380</v>
      </c>
      <c r="J746" s="62" t="s">
        <v>3380</v>
      </c>
      <c r="K746" s="17">
        <v>1</v>
      </c>
    </row>
    <row r="747" spans="1:11" x14ac:dyDescent="0.25">
      <c r="A747" s="3" t="s">
        <v>1514</v>
      </c>
      <c r="B747" s="4" t="s">
        <v>1515</v>
      </c>
      <c r="C747" s="5">
        <v>54581</v>
      </c>
      <c r="D747" s="6" t="s">
        <v>34</v>
      </c>
      <c r="E747" s="6" t="s">
        <v>17</v>
      </c>
      <c r="F747" s="7">
        <v>40311</v>
      </c>
      <c r="G747" s="8">
        <f t="shared" si="11"/>
        <v>40311</v>
      </c>
      <c r="H747" s="6" t="s">
        <v>13</v>
      </c>
      <c r="I747" s="9" t="s">
        <v>3380</v>
      </c>
      <c r="J747" s="62" t="s">
        <v>3380</v>
      </c>
      <c r="K747" s="17">
        <v>1</v>
      </c>
    </row>
    <row r="748" spans="1:11" x14ac:dyDescent="0.25">
      <c r="A748" s="3" t="s">
        <v>1516</v>
      </c>
      <c r="B748" s="4" t="s">
        <v>1517</v>
      </c>
      <c r="C748" s="5">
        <v>54582</v>
      </c>
      <c r="D748" s="6" t="s">
        <v>34</v>
      </c>
      <c r="E748" s="6" t="s">
        <v>17</v>
      </c>
      <c r="F748" s="7">
        <v>38718</v>
      </c>
      <c r="G748" s="8">
        <f t="shared" si="11"/>
        <v>38718</v>
      </c>
      <c r="H748" s="6" t="s">
        <v>13</v>
      </c>
      <c r="I748" s="9" t="s">
        <v>3380</v>
      </c>
      <c r="J748" s="62" t="s">
        <v>3380</v>
      </c>
      <c r="K748" s="17">
        <v>1</v>
      </c>
    </row>
    <row r="749" spans="1:11" x14ac:dyDescent="0.25">
      <c r="A749" s="3" t="s">
        <v>1518</v>
      </c>
      <c r="B749" s="4" t="s">
        <v>1519</v>
      </c>
      <c r="C749" s="5">
        <v>54583</v>
      </c>
      <c r="D749" s="6" t="s">
        <v>34</v>
      </c>
      <c r="E749" s="6" t="s">
        <v>17</v>
      </c>
      <c r="F749" s="7">
        <v>38718</v>
      </c>
      <c r="G749" s="8">
        <f t="shared" si="11"/>
        <v>38718</v>
      </c>
      <c r="H749" s="6" t="s">
        <v>13</v>
      </c>
      <c r="I749" s="9">
        <v>270.64437722149398</v>
      </c>
      <c r="J749" s="62">
        <v>15.4622944051363</v>
      </c>
      <c r="K749" s="17">
        <v>1</v>
      </c>
    </row>
    <row r="750" spans="1:11" x14ac:dyDescent="0.25">
      <c r="A750" s="3" t="s">
        <v>1520</v>
      </c>
      <c r="B750" s="4" t="s">
        <v>1521</v>
      </c>
      <c r="C750" s="5">
        <v>1157</v>
      </c>
      <c r="D750" s="6" t="s">
        <v>28</v>
      </c>
      <c r="E750" s="6" t="s">
        <v>17</v>
      </c>
      <c r="F750" s="7">
        <v>41699</v>
      </c>
      <c r="G750" s="8">
        <f t="shared" si="11"/>
        <v>41699</v>
      </c>
      <c r="H750" s="6" t="s">
        <v>13</v>
      </c>
      <c r="I750" s="9">
        <v>6635.2957923041904</v>
      </c>
      <c r="J750" s="62">
        <v>34.812537454712597</v>
      </c>
      <c r="K750" s="17">
        <v>1</v>
      </c>
    </row>
    <row r="751" spans="1:11" x14ac:dyDescent="0.25">
      <c r="A751" s="3" t="s">
        <v>1522</v>
      </c>
      <c r="B751" s="4" t="s">
        <v>1523</v>
      </c>
      <c r="C751" s="14">
        <v>52279</v>
      </c>
      <c r="D751" s="6" t="s">
        <v>37</v>
      </c>
      <c r="E751" s="6" t="s">
        <v>38</v>
      </c>
      <c r="F751" s="7">
        <v>37173</v>
      </c>
      <c r="G751" s="8">
        <f t="shared" si="11"/>
        <v>37173</v>
      </c>
      <c r="H751" s="6" t="s">
        <v>39</v>
      </c>
      <c r="I751" s="9">
        <v>18539.5361232506</v>
      </c>
      <c r="J751" s="62">
        <v>708.13329543630402</v>
      </c>
      <c r="K751" s="17">
        <v>2</v>
      </c>
    </row>
    <row r="752" spans="1:11" x14ac:dyDescent="0.25">
      <c r="A752" s="3" t="s">
        <v>1524</v>
      </c>
      <c r="B752" s="4" t="s">
        <v>1525</v>
      </c>
      <c r="C752" s="5">
        <v>1416</v>
      </c>
      <c r="D752" s="6" t="s">
        <v>28</v>
      </c>
      <c r="E752" s="6" t="s">
        <v>17</v>
      </c>
      <c r="F752" s="7">
        <v>19725</v>
      </c>
      <c r="G752" s="8">
        <f t="shared" si="11"/>
        <v>19725</v>
      </c>
      <c r="H752" s="6" t="s">
        <v>13</v>
      </c>
      <c r="I752" s="9">
        <v>3947.5860847239896</v>
      </c>
      <c r="J752" s="62">
        <v>9.4565282138992792</v>
      </c>
      <c r="K752" s="17">
        <v>2</v>
      </c>
    </row>
    <row r="753" spans="1:11" x14ac:dyDescent="0.25">
      <c r="A753" s="3" t="s">
        <v>1526</v>
      </c>
      <c r="B753" s="4" t="s">
        <v>1527</v>
      </c>
      <c r="C753" s="5">
        <v>1682</v>
      </c>
      <c r="D753" s="6" t="s">
        <v>28</v>
      </c>
      <c r="E753" s="6" t="s">
        <v>17</v>
      </c>
      <c r="F753" s="7">
        <v>29952</v>
      </c>
      <c r="G753" s="8">
        <f t="shared" si="11"/>
        <v>29952</v>
      </c>
      <c r="H753" s="6" t="s">
        <v>13</v>
      </c>
      <c r="I753" s="9">
        <v>35653.023830837905</v>
      </c>
      <c r="J753" s="62">
        <v>352.38616954697699</v>
      </c>
      <c r="K753" s="17">
        <v>2</v>
      </c>
    </row>
    <row r="754" spans="1:11" x14ac:dyDescent="0.25">
      <c r="A754" s="3" t="s">
        <v>1528</v>
      </c>
      <c r="B754" s="4" t="s">
        <v>1529</v>
      </c>
      <c r="C754" s="5">
        <v>1644</v>
      </c>
      <c r="D754" s="6" t="s">
        <v>28</v>
      </c>
      <c r="E754" s="6" t="s">
        <v>17</v>
      </c>
      <c r="F754" s="7">
        <v>35796</v>
      </c>
      <c r="G754" s="8">
        <f t="shared" si="11"/>
        <v>35796</v>
      </c>
      <c r="H754" s="6" t="s">
        <v>13</v>
      </c>
      <c r="I754" s="9">
        <v>665.8426801846</v>
      </c>
      <c r="J754" s="62">
        <v>62.593457096739201</v>
      </c>
      <c r="K754" s="17">
        <v>1</v>
      </c>
    </row>
    <row r="755" spans="1:11" x14ac:dyDescent="0.25">
      <c r="A755" s="3" t="s">
        <v>1530</v>
      </c>
      <c r="B755" s="4" t="s">
        <v>1531</v>
      </c>
      <c r="C755" s="5">
        <v>1643</v>
      </c>
      <c r="D755" s="6" t="s">
        <v>28</v>
      </c>
      <c r="E755" s="6" t="s">
        <v>17</v>
      </c>
      <c r="F755" s="7">
        <v>34335</v>
      </c>
      <c r="G755" s="8">
        <f t="shared" si="11"/>
        <v>34335</v>
      </c>
      <c r="H755" s="6" t="s">
        <v>13</v>
      </c>
      <c r="I755" s="9">
        <v>2742.14683638721</v>
      </c>
      <c r="J755" s="62">
        <v>450.63959358401598</v>
      </c>
      <c r="K755" s="17">
        <v>1</v>
      </c>
    </row>
    <row r="756" spans="1:11" x14ac:dyDescent="0.25">
      <c r="A756" s="3" t="s">
        <v>1532</v>
      </c>
      <c r="B756" s="4" t="s">
        <v>1533</v>
      </c>
      <c r="C756" s="5">
        <v>1541</v>
      </c>
      <c r="D756" s="6" t="s">
        <v>28</v>
      </c>
      <c r="E756" s="6" t="s">
        <v>17</v>
      </c>
      <c r="F756" s="7">
        <v>36374</v>
      </c>
      <c r="G756" s="8">
        <f t="shared" si="11"/>
        <v>36374</v>
      </c>
      <c r="H756" s="6" t="s">
        <v>13</v>
      </c>
      <c r="I756" s="9">
        <v>13385.094763840802</v>
      </c>
      <c r="J756" s="62">
        <v>125.44613369273</v>
      </c>
      <c r="K756" s="17">
        <v>1</v>
      </c>
    </row>
    <row r="757" spans="1:11" x14ac:dyDescent="0.25">
      <c r="A757" s="3" t="s">
        <v>1534</v>
      </c>
      <c r="B757" s="4" t="s">
        <v>1535</v>
      </c>
      <c r="C757" s="5">
        <v>72118</v>
      </c>
      <c r="D757" s="6" t="s">
        <v>28</v>
      </c>
      <c r="E757" s="6" t="s">
        <v>17</v>
      </c>
      <c r="F757" s="7">
        <v>39238</v>
      </c>
      <c r="G757" s="8">
        <f t="shared" si="11"/>
        <v>39238</v>
      </c>
      <c r="H757" s="6" t="s">
        <v>13</v>
      </c>
      <c r="I757" s="9">
        <v>16158.698711180899</v>
      </c>
      <c r="J757" s="62">
        <v>407.141624905838</v>
      </c>
      <c r="K757" s="17">
        <v>1</v>
      </c>
    </row>
    <row r="758" spans="1:11" x14ac:dyDescent="0.25">
      <c r="A758" s="3" t="s">
        <v>1536</v>
      </c>
      <c r="B758" s="4" t="s">
        <v>1537</v>
      </c>
      <c r="C758" s="5">
        <v>27922</v>
      </c>
      <c r="D758" s="6" t="s">
        <v>28</v>
      </c>
      <c r="E758" s="6" t="s">
        <v>17</v>
      </c>
      <c r="F758" s="7">
        <v>29074</v>
      </c>
      <c r="G758" s="8">
        <f t="shared" si="11"/>
        <v>29074</v>
      </c>
      <c r="H758" s="6" t="s">
        <v>13</v>
      </c>
      <c r="I758" s="9">
        <v>15983.885219641201</v>
      </c>
      <c r="J758" s="62">
        <v>78.440863059925505</v>
      </c>
      <c r="K758" s="17">
        <v>2</v>
      </c>
    </row>
    <row r="759" spans="1:11" x14ac:dyDescent="0.25">
      <c r="A759" s="3" t="s">
        <v>1538</v>
      </c>
      <c r="B759" s="4" t="s">
        <v>1539</v>
      </c>
      <c r="C759" s="14">
        <v>52897</v>
      </c>
      <c r="D759" s="6" t="s">
        <v>11</v>
      </c>
      <c r="E759" s="6" t="s">
        <v>17</v>
      </c>
      <c r="F759" s="7">
        <v>39125</v>
      </c>
      <c r="G759" s="8">
        <f t="shared" si="11"/>
        <v>39125</v>
      </c>
      <c r="H759" s="6" t="s">
        <v>13</v>
      </c>
      <c r="I759" s="9">
        <v>94830.0335376125</v>
      </c>
      <c r="J759" s="62">
        <v>659.69237641809502</v>
      </c>
      <c r="K759" s="17">
        <v>2</v>
      </c>
    </row>
    <row r="760" spans="1:11" x14ac:dyDescent="0.25">
      <c r="A760" s="3" t="s">
        <v>1540</v>
      </c>
      <c r="B760" s="4" t="s">
        <v>1541</v>
      </c>
      <c r="C760" s="5">
        <v>72117</v>
      </c>
      <c r="D760" s="6" t="s">
        <v>11</v>
      </c>
      <c r="E760" s="6" t="s">
        <v>17</v>
      </c>
      <c r="F760" s="7">
        <v>39175</v>
      </c>
      <c r="G760" s="8">
        <f t="shared" si="11"/>
        <v>39175</v>
      </c>
      <c r="H760" s="6" t="s">
        <v>13</v>
      </c>
      <c r="I760" s="9">
        <v>18017.6039793243</v>
      </c>
      <c r="J760" s="62">
        <v>99.505098174432106</v>
      </c>
      <c r="K760" s="17">
        <v>1</v>
      </c>
    </row>
    <row r="761" spans="1:11" x14ac:dyDescent="0.25">
      <c r="A761" s="3" t="s">
        <v>1542</v>
      </c>
      <c r="B761" s="4" t="s">
        <v>1543</v>
      </c>
      <c r="C761" s="5">
        <v>1967</v>
      </c>
      <c r="D761" s="6" t="s">
        <v>16</v>
      </c>
      <c r="E761" s="6" t="s">
        <v>17</v>
      </c>
      <c r="F761" s="7">
        <v>18264</v>
      </c>
      <c r="G761" s="8">
        <f t="shared" si="11"/>
        <v>18264</v>
      </c>
      <c r="H761" s="6" t="s">
        <v>13</v>
      </c>
      <c r="I761" s="9">
        <v>5027.6185050229806</v>
      </c>
      <c r="J761" s="62">
        <v>64.294568208074907</v>
      </c>
      <c r="K761" s="17">
        <v>1</v>
      </c>
    </row>
    <row r="762" spans="1:11" x14ac:dyDescent="0.25">
      <c r="A762" s="3" t="s">
        <v>1544</v>
      </c>
      <c r="B762" s="4" t="s">
        <v>1545</v>
      </c>
      <c r="C762" s="5">
        <v>1981</v>
      </c>
      <c r="D762" s="6" t="s">
        <v>34</v>
      </c>
      <c r="E762" s="6" t="s">
        <v>17</v>
      </c>
      <c r="F762" s="7">
        <v>18264</v>
      </c>
      <c r="G762" s="8">
        <f t="shared" si="11"/>
        <v>18264</v>
      </c>
      <c r="H762" s="6" t="s">
        <v>13</v>
      </c>
      <c r="I762" s="9">
        <v>1208.3504791299999</v>
      </c>
      <c r="J762" s="62">
        <v>56.7255224649479</v>
      </c>
      <c r="K762" s="17">
        <v>1</v>
      </c>
    </row>
    <row r="763" spans="1:11" x14ac:dyDescent="0.25">
      <c r="A763" s="3" t="s">
        <v>1546</v>
      </c>
      <c r="B763" s="4" t="s">
        <v>1547</v>
      </c>
      <c r="C763" s="14">
        <v>1602</v>
      </c>
      <c r="D763" s="6" t="s">
        <v>34</v>
      </c>
      <c r="E763" s="6" t="s">
        <v>17</v>
      </c>
      <c r="F763" s="7">
        <v>31048</v>
      </c>
      <c r="G763" s="8">
        <f t="shared" si="11"/>
        <v>31048</v>
      </c>
      <c r="H763" s="6" t="s">
        <v>13</v>
      </c>
      <c r="I763" s="9">
        <v>255813.08511236199</v>
      </c>
      <c r="J763" s="62">
        <v>661.89780314990503</v>
      </c>
      <c r="K763" s="17">
        <v>4</v>
      </c>
    </row>
    <row r="764" spans="1:11" x14ac:dyDescent="0.25">
      <c r="A764" s="3" t="s">
        <v>1548</v>
      </c>
      <c r="B764" s="4" t="s">
        <v>1549</v>
      </c>
      <c r="C764" s="5">
        <v>63777</v>
      </c>
      <c r="D764" s="6" t="s">
        <v>11</v>
      </c>
      <c r="E764" s="6" t="s">
        <v>12</v>
      </c>
      <c r="F764" s="7">
        <v>38871</v>
      </c>
      <c r="G764" s="8">
        <f t="shared" si="11"/>
        <v>38871</v>
      </c>
      <c r="H764" s="6" t="s">
        <v>39</v>
      </c>
      <c r="I764" s="9">
        <v>33790.352640639001</v>
      </c>
      <c r="J764" s="62">
        <v>213.059698406172</v>
      </c>
      <c r="K764" s="17">
        <v>1</v>
      </c>
    </row>
    <row r="765" spans="1:11" x14ac:dyDescent="0.25">
      <c r="A765" s="3" t="s">
        <v>1550</v>
      </c>
      <c r="B765" s="4" t="s">
        <v>1551</v>
      </c>
      <c r="C765" s="14">
        <v>1924</v>
      </c>
      <c r="D765" s="6" t="s">
        <v>31</v>
      </c>
      <c r="E765" s="6" t="s">
        <v>17</v>
      </c>
      <c r="F765" s="7">
        <v>35728</v>
      </c>
      <c r="G765" s="8">
        <f t="shared" si="11"/>
        <v>35728</v>
      </c>
      <c r="H765" s="6" t="s">
        <v>13</v>
      </c>
      <c r="I765" s="9">
        <v>18682.517568854699</v>
      </c>
      <c r="J765" s="62">
        <v>179.415407177883</v>
      </c>
      <c r="K765" s="17">
        <v>1</v>
      </c>
    </row>
    <row r="766" spans="1:11" x14ac:dyDescent="0.25">
      <c r="A766" s="3" t="s">
        <v>1552</v>
      </c>
      <c r="B766" s="4" t="s">
        <v>1553</v>
      </c>
      <c r="C766" s="5">
        <v>14729</v>
      </c>
      <c r="D766" s="6" t="s">
        <v>31</v>
      </c>
      <c r="E766" s="6" t="s">
        <v>17</v>
      </c>
      <c r="F766" s="7">
        <v>28823</v>
      </c>
      <c r="G766" s="8">
        <f t="shared" si="11"/>
        <v>28823</v>
      </c>
      <c r="H766" s="6" t="s">
        <v>13</v>
      </c>
      <c r="I766" s="9">
        <v>26125.233949075198</v>
      </c>
      <c r="J766" s="62">
        <v>388.54891120990999</v>
      </c>
      <c r="K766" s="17">
        <v>1</v>
      </c>
    </row>
    <row r="767" spans="1:11" x14ac:dyDescent="0.25">
      <c r="A767" s="3" t="s">
        <v>1554</v>
      </c>
      <c r="B767" s="4" t="s">
        <v>1555</v>
      </c>
      <c r="C767" s="5">
        <v>23361</v>
      </c>
      <c r="D767" s="6" t="s">
        <v>34</v>
      </c>
      <c r="E767" s="6" t="s">
        <v>17</v>
      </c>
      <c r="F767" s="7">
        <v>38670</v>
      </c>
      <c r="G767" s="8">
        <f t="shared" si="11"/>
        <v>38670</v>
      </c>
      <c r="H767" s="6" t="s">
        <v>13</v>
      </c>
      <c r="I767" s="9">
        <v>6603.7866103382203</v>
      </c>
      <c r="J767" s="62">
        <v>90.784109863760506</v>
      </c>
      <c r="K767" s="17">
        <v>1</v>
      </c>
    </row>
    <row r="768" spans="1:11" x14ac:dyDescent="0.25">
      <c r="A768" s="3" t="s">
        <v>1556</v>
      </c>
      <c r="B768" s="4" t="s">
        <v>1557</v>
      </c>
      <c r="C768" s="5">
        <v>16655</v>
      </c>
      <c r="D768" s="6" t="s">
        <v>31</v>
      </c>
      <c r="E768" s="6" t="s">
        <v>17</v>
      </c>
      <c r="F768" s="7">
        <v>30503</v>
      </c>
      <c r="G768" s="8">
        <f t="shared" si="11"/>
        <v>30503</v>
      </c>
      <c r="H768" s="6" t="s">
        <v>13</v>
      </c>
      <c r="I768" s="9">
        <v>8898.0832791583907</v>
      </c>
      <c r="J768" s="62">
        <v>101.542356937346</v>
      </c>
      <c r="K768" s="17">
        <v>1</v>
      </c>
    </row>
    <row r="769" spans="1:11" x14ac:dyDescent="0.25">
      <c r="A769" s="3" t="s">
        <v>1558</v>
      </c>
      <c r="B769" s="4" t="s">
        <v>1559</v>
      </c>
      <c r="C769" s="5">
        <v>52915</v>
      </c>
      <c r="D769" s="6" t="s">
        <v>28</v>
      </c>
      <c r="E769" s="6" t="s">
        <v>508</v>
      </c>
      <c r="F769" s="7">
        <v>39003</v>
      </c>
      <c r="G769" s="8">
        <f t="shared" si="11"/>
        <v>39003</v>
      </c>
      <c r="H769" s="6" t="s">
        <v>509</v>
      </c>
      <c r="I769" s="9">
        <v>71491.324865676012</v>
      </c>
      <c r="J769" s="62">
        <v>585.52200936057602</v>
      </c>
      <c r="K769" s="17">
        <v>2</v>
      </c>
    </row>
    <row r="770" spans="1:11" x14ac:dyDescent="0.25">
      <c r="A770" s="3" t="s">
        <v>1560</v>
      </c>
      <c r="B770" s="4" t="s">
        <v>1561</v>
      </c>
      <c r="C770" s="5">
        <v>30615</v>
      </c>
      <c r="D770" s="6" t="s">
        <v>28</v>
      </c>
      <c r="E770" s="6" t="s">
        <v>508</v>
      </c>
      <c r="F770" s="7">
        <v>38460</v>
      </c>
      <c r="G770" s="8">
        <f t="shared" ref="G770:G833" si="12">F770</f>
        <v>38460</v>
      </c>
      <c r="H770" s="6" t="s">
        <v>509</v>
      </c>
      <c r="I770" s="9">
        <v>35562.890304505498</v>
      </c>
      <c r="J770" s="62">
        <v>459.46445127648099</v>
      </c>
      <c r="K770" s="17">
        <v>1</v>
      </c>
    </row>
    <row r="771" spans="1:11" x14ac:dyDescent="0.25">
      <c r="A771" s="3" t="s">
        <v>1562</v>
      </c>
      <c r="B771" s="4" t="s">
        <v>1563</v>
      </c>
      <c r="C771" s="14">
        <v>30616</v>
      </c>
      <c r="D771" s="6" t="s">
        <v>28</v>
      </c>
      <c r="E771" s="6" t="s">
        <v>508</v>
      </c>
      <c r="F771" s="7">
        <v>40443</v>
      </c>
      <c r="G771" s="8">
        <f t="shared" si="12"/>
        <v>40443</v>
      </c>
      <c r="H771" s="6" t="s">
        <v>509</v>
      </c>
      <c r="I771" s="9">
        <v>10453.0520077029</v>
      </c>
      <c r="J771" s="62">
        <v>335.93970555966399</v>
      </c>
      <c r="K771" s="17">
        <v>1</v>
      </c>
    </row>
    <row r="772" spans="1:11" x14ac:dyDescent="0.25">
      <c r="A772" s="18" t="s">
        <v>1564</v>
      </c>
      <c r="B772" s="19" t="s">
        <v>1565</v>
      </c>
      <c r="C772" s="20">
        <v>54584</v>
      </c>
      <c r="D772" s="21" t="s">
        <v>11</v>
      </c>
      <c r="E772" s="21" t="s">
        <v>12</v>
      </c>
      <c r="F772" s="22">
        <v>39518</v>
      </c>
      <c r="G772" s="23">
        <f t="shared" si="12"/>
        <v>39518</v>
      </c>
      <c r="H772" s="21" t="s">
        <v>39</v>
      </c>
      <c r="I772" s="9">
        <v>31027.458762251099</v>
      </c>
      <c r="J772" s="62">
        <v>278.33249983879898</v>
      </c>
      <c r="K772" s="25">
        <v>1</v>
      </c>
    </row>
    <row r="773" spans="1:11" x14ac:dyDescent="0.25">
      <c r="A773" s="3" t="s">
        <v>1566</v>
      </c>
      <c r="B773" s="4" t="s">
        <v>1567</v>
      </c>
      <c r="C773" s="5">
        <v>55137</v>
      </c>
      <c r="D773" s="6" t="s">
        <v>11</v>
      </c>
      <c r="E773" s="6" t="s">
        <v>12</v>
      </c>
      <c r="F773" s="7">
        <v>39085</v>
      </c>
      <c r="G773" s="8">
        <f t="shared" si="12"/>
        <v>39085</v>
      </c>
      <c r="H773" s="6" t="s">
        <v>39</v>
      </c>
      <c r="I773" s="9">
        <v>20106.3333981877</v>
      </c>
      <c r="J773" s="62">
        <v>85.893217421761094</v>
      </c>
      <c r="K773" s="17">
        <v>1</v>
      </c>
    </row>
    <row r="774" spans="1:11" x14ac:dyDescent="0.25">
      <c r="A774" s="3" t="s">
        <v>1568</v>
      </c>
      <c r="B774" s="4" t="s">
        <v>1569</v>
      </c>
      <c r="C774" s="5">
        <v>54609</v>
      </c>
      <c r="D774" s="6" t="s">
        <v>28</v>
      </c>
      <c r="E774" s="6" t="s">
        <v>17</v>
      </c>
      <c r="F774" s="7">
        <v>38959</v>
      </c>
      <c r="G774" s="8">
        <f t="shared" si="12"/>
        <v>38959</v>
      </c>
      <c r="H774" s="6" t="s">
        <v>13</v>
      </c>
      <c r="I774" s="9">
        <v>19247.091339492901</v>
      </c>
      <c r="J774" s="62">
        <v>489.27361008205202</v>
      </c>
      <c r="K774" s="17">
        <v>1</v>
      </c>
    </row>
    <row r="775" spans="1:11" x14ac:dyDescent="0.25">
      <c r="A775" s="3" t="s">
        <v>1570</v>
      </c>
      <c r="B775" s="4" t="s">
        <v>1571</v>
      </c>
      <c r="C775" s="5">
        <v>1536</v>
      </c>
      <c r="D775" s="6" t="s">
        <v>34</v>
      </c>
      <c r="E775" s="6" t="s">
        <v>17</v>
      </c>
      <c r="F775" s="7">
        <v>33970</v>
      </c>
      <c r="G775" s="8">
        <f t="shared" si="12"/>
        <v>33970</v>
      </c>
      <c r="H775" s="6" t="s">
        <v>13</v>
      </c>
      <c r="I775" s="9">
        <v>1437.6338637966101</v>
      </c>
      <c r="J775" s="62">
        <v>261.93875418521998</v>
      </c>
      <c r="K775" s="17">
        <v>1</v>
      </c>
    </row>
    <row r="776" spans="1:11" x14ac:dyDescent="0.25">
      <c r="A776" s="3" t="s">
        <v>1572</v>
      </c>
      <c r="B776" s="4" t="s">
        <v>1573</v>
      </c>
      <c r="C776" s="5">
        <v>1837</v>
      </c>
      <c r="D776" s="6" t="s">
        <v>16</v>
      </c>
      <c r="E776" s="6" t="s">
        <v>17</v>
      </c>
      <c r="F776" s="7">
        <v>27760</v>
      </c>
      <c r="G776" s="8">
        <f t="shared" si="12"/>
        <v>27760</v>
      </c>
      <c r="H776" s="6" t="s">
        <v>13</v>
      </c>
      <c r="I776" s="9">
        <v>16606.345591972</v>
      </c>
      <c r="J776" s="62">
        <v>353.77166989444498</v>
      </c>
      <c r="K776" s="17">
        <v>2</v>
      </c>
    </row>
    <row r="777" spans="1:11" x14ac:dyDescent="0.25">
      <c r="A777" s="3" t="s">
        <v>1574</v>
      </c>
      <c r="B777" s="4" t="s">
        <v>1575</v>
      </c>
      <c r="C777" s="5">
        <v>18884</v>
      </c>
      <c r="D777" s="6" t="s">
        <v>16</v>
      </c>
      <c r="E777" s="6" t="s">
        <v>17</v>
      </c>
      <c r="F777" s="7">
        <v>29073</v>
      </c>
      <c r="G777" s="8">
        <f t="shared" si="12"/>
        <v>29073</v>
      </c>
      <c r="H777" s="6" t="s">
        <v>13</v>
      </c>
      <c r="I777" s="9">
        <v>24292.459824177</v>
      </c>
      <c r="J777" s="62">
        <v>355.52163865295603</v>
      </c>
      <c r="K777" s="17">
        <v>1</v>
      </c>
    </row>
    <row r="778" spans="1:11" x14ac:dyDescent="0.25">
      <c r="A778" s="3" t="s">
        <v>1576</v>
      </c>
      <c r="B778" s="4" t="s">
        <v>1577</v>
      </c>
      <c r="C778" s="5">
        <v>54610</v>
      </c>
      <c r="D778" s="6" t="s">
        <v>16</v>
      </c>
      <c r="E778" s="6" t="s">
        <v>17</v>
      </c>
      <c r="F778" s="7">
        <v>36199</v>
      </c>
      <c r="G778" s="8">
        <f t="shared" si="12"/>
        <v>36199</v>
      </c>
      <c r="H778" s="6" t="s">
        <v>13</v>
      </c>
      <c r="I778" s="9">
        <v>15308.347460121</v>
      </c>
      <c r="J778" s="62">
        <v>138.84942022940001</v>
      </c>
      <c r="K778" s="17">
        <v>1</v>
      </c>
    </row>
    <row r="779" spans="1:11" x14ac:dyDescent="0.25">
      <c r="A779" s="3" t="s">
        <v>1578</v>
      </c>
      <c r="B779" s="4" t="s">
        <v>1579</v>
      </c>
      <c r="C779" s="5">
        <v>1622</v>
      </c>
      <c r="D779" s="6" t="s">
        <v>16</v>
      </c>
      <c r="E779" s="6" t="s">
        <v>17</v>
      </c>
      <c r="F779" s="7">
        <v>36199</v>
      </c>
      <c r="G779" s="8">
        <f t="shared" si="12"/>
        <v>36199</v>
      </c>
      <c r="H779" s="6" t="s">
        <v>13</v>
      </c>
      <c r="I779" s="9">
        <v>53411.538577447303</v>
      </c>
      <c r="J779" s="62">
        <v>370.44492250839698</v>
      </c>
      <c r="K779" s="17">
        <v>1</v>
      </c>
    </row>
    <row r="780" spans="1:11" x14ac:dyDescent="0.25">
      <c r="A780" s="3" t="s">
        <v>1580</v>
      </c>
      <c r="B780" s="4" t="s">
        <v>1581</v>
      </c>
      <c r="C780" s="14">
        <v>2023</v>
      </c>
      <c r="D780" s="6" t="s">
        <v>16</v>
      </c>
      <c r="E780" s="6" t="s">
        <v>17</v>
      </c>
      <c r="F780" s="7">
        <v>29221</v>
      </c>
      <c r="G780" s="8">
        <f t="shared" si="12"/>
        <v>29221</v>
      </c>
      <c r="H780" s="6" t="s">
        <v>13</v>
      </c>
      <c r="I780" s="9">
        <v>97401.820010234209</v>
      </c>
      <c r="J780" s="62">
        <v>756.88789720157001</v>
      </c>
      <c r="K780" s="17">
        <v>1</v>
      </c>
    </row>
    <row r="781" spans="1:11" x14ac:dyDescent="0.25">
      <c r="A781" s="3" t="s">
        <v>1582</v>
      </c>
      <c r="B781" s="4" t="s">
        <v>1583</v>
      </c>
      <c r="C781" s="5">
        <v>10889</v>
      </c>
      <c r="D781" s="6" t="s">
        <v>28</v>
      </c>
      <c r="E781" s="6" t="s">
        <v>17</v>
      </c>
      <c r="F781" s="7">
        <v>37889</v>
      </c>
      <c r="G781" s="8">
        <f t="shared" si="12"/>
        <v>37889</v>
      </c>
      <c r="H781" s="6" t="s">
        <v>13</v>
      </c>
      <c r="I781" s="9">
        <v>10852.4104611946</v>
      </c>
      <c r="J781" s="62">
        <v>549.19787374268901</v>
      </c>
      <c r="K781" s="17">
        <v>2</v>
      </c>
    </row>
    <row r="782" spans="1:11" x14ac:dyDescent="0.25">
      <c r="A782" s="3" t="s">
        <v>1584</v>
      </c>
      <c r="B782" s="4" t="s">
        <v>1585</v>
      </c>
      <c r="C782" s="5">
        <v>67617</v>
      </c>
      <c r="D782" s="6" t="s">
        <v>28</v>
      </c>
      <c r="E782" s="6" t="s">
        <v>17</v>
      </c>
      <c r="F782" s="7">
        <v>39685</v>
      </c>
      <c r="G782" s="8">
        <f t="shared" si="12"/>
        <v>39685</v>
      </c>
      <c r="H782" s="6" t="s">
        <v>13</v>
      </c>
      <c r="I782" s="9">
        <v>89275.381643536311</v>
      </c>
      <c r="J782" s="62">
        <v>2174.6919592304198</v>
      </c>
      <c r="K782" s="17">
        <v>1</v>
      </c>
    </row>
    <row r="783" spans="1:11" x14ac:dyDescent="0.25">
      <c r="A783" s="3" t="s">
        <v>1586</v>
      </c>
      <c r="B783" s="4" t="s">
        <v>1587</v>
      </c>
      <c r="C783" s="5">
        <v>9923</v>
      </c>
      <c r="D783" s="6" t="s">
        <v>16</v>
      </c>
      <c r="E783" s="6" t="s">
        <v>17</v>
      </c>
      <c r="F783" s="7">
        <v>37209</v>
      </c>
      <c r="G783" s="8">
        <f t="shared" si="12"/>
        <v>37209</v>
      </c>
      <c r="H783" s="6" t="s">
        <v>13</v>
      </c>
      <c r="I783" s="9">
        <v>3253.3187258340399</v>
      </c>
      <c r="J783" s="62">
        <v>332.57233207138103</v>
      </c>
      <c r="K783" s="17">
        <v>1</v>
      </c>
    </row>
    <row r="784" spans="1:11" x14ac:dyDescent="0.25">
      <c r="A784" s="3" t="s">
        <v>1588</v>
      </c>
      <c r="B784" s="4" t="s">
        <v>1589</v>
      </c>
      <c r="C784" s="5">
        <v>1311</v>
      </c>
      <c r="D784" s="6" t="s">
        <v>16</v>
      </c>
      <c r="E784" s="6" t="s">
        <v>17</v>
      </c>
      <c r="F784" s="7">
        <v>27395</v>
      </c>
      <c r="G784" s="8">
        <f t="shared" si="12"/>
        <v>27395</v>
      </c>
      <c r="H784" s="6" t="s">
        <v>13</v>
      </c>
      <c r="I784" s="9">
        <v>12266.013099399799</v>
      </c>
      <c r="J784" s="62">
        <v>87.9741985335599</v>
      </c>
      <c r="K784" s="17">
        <v>2</v>
      </c>
    </row>
    <row r="785" spans="1:11" x14ac:dyDescent="0.25">
      <c r="A785" s="3" t="s">
        <v>1590</v>
      </c>
      <c r="B785" s="4" t="s">
        <v>1591</v>
      </c>
      <c r="C785" s="5">
        <v>207527</v>
      </c>
      <c r="D785" s="6" t="s">
        <v>16</v>
      </c>
      <c r="E785" s="6" t="s">
        <v>17</v>
      </c>
      <c r="F785" s="7">
        <v>32143</v>
      </c>
      <c r="G785" s="8">
        <f t="shared" si="12"/>
        <v>32143</v>
      </c>
      <c r="H785" s="6" t="s">
        <v>13</v>
      </c>
      <c r="I785" s="9">
        <v>7956.9760707806799</v>
      </c>
      <c r="J785" s="62">
        <v>54.891818318540601</v>
      </c>
      <c r="K785" s="17">
        <v>1</v>
      </c>
    </row>
    <row r="786" spans="1:11" x14ac:dyDescent="0.25">
      <c r="A786" s="3" t="s">
        <v>1592</v>
      </c>
      <c r="B786" s="4" t="s">
        <v>1593</v>
      </c>
      <c r="C786" s="5">
        <v>1127</v>
      </c>
      <c r="D786" s="6" t="s">
        <v>16</v>
      </c>
      <c r="E786" s="6" t="s">
        <v>17</v>
      </c>
      <c r="F786" s="7">
        <v>25569</v>
      </c>
      <c r="G786" s="8">
        <f t="shared" si="12"/>
        <v>25569</v>
      </c>
      <c r="H786" s="6" t="s">
        <v>13</v>
      </c>
      <c r="I786" s="9">
        <v>21479.706624537201</v>
      </c>
      <c r="J786" s="62">
        <v>320.26188988959399</v>
      </c>
      <c r="K786" s="17">
        <v>1</v>
      </c>
    </row>
    <row r="787" spans="1:11" x14ac:dyDescent="0.25">
      <c r="A787" s="3" t="s">
        <v>1594</v>
      </c>
      <c r="B787" s="4" t="s">
        <v>1595</v>
      </c>
      <c r="C787" s="14">
        <v>1123</v>
      </c>
      <c r="D787" s="6" t="s">
        <v>16</v>
      </c>
      <c r="E787" s="6" t="s">
        <v>17</v>
      </c>
      <c r="F787" s="7">
        <v>31048</v>
      </c>
      <c r="G787" s="8">
        <f t="shared" si="12"/>
        <v>31048</v>
      </c>
      <c r="H787" s="6" t="s">
        <v>13</v>
      </c>
      <c r="I787" s="9" t="s">
        <v>3380</v>
      </c>
      <c r="J787" s="62" t="s">
        <v>3380</v>
      </c>
      <c r="K787" s="17">
        <v>3</v>
      </c>
    </row>
    <row r="788" spans="1:11" x14ac:dyDescent="0.25">
      <c r="A788" s="3" t="s">
        <v>1596</v>
      </c>
      <c r="B788" s="4" t="s">
        <v>1597</v>
      </c>
      <c r="C788" s="5">
        <v>9282</v>
      </c>
      <c r="D788" s="6" t="s">
        <v>28</v>
      </c>
      <c r="E788" s="6" t="s">
        <v>17</v>
      </c>
      <c r="F788" s="7">
        <v>37455</v>
      </c>
      <c r="G788" s="8">
        <f t="shared" si="12"/>
        <v>37455</v>
      </c>
      <c r="H788" s="6" t="s">
        <v>13</v>
      </c>
      <c r="I788" s="9">
        <v>4528.2139954788399</v>
      </c>
      <c r="J788" s="62">
        <v>140.934926992529</v>
      </c>
      <c r="K788" s="17">
        <v>1</v>
      </c>
    </row>
    <row r="789" spans="1:11" x14ac:dyDescent="0.25">
      <c r="A789" s="3" t="s">
        <v>1598</v>
      </c>
      <c r="B789" s="4" t="s">
        <v>1599</v>
      </c>
      <c r="C789" s="5">
        <v>9283</v>
      </c>
      <c r="D789" s="6" t="s">
        <v>28</v>
      </c>
      <c r="E789" s="6" t="s">
        <v>17</v>
      </c>
      <c r="F789" s="7">
        <v>37180</v>
      </c>
      <c r="G789" s="8">
        <f t="shared" si="12"/>
        <v>37180</v>
      </c>
      <c r="H789" s="6" t="s">
        <v>13</v>
      </c>
      <c r="I789" s="9">
        <v>14371.603619301</v>
      </c>
      <c r="J789" s="62">
        <v>82.583303531647203</v>
      </c>
      <c r="K789" s="17">
        <v>1</v>
      </c>
    </row>
    <row r="790" spans="1:11" x14ac:dyDescent="0.25">
      <c r="A790" s="3" t="s">
        <v>1600</v>
      </c>
      <c r="B790" s="4" t="s">
        <v>1601</v>
      </c>
      <c r="C790" s="5">
        <v>1685</v>
      </c>
      <c r="D790" s="6" t="s">
        <v>28</v>
      </c>
      <c r="E790" s="6" t="s">
        <v>17</v>
      </c>
      <c r="F790" s="7">
        <v>29221</v>
      </c>
      <c r="G790" s="8">
        <f t="shared" si="12"/>
        <v>29221</v>
      </c>
      <c r="H790" s="6" t="s">
        <v>13</v>
      </c>
      <c r="I790" s="9">
        <v>594.64791652431904</v>
      </c>
      <c r="J790" s="62">
        <v>35.2933953346744</v>
      </c>
      <c r="K790" s="17">
        <v>1</v>
      </c>
    </row>
    <row r="791" spans="1:11" x14ac:dyDescent="0.25">
      <c r="A791" s="3" t="s">
        <v>1602</v>
      </c>
      <c r="B791" s="4" t="s">
        <v>1603</v>
      </c>
      <c r="C791" s="5">
        <v>1254</v>
      </c>
      <c r="D791" s="6" t="s">
        <v>28</v>
      </c>
      <c r="E791" s="6" t="s">
        <v>17</v>
      </c>
      <c r="F791" s="7">
        <v>29952</v>
      </c>
      <c r="G791" s="8">
        <f t="shared" si="12"/>
        <v>29952</v>
      </c>
      <c r="H791" s="6" t="s">
        <v>13</v>
      </c>
      <c r="I791" s="9">
        <v>13519.9197165273</v>
      </c>
      <c r="J791" s="62">
        <v>117.599730768051</v>
      </c>
      <c r="K791" s="17">
        <v>1</v>
      </c>
    </row>
    <row r="792" spans="1:11" x14ac:dyDescent="0.25">
      <c r="A792" s="3" t="s">
        <v>1604</v>
      </c>
      <c r="B792" s="4" t="s">
        <v>1605</v>
      </c>
      <c r="C792" s="14">
        <v>30180</v>
      </c>
      <c r="D792" s="6" t="s">
        <v>28</v>
      </c>
      <c r="E792" s="6" t="s">
        <v>17</v>
      </c>
      <c r="F792" s="7">
        <v>35760</v>
      </c>
      <c r="G792" s="8">
        <f t="shared" si="12"/>
        <v>35760</v>
      </c>
      <c r="H792" s="6" t="s">
        <v>13</v>
      </c>
      <c r="I792" s="9">
        <v>87804.426704721292</v>
      </c>
      <c r="J792" s="62">
        <v>280.06889974145901</v>
      </c>
      <c r="K792" s="17">
        <v>1</v>
      </c>
    </row>
    <row r="793" spans="1:11" x14ac:dyDescent="0.25">
      <c r="A793" s="3" t="s">
        <v>1606</v>
      </c>
      <c r="B793" s="4" t="s">
        <v>1607</v>
      </c>
      <c r="C793" s="5">
        <v>1651</v>
      </c>
      <c r="D793" s="6" t="s">
        <v>28</v>
      </c>
      <c r="E793" s="6" t="s">
        <v>17</v>
      </c>
      <c r="F793" s="7">
        <v>29221</v>
      </c>
      <c r="G793" s="8">
        <f t="shared" si="12"/>
        <v>29221</v>
      </c>
      <c r="H793" s="6" t="s">
        <v>13</v>
      </c>
      <c r="I793" s="9" t="s">
        <v>3380</v>
      </c>
      <c r="J793" s="62" t="s">
        <v>3380</v>
      </c>
      <c r="K793" s="17">
        <v>1</v>
      </c>
    </row>
    <row r="794" spans="1:11" x14ac:dyDescent="0.25">
      <c r="A794" s="3" t="s">
        <v>1608</v>
      </c>
      <c r="B794" s="4" t="s">
        <v>1609</v>
      </c>
      <c r="C794" s="14">
        <v>2011</v>
      </c>
      <c r="D794" s="6" t="s">
        <v>16</v>
      </c>
      <c r="E794" s="6" t="s">
        <v>17</v>
      </c>
      <c r="F794" s="7">
        <v>29221</v>
      </c>
      <c r="G794" s="8">
        <f t="shared" si="12"/>
        <v>29221</v>
      </c>
      <c r="H794" s="6" t="s">
        <v>13</v>
      </c>
      <c r="I794" s="9">
        <v>81916.481648970308</v>
      </c>
      <c r="J794" s="62">
        <v>527.72297515702905</v>
      </c>
      <c r="K794" s="17">
        <v>2</v>
      </c>
    </row>
    <row r="795" spans="1:11" x14ac:dyDescent="0.25">
      <c r="A795" s="3" t="s">
        <v>1610</v>
      </c>
      <c r="B795" s="4" t="s">
        <v>1611</v>
      </c>
      <c r="C795" s="14">
        <v>31937</v>
      </c>
      <c r="D795" s="6" t="s">
        <v>37</v>
      </c>
      <c r="E795" s="6" t="s">
        <v>38</v>
      </c>
      <c r="F795" s="7">
        <v>32176</v>
      </c>
      <c r="G795" s="8">
        <f t="shared" si="12"/>
        <v>32176</v>
      </c>
      <c r="H795" s="6" t="s">
        <v>39</v>
      </c>
      <c r="I795" s="9">
        <v>6552.4020741343002</v>
      </c>
      <c r="J795" s="62">
        <v>152.09218303364</v>
      </c>
      <c r="K795" s="17">
        <v>1</v>
      </c>
    </row>
    <row r="796" spans="1:11" x14ac:dyDescent="0.25">
      <c r="A796" s="18" t="s">
        <v>1612</v>
      </c>
      <c r="B796" s="19" t="s">
        <v>1613</v>
      </c>
      <c r="C796" s="5">
        <v>1960</v>
      </c>
      <c r="D796" s="21" t="s">
        <v>28</v>
      </c>
      <c r="E796" s="21" t="s">
        <v>17</v>
      </c>
      <c r="F796" s="22">
        <v>25569</v>
      </c>
      <c r="G796" s="23">
        <f t="shared" si="12"/>
        <v>25569</v>
      </c>
      <c r="H796" s="21" t="s">
        <v>13</v>
      </c>
      <c r="I796" s="9">
        <v>53837.296764697399</v>
      </c>
      <c r="J796" s="62">
        <v>353.21735443593701</v>
      </c>
      <c r="K796" s="25">
        <v>1</v>
      </c>
    </row>
    <row r="797" spans="1:11" x14ac:dyDescent="0.25">
      <c r="A797" s="3" t="s">
        <v>1614</v>
      </c>
      <c r="B797" s="4" t="s">
        <v>1615</v>
      </c>
      <c r="C797" s="5">
        <v>54508</v>
      </c>
      <c r="D797" s="6" t="s">
        <v>31</v>
      </c>
      <c r="E797" s="6" t="s">
        <v>17</v>
      </c>
      <c r="F797" s="7">
        <v>38538</v>
      </c>
      <c r="G797" s="8">
        <f t="shared" si="12"/>
        <v>38538</v>
      </c>
      <c r="H797" s="6" t="s">
        <v>13</v>
      </c>
      <c r="I797" s="9">
        <v>30785.088602858501</v>
      </c>
      <c r="J797" s="62">
        <v>441.331009698787</v>
      </c>
      <c r="K797" s="17">
        <v>1</v>
      </c>
    </row>
    <row r="798" spans="1:11" ht="30" x14ac:dyDescent="0.25">
      <c r="A798" s="3" t="s">
        <v>1616</v>
      </c>
      <c r="B798" s="4" t="s">
        <v>1617</v>
      </c>
      <c r="C798" s="14">
        <v>38193</v>
      </c>
      <c r="D798" s="6" t="s">
        <v>11</v>
      </c>
      <c r="E798" s="6" t="s">
        <v>12</v>
      </c>
      <c r="F798" s="7">
        <v>39297</v>
      </c>
      <c r="G798" s="8">
        <f t="shared" si="12"/>
        <v>39297</v>
      </c>
      <c r="H798" s="6" t="s">
        <v>776</v>
      </c>
      <c r="I798" s="9">
        <v>32890.886383752797</v>
      </c>
      <c r="J798" s="62">
        <v>174.790373136716</v>
      </c>
      <c r="K798" s="17">
        <v>2</v>
      </c>
    </row>
    <row r="799" spans="1:11" x14ac:dyDescent="0.25">
      <c r="A799" s="3" t="s">
        <v>1618</v>
      </c>
      <c r="B799" s="4" t="s">
        <v>1619</v>
      </c>
      <c r="C799" s="5">
        <v>2002</v>
      </c>
      <c r="D799" s="6" t="s">
        <v>31</v>
      </c>
      <c r="E799" s="6" t="s">
        <v>17</v>
      </c>
      <c r="F799" s="7">
        <v>31048</v>
      </c>
      <c r="G799" s="8">
        <f t="shared" si="12"/>
        <v>31048</v>
      </c>
      <c r="H799" s="6" t="s">
        <v>13</v>
      </c>
      <c r="I799" s="9">
        <v>7842.4955117414302</v>
      </c>
      <c r="J799" s="62">
        <v>107.913607322958</v>
      </c>
      <c r="K799" s="17">
        <v>1</v>
      </c>
    </row>
    <row r="800" spans="1:11" x14ac:dyDescent="0.25">
      <c r="A800" s="3" t="s">
        <v>1620</v>
      </c>
      <c r="B800" s="4" t="s">
        <v>1621</v>
      </c>
      <c r="C800" s="5">
        <v>1267</v>
      </c>
      <c r="D800" s="6" t="s">
        <v>16</v>
      </c>
      <c r="E800" s="6" t="s">
        <v>17</v>
      </c>
      <c r="F800" s="7">
        <v>29221</v>
      </c>
      <c r="G800" s="8">
        <f t="shared" si="12"/>
        <v>29221</v>
      </c>
      <c r="H800" s="6" t="s">
        <v>13</v>
      </c>
      <c r="I800" s="9">
        <v>59912.940309901896</v>
      </c>
      <c r="J800" s="62">
        <v>366.75466572498499</v>
      </c>
      <c r="K800" s="17">
        <v>1</v>
      </c>
    </row>
    <row r="801" spans="1:11" x14ac:dyDescent="0.25">
      <c r="A801" s="18" t="s">
        <v>1622</v>
      </c>
      <c r="B801" s="19" t="s">
        <v>1623</v>
      </c>
      <c r="C801" s="20">
        <v>1432</v>
      </c>
      <c r="D801" s="21" t="s">
        <v>16</v>
      </c>
      <c r="E801" s="21" t="s">
        <v>17</v>
      </c>
      <c r="F801" s="22">
        <v>31048</v>
      </c>
      <c r="G801" s="23">
        <f t="shared" si="12"/>
        <v>31048</v>
      </c>
      <c r="H801" s="21" t="s">
        <v>13</v>
      </c>
      <c r="I801" s="9">
        <v>66748.146812020714</v>
      </c>
      <c r="J801" s="62">
        <v>454.28360419792699</v>
      </c>
      <c r="K801" s="25">
        <v>2</v>
      </c>
    </row>
    <row r="802" spans="1:11" x14ac:dyDescent="0.25">
      <c r="A802" s="3" t="s">
        <v>1624</v>
      </c>
      <c r="B802" s="4" t="s">
        <v>1625</v>
      </c>
      <c r="C802" s="14">
        <v>1828</v>
      </c>
      <c r="D802" s="6" t="s">
        <v>31</v>
      </c>
      <c r="E802" s="6" t="s">
        <v>17</v>
      </c>
      <c r="F802" s="7">
        <v>29221</v>
      </c>
      <c r="G802" s="8">
        <f t="shared" si="12"/>
        <v>29221</v>
      </c>
      <c r="H802" s="6" t="s">
        <v>13</v>
      </c>
      <c r="I802" s="9">
        <v>39436.0299847965</v>
      </c>
      <c r="J802" s="62">
        <v>155.678000347253</v>
      </c>
      <c r="K802" s="17">
        <v>2</v>
      </c>
    </row>
    <row r="803" spans="1:11" x14ac:dyDescent="0.25">
      <c r="A803" s="3" t="s">
        <v>1626</v>
      </c>
      <c r="B803" s="4" t="s">
        <v>1627</v>
      </c>
      <c r="C803" s="5">
        <v>15047</v>
      </c>
      <c r="D803" s="6" t="s">
        <v>31</v>
      </c>
      <c r="E803" s="6" t="s">
        <v>17</v>
      </c>
      <c r="F803" s="7">
        <v>28557</v>
      </c>
      <c r="G803" s="8">
        <f t="shared" si="12"/>
        <v>28557</v>
      </c>
      <c r="H803" s="6" t="s">
        <v>13</v>
      </c>
      <c r="I803" s="9">
        <v>43786.201947012305</v>
      </c>
      <c r="J803" s="62">
        <v>149.66740953399599</v>
      </c>
      <c r="K803" s="17">
        <v>1</v>
      </c>
    </row>
    <row r="804" spans="1:11" x14ac:dyDescent="0.25">
      <c r="A804" s="3" t="s">
        <v>1628</v>
      </c>
      <c r="B804" s="4" t="s">
        <v>1629</v>
      </c>
      <c r="C804" s="5">
        <v>12485</v>
      </c>
      <c r="D804" s="6" t="s">
        <v>28</v>
      </c>
      <c r="E804" s="6" t="s">
        <v>17</v>
      </c>
      <c r="F804" s="7">
        <v>37915</v>
      </c>
      <c r="G804" s="8">
        <f t="shared" si="12"/>
        <v>37915</v>
      </c>
      <c r="H804" s="6" t="s">
        <v>13</v>
      </c>
      <c r="I804" s="9">
        <v>138118.59810473298</v>
      </c>
      <c r="J804" s="62">
        <v>480.749911353107</v>
      </c>
      <c r="K804" s="17">
        <v>2</v>
      </c>
    </row>
    <row r="805" spans="1:11" x14ac:dyDescent="0.25">
      <c r="A805" s="3" t="s">
        <v>1630</v>
      </c>
      <c r="B805" s="4" t="s">
        <v>1631</v>
      </c>
      <c r="C805" s="5">
        <v>14082</v>
      </c>
      <c r="D805" s="6" t="s">
        <v>37</v>
      </c>
      <c r="E805" s="6" t="s">
        <v>38</v>
      </c>
      <c r="F805" s="7">
        <v>36987</v>
      </c>
      <c r="G805" s="8">
        <f t="shared" si="12"/>
        <v>36987</v>
      </c>
      <c r="H805" s="6" t="s">
        <v>39</v>
      </c>
      <c r="I805" s="9">
        <v>36732.469793236902</v>
      </c>
      <c r="J805" s="62">
        <v>325.92443392180598</v>
      </c>
      <c r="K805" s="17">
        <v>1</v>
      </c>
    </row>
    <row r="806" spans="1:11" x14ac:dyDescent="0.25">
      <c r="A806" s="3" t="s">
        <v>1632</v>
      </c>
      <c r="B806" s="4" t="s">
        <v>1633</v>
      </c>
      <c r="C806" s="5">
        <v>21446</v>
      </c>
      <c r="D806" s="6" t="s">
        <v>28</v>
      </c>
      <c r="E806" s="6" t="s">
        <v>17</v>
      </c>
      <c r="F806" s="7">
        <v>38506</v>
      </c>
      <c r="G806" s="8">
        <f t="shared" si="12"/>
        <v>38506</v>
      </c>
      <c r="H806" s="6" t="s">
        <v>13</v>
      </c>
      <c r="I806" s="9">
        <v>19103.503334541401</v>
      </c>
      <c r="J806" s="62">
        <v>198.85171670005499</v>
      </c>
      <c r="K806" s="17">
        <v>1</v>
      </c>
    </row>
    <row r="807" spans="1:11" x14ac:dyDescent="0.25">
      <c r="A807" s="3" t="s">
        <v>1634</v>
      </c>
      <c r="B807" s="4" t="s">
        <v>1635</v>
      </c>
      <c r="C807" s="14">
        <v>16644</v>
      </c>
      <c r="D807" s="6" t="s">
        <v>28</v>
      </c>
      <c r="E807" s="6" t="s">
        <v>17</v>
      </c>
      <c r="F807" s="7">
        <v>37964</v>
      </c>
      <c r="G807" s="8">
        <f t="shared" si="12"/>
        <v>37964</v>
      </c>
      <c r="H807" s="6" t="s">
        <v>13</v>
      </c>
      <c r="I807" s="9">
        <v>219008.20166558199</v>
      </c>
      <c r="J807" s="62">
        <v>1085.3466486023001</v>
      </c>
      <c r="K807" s="17">
        <v>4</v>
      </c>
    </row>
    <row r="808" spans="1:11" x14ac:dyDescent="0.25">
      <c r="A808" s="3" t="s">
        <v>1636</v>
      </c>
      <c r="B808" s="4" t="s">
        <v>1637</v>
      </c>
      <c r="C808" s="5">
        <v>37090</v>
      </c>
      <c r="D808" s="6" t="s">
        <v>31</v>
      </c>
      <c r="E808" s="6" t="s">
        <v>17</v>
      </c>
      <c r="F808" s="7">
        <v>25876</v>
      </c>
      <c r="G808" s="8">
        <f t="shared" si="12"/>
        <v>25876</v>
      </c>
      <c r="H808" s="6" t="s">
        <v>13</v>
      </c>
      <c r="I808" s="9">
        <v>2404.5706605352798</v>
      </c>
      <c r="J808" s="62">
        <v>52.630261631171102</v>
      </c>
      <c r="K808" s="17">
        <v>1</v>
      </c>
    </row>
    <row r="809" spans="1:11" x14ac:dyDescent="0.25">
      <c r="A809" s="3" t="s">
        <v>1638</v>
      </c>
      <c r="B809" s="4" t="s">
        <v>1639</v>
      </c>
      <c r="C809" s="5">
        <v>1942</v>
      </c>
      <c r="D809" s="6" t="s">
        <v>28</v>
      </c>
      <c r="E809" s="6" t="s">
        <v>17</v>
      </c>
      <c r="F809" s="7">
        <v>29952</v>
      </c>
      <c r="G809" s="8">
        <f t="shared" si="12"/>
        <v>29952</v>
      </c>
      <c r="H809" s="6" t="s">
        <v>13</v>
      </c>
      <c r="I809" s="9">
        <v>18556.875239804001</v>
      </c>
      <c r="J809" s="62">
        <v>395.28011258320902</v>
      </c>
      <c r="K809" s="17">
        <v>2</v>
      </c>
    </row>
    <row r="810" spans="1:11" x14ac:dyDescent="0.25">
      <c r="A810" s="3" t="s">
        <v>1640</v>
      </c>
      <c r="B810" s="4" t="s">
        <v>1641</v>
      </c>
      <c r="C810" s="5">
        <v>1040</v>
      </c>
      <c r="D810" s="6" t="s">
        <v>31</v>
      </c>
      <c r="E810" s="6" t="s">
        <v>17</v>
      </c>
      <c r="F810" s="7">
        <v>38323</v>
      </c>
      <c r="G810" s="8">
        <f t="shared" si="12"/>
        <v>38323</v>
      </c>
      <c r="H810" s="6" t="s">
        <v>13</v>
      </c>
      <c r="I810" s="9">
        <v>3996.9379445818499</v>
      </c>
      <c r="J810" s="62">
        <v>37.100922088729803</v>
      </c>
      <c r="K810" s="17">
        <v>1</v>
      </c>
    </row>
    <row r="811" spans="1:11" x14ac:dyDescent="0.25">
      <c r="A811" s="3" t="s">
        <v>1642</v>
      </c>
      <c r="B811" s="4" t="s">
        <v>1643</v>
      </c>
      <c r="C811" s="5">
        <v>1965</v>
      </c>
      <c r="D811" s="6" t="s">
        <v>11</v>
      </c>
      <c r="E811" s="6" t="s">
        <v>17</v>
      </c>
      <c r="F811" s="7">
        <v>36549</v>
      </c>
      <c r="G811" s="8">
        <f t="shared" si="12"/>
        <v>36549</v>
      </c>
      <c r="H811" s="6" t="s">
        <v>13</v>
      </c>
      <c r="I811" s="9">
        <v>45368.0860153674</v>
      </c>
      <c r="J811" s="62">
        <v>174.952763881621</v>
      </c>
      <c r="K811" s="17">
        <v>1</v>
      </c>
    </row>
    <row r="812" spans="1:11" x14ac:dyDescent="0.25">
      <c r="A812" s="3" t="s">
        <v>1644</v>
      </c>
      <c r="B812" s="4" t="s">
        <v>1645</v>
      </c>
      <c r="C812" s="14">
        <v>31633</v>
      </c>
      <c r="D812" s="6" t="s">
        <v>28</v>
      </c>
      <c r="E812" s="6" t="s">
        <v>508</v>
      </c>
      <c r="F812" s="7">
        <v>37739</v>
      </c>
      <c r="G812" s="8">
        <f t="shared" si="12"/>
        <v>37739</v>
      </c>
      <c r="H812" s="6" t="s">
        <v>509</v>
      </c>
      <c r="I812" s="9" t="s">
        <v>3380</v>
      </c>
      <c r="J812" s="62" t="s">
        <v>3380</v>
      </c>
      <c r="K812" s="17">
        <v>2</v>
      </c>
    </row>
    <row r="813" spans="1:11" x14ac:dyDescent="0.25">
      <c r="A813" s="3" t="s">
        <v>1646</v>
      </c>
      <c r="B813" s="4" t="s">
        <v>1647</v>
      </c>
      <c r="C813" s="5">
        <v>13444</v>
      </c>
      <c r="D813" s="6" t="s">
        <v>34</v>
      </c>
      <c r="E813" s="6" t="s">
        <v>17</v>
      </c>
      <c r="F813" s="7">
        <v>37743</v>
      </c>
      <c r="G813" s="8">
        <f t="shared" si="12"/>
        <v>37743</v>
      </c>
      <c r="H813" s="6" t="s">
        <v>13</v>
      </c>
      <c r="I813" s="9">
        <v>2023.5515553262098</v>
      </c>
      <c r="J813" s="62">
        <v>122.311446463802</v>
      </c>
      <c r="K813" s="17">
        <v>1</v>
      </c>
    </row>
    <row r="814" spans="1:11" x14ac:dyDescent="0.25">
      <c r="A814" s="3" t="s">
        <v>1648</v>
      </c>
      <c r="B814" s="4" t="s">
        <v>1649</v>
      </c>
      <c r="C814" s="5">
        <v>1234</v>
      </c>
      <c r="D814" s="6" t="s">
        <v>34</v>
      </c>
      <c r="E814" s="6" t="s">
        <v>17</v>
      </c>
      <c r="F814" s="7">
        <v>33345</v>
      </c>
      <c r="G814" s="8">
        <f t="shared" si="12"/>
        <v>33345</v>
      </c>
      <c r="H814" s="6" t="s">
        <v>13</v>
      </c>
      <c r="I814" s="9">
        <v>1636.0970417639401</v>
      </c>
      <c r="J814" s="62">
        <v>340.60925934141</v>
      </c>
      <c r="K814" s="17">
        <v>1</v>
      </c>
    </row>
    <row r="815" spans="1:11" x14ac:dyDescent="0.25">
      <c r="A815" s="3" t="s">
        <v>1650</v>
      </c>
      <c r="B815" s="4" t="s">
        <v>1651</v>
      </c>
      <c r="C815" s="5">
        <v>1237</v>
      </c>
      <c r="D815" s="6" t="s">
        <v>34</v>
      </c>
      <c r="E815" s="6" t="s">
        <v>17</v>
      </c>
      <c r="F815" s="7">
        <v>36490</v>
      </c>
      <c r="G815" s="8">
        <f t="shared" si="12"/>
        <v>36490</v>
      </c>
      <c r="H815" s="6" t="s">
        <v>13</v>
      </c>
      <c r="I815" s="9">
        <v>11183.9365755239</v>
      </c>
      <c r="J815" s="62">
        <v>75.185955378424595</v>
      </c>
      <c r="K815" s="17">
        <v>1</v>
      </c>
    </row>
    <row r="816" spans="1:11" x14ac:dyDescent="0.25">
      <c r="A816" s="3" t="s">
        <v>1652</v>
      </c>
      <c r="B816" s="4" t="s">
        <v>1653</v>
      </c>
      <c r="C816" s="5">
        <v>2247</v>
      </c>
      <c r="D816" s="6" t="s">
        <v>34</v>
      </c>
      <c r="E816" s="6" t="s">
        <v>17</v>
      </c>
      <c r="F816" s="7">
        <v>37257</v>
      </c>
      <c r="G816" s="8">
        <f t="shared" si="12"/>
        <v>37257</v>
      </c>
      <c r="H816" s="6" t="s">
        <v>13</v>
      </c>
      <c r="I816" s="9">
        <v>11485.566824756599</v>
      </c>
      <c r="J816" s="62">
        <v>78.577609572693504</v>
      </c>
      <c r="K816" s="17">
        <v>1</v>
      </c>
    </row>
    <row r="817" spans="1:11" x14ac:dyDescent="0.25">
      <c r="A817" s="3" t="s">
        <v>1654</v>
      </c>
      <c r="B817" s="4" t="s">
        <v>1655</v>
      </c>
      <c r="C817" s="5">
        <v>20803</v>
      </c>
      <c r="D817" s="6" t="s">
        <v>31</v>
      </c>
      <c r="E817" s="6" t="s">
        <v>17</v>
      </c>
      <c r="F817" s="7">
        <v>27866</v>
      </c>
      <c r="G817" s="8">
        <f t="shared" si="12"/>
        <v>27866</v>
      </c>
      <c r="H817" s="6" t="s">
        <v>13</v>
      </c>
      <c r="I817" s="9">
        <v>30571.704685939101</v>
      </c>
      <c r="J817" s="62">
        <v>166.93889358437201</v>
      </c>
      <c r="K817" s="17">
        <v>1</v>
      </c>
    </row>
    <row r="818" spans="1:11" x14ac:dyDescent="0.25">
      <c r="A818" s="3" t="s">
        <v>1656</v>
      </c>
      <c r="B818" s="4" t="s">
        <v>1657</v>
      </c>
      <c r="C818" s="5">
        <v>10570</v>
      </c>
      <c r="D818" s="6" t="s">
        <v>11</v>
      </c>
      <c r="E818" s="6" t="s">
        <v>17</v>
      </c>
      <c r="F818" s="7">
        <v>37595</v>
      </c>
      <c r="G818" s="8">
        <f t="shared" si="12"/>
        <v>37595</v>
      </c>
      <c r="H818" s="6" t="s">
        <v>13</v>
      </c>
      <c r="I818" s="9">
        <v>16509.660093006001</v>
      </c>
      <c r="J818" s="62">
        <v>173.774146850535</v>
      </c>
      <c r="K818" s="17">
        <v>1</v>
      </c>
    </row>
    <row r="819" spans="1:11" x14ac:dyDescent="0.25">
      <c r="A819" s="3" t="s">
        <v>1658</v>
      </c>
      <c r="B819" s="4" t="s">
        <v>1659</v>
      </c>
      <c r="C819" s="5">
        <v>1160</v>
      </c>
      <c r="D819" s="6" t="s">
        <v>31</v>
      </c>
      <c r="E819" s="6" t="s">
        <v>17</v>
      </c>
      <c r="F819" s="7">
        <v>25569</v>
      </c>
      <c r="G819" s="8">
        <f t="shared" si="12"/>
        <v>25569</v>
      </c>
      <c r="H819" s="6" t="s">
        <v>13</v>
      </c>
      <c r="I819" s="9">
        <v>23369.634815097699</v>
      </c>
      <c r="J819" s="62">
        <v>160.58493792829799</v>
      </c>
      <c r="K819" s="17">
        <v>1</v>
      </c>
    </row>
    <row r="820" spans="1:11" x14ac:dyDescent="0.25">
      <c r="A820" s="3" t="s">
        <v>1660</v>
      </c>
      <c r="B820" s="4" t="s">
        <v>1661</v>
      </c>
      <c r="C820" s="5">
        <v>1053</v>
      </c>
      <c r="D820" s="6" t="s">
        <v>16</v>
      </c>
      <c r="E820" s="6" t="s">
        <v>17</v>
      </c>
      <c r="F820" s="7">
        <v>29221</v>
      </c>
      <c r="G820" s="8">
        <f t="shared" si="12"/>
        <v>29221</v>
      </c>
      <c r="H820" s="6" t="s">
        <v>13</v>
      </c>
      <c r="I820" s="9">
        <v>29107.480280946402</v>
      </c>
      <c r="J820" s="62">
        <v>240.70936378518999</v>
      </c>
      <c r="K820" s="17">
        <v>1</v>
      </c>
    </row>
    <row r="821" spans="1:11" x14ac:dyDescent="0.25">
      <c r="A821" s="3" t="s">
        <v>1662</v>
      </c>
      <c r="B821" s="4" t="s">
        <v>1663</v>
      </c>
      <c r="C821" s="5">
        <v>1507</v>
      </c>
      <c r="D821" s="6" t="s">
        <v>28</v>
      </c>
      <c r="E821" s="6" t="s">
        <v>17</v>
      </c>
      <c r="F821" s="7">
        <v>19725</v>
      </c>
      <c r="G821" s="8">
        <f t="shared" si="12"/>
        <v>19725</v>
      </c>
      <c r="H821" s="6" t="s">
        <v>13</v>
      </c>
      <c r="I821" s="9">
        <v>6018.7598751689902</v>
      </c>
      <c r="J821" s="62">
        <v>57.5748107395315</v>
      </c>
      <c r="K821" s="17">
        <v>1</v>
      </c>
    </row>
    <row r="822" spans="1:11" x14ac:dyDescent="0.25">
      <c r="A822" s="3" t="s">
        <v>1664</v>
      </c>
      <c r="B822" s="4" t="s">
        <v>1665</v>
      </c>
      <c r="C822" s="5">
        <v>1403</v>
      </c>
      <c r="D822" s="6" t="s">
        <v>34</v>
      </c>
      <c r="E822" s="6" t="s">
        <v>17</v>
      </c>
      <c r="F822" s="7">
        <v>24108</v>
      </c>
      <c r="G822" s="8">
        <f t="shared" si="12"/>
        <v>24108</v>
      </c>
      <c r="H822" s="6" t="s">
        <v>13</v>
      </c>
      <c r="I822" s="9">
        <v>3645.74909571735</v>
      </c>
      <c r="J822" s="62">
        <v>50.811237036769803</v>
      </c>
      <c r="K822" s="17">
        <v>1</v>
      </c>
    </row>
    <row r="823" spans="1:11" x14ac:dyDescent="0.25">
      <c r="A823" s="3" t="s">
        <v>1666</v>
      </c>
      <c r="B823" s="4" t="s">
        <v>1667</v>
      </c>
      <c r="C823" s="5">
        <v>19842</v>
      </c>
      <c r="D823" s="6" t="s">
        <v>16</v>
      </c>
      <c r="E823" s="6" t="s">
        <v>17</v>
      </c>
      <c r="F823" s="7">
        <v>33276</v>
      </c>
      <c r="G823" s="8">
        <f t="shared" si="12"/>
        <v>33276</v>
      </c>
      <c r="H823" s="6" t="s">
        <v>13</v>
      </c>
      <c r="I823" s="9">
        <v>32131.832922445399</v>
      </c>
      <c r="J823" s="62">
        <v>360.110254271369</v>
      </c>
      <c r="K823" s="17">
        <v>1</v>
      </c>
    </row>
    <row r="824" spans="1:11" x14ac:dyDescent="0.25">
      <c r="A824" s="3" t="s">
        <v>1668</v>
      </c>
      <c r="B824" s="4" t="s">
        <v>1669</v>
      </c>
      <c r="C824" s="5">
        <v>1474</v>
      </c>
      <c r="D824" s="6" t="s">
        <v>31</v>
      </c>
      <c r="E824" s="6" t="s">
        <v>17</v>
      </c>
      <c r="F824" s="7">
        <v>19725</v>
      </c>
      <c r="G824" s="8">
        <f t="shared" si="12"/>
        <v>19725</v>
      </c>
      <c r="H824" s="6" t="s">
        <v>13</v>
      </c>
      <c r="I824" s="9">
        <v>28366.3574555212</v>
      </c>
      <c r="J824" s="62">
        <v>167.78482159824</v>
      </c>
      <c r="K824" s="17">
        <v>2</v>
      </c>
    </row>
    <row r="825" spans="1:11" x14ac:dyDescent="0.25">
      <c r="A825" s="3" t="s">
        <v>1670</v>
      </c>
      <c r="B825" s="4" t="s">
        <v>1671</v>
      </c>
      <c r="C825" s="5">
        <v>1897</v>
      </c>
      <c r="D825" s="6" t="s">
        <v>31</v>
      </c>
      <c r="E825" s="6" t="s">
        <v>17</v>
      </c>
      <c r="F825" s="7">
        <v>32874</v>
      </c>
      <c r="G825" s="8">
        <f t="shared" si="12"/>
        <v>32874</v>
      </c>
      <c r="H825" s="6" t="s">
        <v>13</v>
      </c>
      <c r="I825" s="9">
        <v>3952.15537716476</v>
      </c>
      <c r="J825" s="62">
        <v>94.703403577219007</v>
      </c>
      <c r="K825" s="17">
        <v>1</v>
      </c>
    </row>
    <row r="826" spans="1:11" x14ac:dyDescent="0.25">
      <c r="A826" s="3" t="s">
        <v>1672</v>
      </c>
      <c r="B826" s="4" t="s">
        <v>1673</v>
      </c>
      <c r="C826" s="5">
        <v>1066</v>
      </c>
      <c r="D826" s="6" t="s">
        <v>16</v>
      </c>
      <c r="E826" s="6" t="s">
        <v>17</v>
      </c>
      <c r="F826" s="7">
        <v>32874</v>
      </c>
      <c r="G826" s="8">
        <f t="shared" si="12"/>
        <v>32874</v>
      </c>
      <c r="H826" s="6" t="s">
        <v>13</v>
      </c>
      <c r="I826" s="9">
        <v>39156.434742251302</v>
      </c>
      <c r="J826" s="62">
        <v>182.241518407483</v>
      </c>
      <c r="K826" s="17">
        <v>2</v>
      </c>
    </row>
    <row r="827" spans="1:11" x14ac:dyDescent="0.25">
      <c r="A827" s="3" t="s">
        <v>1674</v>
      </c>
      <c r="B827" s="4" t="s">
        <v>1675</v>
      </c>
      <c r="C827" s="5">
        <v>1692</v>
      </c>
      <c r="D827" s="6" t="s">
        <v>28</v>
      </c>
      <c r="E827" s="6" t="s">
        <v>17</v>
      </c>
      <c r="F827" s="7">
        <v>19725</v>
      </c>
      <c r="G827" s="8">
        <f t="shared" si="12"/>
        <v>19725</v>
      </c>
      <c r="H827" s="6" t="s">
        <v>13</v>
      </c>
      <c r="I827" s="9">
        <v>11648.4938480775</v>
      </c>
      <c r="J827" s="62">
        <v>55.4940419499098</v>
      </c>
      <c r="K827" s="17">
        <v>2</v>
      </c>
    </row>
    <row r="828" spans="1:11" x14ac:dyDescent="0.25">
      <c r="A828" s="3" t="s">
        <v>1676</v>
      </c>
      <c r="B828" s="4" t="s">
        <v>1677</v>
      </c>
      <c r="C828" s="5">
        <v>18568</v>
      </c>
      <c r="D828" s="6" t="s">
        <v>34</v>
      </c>
      <c r="E828" s="6" t="s">
        <v>17</v>
      </c>
      <c r="F828" s="7">
        <v>38546</v>
      </c>
      <c r="G828" s="8">
        <f t="shared" si="12"/>
        <v>38546</v>
      </c>
      <c r="H828" s="6" t="s">
        <v>13</v>
      </c>
      <c r="I828" s="9">
        <v>9499.2083513682992</v>
      </c>
      <c r="J828" s="62">
        <v>157.87324529542099</v>
      </c>
      <c r="K828" s="17">
        <v>1</v>
      </c>
    </row>
    <row r="829" spans="1:11" x14ac:dyDescent="0.25">
      <c r="A829" s="3" t="s">
        <v>1678</v>
      </c>
      <c r="B829" s="4" t="s">
        <v>1679</v>
      </c>
      <c r="C829" s="14">
        <v>1497</v>
      </c>
      <c r="D829" s="6" t="s">
        <v>28</v>
      </c>
      <c r="E829" s="6" t="s">
        <v>17</v>
      </c>
      <c r="F829" s="7">
        <v>29221</v>
      </c>
      <c r="G829" s="8">
        <f t="shared" si="12"/>
        <v>29221</v>
      </c>
      <c r="H829" s="6" t="s">
        <v>13</v>
      </c>
      <c r="I829" s="9">
        <v>26576.777107950002</v>
      </c>
      <c r="J829" s="62">
        <v>425.29854209522802</v>
      </c>
      <c r="K829" s="17">
        <v>1</v>
      </c>
    </row>
    <row r="830" spans="1:11" x14ac:dyDescent="0.25">
      <c r="A830" s="26" t="s">
        <v>1680</v>
      </c>
      <c r="B830" s="27" t="s">
        <v>1681</v>
      </c>
      <c r="C830" s="5">
        <v>1430</v>
      </c>
      <c r="D830" s="28" t="s">
        <v>16</v>
      </c>
      <c r="E830" s="28" t="s">
        <v>17</v>
      </c>
      <c r="F830" s="29">
        <v>29221</v>
      </c>
      <c r="G830" s="30">
        <f t="shared" si="12"/>
        <v>29221</v>
      </c>
      <c r="H830" s="28" t="s">
        <v>13</v>
      </c>
      <c r="I830" s="9">
        <v>17643.432187645201</v>
      </c>
      <c r="J830" s="62">
        <v>136.933018840052</v>
      </c>
      <c r="K830" s="33">
        <v>1</v>
      </c>
    </row>
    <row r="831" spans="1:11" x14ac:dyDescent="0.25">
      <c r="A831" s="3" t="s">
        <v>1682</v>
      </c>
      <c r="B831" s="4" t="s">
        <v>1683</v>
      </c>
      <c r="C831" s="5">
        <v>15042</v>
      </c>
      <c r="D831" s="6" t="s">
        <v>37</v>
      </c>
      <c r="E831" s="6" t="s">
        <v>38</v>
      </c>
      <c r="F831" s="7">
        <v>37831</v>
      </c>
      <c r="G831" s="8">
        <f t="shared" si="12"/>
        <v>37831</v>
      </c>
      <c r="H831" s="6" t="s">
        <v>39</v>
      </c>
      <c r="I831" s="9">
        <v>16923.142953879702</v>
      </c>
      <c r="J831" s="62">
        <v>353.68138615339399</v>
      </c>
      <c r="K831" s="17">
        <v>1</v>
      </c>
    </row>
    <row r="832" spans="1:11" x14ac:dyDescent="0.25">
      <c r="A832" s="3" t="s">
        <v>1684</v>
      </c>
      <c r="B832" s="4" t="s">
        <v>1685</v>
      </c>
      <c r="C832" s="5">
        <v>13448</v>
      </c>
      <c r="D832" s="6" t="s">
        <v>16</v>
      </c>
      <c r="E832" s="6" t="s">
        <v>17</v>
      </c>
      <c r="F832" s="7">
        <v>38099</v>
      </c>
      <c r="G832" s="8">
        <f t="shared" si="12"/>
        <v>38099</v>
      </c>
      <c r="H832" s="6" t="s">
        <v>13</v>
      </c>
      <c r="I832" s="9">
        <v>955.03283895362199</v>
      </c>
      <c r="J832" s="62">
        <v>43.247526244845403</v>
      </c>
      <c r="K832" s="17">
        <v>1</v>
      </c>
    </row>
    <row r="833" spans="1:11" x14ac:dyDescent="0.25">
      <c r="A833" s="3" t="s">
        <v>1686</v>
      </c>
      <c r="B833" s="4" t="s">
        <v>1687</v>
      </c>
      <c r="C833" s="5">
        <v>1895</v>
      </c>
      <c r="D833" s="6" t="s">
        <v>31</v>
      </c>
      <c r="E833" s="6" t="s">
        <v>17</v>
      </c>
      <c r="F833" s="7">
        <v>33604</v>
      </c>
      <c r="G833" s="8">
        <f t="shared" si="12"/>
        <v>33604</v>
      </c>
      <c r="H833" s="6" t="s">
        <v>13</v>
      </c>
      <c r="I833" s="9">
        <v>14228.388352681601</v>
      </c>
      <c r="J833" s="62">
        <v>137.399381980821</v>
      </c>
      <c r="K833" s="17">
        <v>1</v>
      </c>
    </row>
    <row r="834" spans="1:11" x14ac:dyDescent="0.25">
      <c r="A834" s="3" t="s">
        <v>1688</v>
      </c>
      <c r="B834" s="4" t="s">
        <v>1689</v>
      </c>
      <c r="C834" s="5">
        <v>1082</v>
      </c>
      <c r="D834" s="6" t="s">
        <v>34</v>
      </c>
      <c r="E834" s="6" t="s">
        <v>17</v>
      </c>
      <c r="F834" s="7">
        <v>36976</v>
      </c>
      <c r="G834" s="8">
        <f t="shared" ref="G834:G897" si="13">F834</f>
        <v>36976</v>
      </c>
      <c r="H834" s="6" t="s">
        <v>13</v>
      </c>
      <c r="I834" s="9">
        <v>9425.6459431015301</v>
      </c>
      <c r="J834" s="62">
        <v>79.7414128113831</v>
      </c>
      <c r="K834" s="17">
        <v>1</v>
      </c>
    </row>
    <row r="835" spans="1:11" x14ac:dyDescent="0.25">
      <c r="A835" s="3" t="s">
        <v>1690</v>
      </c>
      <c r="B835" s="4" t="s">
        <v>1691</v>
      </c>
      <c r="C835" s="5">
        <v>54612</v>
      </c>
      <c r="D835" s="6" t="s">
        <v>28</v>
      </c>
      <c r="E835" s="6" t="s">
        <v>17</v>
      </c>
      <c r="F835" s="7">
        <v>39099</v>
      </c>
      <c r="G835" s="8">
        <f t="shared" si="13"/>
        <v>39099</v>
      </c>
      <c r="H835" s="6" t="s">
        <v>13</v>
      </c>
      <c r="I835" s="9">
        <v>73286.919327387397</v>
      </c>
      <c r="J835" s="62">
        <v>256.23472824930298</v>
      </c>
      <c r="K835" s="17">
        <v>1</v>
      </c>
    </row>
    <row r="836" spans="1:11" x14ac:dyDescent="0.25">
      <c r="A836" s="3" t="s">
        <v>1692</v>
      </c>
      <c r="B836" s="4" t="s">
        <v>1693</v>
      </c>
      <c r="C836" s="5">
        <v>54611</v>
      </c>
      <c r="D836" s="6" t="s">
        <v>28</v>
      </c>
      <c r="E836" s="6" t="s">
        <v>508</v>
      </c>
      <c r="F836" s="7">
        <v>38557</v>
      </c>
      <c r="G836" s="8">
        <f t="shared" si="13"/>
        <v>38557</v>
      </c>
      <c r="H836" s="6" t="s">
        <v>509</v>
      </c>
      <c r="I836" s="9">
        <v>64923.4592639982</v>
      </c>
      <c r="J836" s="62">
        <v>715.50602461570998</v>
      </c>
      <c r="K836" s="17">
        <v>1</v>
      </c>
    </row>
    <row r="837" spans="1:11" x14ac:dyDescent="0.25">
      <c r="A837" s="3" t="s">
        <v>1694</v>
      </c>
      <c r="B837" s="4" t="s">
        <v>1695</v>
      </c>
      <c r="C837" s="5">
        <v>1521</v>
      </c>
      <c r="D837" s="6" t="s">
        <v>16</v>
      </c>
      <c r="E837" s="6" t="s">
        <v>17</v>
      </c>
      <c r="F837" s="7">
        <v>32874</v>
      </c>
      <c r="G837" s="8">
        <f t="shared" si="13"/>
        <v>32874</v>
      </c>
      <c r="H837" s="6" t="s">
        <v>13</v>
      </c>
      <c r="I837" s="9">
        <v>28333.460520403398</v>
      </c>
      <c r="J837" s="62">
        <v>406.054485199483</v>
      </c>
      <c r="K837" s="17">
        <v>2</v>
      </c>
    </row>
    <row r="838" spans="1:11" x14ac:dyDescent="0.25">
      <c r="A838" s="3" t="s">
        <v>1696</v>
      </c>
      <c r="B838" s="4" t="s">
        <v>1697</v>
      </c>
      <c r="C838" s="5">
        <v>15374</v>
      </c>
      <c r="D838" s="6" t="s">
        <v>16</v>
      </c>
      <c r="E838" s="6" t="s">
        <v>17</v>
      </c>
      <c r="F838" s="7">
        <v>25993</v>
      </c>
      <c r="G838" s="8">
        <f t="shared" si="13"/>
        <v>25993</v>
      </c>
      <c r="H838" s="6" t="s">
        <v>13</v>
      </c>
      <c r="I838" s="9">
        <v>21862.426773351297</v>
      </c>
      <c r="J838" s="62">
        <v>204.89853557658299</v>
      </c>
      <c r="K838" s="17">
        <v>1</v>
      </c>
    </row>
    <row r="839" spans="1:11" x14ac:dyDescent="0.25">
      <c r="A839" s="3" t="s">
        <v>1698</v>
      </c>
      <c r="B839" s="4" t="s">
        <v>1699</v>
      </c>
      <c r="C839" s="5">
        <v>1654</v>
      </c>
      <c r="D839" s="6" t="s">
        <v>28</v>
      </c>
      <c r="E839" s="6" t="s">
        <v>17</v>
      </c>
      <c r="F839" s="7">
        <v>32509</v>
      </c>
      <c r="G839" s="8">
        <f t="shared" si="13"/>
        <v>32509</v>
      </c>
      <c r="H839" s="6" t="s">
        <v>13</v>
      </c>
      <c r="I839" s="9">
        <v>106990.885761047</v>
      </c>
      <c r="J839" s="62">
        <v>518.68754755916996</v>
      </c>
      <c r="K839" s="17">
        <v>2</v>
      </c>
    </row>
    <row r="840" spans="1:11" x14ac:dyDescent="0.25">
      <c r="A840" s="3" t="s">
        <v>1700</v>
      </c>
      <c r="B840" s="4" t="s">
        <v>1701</v>
      </c>
      <c r="C840" s="5">
        <v>1511</v>
      </c>
      <c r="D840" s="6" t="s">
        <v>28</v>
      </c>
      <c r="E840" s="6" t="s">
        <v>17</v>
      </c>
      <c r="F840" s="7">
        <v>32143</v>
      </c>
      <c r="G840" s="8">
        <f t="shared" si="13"/>
        <v>32143</v>
      </c>
      <c r="H840" s="6" t="s">
        <v>13</v>
      </c>
      <c r="I840" s="9">
        <v>85767.110275114697</v>
      </c>
      <c r="J840" s="62">
        <v>974.26255720678398</v>
      </c>
      <c r="K840" s="17">
        <v>2</v>
      </c>
    </row>
    <row r="841" spans="1:11" x14ac:dyDescent="0.25">
      <c r="A841" s="3" t="s">
        <v>1702</v>
      </c>
      <c r="B841" s="4" t="s">
        <v>1703</v>
      </c>
      <c r="C841" s="5">
        <v>1994</v>
      </c>
      <c r="D841" s="6" t="s">
        <v>28</v>
      </c>
      <c r="E841" s="6" t="s">
        <v>17</v>
      </c>
      <c r="F841" s="7">
        <v>40373</v>
      </c>
      <c r="G841" s="8">
        <f t="shared" si="13"/>
        <v>40373</v>
      </c>
      <c r="H841" s="6" t="s">
        <v>13</v>
      </c>
      <c r="I841" s="9">
        <v>25177.203406599401</v>
      </c>
      <c r="J841" s="62">
        <v>530.36461576865202</v>
      </c>
      <c r="K841" s="17">
        <v>1</v>
      </c>
    </row>
    <row r="842" spans="1:11" x14ac:dyDescent="0.25">
      <c r="A842" s="3" t="s">
        <v>1704</v>
      </c>
      <c r="B842" s="4" t="s">
        <v>1705</v>
      </c>
      <c r="C842" s="5">
        <v>91985</v>
      </c>
      <c r="D842" s="6" t="s">
        <v>37</v>
      </c>
      <c r="E842" s="6" t="s">
        <v>38</v>
      </c>
      <c r="F842" s="7">
        <v>39913</v>
      </c>
      <c r="G842" s="8">
        <f t="shared" si="13"/>
        <v>39913</v>
      </c>
      <c r="H842" s="6" t="s">
        <v>39</v>
      </c>
      <c r="I842" s="9">
        <v>41213.279780958204</v>
      </c>
      <c r="J842" s="62">
        <v>446.17304216263</v>
      </c>
      <c r="K842" s="17">
        <v>1</v>
      </c>
    </row>
    <row r="843" spans="1:11" x14ac:dyDescent="0.25">
      <c r="A843" s="3" t="s">
        <v>1706</v>
      </c>
      <c r="B843" s="4" t="s">
        <v>1707</v>
      </c>
      <c r="C843" s="14">
        <v>27537</v>
      </c>
      <c r="D843" s="6" t="s">
        <v>28</v>
      </c>
      <c r="E843" s="6" t="s">
        <v>17</v>
      </c>
      <c r="F843" s="7">
        <v>38001</v>
      </c>
      <c r="G843" s="8">
        <f t="shared" si="13"/>
        <v>38001</v>
      </c>
      <c r="H843" s="6" t="s">
        <v>13</v>
      </c>
      <c r="I843" s="9">
        <v>62164.748590403098</v>
      </c>
      <c r="J843" s="62">
        <v>493.60525750362399</v>
      </c>
      <c r="K843" s="17">
        <v>2</v>
      </c>
    </row>
    <row r="844" spans="1:11" x14ac:dyDescent="0.25">
      <c r="A844" s="3" t="s">
        <v>1708</v>
      </c>
      <c r="B844" s="4" t="s">
        <v>1709</v>
      </c>
      <c r="C844" s="14">
        <v>1842</v>
      </c>
      <c r="D844" s="6" t="s">
        <v>16</v>
      </c>
      <c r="E844" s="6" t="s">
        <v>17</v>
      </c>
      <c r="F844" s="7">
        <v>36665</v>
      </c>
      <c r="G844" s="8">
        <f t="shared" si="13"/>
        <v>36665</v>
      </c>
      <c r="H844" s="6" t="s">
        <v>13</v>
      </c>
      <c r="I844" s="9">
        <v>77845.921044862291</v>
      </c>
      <c r="J844" s="62">
        <v>394.41632952020598</v>
      </c>
      <c r="K844" s="17">
        <v>2</v>
      </c>
    </row>
    <row r="845" spans="1:11" x14ac:dyDescent="0.25">
      <c r="A845" s="3" t="s">
        <v>1710</v>
      </c>
      <c r="B845" s="4" t="s">
        <v>1711</v>
      </c>
      <c r="C845" s="14">
        <v>1613</v>
      </c>
      <c r="D845" s="6" t="s">
        <v>16</v>
      </c>
      <c r="E845" s="6" t="s">
        <v>17</v>
      </c>
      <c r="F845" s="7">
        <v>36096</v>
      </c>
      <c r="G845" s="8">
        <f t="shared" si="13"/>
        <v>36096</v>
      </c>
      <c r="H845" s="6" t="s">
        <v>13</v>
      </c>
      <c r="I845" s="9">
        <v>68352.563220852098</v>
      </c>
      <c r="J845" s="62">
        <v>1481.23046530697</v>
      </c>
      <c r="K845" s="17">
        <v>2</v>
      </c>
    </row>
    <row r="846" spans="1:11" x14ac:dyDescent="0.25">
      <c r="A846" s="3" t="s">
        <v>1712</v>
      </c>
      <c r="B846" s="4" t="s">
        <v>1713</v>
      </c>
      <c r="C846" s="5">
        <v>1035</v>
      </c>
      <c r="D846" s="6" t="s">
        <v>31</v>
      </c>
      <c r="E846" s="6" t="s">
        <v>17</v>
      </c>
      <c r="F846" s="7">
        <v>29221</v>
      </c>
      <c r="G846" s="8">
        <f t="shared" si="13"/>
        <v>29221</v>
      </c>
      <c r="H846" s="6" t="s">
        <v>13</v>
      </c>
      <c r="I846" s="9">
        <v>17070.815483876198</v>
      </c>
      <c r="J846" s="62">
        <v>205.227840103875</v>
      </c>
      <c r="K846" s="17">
        <v>1</v>
      </c>
    </row>
    <row r="847" spans="1:11" x14ac:dyDescent="0.25">
      <c r="A847" s="3" t="s">
        <v>1714</v>
      </c>
      <c r="B847" s="4" t="s">
        <v>1715</v>
      </c>
      <c r="C847" s="14">
        <v>19843</v>
      </c>
      <c r="D847" s="6" t="s">
        <v>31</v>
      </c>
      <c r="E847" s="6" t="s">
        <v>17</v>
      </c>
      <c r="F847" s="7">
        <v>31246</v>
      </c>
      <c r="G847" s="8">
        <f t="shared" si="13"/>
        <v>31246</v>
      </c>
      <c r="H847" s="6" t="s">
        <v>13</v>
      </c>
      <c r="I847" s="9">
        <v>246210.2887262</v>
      </c>
      <c r="J847" s="62">
        <v>499.01217277464798</v>
      </c>
      <c r="K847" s="17">
        <v>3</v>
      </c>
    </row>
    <row r="848" spans="1:11" ht="30" x14ac:dyDescent="0.25">
      <c r="A848" s="3" t="s">
        <v>1716</v>
      </c>
      <c r="B848" s="4" t="s">
        <v>1717</v>
      </c>
      <c r="C848" s="5">
        <v>54613</v>
      </c>
      <c r="D848" s="6" t="s">
        <v>11</v>
      </c>
      <c r="E848" s="6" t="s">
        <v>12</v>
      </c>
      <c r="F848" s="7">
        <v>36528</v>
      </c>
      <c r="G848" s="8">
        <f t="shared" si="13"/>
        <v>36528</v>
      </c>
      <c r="H848" s="6" t="s">
        <v>776</v>
      </c>
      <c r="I848" s="9" t="s">
        <v>3380</v>
      </c>
      <c r="J848" s="62" t="s">
        <v>3380</v>
      </c>
      <c r="K848" s="17">
        <v>2</v>
      </c>
    </row>
    <row r="849" spans="1:11" ht="30" x14ac:dyDescent="0.25">
      <c r="A849" s="3" t="s">
        <v>1718</v>
      </c>
      <c r="B849" s="4" t="s">
        <v>1719</v>
      </c>
      <c r="C849" s="47">
        <v>371644</v>
      </c>
      <c r="D849" s="6" t="s">
        <v>11</v>
      </c>
      <c r="E849" s="6" t="s">
        <v>12</v>
      </c>
      <c r="F849" s="7">
        <v>45495</v>
      </c>
      <c r="G849" s="8">
        <f t="shared" si="13"/>
        <v>45495</v>
      </c>
      <c r="H849" s="6" t="s">
        <v>776</v>
      </c>
      <c r="I849" s="9" t="s">
        <v>3380</v>
      </c>
      <c r="J849" s="62" t="s">
        <v>3380</v>
      </c>
      <c r="K849" s="11">
        <v>1</v>
      </c>
    </row>
    <row r="850" spans="1:11" ht="30" x14ac:dyDescent="0.25">
      <c r="A850" s="3" t="s">
        <v>1720</v>
      </c>
      <c r="B850" s="4" t="s">
        <v>1721</v>
      </c>
      <c r="C850" s="5">
        <v>54615</v>
      </c>
      <c r="D850" s="6" t="s">
        <v>11</v>
      </c>
      <c r="E850" s="6" t="s">
        <v>12</v>
      </c>
      <c r="F850" s="7">
        <v>38210</v>
      </c>
      <c r="G850" s="8">
        <f t="shared" si="13"/>
        <v>38210</v>
      </c>
      <c r="H850" s="6" t="s">
        <v>776</v>
      </c>
      <c r="I850" s="9">
        <v>5654.9581090719694</v>
      </c>
      <c r="J850" s="62">
        <v>138.66097056220201</v>
      </c>
      <c r="K850" s="17">
        <v>2</v>
      </c>
    </row>
    <row r="851" spans="1:11" ht="30" x14ac:dyDescent="0.25">
      <c r="A851" s="3" t="s">
        <v>1722</v>
      </c>
      <c r="B851" s="4" t="s">
        <v>1723</v>
      </c>
      <c r="C851" s="5">
        <v>38449</v>
      </c>
      <c r="D851" s="6" t="s">
        <v>11</v>
      </c>
      <c r="E851" s="6" t="s">
        <v>12</v>
      </c>
      <c r="F851" s="7">
        <v>30678</v>
      </c>
      <c r="G851" s="8">
        <f t="shared" si="13"/>
        <v>30678</v>
      </c>
      <c r="H851" s="6" t="s">
        <v>776</v>
      </c>
      <c r="I851" s="9">
        <v>21753.931627688602</v>
      </c>
      <c r="J851" s="62">
        <v>389.56471163298602</v>
      </c>
      <c r="K851" s="17">
        <v>1</v>
      </c>
    </row>
    <row r="852" spans="1:11" ht="30" x14ac:dyDescent="0.25">
      <c r="A852" s="3" t="s">
        <v>1724</v>
      </c>
      <c r="B852" s="4" t="s">
        <v>1725</v>
      </c>
      <c r="C852" s="5">
        <v>38177</v>
      </c>
      <c r="D852" s="6" t="s">
        <v>11</v>
      </c>
      <c r="E852" s="6" t="s">
        <v>12</v>
      </c>
      <c r="F852" s="7">
        <v>29928</v>
      </c>
      <c r="G852" s="8">
        <f t="shared" si="13"/>
        <v>29928</v>
      </c>
      <c r="H852" s="6" t="s">
        <v>776</v>
      </c>
      <c r="I852" s="9">
        <v>22207.867723691401</v>
      </c>
      <c r="J852" s="62">
        <v>342.98559839646998</v>
      </c>
      <c r="K852" s="17">
        <v>1</v>
      </c>
    </row>
    <row r="853" spans="1:11" x14ac:dyDescent="0.25">
      <c r="A853" s="3" t="s">
        <v>1726</v>
      </c>
      <c r="B853" s="4" t="s">
        <v>1727</v>
      </c>
      <c r="C853" s="5">
        <v>52306</v>
      </c>
      <c r="D853" s="6" t="s">
        <v>34</v>
      </c>
      <c r="E853" s="6" t="s">
        <v>17</v>
      </c>
      <c r="F853" s="7">
        <v>38576</v>
      </c>
      <c r="G853" s="8">
        <f t="shared" si="13"/>
        <v>38576</v>
      </c>
      <c r="H853" s="6" t="s">
        <v>13</v>
      </c>
      <c r="I853" s="9">
        <v>21086.722070456901</v>
      </c>
      <c r="J853" s="62">
        <v>316.098385093307</v>
      </c>
      <c r="K853" s="17">
        <v>2</v>
      </c>
    </row>
    <row r="854" spans="1:11" x14ac:dyDescent="0.25">
      <c r="A854" s="3" t="s">
        <v>1728</v>
      </c>
      <c r="B854" s="4" t="s">
        <v>1729</v>
      </c>
      <c r="C854" s="5">
        <v>52305</v>
      </c>
      <c r="D854" s="6" t="s">
        <v>34</v>
      </c>
      <c r="E854" s="6" t="s">
        <v>17</v>
      </c>
      <c r="F854" s="7">
        <v>38576</v>
      </c>
      <c r="G854" s="8">
        <f t="shared" si="13"/>
        <v>38576</v>
      </c>
      <c r="H854" s="6" t="s">
        <v>13</v>
      </c>
      <c r="I854" s="9">
        <v>3156.7492011832501</v>
      </c>
      <c r="J854" s="62">
        <v>98.708484247132205</v>
      </c>
      <c r="K854" s="17">
        <v>1</v>
      </c>
    </row>
    <row r="855" spans="1:11" x14ac:dyDescent="0.25">
      <c r="A855" s="3" t="s">
        <v>1730</v>
      </c>
      <c r="B855" s="4" t="s">
        <v>1731</v>
      </c>
      <c r="C855" s="5">
        <v>28881</v>
      </c>
      <c r="D855" s="6" t="s">
        <v>34</v>
      </c>
      <c r="E855" s="6" t="s">
        <v>17</v>
      </c>
      <c r="F855" s="7">
        <v>38595</v>
      </c>
      <c r="G855" s="8">
        <f t="shared" si="13"/>
        <v>38595</v>
      </c>
      <c r="H855" s="6" t="s">
        <v>13</v>
      </c>
      <c r="I855" s="9">
        <v>29740.167435626699</v>
      </c>
      <c r="J855" s="62">
        <v>250.32528875005301</v>
      </c>
      <c r="K855" s="17">
        <v>1</v>
      </c>
    </row>
    <row r="856" spans="1:11" x14ac:dyDescent="0.25">
      <c r="A856" s="3" t="s">
        <v>1732</v>
      </c>
      <c r="B856" s="4" t="s">
        <v>1733</v>
      </c>
      <c r="C856" s="14">
        <v>14725</v>
      </c>
      <c r="D856" s="6" t="s">
        <v>31</v>
      </c>
      <c r="E856" s="6" t="s">
        <v>17</v>
      </c>
      <c r="F856" s="7">
        <v>23182</v>
      </c>
      <c r="G856" s="8">
        <f t="shared" si="13"/>
        <v>23182</v>
      </c>
      <c r="H856" s="6" t="s">
        <v>13</v>
      </c>
      <c r="I856" s="9">
        <v>30827.098808755502</v>
      </c>
      <c r="J856" s="62">
        <v>229.73980502905499</v>
      </c>
      <c r="K856" s="17">
        <v>1</v>
      </c>
    </row>
    <row r="857" spans="1:11" x14ac:dyDescent="0.25">
      <c r="A857" s="26" t="s">
        <v>1734</v>
      </c>
      <c r="B857" s="27" t="s">
        <v>1735</v>
      </c>
      <c r="C857" s="34">
        <v>2065</v>
      </c>
      <c r="D857" s="28" t="s">
        <v>34</v>
      </c>
      <c r="E857" s="28" t="s">
        <v>17</v>
      </c>
      <c r="F857" s="29">
        <v>18264</v>
      </c>
      <c r="G857" s="30">
        <f t="shared" si="13"/>
        <v>18264</v>
      </c>
      <c r="H857" s="28" t="s">
        <v>13</v>
      </c>
      <c r="I857" s="9">
        <v>9695.4647623503715</v>
      </c>
      <c r="J857" s="62">
        <v>41.058923062410003</v>
      </c>
      <c r="K857" s="33">
        <v>1</v>
      </c>
    </row>
    <row r="858" spans="1:11" x14ac:dyDescent="0.25">
      <c r="A858" s="3" t="s">
        <v>1736</v>
      </c>
      <c r="B858" s="4" t="s">
        <v>1737</v>
      </c>
      <c r="C858" s="14">
        <v>1596</v>
      </c>
      <c r="D858" s="6" t="s">
        <v>28</v>
      </c>
      <c r="E858" s="6" t="s">
        <v>17</v>
      </c>
      <c r="F858" s="7">
        <v>38777</v>
      </c>
      <c r="G858" s="8">
        <f t="shared" si="13"/>
        <v>38777</v>
      </c>
      <c r="H858" s="6" t="s">
        <v>13</v>
      </c>
      <c r="I858" s="9">
        <v>30399.984477774</v>
      </c>
      <c r="J858" s="62">
        <v>182.468444597635</v>
      </c>
      <c r="K858" s="17">
        <v>1</v>
      </c>
    </row>
    <row r="859" spans="1:11" x14ac:dyDescent="0.25">
      <c r="A859" s="3" t="s">
        <v>1738</v>
      </c>
      <c r="B859" s="4" t="s">
        <v>1739</v>
      </c>
      <c r="C859" s="14">
        <v>54616</v>
      </c>
      <c r="D859" s="6" t="s">
        <v>16</v>
      </c>
      <c r="E859" s="6" t="s">
        <v>17</v>
      </c>
      <c r="F859" s="7">
        <v>36557</v>
      </c>
      <c r="G859" s="8">
        <f t="shared" si="13"/>
        <v>36557</v>
      </c>
      <c r="H859" s="6" t="s">
        <v>13</v>
      </c>
      <c r="I859" s="9">
        <v>1029.5162556790001</v>
      </c>
      <c r="J859" s="62">
        <v>324.20189163588799</v>
      </c>
      <c r="K859" s="17">
        <v>1</v>
      </c>
    </row>
    <row r="860" spans="1:11" x14ac:dyDescent="0.25">
      <c r="A860" s="3" t="s">
        <v>1740</v>
      </c>
      <c r="B860" s="4" t="s">
        <v>1741</v>
      </c>
      <c r="C860" s="5">
        <v>1199</v>
      </c>
      <c r="D860" s="6" t="s">
        <v>16</v>
      </c>
      <c r="E860" s="6" t="s">
        <v>17</v>
      </c>
      <c r="F860" s="7">
        <v>29952</v>
      </c>
      <c r="G860" s="8">
        <f t="shared" si="13"/>
        <v>29952</v>
      </c>
      <c r="H860" s="6" t="s">
        <v>13</v>
      </c>
      <c r="I860" s="9">
        <v>48370.959896615503</v>
      </c>
      <c r="J860" s="62">
        <v>331.97776056910999</v>
      </c>
      <c r="K860" s="17">
        <v>2</v>
      </c>
    </row>
    <row r="861" spans="1:11" x14ac:dyDescent="0.25">
      <c r="A861" s="3" t="s">
        <v>1742</v>
      </c>
      <c r="B861" s="4" t="s">
        <v>1743</v>
      </c>
      <c r="C861" s="5">
        <v>18247</v>
      </c>
      <c r="D861" s="6" t="s">
        <v>16</v>
      </c>
      <c r="E861" s="6" t="s">
        <v>17</v>
      </c>
      <c r="F861" s="7">
        <v>21922</v>
      </c>
      <c r="G861" s="8">
        <f t="shared" si="13"/>
        <v>21922</v>
      </c>
      <c r="H861" s="6" t="s">
        <v>13</v>
      </c>
      <c r="I861" s="9">
        <v>2170.09585242107</v>
      </c>
      <c r="J861" s="62">
        <v>55.804616595322599</v>
      </c>
      <c r="K861" s="17">
        <v>1</v>
      </c>
    </row>
    <row r="862" spans="1:11" x14ac:dyDescent="0.25">
      <c r="A862" s="3" t="s">
        <v>1744</v>
      </c>
      <c r="B862" s="4" t="s">
        <v>1745</v>
      </c>
      <c r="C862" s="5">
        <v>54617</v>
      </c>
      <c r="D862" s="6" t="s">
        <v>28</v>
      </c>
      <c r="E862" s="6" t="s">
        <v>17</v>
      </c>
      <c r="F862" s="7">
        <v>37242</v>
      </c>
      <c r="G862" s="8">
        <f t="shared" si="13"/>
        <v>37242</v>
      </c>
      <c r="H862" s="6" t="s">
        <v>13</v>
      </c>
      <c r="I862" s="9">
        <v>1901.9626538702701</v>
      </c>
      <c r="J862" s="62">
        <v>149.81591121300599</v>
      </c>
      <c r="K862" s="17">
        <v>1</v>
      </c>
    </row>
    <row r="863" spans="1:11" x14ac:dyDescent="0.25">
      <c r="A863" s="3" t="s">
        <v>1746</v>
      </c>
      <c r="B863" s="4" t="s">
        <v>1747</v>
      </c>
      <c r="C863" s="14">
        <v>72114</v>
      </c>
      <c r="D863" s="6" t="s">
        <v>11</v>
      </c>
      <c r="E863" s="6" t="s">
        <v>17</v>
      </c>
      <c r="F863" s="7">
        <v>39174</v>
      </c>
      <c r="G863" s="8">
        <f t="shared" si="13"/>
        <v>39174</v>
      </c>
      <c r="H863" s="6" t="s">
        <v>13</v>
      </c>
      <c r="I863" s="9" t="s">
        <v>3380</v>
      </c>
      <c r="J863" s="62" t="s">
        <v>3380</v>
      </c>
      <c r="K863" s="17">
        <v>2</v>
      </c>
    </row>
    <row r="864" spans="1:11" x14ac:dyDescent="0.25">
      <c r="A864" s="3" t="s">
        <v>1748</v>
      </c>
      <c r="B864" s="4" t="s">
        <v>1749</v>
      </c>
      <c r="C864" s="5">
        <v>81697</v>
      </c>
      <c r="D864" s="6" t="s">
        <v>31</v>
      </c>
      <c r="E864" s="6" t="s">
        <v>17</v>
      </c>
      <c r="F864" s="7">
        <v>38987</v>
      </c>
      <c r="G864" s="8">
        <f t="shared" si="13"/>
        <v>38987</v>
      </c>
      <c r="H864" s="6" t="s">
        <v>13</v>
      </c>
      <c r="I864" s="9">
        <v>4307.1201397146497</v>
      </c>
      <c r="J864" s="62">
        <v>59.077038878833797</v>
      </c>
      <c r="K864" s="17">
        <v>1</v>
      </c>
    </row>
    <row r="865" spans="1:11" x14ac:dyDescent="0.25">
      <c r="A865" s="3" t="s">
        <v>1750</v>
      </c>
      <c r="B865" s="4" t="s">
        <v>1751</v>
      </c>
      <c r="C865" s="5">
        <v>43601</v>
      </c>
      <c r="D865" s="6" t="s">
        <v>31</v>
      </c>
      <c r="E865" s="6" t="s">
        <v>17</v>
      </c>
      <c r="F865" s="7">
        <v>33490</v>
      </c>
      <c r="G865" s="8">
        <f t="shared" si="13"/>
        <v>33490</v>
      </c>
      <c r="H865" s="6" t="s">
        <v>13</v>
      </c>
      <c r="I865" s="9">
        <v>21667.483385367501</v>
      </c>
      <c r="J865" s="62">
        <v>245.58997786843599</v>
      </c>
      <c r="K865" s="17">
        <v>1</v>
      </c>
    </row>
    <row r="866" spans="1:11" x14ac:dyDescent="0.25">
      <c r="A866" s="3" t="s">
        <v>1752</v>
      </c>
      <c r="B866" s="4" t="s">
        <v>1753</v>
      </c>
      <c r="C866" s="14">
        <v>18246</v>
      </c>
      <c r="D866" s="6" t="s">
        <v>16</v>
      </c>
      <c r="E866" s="6" t="s">
        <v>17</v>
      </c>
      <c r="F866" s="7">
        <v>30468</v>
      </c>
      <c r="G866" s="8">
        <f t="shared" si="13"/>
        <v>30468</v>
      </c>
      <c r="H866" s="6" t="s">
        <v>13</v>
      </c>
      <c r="I866" s="9">
        <v>307817.47712352802</v>
      </c>
      <c r="J866" s="62">
        <v>571.16663389892994</v>
      </c>
      <c r="K866" s="17">
        <v>3</v>
      </c>
    </row>
    <row r="867" spans="1:11" x14ac:dyDescent="0.25">
      <c r="A867" s="3" t="s">
        <v>1754</v>
      </c>
      <c r="B867" s="4" t="s">
        <v>1755</v>
      </c>
      <c r="C867" s="14">
        <v>10575</v>
      </c>
      <c r="D867" s="6" t="s">
        <v>28</v>
      </c>
      <c r="E867" s="6" t="s">
        <v>17</v>
      </c>
      <c r="F867" s="7">
        <v>37190</v>
      </c>
      <c r="G867" s="8">
        <f t="shared" si="13"/>
        <v>37190</v>
      </c>
      <c r="H867" s="6" t="s">
        <v>13</v>
      </c>
      <c r="I867" s="9">
        <v>5903.3628555897203</v>
      </c>
      <c r="J867" s="62">
        <v>58.494439337191501</v>
      </c>
      <c r="K867" s="17">
        <v>1</v>
      </c>
    </row>
    <row r="868" spans="1:11" x14ac:dyDescent="0.25">
      <c r="A868" s="3" t="s">
        <v>1756</v>
      </c>
      <c r="B868" s="4" t="s">
        <v>1757</v>
      </c>
      <c r="C868" s="14">
        <v>13445</v>
      </c>
      <c r="D868" s="6" t="s">
        <v>34</v>
      </c>
      <c r="E868" s="6" t="s">
        <v>17</v>
      </c>
      <c r="F868" s="7">
        <v>36678</v>
      </c>
      <c r="G868" s="8">
        <f t="shared" si="13"/>
        <v>36678</v>
      </c>
      <c r="H868" s="6" t="s">
        <v>13</v>
      </c>
      <c r="I868" s="9">
        <v>6839.2911219951802</v>
      </c>
      <c r="J868" s="62">
        <v>186.672011310394</v>
      </c>
      <c r="K868" s="17">
        <v>1</v>
      </c>
    </row>
    <row r="869" spans="1:11" x14ac:dyDescent="0.25">
      <c r="A869" s="3" t="s">
        <v>1758</v>
      </c>
      <c r="B869" s="4" t="s">
        <v>1759</v>
      </c>
      <c r="C869" s="14">
        <v>48754</v>
      </c>
      <c r="D869" s="6" t="s">
        <v>34</v>
      </c>
      <c r="E869" s="6" t="s">
        <v>17</v>
      </c>
      <c r="F869" s="7">
        <v>38078</v>
      </c>
      <c r="G869" s="8">
        <f t="shared" si="13"/>
        <v>38078</v>
      </c>
      <c r="H869" s="6" t="s">
        <v>13</v>
      </c>
      <c r="I869" s="9" t="s">
        <v>3380</v>
      </c>
      <c r="J869" s="62" t="s">
        <v>3380</v>
      </c>
      <c r="K869" s="17">
        <v>4</v>
      </c>
    </row>
    <row r="870" spans="1:11" x14ac:dyDescent="0.25">
      <c r="A870" s="3" t="s">
        <v>1760</v>
      </c>
      <c r="B870" s="4" t="s">
        <v>1761</v>
      </c>
      <c r="C870" s="5">
        <v>1500</v>
      </c>
      <c r="D870" s="6" t="s">
        <v>28</v>
      </c>
      <c r="E870" s="6" t="s">
        <v>17</v>
      </c>
      <c r="F870" s="7">
        <v>33379</v>
      </c>
      <c r="G870" s="8">
        <f t="shared" si="13"/>
        <v>33379</v>
      </c>
      <c r="H870" s="6" t="s">
        <v>13</v>
      </c>
      <c r="I870" s="9">
        <v>41307.017119397402</v>
      </c>
      <c r="J870" s="62">
        <v>567.01092940814499</v>
      </c>
      <c r="K870" s="17">
        <v>2</v>
      </c>
    </row>
    <row r="871" spans="1:11" x14ac:dyDescent="0.25">
      <c r="A871" s="3" t="s">
        <v>1762</v>
      </c>
      <c r="B871" s="4" t="s">
        <v>1763</v>
      </c>
      <c r="C871" s="5">
        <v>72111</v>
      </c>
      <c r="D871" s="6" t="s">
        <v>11</v>
      </c>
      <c r="E871" s="6" t="s">
        <v>17</v>
      </c>
      <c r="F871" s="7">
        <v>39169</v>
      </c>
      <c r="G871" s="8">
        <f t="shared" si="13"/>
        <v>39169</v>
      </c>
      <c r="H871" s="6" t="s">
        <v>13</v>
      </c>
      <c r="I871" s="9">
        <v>17687.328392487299</v>
      </c>
      <c r="J871" s="62">
        <v>121.057660589039</v>
      </c>
      <c r="K871" s="17">
        <v>1</v>
      </c>
    </row>
    <row r="872" spans="1:11" x14ac:dyDescent="0.25">
      <c r="A872" s="3" t="s">
        <v>1764</v>
      </c>
      <c r="B872" s="4" t="s">
        <v>1765</v>
      </c>
      <c r="C872" s="5">
        <v>1259</v>
      </c>
      <c r="D872" s="6" t="s">
        <v>28</v>
      </c>
      <c r="E872" s="6" t="s">
        <v>17</v>
      </c>
      <c r="F872" s="7">
        <v>29952</v>
      </c>
      <c r="G872" s="8">
        <f t="shared" si="13"/>
        <v>29952</v>
      </c>
      <c r="H872" s="6" t="s">
        <v>13</v>
      </c>
      <c r="I872" s="9">
        <v>95142.541899956093</v>
      </c>
      <c r="J872" s="62">
        <v>650.83070338406003</v>
      </c>
      <c r="K872" s="17">
        <v>2</v>
      </c>
    </row>
    <row r="873" spans="1:11" x14ac:dyDescent="0.25">
      <c r="A873" s="3" t="s">
        <v>1766</v>
      </c>
      <c r="B873" s="4" t="s">
        <v>1767</v>
      </c>
      <c r="C873" s="5">
        <v>1372</v>
      </c>
      <c r="D873" s="6" t="s">
        <v>28</v>
      </c>
      <c r="E873" s="6" t="s">
        <v>17</v>
      </c>
      <c r="F873" s="7">
        <v>36445</v>
      </c>
      <c r="G873" s="8">
        <f t="shared" si="13"/>
        <v>36445</v>
      </c>
      <c r="H873" s="6" t="s">
        <v>13</v>
      </c>
      <c r="I873" s="9">
        <v>43545.951113030802</v>
      </c>
      <c r="J873" s="62">
        <v>220.59562639242799</v>
      </c>
      <c r="K873" s="17">
        <v>1</v>
      </c>
    </row>
    <row r="874" spans="1:11" x14ac:dyDescent="0.25">
      <c r="A874" s="3" t="s">
        <v>1768</v>
      </c>
      <c r="B874" s="4" t="s">
        <v>1769</v>
      </c>
      <c r="C874" s="5">
        <v>72113</v>
      </c>
      <c r="D874" s="6" t="s">
        <v>11</v>
      </c>
      <c r="E874" s="6" t="s">
        <v>17</v>
      </c>
      <c r="F874" s="7">
        <v>39174</v>
      </c>
      <c r="G874" s="8">
        <f t="shared" si="13"/>
        <v>39174</v>
      </c>
      <c r="H874" s="6" t="s">
        <v>13</v>
      </c>
      <c r="I874" s="9">
        <v>42804.4513892701</v>
      </c>
      <c r="J874" s="62">
        <v>391.04333763239498</v>
      </c>
      <c r="K874" s="17">
        <v>1</v>
      </c>
    </row>
    <row r="875" spans="1:11" x14ac:dyDescent="0.25">
      <c r="A875" s="3" t="s">
        <v>1770</v>
      </c>
      <c r="B875" s="4" t="s">
        <v>1771</v>
      </c>
      <c r="C875" s="5">
        <v>45553</v>
      </c>
      <c r="D875" s="6" t="s">
        <v>31</v>
      </c>
      <c r="E875" s="6" t="s">
        <v>17</v>
      </c>
      <c r="F875" s="7">
        <v>33490</v>
      </c>
      <c r="G875" s="8">
        <f t="shared" si="13"/>
        <v>33490</v>
      </c>
      <c r="H875" s="6" t="s">
        <v>13</v>
      </c>
      <c r="I875" s="9">
        <v>7492.9017759832304</v>
      </c>
      <c r="J875" s="62">
        <v>335.44300837622598</v>
      </c>
      <c r="K875" s="17">
        <v>2</v>
      </c>
    </row>
    <row r="876" spans="1:11" x14ac:dyDescent="0.25">
      <c r="A876" s="3" t="s">
        <v>1772</v>
      </c>
      <c r="B876" s="4" t="s">
        <v>1773</v>
      </c>
      <c r="C876" s="5">
        <v>45521</v>
      </c>
      <c r="D876" s="6" t="s">
        <v>31</v>
      </c>
      <c r="E876" s="6" t="s">
        <v>17</v>
      </c>
      <c r="F876" s="7">
        <v>33490</v>
      </c>
      <c r="G876" s="8">
        <f t="shared" si="13"/>
        <v>33490</v>
      </c>
      <c r="H876" s="6" t="s">
        <v>13</v>
      </c>
      <c r="I876" s="9">
        <v>193915.315883109</v>
      </c>
      <c r="J876" s="62">
        <v>455.58494627914399</v>
      </c>
      <c r="K876" s="17">
        <v>2</v>
      </c>
    </row>
    <row r="877" spans="1:11" x14ac:dyDescent="0.25">
      <c r="A877" s="3" t="s">
        <v>1774</v>
      </c>
      <c r="B877" s="4" t="s">
        <v>1775</v>
      </c>
      <c r="C877" s="5">
        <v>42961</v>
      </c>
      <c r="D877" s="6" t="s">
        <v>31</v>
      </c>
      <c r="E877" s="6" t="s">
        <v>17</v>
      </c>
      <c r="F877" s="7">
        <v>33490</v>
      </c>
      <c r="G877" s="8">
        <f t="shared" si="13"/>
        <v>33490</v>
      </c>
      <c r="H877" s="6" t="s">
        <v>13</v>
      </c>
      <c r="I877" s="9">
        <v>6237.3278170217</v>
      </c>
      <c r="J877" s="62">
        <v>102.172165519741</v>
      </c>
      <c r="K877" s="17">
        <v>1</v>
      </c>
    </row>
    <row r="878" spans="1:11" x14ac:dyDescent="0.25">
      <c r="A878" s="3" t="s">
        <v>1776</v>
      </c>
      <c r="B878" s="4" t="s">
        <v>1777</v>
      </c>
      <c r="C878" s="5">
        <v>42321</v>
      </c>
      <c r="D878" s="6" t="s">
        <v>31</v>
      </c>
      <c r="E878" s="6" t="s">
        <v>17</v>
      </c>
      <c r="F878" s="7">
        <v>35016</v>
      </c>
      <c r="G878" s="8">
        <f t="shared" si="13"/>
        <v>35016</v>
      </c>
      <c r="H878" s="6" t="s">
        <v>13</v>
      </c>
      <c r="I878" s="9">
        <v>3807.8320029040001</v>
      </c>
      <c r="J878" s="62">
        <v>227.764702003156</v>
      </c>
      <c r="K878" s="17">
        <v>1</v>
      </c>
    </row>
    <row r="879" spans="1:11" x14ac:dyDescent="0.25">
      <c r="A879" s="3" t="s">
        <v>1778</v>
      </c>
      <c r="B879" s="4" t="s">
        <v>1779</v>
      </c>
      <c r="C879" s="14">
        <v>32897</v>
      </c>
      <c r="D879" s="6" t="s">
        <v>16</v>
      </c>
      <c r="E879" s="6" t="s">
        <v>17</v>
      </c>
      <c r="F879" s="7">
        <v>38376</v>
      </c>
      <c r="G879" s="8">
        <f t="shared" si="13"/>
        <v>38376</v>
      </c>
      <c r="H879" s="6" t="s">
        <v>13</v>
      </c>
      <c r="I879" s="9">
        <v>51945.758803243298</v>
      </c>
      <c r="J879" s="62">
        <v>604.96987326196199</v>
      </c>
      <c r="K879" s="17">
        <v>2</v>
      </c>
    </row>
    <row r="880" spans="1:11" x14ac:dyDescent="0.25">
      <c r="A880" s="3" t="s">
        <v>1780</v>
      </c>
      <c r="B880" s="4" t="s">
        <v>1781</v>
      </c>
      <c r="C880" s="5">
        <v>7043</v>
      </c>
      <c r="D880" s="6" t="s">
        <v>34</v>
      </c>
      <c r="E880" s="6" t="s">
        <v>17</v>
      </c>
      <c r="F880" s="7">
        <v>37209</v>
      </c>
      <c r="G880" s="8">
        <f t="shared" si="13"/>
        <v>37209</v>
      </c>
      <c r="H880" s="6" t="s">
        <v>13</v>
      </c>
      <c r="I880" s="9">
        <v>6134.1849674999303</v>
      </c>
      <c r="J880" s="62">
        <v>48.388179940841603</v>
      </c>
      <c r="K880" s="17">
        <v>1</v>
      </c>
    </row>
    <row r="881" spans="1:11" x14ac:dyDescent="0.25">
      <c r="A881" s="3" t="s">
        <v>1782</v>
      </c>
      <c r="B881" s="4" t="s">
        <v>1783</v>
      </c>
      <c r="C881" s="5">
        <v>10241</v>
      </c>
      <c r="D881" s="6" t="s">
        <v>11</v>
      </c>
      <c r="E881" s="6" t="s">
        <v>17</v>
      </c>
      <c r="F881" s="7">
        <v>37228</v>
      </c>
      <c r="G881" s="8">
        <f t="shared" si="13"/>
        <v>37228</v>
      </c>
      <c r="H881" s="6" t="s">
        <v>13</v>
      </c>
      <c r="I881" s="9">
        <v>6884.0843296887206</v>
      </c>
      <c r="J881" s="62">
        <v>207.75448235501</v>
      </c>
      <c r="K881" s="17">
        <v>1</v>
      </c>
    </row>
    <row r="882" spans="1:11" x14ac:dyDescent="0.25">
      <c r="A882" s="3" t="s">
        <v>1784</v>
      </c>
      <c r="B882" s="4" t="s">
        <v>1785</v>
      </c>
      <c r="C882" s="5">
        <v>47442</v>
      </c>
      <c r="D882" s="6" t="s">
        <v>28</v>
      </c>
      <c r="E882" s="6" t="s">
        <v>17</v>
      </c>
      <c r="F882" s="7">
        <v>39415</v>
      </c>
      <c r="G882" s="8">
        <f t="shared" si="13"/>
        <v>39415</v>
      </c>
      <c r="H882" s="6" t="s">
        <v>13</v>
      </c>
      <c r="I882" s="9">
        <v>25391.176611339499</v>
      </c>
      <c r="J882" s="62">
        <v>215.922743147039</v>
      </c>
      <c r="K882" s="17">
        <v>1</v>
      </c>
    </row>
    <row r="883" spans="1:11" x14ac:dyDescent="0.25">
      <c r="A883" s="3" t="s">
        <v>1786</v>
      </c>
      <c r="B883" s="4" t="s">
        <v>1787</v>
      </c>
      <c r="C883" s="5">
        <v>54619</v>
      </c>
      <c r="D883" s="6" t="s">
        <v>28</v>
      </c>
      <c r="E883" s="6" t="s">
        <v>17</v>
      </c>
      <c r="F883" s="7">
        <v>36420</v>
      </c>
      <c r="G883" s="8">
        <f t="shared" si="13"/>
        <v>36420</v>
      </c>
      <c r="H883" s="6" t="s">
        <v>13</v>
      </c>
      <c r="I883" s="9">
        <v>26634.5187072234</v>
      </c>
      <c r="J883" s="62">
        <v>336.58054826866697</v>
      </c>
      <c r="K883" s="17">
        <v>1</v>
      </c>
    </row>
    <row r="884" spans="1:11" x14ac:dyDescent="0.25">
      <c r="A884" s="3" t="s">
        <v>1788</v>
      </c>
      <c r="B884" s="4" t="s">
        <v>1789</v>
      </c>
      <c r="C884" s="5">
        <v>1791</v>
      </c>
      <c r="D884" s="6" t="s">
        <v>28</v>
      </c>
      <c r="E884" s="6" t="s">
        <v>17</v>
      </c>
      <c r="F884" s="7">
        <v>40198</v>
      </c>
      <c r="G884" s="8">
        <f t="shared" si="13"/>
        <v>40198</v>
      </c>
      <c r="H884" s="6" t="s">
        <v>13</v>
      </c>
      <c r="I884" s="9">
        <v>10281.7940883473</v>
      </c>
      <c r="J884" s="62">
        <v>176.935804219857</v>
      </c>
      <c r="K884" s="17">
        <v>1</v>
      </c>
    </row>
    <row r="885" spans="1:11" x14ac:dyDescent="0.25">
      <c r="A885" s="3" t="s">
        <v>1790</v>
      </c>
      <c r="B885" s="4" t="s">
        <v>1791</v>
      </c>
      <c r="C885" s="5">
        <v>1726</v>
      </c>
      <c r="D885" s="6" t="s">
        <v>16</v>
      </c>
      <c r="E885" s="6" t="s">
        <v>17</v>
      </c>
      <c r="F885" s="7">
        <v>27187</v>
      </c>
      <c r="G885" s="8">
        <f t="shared" si="13"/>
        <v>27187</v>
      </c>
      <c r="H885" s="6" t="s">
        <v>13</v>
      </c>
      <c r="I885" s="9">
        <v>10250.0878675162</v>
      </c>
      <c r="J885" s="62">
        <v>89.181674684161095</v>
      </c>
      <c r="K885" s="17">
        <v>1</v>
      </c>
    </row>
    <row r="886" spans="1:11" x14ac:dyDescent="0.25">
      <c r="A886" s="3" t="s">
        <v>1792</v>
      </c>
      <c r="B886" s="4" t="s">
        <v>1793</v>
      </c>
      <c r="C886" s="14">
        <v>1877</v>
      </c>
      <c r="D886" s="6" t="s">
        <v>34</v>
      </c>
      <c r="E886" s="6" t="s">
        <v>17</v>
      </c>
      <c r="F886" s="7">
        <v>29221</v>
      </c>
      <c r="G886" s="8">
        <f t="shared" si="13"/>
        <v>29221</v>
      </c>
      <c r="H886" s="6" t="s">
        <v>13</v>
      </c>
      <c r="I886" s="9">
        <v>176481.50652647801</v>
      </c>
      <c r="J886" s="62">
        <v>1132.6449835298199</v>
      </c>
      <c r="K886" s="11">
        <v>2</v>
      </c>
    </row>
    <row r="887" spans="1:11" x14ac:dyDescent="0.25">
      <c r="A887" s="3" t="s">
        <v>1794</v>
      </c>
      <c r="B887" s="4" t="s">
        <v>1795</v>
      </c>
      <c r="C887" s="14">
        <v>1571</v>
      </c>
      <c r="D887" s="6" t="s">
        <v>16</v>
      </c>
      <c r="E887" s="6" t="s">
        <v>17</v>
      </c>
      <c r="F887" s="7">
        <v>29952</v>
      </c>
      <c r="G887" s="8">
        <f t="shared" si="13"/>
        <v>29952</v>
      </c>
      <c r="H887" s="6" t="s">
        <v>13</v>
      </c>
      <c r="I887" s="9">
        <v>37410.204312354304</v>
      </c>
      <c r="J887" s="62">
        <v>477.09998938821002</v>
      </c>
      <c r="K887" s="17">
        <v>2</v>
      </c>
    </row>
    <row r="888" spans="1:11" x14ac:dyDescent="0.25">
      <c r="A888" s="3" t="s">
        <v>1796</v>
      </c>
      <c r="B888" s="4" t="s">
        <v>1797</v>
      </c>
      <c r="C888" s="5">
        <v>1783</v>
      </c>
      <c r="D888" s="6" t="s">
        <v>28</v>
      </c>
      <c r="E888" s="6" t="s">
        <v>17</v>
      </c>
      <c r="F888" s="7">
        <v>36213</v>
      </c>
      <c r="G888" s="8">
        <f t="shared" si="13"/>
        <v>36213</v>
      </c>
      <c r="H888" s="6" t="s">
        <v>13</v>
      </c>
      <c r="I888" s="9">
        <v>40409.4810450566</v>
      </c>
      <c r="J888" s="62">
        <v>348.16249462411997</v>
      </c>
      <c r="K888" s="17">
        <v>1</v>
      </c>
    </row>
    <row r="889" spans="1:11" x14ac:dyDescent="0.25">
      <c r="A889" s="3" t="s">
        <v>1798</v>
      </c>
      <c r="B889" s="4" t="s">
        <v>1799</v>
      </c>
      <c r="C889" s="14">
        <v>54620</v>
      </c>
      <c r="D889" s="6" t="s">
        <v>28</v>
      </c>
      <c r="E889" s="6" t="s">
        <v>17</v>
      </c>
      <c r="F889" s="7">
        <v>28481</v>
      </c>
      <c r="G889" s="8">
        <f t="shared" si="13"/>
        <v>28481</v>
      </c>
      <c r="H889" s="6" t="s">
        <v>13</v>
      </c>
      <c r="I889" s="9">
        <v>159882.99952710001</v>
      </c>
      <c r="J889" s="62">
        <v>494.19469501832998</v>
      </c>
      <c r="K889" s="17">
        <v>1</v>
      </c>
    </row>
    <row r="890" spans="1:11" x14ac:dyDescent="0.25">
      <c r="A890" s="3" t="s">
        <v>1800</v>
      </c>
      <c r="B890" s="4" t="s">
        <v>1801</v>
      </c>
      <c r="C890" s="14">
        <v>2026</v>
      </c>
      <c r="D890" s="6" t="s">
        <v>16</v>
      </c>
      <c r="E890" s="6" t="s">
        <v>17</v>
      </c>
      <c r="F890" s="7">
        <v>35905</v>
      </c>
      <c r="G890" s="8">
        <f t="shared" si="13"/>
        <v>35905</v>
      </c>
      <c r="H890" s="6" t="s">
        <v>13</v>
      </c>
      <c r="I890" s="9">
        <v>37378.194873831198</v>
      </c>
      <c r="J890" s="62">
        <v>1394.9260635012199</v>
      </c>
      <c r="K890" s="17">
        <v>4</v>
      </c>
    </row>
    <row r="891" spans="1:11" x14ac:dyDescent="0.25">
      <c r="A891" s="3" t="s">
        <v>1802</v>
      </c>
      <c r="B891" s="4" t="s">
        <v>1803</v>
      </c>
      <c r="C891" s="5">
        <v>1074</v>
      </c>
      <c r="D891" s="6" t="s">
        <v>31</v>
      </c>
      <c r="E891" s="6" t="s">
        <v>17</v>
      </c>
      <c r="F891" s="7">
        <v>33834</v>
      </c>
      <c r="G891" s="8">
        <f t="shared" si="13"/>
        <v>33834</v>
      </c>
      <c r="H891" s="6" t="s">
        <v>13</v>
      </c>
      <c r="I891" s="9">
        <v>8104.1853943605402</v>
      </c>
      <c r="J891" s="62">
        <v>72.9716126816393</v>
      </c>
      <c r="K891" s="17">
        <v>1</v>
      </c>
    </row>
    <row r="892" spans="1:11" x14ac:dyDescent="0.25">
      <c r="A892" s="3" t="s">
        <v>1804</v>
      </c>
      <c r="B892" s="4" t="s">
        <v>1805</v>
      </c>
      <c r="C892" s="5">
        <v>1922</v>
      </c>
      <c r="D892" s="6" t="s">
        <v>31</v>
      </c>
      <c r="E892" s="6" t="s">
        <v>17</v>
      </c>
      <c r="F892" s="7">
        <v>35537</v>
      </c>
      <c r="G892" s="8">
        <f t="shared" si="13"/>
        <v>35537</v>
      </c>
      <c r="H892" s="6" t="s">
        <v>13</v>
      </c>
      <c r="I892" s="9">
        <v>16067.414013248701</v>
      </c>
      <c r="J892" s="62">
        <v>193.37732888926601</v>
      </c>
      <c r="K892" s="17">
        <v>1</v>
      </c>
    </row>
    <row r="893" spans="1:11" x14ac:dyDescent="0.25">
      <c r="A893" s="3" t="s">
        <v>1806</v>
      </c>
      <c r="B893" s="4" t="s">
        <v>1807</v>
      </c>
      <c r="C893" s="5">
        <v>1873</v>
      </c>
      <c r="D893" s="6" t="s">
        <v>31</v>
      </c>
      <c r="E893" s="6" t="s">
        <v>17</v>
      </c>
      <c r="F893" s="7">
        <v>25569</v>
      </c>
      <c r="G893" s="8">
        <f t="shared" si="13"/>
        <v>25569</v>
      </c>
      <c r="H893" s="6" t="s">
        <v>13</v>
      </c>
      <c r="I893" s="9">
        <v>5195.75475968715</v>
      </c>
      <c r="J893" s="62">
        <v>177.003969861087</v>
      </c>
      <c r="K893" s="17">
        <v>1</v>
      </c>
    </row>
    <row r="894" spans="1:11" x14ac:dyDescent="0.25">
      <c r="A894" s="3" t="s">
        <v>1808</v>
      </c>
      <c r="B894" s="4" t="s">
        <v>1809</v>
      </c>
      <c r="C894" s="14">
        <v>1915</v>
      </c>
      <c r="D894" s="6" t="s">
        <v>34</v>
      </c>
      <c r="E894" s="6" t="s">
        <v>17</v>
      </c>
      <c r="F894" s="7">
        <v>29221</v>
      </c>
      <c r="G894" s="8">
        <f t="shared" si="13"/>
        <v>29221</v>
      </c>
      <c r="H894" s="6" t="s">
        <v>13</v>
      </c>
      <c r="I894" s="9" t="s">
        <v>3380</v>
      </c>
      <c r="J894" s="62" t="s">
        <v>3380</v>
      </c>
      <c r="K894" s="17">
        <v>3</v>
      </c>
    </row>
    <row r="895" spans="1:11" x14ac:dyDescent="0.25">
      <c r="A895" s="3" t="s">
        <v>1810</v>
      </c>
      <c r="B895" s="4" t="s">
        <v>1811</v>
      </c>
      <c r="C895" s="5">
        <v>1675</v>
      </c>
      <c r="D895" s="6" t="s">
        <v>34</v>
      </c>
      <c r="E895" s="6" t="s">
        <v>17</v>
      </c>
      <c r="F895" s="7">
        <v>36719</v>
      </c>
      <c r="G895" s="8">
        <f t="shared" si="13"/>
        <v>36719</v>
      </c>
      <c r="H895" s="6" t="s">
        <v>13</v>
      </c>
      <c r="I895" s="9">
        <v>21661.928040913299</v>
      </c>
      <c r="J895" s="62">
        <v>275.97398947217403</v>
      </c>
      <c r="K895" s="17">
        <v>1</v>
      </c>
    </row>
    <row r="896" spans="1:11" x14ac:dyDescent="0.25">
      <c r="A896" s="3" t="s">
        <v>1812</v>
      </c>
      <c r="B896" s="4" t="s">
        <v>1813</v>
      </c>
      <c r="C896" s="5">
        <v>54621</v>
      </c>
      <c r="D896" s="6" t="s">
        <v>34</v>
      </c>
      <c r="E896" s="6" t="s">
        <v>17</v>
      </c>
      <c r="F896" s="7">
        <v>39519</v>
      </c>
      <c r="G896" s="8">
        <f t="shared" si="13"/>
        <v>39519</v>
      </c>
      <c r="H896" s="6" t="s">
        <v>13</v>
      </c>
      <c r="I896" s="9">
        <v>4109.9679335773899</v>
      </c>
      <c r="J896" s="62">
        <v>73.515384529093495</v>
      </c>
      <c r="K896" s="17">
        <v>1</v>
      </c>
    </row>
    <row r="897" spans="1:11" x14ac:dyDescent="0.25">
      <c r="A897" s="3" t="s">
        <v>1814</v>
      </c>
      <c r="B897" s="4" t="s">
        <v>1815</v>
      </c>
      <c r="C897" s="5">
        <v>1365</v>
      </c>
      <c r="D897" s="6" t="s">
        <v>34</v>
      </c>
      <c r="E897" s="6" t="s">
        <v>17</v>
      </c>
      <c r="F897" s="7">
        <v>18264</v>
      </c>
      <c r="G897" s="8">
        <f t="shared" si="13"/>
        <v>18264</v>
      </c>
      <c r="H897" s="6" t="s">
        <v>13</v>
      </c>
      <c r="I897" s="9">
        <v>20453.110181812503</v>
      </c>
      <c r="J897" s="62">
        <v>57.465667076550901</v>
      </c>
      <c r="K897" s="17">
        <v>1</v>
      </c>
    </row>
    <row r="898" spans="1:11" x14ac:dyDescent="0.25">
      <c r="A898" s="3" t="s">
        <v>1816</v>
      </c>
      <c r="B898" s="4" t="s">
        <v>1817</v>
      </c>
      <c r="C898" s="14">
        <v>55121</v>
      </c>
      <c r="D898" s="6" t="s">
        <v>34</v>
      </c>
      <c r="E898" s="6" t="s">
        <v>17</v>
      </c>
      <c r="F898" s="7">
        <v>34700</v>
      </c>
      <c r="G898" s="8">
        <f t="shared" ref="G898:G961" si="14">F898</f>
        <v>34700</v>
      </c>
      <c r="H898" s="6" t="s">
        <v>13</v>
      </c>
      <c r="I898" s="9">
        <v>11773.908662335201</v>
      </c>
      <c r="J898" s="62">
        <v>73.656529411945698</v>
      </c>
      <c r="K898" s="17">
        <v>1</v>
      </c>
    </row>
    <row r="899" spans="1:11" x14ac:dyDescent="0.25">
      <c r="A899" s="3" t="s">
        <v>1818</v>
      </c>
      <c r="B899" s="4" t="s">
        <v>1819</v>
      </c>
      <c r="C899" s="14">
        <v>1674</v>
      </c>
      <c r="D899" s="6" t="s">
        <v>34</v>
      </c>
      <c r="E899" s="6" t="s">
        <v>17</v>
      </c>
      <c r="F899" s="7">
        <v>28126</v>
      </c>
      <c r="G899" s="8">
        <f t="shared" si="14"/>
        <v>28126</v>
      </c>
      <c r="H899" s="6" t="s">
        <v>13</v>
      </c>
      <c r="I899" s="9">
        <v>74404.734212947005</v>
      </c>
      <c r="J899" s="62">
        <v>791.11195316216003</v>
      </c>
      <c r="K899" s="17">
        <v>3</v>
      </c>
    </row>
    <row r="900" spans="1:11" x14ac:dyDescent="0.25">
      <c r="A900" s="3" t="s">
        <v>1820</v>
      </c>
      <c r="B900" s="4" t="s">
        <v>1821</v>
      </c>
      <c r="C900" s="14">
        <v>1041</v>
      </c>
      <c r="D900" s="6" t="s">
        <v>31</v>
      </c>
      <c r="E900" s="6" t="s">
        <v>17</v>
      </c>
      <c r="F900" s="7">
        <v>19725</v>
      </c>
      <c r="G900" s="8">
        <f t="shared" si="14"/>
        <v>19725</v>
      </c>
      <c r="H900" s="6" t="s">
        <v>13</v>
      </c>
      <c r="I900" s="9">
        <v>14216.2024827853</v>
      </c>
      <c r="J900" s="62">
        <v>153.01126921578501</v>
      </c>
      <c r="K900" s="17">
        <v>2</v>
      </c>
    </row>
    <row r="901" spans="1:11" x14ac:dyDescent="0.25">
      <c r="A901" s="3" t="s">
        <v>1822</v>
      </c>
      <c r="B901" s="4" t="s">
        <v>1823</v>
      </c>
      <c r="C901" s="5">
        <v>1364</v>
      </c>
      <c r="D901" s="6" t="s">
        <v>34</v>
      </c>
      <c r="E901" s="6" t="s">
        <v>17</v>
      </c>
      <c r="F901" s="7">
        <v>25817</v>
      </c>
      <c r="G901" s="8">
        <f t="shared" si="14"/>
        <v>25817</v>
      </c>
      <c r="H901" s="6" t="s">
        <v>13</v>
      </c>
      <c r="I901" s="9">
        <v>398.73164119167296</v>
      </c>
      <c r="J901" s="62">
        <v>99.941410156643599</v>
      </c>
      <c r="K901" s="17">
        <v>2</v>
      </c>
    </row>
    <row r="902" spans="1:11" x14ac:dyDescent="0.25">
      <c r="A902" s="3" t="s">
        <v>1824</v>
      </c>
      <c r="B902" s="4" t="s">
        <v>1825</v>
      </c>
      <c r="C902" s="5">
        <v>10569</v>
      </c>
      <c r="D902" s="6" t="s">
        <v>34</v>
      </c>
      <c r="E902" s="6" t="s">
        <v>17</v>
      </c>
      <c r="F902" s="7">
        <v>37460</v>
      </c>
      <c r="G902" s="8">
        <f t="shared" si="14"/>
        <v>37460</v>
      </c>
      <c r="H902" s="6" t="s">
        <v>13</v>
      </c>
      <c r="I902" s="9">
        <v>234855.226867383</v>
      </c>
      <c r="J902" s="62">
        <v>378.62948066241398</v>
      </c>
      <c r="K902" s="17">
        <v>2</v>
      </c>
    </row>
    <row r="903" spans="1:11" x14ac:dyDescent="0.25">
      <c r="A903" s="3" t="s">
        <v>1826</v>
      </c>
      <c r="B903" s="4" t="s">
        <v>1827</v>
      </c>
      <c r="C903" s="14">
        <v>1844</v>
      </c>
      <c r="D903" s="6" t="s">
        <v>31</v>
      </c>
      <c r="E903" s="6" t="s">
        <v>17</v>
      </c>
      <c r="F903" s="7">
        <v>29952</v>
      </c>
      <c r="G903" s="8">
        <f t="shared" si="14"/>
        <v>29952</v>
      </c>
      <c r="H903" s="6" t="s">
        <v>13</v>
      </c>
      <c r="I903" s="9">
        <v>132538.83888109701</v>
      </c>
      <c r="J903" s="62">
        <v>478.54187777034201</v>
      </c>
      <c r="K903" s="17">
        <v>2</v>
      </c>
    </row>
    <row r="904" spans="1:11" x14ac:dyDescent="0.25">
      <c r="A904" s="3" t="s">
        <v>1828</v>
      </c>
      <c r="B904" s="4" t="s">
        <v>1829</v>
      </c>
      <c r="C904" s="5">
        <v>16649</v>
      </c>
      <c r="D904" s="6" t="s">
        <v>28</v>
      </c>
      <c r="E904" s="6" t="s">
        <v>17</v>
      </c>
      <c r="F904" s="7">
        <v>33337</v>
      </c>
      <c r="G904" s="8">
        <f t="shared" si="14"/>
        <v>33337</v>
      </c>
      <c r="H904" s="6" t="s">
        <v>13</v>
      </c>
      <c r="I904" s="9">
        <v>8437.3907198202396</v>
      </c>
      <c r="J904" s="62">
        <v>383.71168895538199</v>
      </c>
      <c r="K904" s="17">
        <v>2</v>
      </c>
    </row>
    <row r="905" spans="1:11" x14ac:dyDescent="0.25">
      <c r="A905" s="3" t="s">
        <v>1830</v>
      </c>
      <c r="B905" s="4" t="s">
        <v>1831</v>
      </c>
      <c r="C905" s="5">
        <v>25297</v>
      </c>
      <c r="D905" s="6" t="s">
        <v>28</v>
      </c>
      <c r="E905" s="6" t="s">
        <v>17</v>
      </c>
      <c r="F905" s="7">
        <v>31809</v>
      </c>
      <c r="G905" s="8">
        <f t="shared" si="14"/>
        <v>31809</v>
      </c>
      <c r="H905" s="6" t="s">
        <v>13</v>
      </c>
      <c r="I905" s="9">
        <v>34036.446341574803</v>
      </c>
      <c r="J905" s="62">
        <v>291.86057677596898</v>
      </c>
      <c r="K905" s="17">
        <v>2</v>
      </c>
    </row>
    <row r="906" spans="1:11" x14ac:dyDescent="0.25">
      <c r="A906" s="3" t="s">
        <v>1832</v>
      </c>
      <c r="B906" s="4" t="s">
        <v>1833</v>
      </c>
      <c r="C906" s="5">
        <v>8005</v>
      </c>
      <c r="D906" s="6" t="s">
        <v>28</v>
      </c>
      <c r="E906" s="6" t="s">
        <v>17</v>
      </c>
      <c r="F906" s="7">
        <v>36937</v>
      </c>
      <c r="G906" s="8">
        <f t="shared" si="14"/>
        <v>36937</v>
      </c>
      <c r="H906" s="6" t="s">
        <v>13</v>
      </c>
      <c r="I906" s="9">
        <v>3180.5082232427399</v>
      </c>
      <c r="J906" s="62">
        <v>148.55476996118099</v>
      </c>
      <c r="K906" s="17">
        <v>2</v>
      </c>
    </row>
    <row r="907" spans="1:11" x14ac:dyDescent="0.25">
      <c r="A907" s="3" t="s">
        <v>1834</v>
      </c>
      <c r="B907" s="4" t="s">
        <v>1835</v>
      </c>
      <c r="C907" s="5">
        <v>1839</v>
      </c>
      <c r="D907" s="6" t="s">
        <v>16</v>
      </c>
      <c r="E907" s="6" t="s">
        <v>17</v>
      </c>
      <c r="F907" s="7">
        <v>29221</v>
      </c>
      <c r="G907" s="8">
        <f t="shared" si="14"/>
        <v>29221</v>
      </c>
      <c r="H907" s="6" t="s">
        <v>13</v>
      </c>
      <c r="I907" s="9">
        <v>27279.2746445917</v>
      </c>
      <c r="J907" s="62">
        <v>388.33983475565998</v>
      </c>
      <c r="K907" s="17">
        <v>1</v>
      </c>
    </row>
    <row r="908" spans="1:11" x14ac:dyDescent="0.25">
      <c r="A908" s="3" t="s">
        <v>1836</v>
      </c>
      <c r="B908" s="4" t="s">
        <v>1837</v>
      </c>
      <c r="C908" s="5">
        <v>3526</v>
      </c>
      <c r="D908" s="6" t="s">
        <v>28</v>
      </c>
      <c r="E908" s="6" t="s">
        <v>17</v>
      </c>
      <c r="F908" s="7">
        <v>37201</v>
      </c>
      <c r="G908" s="8">
        <f t="shared" si="14"/>
        <v>37201</v>
      </c>
      <c r="H908" s="6" t="s">
        <v>13</v>
      </c>
      <c r="I908" s="9">
        <v>27736.9168804783</v>
      </c>
      <c r="J908" s="62">
        <v>785.615032724613</v>
      </c>
      <c r="K908" s="17">
        <v>2</v>
      </c>
    </row>
    <row r="909" spans="1:11" x14ac:dyDescent="0.25">
      <c r="A909" s="3" t="s">
        <v>1838</v>
      </c>
      <c r="B909" s="4" t="s">
        <v>1839</v>
      </c>
      <c r="C909" s="5">
        <v>72130</v>
      </c>
      <c r="D909" s="6" t="s">
        <v>34</v>
      </c>
      <c r="E909" s="6" t="s">
        <v>17</v>
      </c>
      <c r="F909" s="7">
        <v>38819</v>
      </c>
      <c r="G909" s="8">
        <f t="shared" si="14"/>
        <v>38819</v>
      </c>
      <c r="H909" s="6" t="s">
        <v>13</v>
      </c>
      <c r="I909" s="9">
        <v>15340.442055113099</v>
      </c>
      <c r="J909" s="62">
        <v>98.463247013065896</v>
      </c>
      <c r="K909" s="17">
        <v>1</v>
      </c>
    </row>
    <row r="910" spans="1:11" x14ac:dyDescent="0.25">
      <c r="A910" s="3" t="s">
        <v>1840</v>
      </c>
      <c r="B910" s="4" t="s">
        <v>1841</v>
      </c>
      <c r="C910" s="5">
        <v>72170</v>
      </c>
      <c r="D910" s="6" t="s">
        <v>37</v>
      </c>
      <c r="E910" s="6" t="s">
        <v>38</v>
      </c>
      <c r="F910" s="7">
        <v>39184</v>
      </c>
      <c r="G910" s="8">
        <f t="shared" si="14"/>
        <v>39184</v>
      </c>
      <c r="H910" s="6" t="s">
        <v>39</v>
      </c>
      <c r="I910" s="9">
        <v>42651.592653744803</v>
      </c>
      <c r="J910" s="62">
        <v>183.37503289105899</v>
      </c>
      <c r="K910" s="17">
        <v>2</v>
      </c>
    </row>
    <row r="911" spans="1:11" x14ac:dyDescent="0.25">
      <c r="A911" s="3" t="s">
        <v>1842</v>
      </c>
      <c r="B911" s="4" t="s">
        <v>1843</v>
      </c>
      <c r="C911" s="14">
        <v>72148</v>
      </c>
      <c r="D911" s="6" t="s">
        <v>11</v>
      </c>
      <c r="E911" s="6" t="s">
        <v>12</v>
      </c>
      <c r="F911" s="7">
        <v>39274</v>
      </c>
      <c r="G911" s="8">
        <f t="shared" si="14"/>
        <v>39274</v>
      </c>
      <c r="H911" s="6" t="s">
        <v>39</v>
      </c>
      <c r="I911" s="9" t="s">
        <v>3380</v>
      </c>
      <c r="J911" s="62" t="s">
        <v>3380</v>
      </c>
      <c r="K911" s="17">
        <v>3</v>
      </c>
    </row>
    <row r="912" spans="1:11" x14ac:dyDescent="0.25">
      <c r="A912" s="3" t="s">
        <v>1844</v>
      </c>
      <c r="B912" s="4" t="s">
        <v>1845</v>
      </c>
      <c r="C912" s="5">
        <v>72149</v>
      </c>
      <c r="D912" s="6" t="s">
        <v>11</v>
      </c>
      <c r="E912" s="6" t="s">
        <v>12</v>
      </c>
      <c r="F912" s="7">
        <v>39274</v>
      </c>
      <c r="G912" s="8">
        <f t="shared" si="14"/>
        <v>39274</v>
      </c>
      <c r="H912" s="6" t="s">
        <v>39</v>
      </c>
      <c r="I912" s="9">
        <v>22874.948060660303</v>
      </c>
      <c r="J912" s="62">
        <v>257.91558027171197</v>
      </c>
      <c r="K912" s="17">
        <v>1</v>
      </c>
    </row>
    <row r="913" spans="1:11" x14ac:dyDescent="0.25">
      <c r="A913" s="3" t="s">
        <v>1846</v>
      </c>
      <c r="B913" s="4" t="s">
        <v>1847</v>
      </c>
      <c r="C913" s="5">
        <v>15683</v>
      </c>
      <c r="D913" s="6" t="s">
        <v>31</v>
      </c>
      <c r="E913" s="6" t="s">
        <v>17</v>
      </c>
      <c r="F913" s="7">
        <v>28564</v>
      </c>
      <c r="G913" s="8">
        <f t="shared" si="14"/>
        <v>28564</v>
      </c>
      <c r="H913" s="6" t="s">
        <v>13</v>
      </c>
      <c r="I913" s="9">
        <v>39033.888634225907</v>
      </c>
      <c r="J913" s="62">
        <v>246.71557430356799</v>
      </c>
      <c r="K913" s="17">
        <v>1</v>
      </c>
    </row>
    <row r="914" spans="1:11" x14ac:dyDescent="0.25">
      <c r="A914" s="3" t="s">
        <v>1848</v>
      </c>
      <c r="B914" s="4" t="s">
        <v>1849</v>
      </c>
      <c r="C914" s="5">
        <v>1122</v>
      </c>
      <c r="D914" s="6" t="s">
        <v>16</v>
      </c>
      <c r="E914" s="6" t="s">
        <v>17</v>
      </c>
      <c r="F914" s="7">
        <v>29221</v>
      </c>
      <c r="G914" s="8">
        <f t="shared" si="14"/>
        <v>29221</v>
      </c>
      <c r="H914" s="6" t="s">
        <v>13</v>
      </c>
      <c r="I914" s="9">
        <v>25938.2994574111</v>
      </c>
      <c r="J914" s="62">
        <v>264.80856491663798</v>
      </c>
      <c r="K914" s="17">
        <v>1</v>
      </c>
    </row>
    <row r="915" spans="1:11" x14ac:dyDescent="0.25">
      <c r="A915" s="3" t="s">
        <v>1850</v>
      </c>
      <c r="B915" s="4" t="s">
        <v>1851</v>
      </c>
      <c r="C915" s="5">
        <v>52930</v>
      </c>
      <c r="D915" s="6" t="s">
        <v>34</v>
      </c>
      <c r="E915" s="6" t="s">
        <v>17</v>
      </c>
      <c r="F915" s="7">
        <v>39154</v>
      </c>
      <c r="G915" s="8">
        <f t="shared" si="14"/>
        <v>39154</v>
      </c>
      <c r="H915" s="6" t="s">
        <v>13</v>
      </c>
      <c r="I915" s="9">
        <v>63006.930722874204</v>
      </c>
      <c r="J915" s="62">
        <v>578.32189844725997</v>
      </c>
      <c r="K915" s="17">
        <v>1</v>
      </c>
    </row>
    <row r="916" spans="1:11" x14ac:dyDescent="0.25">
      <c r="A916" s="3" t="s">
        <v>1852</v>
      </c>
      <c r="B916" s="4" t="s">
        <v>1853</v>
      </c>
      <c r="C916" s="14">
        <v>43924</v>
      </c>
      <c r="D916" s="6" t="s">
        <v>31</v>
      </c>
      <c r="E916" s="6" t="s">
        <v>17</v>
      </c>
      <c r="F916" s="7">
        <v>39428</v>
      </c>
      <c r="G916" s="8">
        <f t="shared" si="14"/>
        <v>39428</v>
      </c>
      <c r="H916" s="6" t="s">
        <v>13</v>
      </c>
      <c r="I916" s="9">
        <v>34075.4163443535</v>
      </c>
      <c r="J916" s="62">
        <v>174.32430407869501</v>
      </c>
      <c r="K916" s="17">
        <v>2</v>
      </c>
    </row>
    <row r="917" spans="1:11" x14ac:dyDescent="0.25">
      <c r="A917" s="3" t="s">
        <v>1854</v>
      </c>
      <c r="B917" s="4" t="s">
        <v>1855</v>
      </c>
      <c r="C917" s="5">
        <v>12495</v>
      </c>
      <c r="D917" s="6" t="s">
        <v>37</v>
      </c>
      <c r="E917" s="6" t="s">
        <v>38</v>
      </c>
      <c r="F917" s="7">
        <v>36431</v>
      </c>
      <c r="G917" s="8">
        <f t="shared" si="14"/>
        <v>36431</v>
      </c>
      <c r="H917" s="6" t="s">
        <v>39</v>
      </c>
      <c r="I917" s="9">
        <v>33522.763105322396</v>
      </c>
      <c r="J917" s="62">
        <v>395.41041237445597</v>
      </c>
      <c r="K917" s="17">
        <v>1</v>
      </c>
    </row>
    <row r="918" spans="1:11" x14ac:dyDescent="0.25">
      <c r="A918" s="3" t="s">
        <v>1856</v>
      </c>
      <c r="B918" s="4" t="s">
        <v>1857</v>
      </c>
      <c r="C918" s="14">
        <v>15366</v>
      </c>
      <c r="D918" s="6" t="s">
        <v>34</v>
      </c>
      <c r="E918" s="6" t="s">
        <v>17</v>
      </c>
      <c r="F918" s="7">
        <v>38387</v>
      </c>
      <c r="G918" s="8">
        <f t="shared" si="14"/>
        <v>38387</v>
      </c>
      <c r="H918" s="6" t="s">
        <v>13</v>
      </c>
      <c r="I918" s="9" t="s">
        <v>3380</v>
      </c>
      <c r="J918" s="62" t="s">
        <v>3380</v>
      </c>
      <c r="K918" s="17">
        <v>4</v>
      </c>
    </row>
    <row r="919" spans="1:11" x14ac:dyDescent="0.25">
      <c r="A919" s="3" t="s">
        <v>1858</v>
      </c>
      <c r="B919" s="4" t="s">
        <v>1859</v>
      </c>
      <c r="C919" s="14">
        <v>29845</v>
      </c>
      <c r="D919" s="6" t="s">
        <v>34</v>
      </c>
      <c r="E919" s="6" t="s">
        <v>17</v>
      </c>
      <c r="F919" s="7">
        <v>37561</v>
      </c>
      <c r="G919" s="8">
        <f t="shared" si="14"/>
        <v>37561</v>
      </c>
      <c r="H919" s="6" t="s">
        <v>13</v>
      </c>
      <c r="I919" s="9">
        <v>94017.4045145376</v>
      </c>
      <c r="J919" s="62">
        <v>1021.89603919925</v>
      </c>
      <c r="K919" s="17">
        <v>2</v>
      </c>
    </row>
    <row r="920" spans="1:11" x14ac:dyDescent="0.25">
      <c r="A920" s="26" t="s">
        <v>1860</v>
      </c>
      <c r="B920" s="27" t="s">
        <v>1861</v>
      </c>
      <c r="C920" s="5">
        <v>2053</v>
      </c>
      <c r="D920" s="28" t="s">
        <v>31</v>
      </c>
      <c r="E920" s="28" t="s">
        <v>17</v>
      </c>
      <c r="F920" s="29">
        <v>34145</v>
      </c>
      <c r="G920" s="30">
        <f t="shared" si="14"/>
        <v>34145</v>
      </c>
      <c r="H920" s="28" t="s">
        <v>13</v>
      </c>
      <c r="I920" s="9">
        <v>84271.599662425404</v>
      </c>
      <c r="J920" s="62">
        <v>327.42985766072701</v>
      </c>
      <c r="K920" s="33">
        <v>2</v>
      </c>
    </row>
    <row r="921" spans="1:11" x14ac:dyDescent="0.25">
      <c r="A921" s="3" t="s">
        <v>1862</v>
      </c>
      <c r="B921" s="4" t="s">
        <v>1863</v>
      </c>
      <c r="C921" s="5">
        <v>21772</v>
      </c>
      <c r="D921" s="6" t="s">
        <v>11</v>
      </c>
      <c r="E921" s="6" t="s">
        <v>12</v>
      </c>
      <c r="F921" s="7">
        <v>34913</v>
      </c>
      <c r="G921" s="8">
        <f t="shared" si="14"/>
        <v>34913</v>
      </c>
      <c r="H921" s="6" t="s">
        <v>39</v>
      </c>
      <c r="I921" s="9">
        <v>9024.5717729265398</v>
      </c>
      <c r="J921" s="62">
        <v>72.155610985397104</v>
      </c>
      <c r="K921" s="11">
        <v>1</v>
      </c>
    </row>
    <row r="922" spans="1:11" x14ac:dyDescent="0.25">
      <c r="A922" s="3" t="s">
        <v>1864</v>
      </c>
      <c r="B922" s="4" t="s">
        <v>1865</v>
      </c>
      <c r="C922" s="5">
        <v>1813</v>
      </c>
      <c r="D922" s="6" t="s">
        <v>28</v>
      </c>
      <c r="E922" s="6" t="s">
        <v>17</v>
      </c>
      <c r="F922" s="7">
        <v>29221</v>
      </c>
      <c r="G922" s="8">
        <f t="shared" si="14"/>
        <v>29221</v>
      </c>
      <c r="H922" s="6" t="s">
        <v>13</v>
      </c>
      <c r="I922" s="9">
        <v>11089.594049806101</v>
      </c>
      <c r="J922" s="62">
        <v>70.7786584157231</v>
      </c>
      <c r="K922" s="11">
        <v>1</v>
      </c>
    </row>
    <row r="923" spans="1:11" x14ac:dyDescent="0.25">
      <c r="A923" s="3" t="s">
        <v>1866</v>
      </c>
      <c r="B923" s="4" t="s">
        <v>1867</v>
      </c>
      <c r="C923" s="5">
        <v>31345</v>
      </c>
      <c r="D923" s="6" t="s">
        <v>31</v>
      </c>
      <c r="E923" s="6" t="s">
        <v>17</v>
      </c>
      <c r="F923" s="7">
        <v>33350</v>
      </c>
      <c r="G923" s="8">
        <f t="shared" si="14"/>
        <v>33350</v>
      </c>
      <c r="H923" s="6" t="s">
        <v>13</v>
      </c>
      <c r="I923" s="9">
        <v>5677.0496242448598</v>
      </c>
      <c r="J923" s="62">
        <v>90.866362977298294</v>
      </c>
      <c r="K923" s="17">
        <v>1</v>
      </c>
    </row>
    <row r="924" spans="1:11" x14ac:dyDescent="0.25">
      <c r="A924" s="3" t="s">
        <v>1868</v>
      </c>
      <c r="B924" s="4" t="s">
        <v>1869</v>
      </c>
      <c r="C924" s="5">
        <v>30980</v>
      </c>
      <c r="D924" s="6" t="s">
        <v>31</v>
      </c>
      <c r="E924" s="6" t="s">
        <v>17</v>
      </c>
      <c r="F924" s="7">
        <v>31324</v>
      </c>
      <c r="G924" s="8">
        <f t="shared" si="14"/>
        <v>31324</v>
      </c>
      <c r="H924" s="6" t="s">
        <v>13</v>
      </c>
      <c r="I924" s="9">
        <v>802.57371682918699</v>
      </c>
      <c r="J924" s="62">
        <v>190.296762627459</v>
      </c>
      <c r="K924" s="17">
        <v>2</v>
      </c>
    </row>
    <row r="925" spans="1:11" x14ac:dyDescent="0.25">
      <c r="A925" s="3" t="s">
        <v>1870</v>
      </c>
      <c r="B925" s="4" t="s">
        <v>1871</v>
      </c>
      <c r="C925" s="5">
        <v>1834</v>
      </c>
      <c r="D925" s="6" t="s">
        <v>31</v>
      </c>
      <c r="E925" s="6" t="s">
        <v>17</v>
      </c>
      <c r="F925" s="7">
        <v>35065</v>
      </c>
      <c r="G925" s="8">
        <f t="shared" si="14"/>
        <v>35065</v>
      </c>
      <c r="H925" s="6" t="s">
        <v>13</v>
      </c>
      <c r="I925" s="9">
        <v>10442.007164979801</v>
      </c>
      <c r="J925" s="62">
        <v>158.61148890561401</v>
      </c>
      <c r="K925" s="17">
        <v>1</v>
      </c>
    </row>
    <row r="926" spans="1:11" x14ac:dyDescent="0.25">
      <c r="A926" s="3" t="s">
        <v>1872</v>
      </c>
      <c r="B926" s="4" t="s">
        <v>1873</v>
      </c>
      <c r="C926" s="5">
        <v>1770</v>
      </c>
      <c r="D926" s="6" t="s">
        <v>34</v>
      </c>
      <c r="E926" s="6" t="s">
        <v>17</v>
      </c>
      <c r="F926" s="7">
        <v>36445</v>
      </c>
      <c r="G926" s="8">
        <f t="shared" si="14"/>
        <v>36445</v>
      </c>
      <c r="H926" s="6" t="s">
        <v>13</v>
      </c>
      <c r="I926" s="9">
        <v>55792.9302062321</v>
      </c>
      <c r="J926" s="62">
        <v>208.00462611697299</v>
      </c>
      <c r="K926" s="17">
        <v>2</v>
      </c>
    </row>
    <row r="927" spans="1:11" x14ac:dyDescent="0.25">
      <c r="A927" s="3" t="s">
        <v>1874</v>
      </c>
      <c r="B927" s="4" t="s">
        <v>1875</v>
      </c>
      <c r="C927" s="5">
        <v>14401</v>
      </c>
      <c r="D927" s="6" t="s">
        <v>28</v>
      </c>
      <c r="E927" s="6" t="s">
        <v>17</v>
      </c>
      <c r="F927" s="7">
        <v>38127</v>
      </c>
      <c r="G927" s="8">
        <f t="shared" si="14"/>
        <v>38127</v>
      </c>
      <c r="H927" s="6" t="s">
        <v>13</v>
      </c>
      <c r="I927" s="9">
        <v>6111.8133544418597</v>
      </c>
      <c r="J927" s="62">
        <v>154.221693854899</v>
      </c>
      <c r="K927" s="17">
        <v>1</v>
      </c>
    </row>
    <row r="928" spans="1:11" x14ac:dyDescent="0.25">
      <c r="A928" s="3" t="s">
        <v>1876</v>
      </c>
      <c r="B928" s="4" t="s">
        <v>1877</v>
      </c>
      <c r="C928" s="5">
        <v>72150</v>
      </c>
      <c r="D928" s="6" t="s">
        <v>37</v>
      </c>
      <c r="E928" s="6" t="s">
        <v>38</v>
      </c>
      <c r="F928" s="7">
        <v>38800</v>
      </c>
      <c r="G928" s="8">
        <f t="shared" si="14"/>
        <v>38800</v>
      </c>
      <c r="H928" s="6" t="s">
        <v>39</v>
      </c>
      <c r="I928" s="9">
        <v>12817.4786618494</v>
      </c>
      <c r="J928" s="62">
        <v>218.11325570544099</v>
      </c>
      <c r="K928" s="17">
        <v>2</v>
      </c>
    </row>
    <row r="929" spans="1:11" x14ac:dyDescent="0.25">
      <c r="A929" s="3" t="s">
        <v>1878</v>
      </c>
      <c r="B929" s="4" t="s">
        <v>1879</v>
      </c>
      <c r="C929" s="5">
        <v>1790</v>
      </c>
      <c r="D929" s="6" t="s">
        <v>28</v>
      </c>
      <c r="E929" s="6" t="s">
        <v>17</v>
      </c>
      <c r="F929" s="7">
        <v>25569</v>
      </c>
      <c r="G929" s="8">
        <f t="shared" si="14"/>
        <v>25569</v>
      </c>
      <c r="H929" s="6" t="s">
        <v>13</v>
      </c>
      <c r="I929" s="9">
        <v>728.88492189866406</v>
      </c>
      <c r="J929" s="62">
        <v>20.349619915915699</v>
      </c>
      <c r="K929" s="17">
        <v>1</v>
      </c>
    </row>
    <row r="930" spans="1:11" x14ac:dyDescent="0.25">
      <c r="A930" s="3" t="s">
        <v>1880</v>
      </c>
      <c r="B930" s="4" t="s">
        <v>1881</v>
      </c>
      <c r="C930" s="5">
        <v>1949</v>
      </c>
      <c r="D930" s="6" t="s">
        <v>28</v>
      </c>
      <c r="E930" s="6" t="s">
        <v>17</v>
      </c>
      <c r="F930" s="7">
        <v>32509</v>
      </c>
      <c r="G930" s="8">
        <f t="shared" si="14"/>
        <v>32509</v>
      </c>
      <c r="H930" s="6" t="s">
        <v>13</v>
      </c>
      <c r="I930" s="9">
        <v>87170.814139277893</v>
      </c>
      <c r="J930" s="62">
        <v>369.75729060328501</v>
      </c>
      <c r="K930" s="17">
        <v>2</v>
      </c>
    </row>
    <row r="931" spans="1:11" x14ac:dyDescent="0.25">
      <c r="A931" s="3" t="s">
        <v>1882</v>
      </c>
      <c r="B931" s="4" t="s">
        <v>1883</v>
      </c>
      <c r="C931" s="5">
        <v>52918</v>
      </c>
      <c r="D931" s="6" t="s">
        <v>28</v>
      </c>
      <c r="E931" s="6" t="s">
        <v>17</v>
      </c>
      <c r="F931" s="7">
        <v>39129</v>
      </c>
      <c r="G931" s="8">
        <f t="shared" si="14"/>
        <v>39129</v>
      </c>
      <c r="H931" s="6" t="s">
        <v>13</v>
      </c>
      <c r="I931" s="9">
        <v>41252.633783767997</v>
      </c>
      <c r="J931" s="62">
        <v>274.895915277325</v>
      </c>
      <c r="K931" s="17">
        <v>1</v>
      </c>
    </row>
    <row r="932" spans="1:11" x14ac:dyDescent="0.25">
      <c r="A932" s="3" t="s">
        <v>1884</v>
      </c>
      <c r="B932" s="4" t="s">
        <v>1885</v>
      </c>
      <c r="C932" s="14">
        <v>6406</v>
      </c>
      <c r="D932" s="6" t="s">
        <v>31</v>
      </c>
      <c r="E932" s="6" t="s">
        <v>17</v>
      </c>
      <c r="F932" s="7">
        <v>37021</v>
      </c>
      <c r="G932" s="8">
        <f t="shared" si="14"/>
        <v>37021</v>
      </c>
      <c r="H932" s="6" t="s">
        <v>13</v>
      </c>
      <c r="I932" s="9">
        <v>14067.6515039736</v>
      </c>
      <c r="J932" s="62">
        <v>323.72223465912799</v>
      </c>
      <c r="K932" s="17">
        <v>2</v>
      </c>
    </row>
    <row r="933" spans="1:11" x14ac:dyDescent="0.25">
      <c r="A933" s="18" t="s">
        <v>1886</v>
      </c>
      <c r="B933" s="19" t="s">
        <v>1887</v>
      </c>
      <c r="C933" s="20">
        <v>1380</v>
      </c>
      <c r="D933" s="21" t="s">
        <v>16</v>
      </c>
      <c r="E933" s="21" t="s">
        <v>17</v>
      </c>
      <c r="F933" s="22">
        <v>29221</v>
      </c>
      <c r="G933" s="23">
        <f t="shared" si="14"/>
        <v>29221</v>
      </c>
      <c r="H933" s="21" t="s">
        <v>13</v>
      </c>
      <c r="I933" s="9">
        <v>15901.717322926199</v>
      </c>
      <c r="J933" s="62">
        <v>317.66903119761002</v>
      </c>
      <c r="K933" s="25">
        <v>2</v>
      </c>
    </row>
    <row r="934" spans="1:11" x14ac:dyDescent="0.25">
      <c r="A934" s="3" t="s">
        <v>1888</v>
      </c>
      <c r="B934" s="4" t="s">
        <v>1889</v>
      </c>
      <c r="C934" s="5">
        <v>1161</v>
      </c>
      <c r="D934" s="6" t="s">
        <v>31</v>
      </c>
      <c r="E934" s="6" t="s">
        <v>17</v>
      </c>
      <c r="F934" s="7">
        <v>29221</v>
      </c>
      <c r="G934" s="8">
        <f t="shared" si="14"/>
        <v>29221</v>
      </c>
      <c r="H934" s="6" t="s">
        <v>13</v>
      </c>
      <c r="I934" s="9">
        <v>5099.3466384503599</v>
      </c>
      <c r="J934" s="62">
        <v>151.338683808193</v>
      </c>
      <c r="K934" s="17">
        <v>1</v>
      </c>
    </row>
    <row r="935" spans="1:11" x14ac:dyDescent="0.25">
      <c r="A935" s="3" t="s">
        <v>1890</v>
      </c>
      <c r="B935" s="4" t="s">
        <v>1891</v>
      </c>
      <c r="C935" s="5">
        <v>1702</v>
      </c>
      <c r="D935" s="6" t="s">
        <v>31</v>
      </c>
      <c r="E935" s="6" t="s">
        <v>17</v>
      </c>
      <c r="F935" s="7">
        <v>32141</v>
      </c>
      <c r="G935" s="8">
        <f t="shared" si="14"/>
        <v>32141</v>
      </c>
      <c r="H935" s="6" t="s">
        <v>13</v>
      </c>
      <c r="I935" s="9">
        <v>27488.226629473898</v>
      </c>
      <c r="J935" s="62">
        <v>297.19068724213201</v>
      </c>
      <c r="K935" s="17">
        <v>1</v>
      </c>
    </row>
    <row r="936" spans="1:11" x14ac:dyDescent="0.25">
      <c r="A936" s="3" t="s">
        <v>1892</v>
      </c>
      <c r="B936" s="4" t="s">
        <v>1893</v>
      </c>
      <c r="C936" s="5">
        <v>1892</v>
      </c>
      <c r="D936" s="6" t="s">
        <v>31</v>
      </c>
      <c r="E936" s="6" t="s">
        <v>17</v>
      </c>
      <c r="F936" s="7">
        <v>38407</v>
      </c>
      <c r="G936" s="8">
        <f t="shared" si="14"/>
        <v>38407</v>
      </c>
      <c r="H936" s="6" t="s">
        <v>13</v>
      </c>
      <c r="I936" s="9">
        <v>37784.8241445358</v>
      </c>
      <c r="J936" s="62">
        <v>282.82835140560701</v>
      </c>
      <c r="K936" s="17">
        <v>2</v>
      </c>
    </row>
    <row r="937" spans="1:11" x14ac:dyDescent="0.25">
      <c r="A937" s="18" t="s">
        <v>1894</v>
      </c>
      <c r="B937" s="19" t="s">
        <v>1895</v>
      </c>
      <c r="C937" s="5">
        <v>1389</v>
      </c>
      <c r="D937" s="21" t="s">
        <v>31</v>
      </c>
      <c r="E937" s="21" t="s">
        <v>17</v>
      </c>
      <c r="F937" s="22">
        <v>33604</v>
      </c>
      <c r="G937" s="23">
        <f t="shared" si="14"/>
        <v>33604</v>
      </c>
      <c r="H937" s="21" t="s">
        <v>13</v>
      </c>
      <c r="I937" s="9" t="s">
        <v>3380</v>
      </c>
      <c r="J937" s="62" t="s">
        <v>3380</v>
      </c>
      <c r="K937" s="25">
        <v>4</v>
      </c>
    </row>
    <row r="938" spans="1:11" x14ac:dyDescent="0.25">
      <c r="A938" s="3" t="s">
        <v>1896</v>
      </c>
      <c r="B938" s="4" t="s">
        <v>1897</v>
      </c>
      <c r="C938" s="5">
        <v>1065</v>
      </c>
      <c r="D938" s="6" t="s">
        <v>16</v>
      </c>
      <c r="E938" s="6" t="s">
        <v>17</v>
      </c>
      <c r="F938" s="7">
        <v>29221</v>
      </c>
      <c r="G938" s="8">
        <f t="shared" si="14"/>
        <v>29221</v>
      </c>
      <c r="H938" s="6" t="s">
        <v>13</v>
      </c>
      <c r="I938" s="9">
        <v>19722.641882917</v>
      </c>
      <c r="J938" s="62">
        <v>265.39299332885599</v>
      </c>
      <c r="K938" s="17">
        <v>1</v>
      </c>
    </row>
    <row r="939" spans="1:11" x14ac:dyDescent="0.25">
      <c r="A939" s="26" t="s">
        <v>1898</v>
      </c>
      <c r="B939" s="27" t="s">
        <v>1899</v>
      </c>
      <c r="C939" s="5">
        <v>15044</v>
      </c>
      <c r="D939" s="28" t="s">
        <v>31</v>
      </c>
      <c r="E939" s="28" t="s">
        <v>17</v>
      </c>
      <c r="F939" s="29">
        <v>31562</v>
      </c>
      <c r="G939" s="30">
        <f t="shared" si="14"/>
        <v>31562</v>
      </c>
      <c r="H939" s="28" t="s">
        <v>13</v>
      </c>
      <c r="I939" s="9">
        <v>27715.875968911601</v>
      </c>
      <c r="J939" s="62">
        <v>64.396594825851295</v>
      </c>
      <c r="K939" s="33">
        <v>2</v>
      </c>
    </row>
    <row r="940" spans="1:11" x14ac:dyDescent="0.25">
      <c r="A940" s="3" t="s">
        <v>1900</v>
      </c>
      <c r="B940" s="4" t="s">
        <v>1901</v>
      </c>
      <c r="C940" s="5">
        <v>53218</v>
      </c>
      <c r="D940" s="6" t="s">
        <v>28</v>
      </c>
      <c r="E940" s="6" t="s">
        <v>17</v>
      </c>
      <c r="F940" s="7">
        <v>39083</v>
      </c>
      <c r="G940" s="8">
        <f t="shared" si="14"/>
        <v>39083</v>
      </c>
      <c r="H940" s="6" t="s">
        <v>13</v>
      </c>
      <c r="I940" s="9">
        <v>7348.2839414864402</v>
      </c>
      <c r="J940" s="62">
        <v>227.09985684770501</v>
      </c>
      <c r="K940" s="17">
        <v>1</v>
      </c>
    </row>
    <row r="941" spans="1:11" x14ac:dyDescent="0.25">
      <c r="A941" s="3" t="s">
        <v>1902</v>
      </c>
      <c r="B941" s="4" t="s">
        <v>1903</v>
      </c>
      <c r="C941" s="5">
        <v>1302</v>
      </c>
      <c r="D941" s="6" t="s">
        <v>16</v>
      </c>
      <c r="E941" s="6" t="s">
        <v>17</v>
      </c>
      <c r="F941" s="7">
        <v>32509</v>
      </c>
      <c r="G941" s="8">
        <f t="shared" si="14"/>
        <v>32509</v>
      </c>
      <c r="H941" s="6" t="s">
        <v>13</v>
      </c>
      <c r="I941" s="9">
        <v>16818.3753309903</v>
      </c>
      <c r="J941" s="62">
        <v>25.840378491436699</v>
      </c>
      <c r="K941" s="17">
        <v>1</v>
      </c>
    </row>
    <row r="942" spans="1:11" x14ac:dyDescent="0.25">
      <c r="A942" s="3" t="s">
        <v>1904</v>
      </c>
      <c r="B942" s="4" t="s">
        <v>1905</v>
      </c>
      <c r="C942" s="5">
        <v>1045</v>
      </c>
      <c r="D942" s="6" t="s">
        <v>16</v>
      </c>
      <c r="E942" s="6" t="s">
        <v>17</v>
      </c>
      <c r="F942" s="7">
        <v>29221</v>
      </c>
      <c r="G942" s="8">
        <f t="shared" si="14"/>
        <v>29221</v>
      </c>
      <c r="H942" s="6" t="s">
        <v>13</v>
      </c>
      <c r="I942" s="9">
        <v>106574.534390564</v>
      </c>
      <c r="J942" s="62">
        <v>502.78195090576099</v>
      </c>
      <c r="K942" s="17">
        <v>2</v>
      </c>
    </row>
    <row r="943" spans="1:11" x14ac:dyDescent="0.25">
      <c r="A943" s="3" t="s">
        <v>1906</v>
      </c>
      <c r="B943" s="4" t="s">
        <v>1907</v>
      </c>
      <c r="C943" s="5">
        <v>72126</v>
      </c>
      <c r="D943" s="6" t="s">
        <v>28</v>
      </c>
      <c r="E943" s="6" t="s">
        <v>17</v>
      </c>
      <c r="F943" s="7">
        <v>39258</v>
      </c>
      <c r="G943" s="8">
        <f t="shared" si="14"/>
        <v>39258</v>
      </c>
      <c r="H943" s="6" t="s">
        <v>13</v>
      </c>
      <c r="I943" s="9">
        <v>52534.323576389201</v>
      </c>
      <c r="J943" s="62">
        <v>554.91185595714001</v>
      </c>
      <c r="K943" s="17">
        <v>2</v>
      </c>
    </row>
    <row r="944" spans="1:11" x14ac:dyDescent="0.25">
      <c r="A944" s="3" t="s">
        <v>1908</v>
      </c>
      <c r="B944" s="4" t="s">
        <v>1909</v>
      </c>
      <c r="C944" s="5">
        <v>1866</v>
      </c>
      <c r="D944" s="6" t="s">
        <v>31</v>
      </c>
      <c r="E944" s="6" t="s">
        <v>17</v>
      </c>
      <c r="F944" s="7">
        <v>29221</v>
      </c>
      <c r="G944" s="8">
        <f t="shared" si="14"/>
        <v>29221</v>
      </c>
      <c r="H944" s="6" t="s">
        <v>13</v>
      </c>
      <c r="I944" s="9">
        <v>48183.642449492407</v>
      </c>
      <c r="J944" s="62">
        <v>211.98908581965901</v>
      </c>
      <c r="K944" s="17">
        <v>1</v>
      </c>
    </row>
    <row r="945" spans="1:11" x14ac:dyDescent="0.25">
      <c r="A945" s="3" t="s">
        <v>1910</v>
      </c>
      <c r="B945" s="4" t="s">
        <v>19</v>
      </c>
      <c r="C945" s="5">
        <v>207526</v>
      </c>
      <c r="D945" s="6" t="s">
        <v>16</v>
      </c>
      <c r="E945" s="6" t="s">
        <v>17</v>
      </c>
      <c r="F945" s="7">
        <v>31846</v>
      </c>
      <c r="G945" s="8">
        <f t="shared" si="14"/>
        <v>31846</v>
      </c>
      <c r="H945" s="6" t="s">
        <v>13</v>
      </c>
      <c r="I945" s="9">
        <v>27194.031941767298</v>
      </c>
      <c r="J945" s="62">
        <v>178.65490481531299</v>
      </c>
      <c r="K945" s="17">
        <v>2</v>
      </c>
    </row>
    <row r="946" spans="1:11" x14ac:dyDescent="0.25">
      <c r="A946" s="3" t="s">
        <v>1911</v>
      </c>
      <c r="B946" s="4" t="s">
        <v>1912</v>
      </c>
      <c r="C946" s="5">
        <v>17295</v>
      </c>
      <c r="D946" s="6" t="s">
        <v>16</v>
      </c>
      <c r="E946" s="6" t="s">
        <v>17</v>
      </c>
      <c r="F946" s="7">
        <v>34135</v>
      </c>
      <c r="G946" s="8">
        <f t="shared" si="14"/>
        <v>34135</v>
      </c>
      <c r="H946" s="6" t="s">
        <v>13</v>
      </c>
      <c r="I946" s="9">
        <v>11896.1879961427</v>
      </c>
      <c r="J946" s="62">
        <v>67.419535768197207</v>
      </c>
      <c r="K946" s="17">
        <v>1</v>
      </c>
    </row>
    <row r="947" spans="1:11" x14ac:dyDescent="0.25">
      <c r="A947" s="3" t="s">
        <v>1913</v>
      </c>
      <c r="B947" s="4" t="s">
        <v>1914</v>
      </c>
      <c r="C947" s="14">
        <v>17293</v>
      </c>
      <c r="D947" s="6" t="s">
        <v>16</v>
      </c>
      <c r="E947" s="6" t="s">
        <v>17</v>
      </c>
      <c r="F947" s="7">
        <v>33350</v>
      </c>
      <c r="G947" s="8">
        <f t="shared" si="14"/>
        <v>33350</v>
      </c>
      <c r="H947" s="6" t="s">
        <v>13</v>
      </c>
      <c r="I947" s="9">
        <v>27092.0096270453</v>
      </c>
      <c r="J947" s="62">
        <v>150.20663462159899</v>
      </c>
      <c r="K947" s="17">
        <v>1</v>
      </c>
    </row>
    <row r="948" spans="1:11" x14ac:dyDescent="0.25">
      <c r="A948" s="3" t="s">
        <v>1915</v>
      </c>
      <c r="B948" s="4" t="s">
        <v>1916</v>
      </c>
      <c r="C948" s="5">
        <v>1061</v>
      </c>
      <c r="D948" s="6" t="s">
        <v>16</v>
      </c>
      <c r="E948" s="6" t="s">
        <v>17</v>
      </c>
      <c r="F948" s="7">
        <v>36354</v>
      </c>
      <c r="G948" s="8">
        <f t="shared" si="14"/>
        <v>36354</v>
      </c>
      <c r="H948" s="6" t="s">
        <v>13</v>
      </c>
      <c r="I948" s="9">
        <v>14778.606690970601</v>
      </c>
      <c r="J948" s="62">
        <v>172.14468974500599</v>
      </c>
      <c r="K948" s="17">
        <v>1</v>
      </c>
    </row>
    <row r="949" spans="1:11" x14ac:dyDescent="0.25">
      <c r="A949" s="3" t="s">
        <v>1917</v>
      </c>
      <c r="B949" s="4" t="s">
        <v>1918</v>
      </c>
      <c r="C949" s="14">
        <v>1318</v>
      </c>
      <c r="D949" s="6" t="s">
        <v>16</v>
      </c>
      <c r="E949" s="6" t="s">
        <v>17</v>
      </c>
      <c r="F949" s="7">
        <v>41451</v>
      </c>
      <c r="G949" s="8">
        <f t="shared" si="14"/>
        <v>41451</v>
      </c>
      <c r="H949" s="6" t="s">
        <v>13</v>
      </c>
      <c r="I949" s="9">
        <v>34333.146860490306</v>
      </c>
      <c r="J949" s="62">
        <v>444.80778484318699</v>
      </c>
      <c r="K949" s="17">
        <v>2</v>
      </c>
    </row>
    <row r="950" spans="1:11" x14ac:dyDescent="0.25">
      <c r="A950" s="3" t="s">
        <v>1919</v>
      </c>
      <c r="B950" s="4" t="s">
        <v>1920</v>
      </c>
      <c r="C950" s="5">
        <v>1186</v>
      </c>
      <c r="D950" s="6" t="s">
        <v>16</v>
      </c>
      <c r="E950" s="6" t="s">
        <v>17</v>
      </c>
      <c r="F950" s="7">
        <v>25569</v>
      </c>
      <c r="G950" s="8">
        <f t="shared" si="14"/>
        <v>25569</v>
      </c>
      <c r="H950" s="6" t="s">
        <v>13</v>
      </c>
      <c r="I950" s="9">
        <v>42380.659804171402</v>
      </c>
      <c r="J950" s="62">
        <v>183.84702337311899</v>
      </c>
      <c r="K950" s="17">
        <v>1</v>
      </c>
    </row>
    <row r="951" spans="1:11" x14ac:dyDescent="0.25">
      <c r="A951" s="3" t="s">
        <v>1921</v>
      </c>
      <c r="B951" s="4" t="s">
        <v>1922</v>
      </c>
      <c r="C951" s="5">
        <v>1381</v>
      </c>
      <c r="D951" s="6" t="s">
        <v>16</v>
      </c>
      <c r="E951" s="6" t="s">
        <v>17</v>
      </c>
      <c r="F951" s="7">
        <v>36362</v>
      </c>
      <c r="G951" s="8">
        <f t="shared" si="14"/>
        <v>36362</v>
      </c>
      <c r="H951" s="6" t="s">
        <v>13</v>
      </c>
      <c r="I951" s="9">
        <v>37412.480485130305</v>
      </c>
      <c r="J951" s="62">
        <v>197.246899560343</v>
      </c>
      <c r="K951" s="17">
        <v>1</v>
      </c>
    </row>
    <row r="952" spans="1:11" x14ac:dyDescent="0.25">
      <c r="A952" s="3" t="s">
        <v>1923</v>
      </c>
      <c r="B952" s="4" t="s">
        <v>1924</v>
      </c>
      <c r="C952" s="5">
        <v>1124</v>
      </c>
      <c r="D952" s="6" t="s">
        <v>16</v>
      </c>
      <c r="E952" s="6" t="s">
        <v>17</v>
      </c>
      <c r="F952" s="7">
        <v>29952</v>
      </c>
      <c r="G952" s="8">
        <f t="shared" si="14"/>
        <v>29952</v>
      </c>
      <c r="H952" s="6" t="s">
        <v>13</v>
      </c>
      <c r="I952" s="9">
        <v>42091.025615733502</v>
      </c>
      <c r="J952" s="62">
        <v>579.69382908854004</v>
      </c>
      <c r="K952" s="17">
        <v>1</v>
      </c>
    </row>
    <row r="953" spans="1:11" x14ac:dyDescent="0.25">
      <c r="A953" s="3" t="s">
        <v>1925</v>
      </c>
      <c r="B953" s="4" t="s">
        <v>1926</v>
      </c>
      <c r="C953" s="5">
        <v>1039</v>
      </c>
      <c r="D953" s="6" t="s">
        <v>31</v>
      </c>
      <c r="E953" s="6" t="s">
        <v>17</v>
      </c>
      <c r="F953" s="7">
        <v>41306</v>
      </c>
      <c r="G953" s="8">
        <f t="shared" si="14"/>
        <v>41306</v>
      </c>
      <c r="H953" s="6" t="s">
        <v>13</v>
      </c>
      <c r="I953" s="9">
        <v>10024.3252441276</v>
      </c>
      <c r="J953" s="62">
        <v>353.57645430041998</v>
      </c>
      <c r="K953" s="17">
        <v>1</v>
      </c>
    </row>
    <row r="954" spans="1:11" x14ac:dyDescent="0.25">
      <c r="A954" s="18" t="s">
        <v>1927</v>
      </c>
      <c r="B954" s="19" t="s">
        <v>1928</v>
      </c>
      <c r="C954" s="5">
        <v>18562</v>
      </c>
      <c r="D954" s="21" t="s">
        <v>16</v>
      </c>
      <c r="E954" s="21" t="s">
        <v>17</v>
      </c>
      <c r="F954" s="22">
        <v>37960</v>
      </c>
      <c r="G954" s="23">
        <f t="shared" si="14"/>
        <v>37960</v>
      </c>
      <c r="H954" s="21" t="s">
        <v>13</v>
      </c>
      <c r="I954" s="9">
        <v>13800.1387162173</v>
      </c>
      <c r="J954" s="62">
        <v>174.96315063480799</v>
      </c>
      <c r="K954" s="25">
        <v>1</v>
      </c>
    </row>
    <row r="955" spans="1:11" x14ac:dyDescent="0.25">
      <c r="A955" s="3" t="s">
        <v>1929</v>
      </c>
      <c r="B955" s="4" t="s">
        <v>1930</v>
      </c>
      <c r="C955" s="14">
        <v>1720</v>
      </c>
      <c r="D955" s="6" t="s">
        <v>16</v>
      </c>
      <c r="E955" s="6" t="s">
        <v>17</v>
      </c>
      <c r="F955" s="7">
        <v>35971</v>
      </c>
      <c r="G955" s="8">
        <f t="shared" si="14"/>
        <v>35971</v>
      </c>
      <c r="H955" s="6" t="s">
        <v>13</v>
      </c>
      <c r="I955" s="9">
        <v>68434.740217044411</v>
      </c>
      <c r="J955" s="62">
        <v>1137.8258170739</v>
      </c>
      <c r="K955" s="17">
        <v>2</v>
      </c>
    </row>
    <row r="956" spans="1:11" x14ac:dyDescent="0.25">
      <c r="A956" s="3" t="s">
        <v>1931</v>
      </c>
      <c r="B956" s="4" t="s">
        <v>1932</v>
      </c>
      <c r="C956" s="5">
        <v>1313</v>
      </c>
      <c r="D956" s="6" t="s">
        <v>16</v>
      </c>
      <c r="E956" s="6" t="s">
        <v>17</v>
      </c>
      <c r="F956" s="7">
        <v>27395</v>
      </c>
      <c r="G956" s="8">
        <f t="shared" si="14"/>
        <v>27395</v>
      </c>
      <c r="H956" s="6" t="s">
        <v>13</v>
      </c>
      <c r="I956" s="9">
        <v>18740.143929604699</v>
      </c>
      <c r="J956" s="62">
        <v>248.191425003581</v>
      </c>
      <c r="K956" s="17">
        <v>2</v>
      </c>
    </row>
    <row r="957" spans="1:11" ht="30" x14ac:dyDescent="0.25">
      <c r="A957" s="3" t="s">
        <v>1933</v>
      </c>
      <c r="B957" s="4" t="s">
        <v>1934</v>
      </c>
      <c r="C957" s="5">
        <v>37538</v>
      </c>
      <c r="D957" s="6" t="s">
        <v>11</v>
      </c>
      <c r="E957" s="6" t="s">
        <v>12</v>
      </c>
      <c r="F957" s="7">
        <v>39281</v>
      </c>
      <c r="G957" s="8">
        <f t="shared" si="14"/>
        <v>39281</v>
      </c>
      <c r="H957" s="6" t="s">
        <v>776</v>
      </c>
      <c r="I957" s="9">
        <v>13983.634830613599</v>
      </c>
      <c r="J957" s="62">
        <v>442.40830398602299</v>
      </c>
      <c r="K957" s="11">
        <v>2</v>
      </c>
    </row>
    <row r="958" spans="1:11" x14ac:dyDescent="0.25">
      <c r="A958" s="3" t="s">
        <v>1935</v>
      </c>
      <c r="B958" s="4" t="s">
        <v>1936</v>
      </c>
      <c r="C958" s="5">
        <v>1294</v>
      </c>
      <c r="D958" s="6" t="s">
        <v>31</v>
      </c>
      <c r="E958" s="6" t="s">
        <v>17</v>
      </c>
      <c r="F958" s="7">
        <v>35831</v>
      </c>
      <c r="G958" s="8">
        <f t="shared" si="14"/>
        <v>35831</v>
      </c>
      <c r="H958" s="6" t="s">
        <v>13</v>
      </c>
      <c r="I958" s="9">
        <v>88791.930950202601</v>
      </c>
      <c r="J958" s="62">
        <v>497.123707523549</v>
      </c>
      <c r="K958" s="17">
        <v>2</v>
      </c>
    </row>
    <row r="959" spans="1:11" x14ac:dyDescent="0.25">
      <c r="A959" s="3" t="s">
        <v>1937</v>
      </c>
      <c r="B959" s="4" t="s">
        <v>1938</v>
      </c>
      <c r="C959" s="5">
        <v>1762</v>
      </c>
      <c r="D959" s="6" t="s">
        <v>31</v>
      </c>
      <c r="E959" s="6" t="s">
        <v>17</v>
      </c>
      <c r="F959" s="7">
        <v>38427</v>
      </c>
      <c r="G959" s="8">
        <f t="shared" si="14"/>
        <v>38427</v>
      </c>
      <c r="H959" s="6" t="s">
        <v>13</v>
      </c>
      <c r="I959" s="9">
        <v>107651.291115488</v>
      </c>
      <c r="J959" s="62">
        <v>560.08194709504596</v>
      </c>
      <c r="K959" s="17">
        <v>2</v>
      </c>
    </row>
    <row r="960" spans="1:11" x14ac:dyDescent="0.25">
      <c r="A960" s="3" t="s">
        <v>1939</v>
      </c>
      <c r="B960" s="4" t="s">
        <v>1940</v>
      </c>
      <c r="C960" s="14">
        <v>1090</v>
      </c>
      <c r="D960" s="6" t="s">
        <v>31</v>
      </c>
      <c r="E960" s="6" t="s">
        <v>17</v>
      </c>
      <c r="F960" s="7">
        <v>29221</v>
      </c>
      <c r="G960" s="8">
        <f t="shared" si="14"/>
        <v>29221</v>
      </c>
      <c r="H960" s="6" t="s">
        <v>13</v>
      </c>
      <c r="I960" s="9">
        <v>41478.490506533497</v>
      </c>
      <c r="J960" s="62">
        <v>246.845717824075</v>
      </c>
      <c r="K960" s="17">
        <v>1</v>
      </c>
    </row>
    <row r="961" spans="1:11" x14ac:dyDescent="0.25">
      <c r="A961" s="3" t="s">
        <v>1941</v>
      </c>
      <c r="B961" s="4" t="s">
        <v>1942</v>
      </c>
      <c r="C961" s="5">
        <v>1471</v>
      </c>
      <c r="D961" s="6" t="s">
        <v>31</v>
      </c>
      <c r="E961" s="6" t="s">
        <v>17</v>
      </c>
      <c r="F961" s="7">
        <v>29221</v>
      </c>
      <c r="G961" s="8">
        <f t="shared" si="14"/>
        <v>29221</v>
      </c>
      <c r="H961" s="6" t="s">
        <v>13</v>
      </c>
      <c r="I961" s="9" t="s">
        <v>3380</v>
      </c>
      <c r="J961" s="62" t="s">
        <v>3380</v>
      </c>
      <c r="K961" s="17">
        <v>2</v>
      </c>
    </row>
    <row r="962" spans="1:11" x14ac:dyDescent="0.25">
      <c r="A962" s="3" t="s">
        <v>1943</v>
      </c>
      <c r="B962" s="4" t="s">
        <v>1944</v>
      </c>
      <c r="C962" s="5">
        <v>1923</v>
      </c>
      <c r="D962" s="6" t="s">
        <v>31</v>
      </c>
      <c r="E962" s="6" t="s">
        <v>17</v>
      </c>
      <c r="F962" s="7">
        <v>29221</v>
      </c>
      <c r="G962" s="8">
        <f t="shared" ref="G962:G1025" si="15">F962</f>
        <v>29221</v>
      </c>
      <c r="H962" s="6" t="s">
        <v>13</v>
      </c>
      <c r="I962" s="9">
        <v>13049.226871717901</v>
      </c>
      <c r="J962" s="62">
        <v>330.70069652468999</v>
      </c>
      <c r="K962" s="17">
        <v>2</v>
      </c>
    </row>
    <row r="963" spans="1:11" x14ac:dyDescent="0.25">
      <c r="A963" s="3" t="s">
        <v>1945</v>
      </c>
      <c r="B963" s="4" t="s">
        <v>1946</v>
      </c>
      <c r="C963" s="14">
        <v>21764</v>
      </c>
      <c r="D963" s="6" t="s">
        <v>31</v>
      </c>
      <c r="E963" s="6" t="s">
        <v>17</v>
      </c>
      <c r="F963" s="7">
        <v>35576</v>
      </c>
      <c r="G963" s="8">
        <f t="shared" si="15"/>
        <v>35576</v>
      </c>
      <c r="H963" s="6" t="s">
        <v>13</v>
      </c>
      <c r="I963" s="9">
        <v>17959.526469419001</v>
      </c>
      <c r="J963" s="62">
        <v>207.73166422290799</v>
      </c>
      <c r="K963" s="17">
        <v>1</v>
      </c>
    </row>
    <row r="964" spans="1:11" x14ac:dyDescent="0.25">
      <c r="A964" s="3" t="s">
        <v>1947</v>
      </c>
      <c r="B964" s="4" t="s">
        <v>1948</v>
      </c>
      <c r="C964" s="5">
        <v>1057</v>
      </c>
      <c r="D964" s="6" t="s">
        <v>31</v>
      </c>
      <c r="E964" s="6" t="s">
        <v>17</v>
      </c>
      <c r="F964" s="7">
        <v>35065</v>
      </c>
      <c r="G964" s="8">
        <f t="shared" si="15"/>
        <v>35065</v>
      </c>
      <c r="H964" s="6" t="s">
        <v>13</v>
      </c>
      <c r="I964" s="9">
        <v>68750.970902080095</v>
      </c>
      <c r="J964" s="62">
        <v>789.29970710154703</v>
      </c>
      <c r="K964" s="17">
        <v>3</v>
      </c>
    </row>
    <row r="965" spans="1:11" ht="30" x14ac:dyDescent="0.25">
      <c r="A965" s="3" t="s">
        <v>1949</v>
      </c>
      <c r="B965" s="4" t="s">
        <v>1950</v>
      </c>
      <c r="C965" s="5">
        <v>38145</v>
      </c>
      <c r="D965" s="6" t="s">
        <v>11</v>
      </c>
      <c r="E965" s="6" t="s">
        <v>12</v>
      </c>
      <c r="F965" s="7">
        <v>39290</v>
      </c>
      <c r="G965" s="8">
        <f t="shared" si="15"/>
        <v>39290</v>
      </c>
      <c r="H965" s="6" t="s">
        <v>776</v>
      </c>
      <c r="I965" s="9">
        <v>6157.7981802015202</v>
      </c>
      <c r="J965" s="62">
        <v>44.399257330231102</v>
      </c>
      <c r="K965" s="17">
        <v>1</v>
      </c>
    </row>
    <row r="966" spans="1:11" x14ac:dyDescent="0.25">
      <c r="A966" s="3" t="s">
        <v>1951</v>
      </c>
      <c r="B966" s="4" t="s">
        <v>1952</v>
      </c>
      <c r="C966" s="14">
        <v>1203</v>
      </c>
      <c r="D966" s="6" t="s">
        <v>31</v>
      </c>
      <c r="E966" s="6" t="s">
        <v>17</v>
      </c>
      <c r="F966" s="7">
        <v>27395</v>
      </c>
      <c r="G966" s="8">
        <f t="shared" si="15"/>
        <v>27395</v>
      </c>
      <c r="H966" s="6" t="s">
        <v>13</v>
      </c>
      <c r="I966" s="9">
        <v>154563.83886674399</v>
      </c>
      <c r="J966" s="62">
        <v>862.820943853676</v>
      </c>
      <c r="K966" s="17">
        <v>2</v>
      </c>
    </row>
    <row r="967" spans="1:11" x14ac:dyDescent="0.25">
      <c r="A967" s="3" t="s">
        <v>1953</v>
      </c>
      <c r="B967" s="4" t="s">
        <v>1954</v>
      </c>
      <c r="C967" s="5">
        <v>1140</v>
      </c>
      <c r="D967" s="6" t="s">
        <v>31</v>
      </c>
      <c r="E967" s="6" t="s">
        <v>17</v>
      </c>
      <c r="F967" s="7">
        <v>25569</v>
      </c>
      <c r="G967" s="8">
        <f t="shared" si="15"/>
        <v>25569</v>
      </c>
      <c r="H967" s="6" t="s">
        <v>13</v>
      </c>
      <c r="I967" s="9">
        <v>18793.027462688802</v>
      </c>
      <c r="J967" s="62">
        <v>79.458495954717307</v>
      </c>
      <c r="K967" s="17">
        <v>1</v>
      </c>
    </row>
    <row r="968" spans="1:11" x14ac:dyDescent="0.25">
      <c r="A968" s="3" t="s">
        <v>1955</v>
      </c>
      <c r="B968" s="4" t="s">
        <v>1956</v>
      </c>
      <c r="C968" s="5">
        <v>54624</v>
      </c>
      <c r="D968" s="6" t="s">
        <v>28</v>
      </c>
      <c r="E968" s="6" t="s">
        <v>17</v>
      </c>
      <c r="F968" s="7">
        <v>38199</v>
      </c>
      <c r="G968" s="8">
        <f t="shared" si="15"/>
        <v>38199</v>
      </c>
      <c r="H968" s="6" t="s">
        <v>13</v>
      </c>
      <c r="I968" s="9">
        <v>8647.8645032572094</v>
      </c>
      <c r="J968" s="62">
        <v>66.930200368082893</v>
      </c>
      <c r="K968" s="17">
        <v>1</v>
      </c>
    </row>
    <row r="969" spans="1:11" x14ac:dyDescent="0.25">
      <c r="A969" s="3" t="s">
        <v>1957</v>
      </c>
      <c r="B969" s="4" t="s">
        <v>1958</v>
      </c>
      <c r="C969" s="5">
        <v>1583</v>
      </c>
      <c r="D969" s="6" t="s">
        <v>31</v>
      </c>
      <c r="E969" s="6" t="s">
        <v>17</v>
      </c>
      <c r="F969" s="7">
        <v>25569</v>
      </c>
      <c r="G969" s="8">
        <f t="shared" si="15"/>
        <v>25569</v>
      </c>
      <c r="H969" s="6" t="s">
        <v>13</v>
      </c>
      <c r="I969" s="9">
        <v>90974.360776225687</v>
      </c>
      <c r="J969" s="62">
        <v>290.07601774106899</v>
      </c>
      <c r="K969" s="17">
        <v>1</v>
      </c>
    </row>
    <row r="970" spans="1:11" x14ac:dyDescent="0.25">
      <c r="A970" s="3" t="s">
        <v>1959</v>
      </c>
      <c r="B970" s="4" t="s">
        <v>1960</v>
      </c>
      <c r="C970" s="14">
        <v>54623</v>
      </c>
      <c r="D970" s="6" t="s">
        <v>11</v>
      </c>
      <c r="E970" s="6" t="s">
        <v>12</v>
      </c>
      <c r="F970" s="7">
        <v>39107</v>
      </c>
      <c r="G970" s="8">
        <f t="shared" si="15"/>
        <v>39107</v>
      </c>
      <c r="H970" s="6" t="s">
        <v>39</v>
      </c>
      <c r="I970" s="9" t="s">
        <v>3380</v>
      </c>
      <c r="J970" s="62" t="s">
        <v>3380</v>
      </c>
      <c r="K970" s="17">
        <v>2</v>
      </c>
    </row>
    <row r="971" spans="1:11" x14ac:dyDescent="0.25">
      <c r="A971" s="3" t="s">
        <v>1961</v>
      </c>
      <c r="B971" s="4" t="s">
        <v>1962</v>
      </c>
      <c r="C971" s="5">
        <v>17603</v>
      </c>
      <c r="D971" s="6" t="s">
        <v>31</v>
      </c>
      <c r="E971" s="6" t="s">
        <v>17</v>
      </c>
      <c r="F971" s="7">
        <v>30608</v>
      </c>
      <c r="G971" s="8">
        <f t="shared" si="15"/>
        <v>30608</v>
      </c>
      <c r="H971" s="6" t="s">
        <v>13</v>
      </c>
      <c r="I971" s="9">
        <v>1691.22647787916</v>
      </c>
      <c r="J971" s="62">
        <v>382.20619319365397</v>
      </c>
      <c r="K971" s="17">
        <v>1</v>
      </c>
    </row>
    <row r="972" spans="1:11" x14ac:dyDescent="0.25">
      <c r="A972" s="3" t="s">
        <v>1963</v>
      </c>
      <c r="B972" s="4" t="s">
        <v>1964</v>
      </c>
      <c r="C972" s="5">
        <v>1508</v>
      </c>
      <c r="D972" s="6" t="s">
        <v>28</v>
      </c>
      <c r="E972" s="6" t="s">
        <v>17</v>
      </c>
      <c r="F972" s="7">
        <v>29221</v>
      </c>
      <c r="G972" s="8">
        <f t="shared" si="15"/>
        <v>29221</v>
      </c>
      <c r="H972" s="6" t="s">
        <v>13</v>
      </c>
      <c r="I972" s="9">
        <v>4018.2009557982205</v>
      </c>
      <c r="J972" s="62">
        <v>36.938907679485098</v>
      </c>
      <c r="K972" s="17">
        <v>1</v>
      </c>
    </row>
    <row r="973" spans="1:11" x14ac:dyDescent="0.25">
      <c r="A973" s="3" t="s">
        <v>1965</v>
      </c>
      <c r="B973" s="4" t="s">
        <v>1966</v>
      </c>
      <c r="C973" s="5">
        <v>1335</v>
      </c>
      <c r="D973" s="6" t="s">
        <v>31</v>
      </c>
      <c r="E973" s="6" t="s">
        <v>17</v>
      </c>
      <c r="F973" s="7">
        <v>25569</v>
      </c>
      <c r="G973" s="8">
        <f t="shared" si="15"/>
        <v>25569</v>
      </c>
      <c r="H973" s="6" t="s">
        <v>13</v>
      </c>
      <c r="I973" s="9">
        <v>13206.6020716567</v>
      </c>
      <c r="J973" s="62">
        <v>252.46739896148</v>
      </c>
      <c r="K973" s="17">
        <v>1</v>
      </c>
    </row>
    <row r="974" spans="1:11" x14ac:dyDescent="0.25">
      <c r="A974" s="3" t="s">
        <v>1967</v>
      </c>
      <c r="B974" s="4" t="s">
        <v>1968</v>
      </c>
      <c r="C974" s="5">
        <v>1558</v>
      </c>
      <c r="D974" s="6" t="s">
        <v>28</v>
      </c>
      <c r="E974" s="6" t="s">
        <v>17</v>
      </c>
      <c r="F974" s="7">
        <v>18264</v>
      </c>
      <c r="G974" s="8">
        <f t="shared" si="15"/>
        <v>18264</v>
      </c>
      <c r="H974" s="6" t="s">
        <v>13</v>
      </c>
      <c r="I974" s="9">
        <v>3805.8409203661599</v>
      </c>
      <c r="J974" s="62">
        <v>15.4080298987235</v>
      </c>
      <c r="K974" s="17">
        <v>1</v>
      </c>
    </row>
    <row r="975" spans="1:11" x14ac:dyDescent="0.25">
      <c r="A975" s="3" t="s">
        <v>1969</v>
      </c>
      <c r="B975" s="4" t="s">
        <v>1970</v>
      </c>
      <c r="C975" s="5">
        <v>10561</v>
      </c>
      <c r="D975" s="6" t="s">
        <v>34</v>
      </c>
      <c r="E975" s="6" t="s">
        <v>17</v>
      </c>
      <c r="F975" s="7">
        <v>37510</v>
      </c>
      <c r="G975" s="8">
        <f t="shared" si="15"/>
        <v>37510</v>
      </c>
      <c r="H975" s="6" t="s">
        <v>13</v>
      </c>
      <c r="I975" s="9">
        <v>7281.3471681244</v>
      </c>
      <c r="J975" s="62">
        <v>59.445534391212398</v>
      </c>
      <c r="K975" s="17">
        <v>1</v>
      </c>
    </row>
    <row r="976" spans="1:11" x14ac:dyDescent="0.25">
      <c r="A976" s="3" t="s">
        <v>1971</v>
      </c>
      <c r="B976" s="4" t="s">
        <v>1972</v>
      </c>
      <c r="C976" s="5">
        <v>10567</v>
      </c>
      <c r="D976" s="6" t="s">
        <v>31</v>
      </c>
      <c r="E976" s="6" t="s">
        <v>17</v>
      </c>
      <c r="F976" s="7">
        <v>37537</v>
      </c>
      <c r="G976" s="8">
        <f t="shared" si="15"/>
        <v>37537</v>
      </c>
      <c r="H976" s="6" t="s">
        <v>13</v>
      </c>
      <c r="I976" s="9">
        <v>1967.8639317342902</v>
      </c>
      <c r="J976" s="62">
        <v>19.619574793943801</v>
      </c>
      <c r="K976" s="17">
        <v>1</v>
      </c>
    </row>
    <row r="977" spans="1:11" x14ac:dyDescent="0.25">
      <c r="A977" s="18" t="s">
        <v>1973</v>
      </c>
      <c r="B977" s="19" t="s">
        <v>1974</v>
      </c>
      <c r="C977" s="20">
        <v>1721</v>
      </c>
      <c r="D977" s="21" t="s">
        <v>16</v>
      </c>
      <c r="E977" s="21" t="s">
        <v>17</v>
      </c>
      <c r="F977" s="22">
        <v>29221</v>
      </c>
      <c r="G977" s="23">
        <f t="shared" si="15"/>
        <v>29221</v>
      </c>
      <c r="H977" s="21" t="s">
        <v>13</v>
      </c>
      <c r="I977" s="9">
        <v>3059.2405571841</v>
      </c>
      <c r="J977" s="62">
        <v>302.574394085515</v>
      </c>
      <c r="K977" s="25">
        <v>1</v>
      </c>
    </row>
    <row r="978" spans="1:11" x14ac:dyDescent="0.25">
      <c r="A978" s="3" t="s">
        <v>1975</v>
      </c>
      <c r="B978" s="4" t="s">
        <v>1976</v>
      </c>
      <c r="C978" s="5">
        <v>1433</v>
      </c>
      <c r="D978" s="6" t="s">
        <v>16</v>
      </c>
      <c r="E978" s="6" t="s">
        <v>17</v>
      </c>
      <c r="F978" s="7">
        <v>25569</v>
      </c>
      <c r="G978" s="8">
        <f t="shared" si="15"/>
        <v>25569</v>
      </c>
      <c r="H978" s="6" t="s">
        <v>13</v>
      </c>
      <c r="I978" s="9">
        <v>18611.5321623296</v>
      </c>
      <c r="J978" s="62">
        <v>165.508418993422</v>
      </c>
      <c r="K978" s="17">
        <v>1</v>
      </c>
    </row>
    <row r="979" spans="1:11" x14ac:dyDescent="0.25">
      <c r="A979" s="3" t="s">
        <v>1977</v>
      </c>
      <c r="B979" s="4" t="s">
        <v>1978</v>
      </c>
      <c r="C979" s="5">
        <v>1283</v>
      </c>
      <c r="D979" s="6" t="s">
        <v>34</v>
      </c>
      <c r="E979" s="6" t="s">
        <v>17</v>
      </c>
      <c r="F979" s="7">
        <v>25569</v>
      </c>
      <c r="G979" s="8">
        <f t="shared" si="15"/>
        <v>25569</v>
      </c>
      <c r="H979" s="6" t="s">
        <v>13</v>
      </c>
      <c r="I979" s="9">
        <v>8279.9983637709811</v>
      </c>
      <c r="J979" s="62">
        <v>93.206956088605807</v>
      </c>
      <c r="K979" s="17">
        <v>1</v>
      </c>
    </row>
    <row r="980" spans="1:11" ht="30" x14ac:dyDescent="0.25">
      <c r="A980" s="3" t="s">
        <v>1979</v>
      </c>
      <c r="B980" s="4" t="s">
        <v>1980</v>
      </c>
      <c r="C980" s="5">
        <v>37185</v>
      </c>
      <c r="D980" s="6" t="s">
        <v>11</v>
      </c>
      <c r="E980" s="6" t="s">
        <v>12</v>
      </c>
      <c r="F980" s="7">
        <v>35199</v>
      </c>
      <c r="G980" s="8">
        <f t="shared" si="15"/>
        <v>35199</v>
      </c>
      <c r="H980" s="6" t="s">
        <v>776</v>
      </c>
      <c r="I980" s="9">
        <v>16853.306578656098</v>
      </c>
      <c r="J980" s="62">
        <v>141.17093064941201</v>
      </c>
      <c r="K980" s="17">
        <v>1</v>
      </c>
    </row>
    <row r="981" spans="1:11" x14ac:dyDescent="0.25">
      <c r="A981" s="3" t="s">
        <v>1981</v>
      </c>
      <c r="B981" s="4" t="s">
        <v>1982</v>
      </c>
      <c r="C981" s="5">
        <v>1291</v>
      </c>
      <c r="D981" s="6" t="s">
        <v>28</v>
      </c>
      <c r="E981" s="6" t="s">
        <v>17</v>
      </c>
      <c r="F981" s="7">
        <v>18264</v>
      </c>
      <c r="G981" s="8">
        <f t="shared" si="15"/>
        <v>18264</v>
      </c>
      <c r="H981" s="6" t="s">
        <v>13</v>
      </c>
      <c r="I981" s="9">
        <v>19686.127263581402</v>
      </c>
      <c r="J981" s="62">
        <v>41.585185150177701</v>
      </c>
      <c r="K981" s="17">
        <v>1</v>
      </c>
    </row>
    <row r="982" spans="1:11" x14ac:dyDescent="0.25">
      <c r="A982" s="26" t="s">
        <v>1983</v>
      </c>
      <c r="B982" s="27" t="s">
        <v>1984</v>
      </c>
      <c r="C982" s="34">
        <v>1838</v>
      </c>
      <c r="D982" s="28" t="s">
        <v>16</v>
      </c>
      <c r="E982" s="28" t="s">
        <v>17</v>
      </c>
      <c r="F982" s="29">
        <v>29221</v>
      </c>
      <c r="G982" s="30">
        <f t="shared" si="15"/>
        <v>29221</v>
      </c>
      <c r="H982" s="28" t="s">
        <v>13</v>
      </c>
      <c r="I982" s="9">
        <v>76118.426896831093</v>
      </c>
      <c r="J982" s="62">
        <v>173.70033984333099</v>
      </c>
      <c r="K982" s="33">
        <v>1</v>
      </c>
    </row>
    <row r="983" spans="1:11" x14ac:dyDescent="0.25">
      <c r="A983" s="3" t="s">
        <v>1985</v>
      </c>
      <c r="B983" s="4" t="s">
        <v>1986</v>
      </c>
      <c r="C983" s="5">
        <v>1913</v>
      </c>
      <c r="D983" s="6" t="s">
        <v>34</v>
      </c>
      <c r="E983" s="6" t="s">
        <v>17</v>
      </c>
      <c r="F983" s="7">
        <v>33212</v>
      </c>
      <c r="G983" s="8">
        <f t="shared" si="15"/>
        <v>33212</v>
      </c>
      <c r="H983" s="6" t="s">
        <v>13</v>
      </c>
      <c r="I983" s="9">
        <v>7912.1197068471392</v>
      </c>
      <c r="J983" s="62">
        <v>89.110282114090595</v>
      </c>
      <c r="K983" s="17">
        <v>1</v>
      </c>
    </row>
    <row r="984" spans="1:11" x14ac:dyDescent="0.25">
      <c r="A984" s="18" t="s">
        <v>1987</v>
      </c>
      <c r="B984" s="19" t="s">
        <v>1988</v>
      </c>
      <c r="C984" s="20">
        <v>17605</v>
      </c>
      <c r="D984" s="21" t="s">
        <v>16</v>
      </c>
      <c r="E984" s="21" t="s">
        <v>17</v>
      </c>
      <c r="F984" s="22">
        <v>32666</v>
      </c>
      <c r="G984" s="23">
        <f t="shared" si="15"/>
        <v>32666</v>
      </c>
      <c r="H984" s="21" t="s">
        <v>13</v>
      </c>
      <c r="I984" s="9">
        <v>29505.581518640502</v>
      </c>
      <c r="J984" s="62">
        <v>139.230038658539</v>
      </c>
      <c r="K984" s="25">
        <v>1</v>
      </c>
    </row>
    <row r="985" spans="1:11" x14ac:dyDescent="0.25">
      <c r="A985" s="3" t="s">
        <v>1989</v>
      </c>
      <c r="B985" s="4" t="s">
        <v>1990</v>
      </c>
      <c r="C985" s="5">
        <v>1100</v>
      </c>
      <c r="D985" s="6" t="s">
        <v>28</v>
      </c>
      <c r="E985" s="6" t="s">
        <v>17</v>
      </c>
      <c r="F985" s="7">
        <v>25569</v>
      </c>
      <c r="G985" s="8">
        <f t="shared" si="15"/>
        <v>25569</v>
      </c>
      <c r="H985" s="6" t="s">
        <v>13</v>
      </c>
      <c r="I985" s="9">
        <v>4617.4897027682</v>
      </c>
      <c r="J985" s="62">
        <v>175.11299211544599</v>
      </c>
      <c r="K985" s="17">
        <v>1</v>
      </c>
    </row>
    <row r="986" spans="1:11" x14ac:dyDescent="0.25">
      <c r="A986" s="3" t="s">
        <v>1991</v>
      </c>
      <c r="B986" s="4" t="s">
        <v>1992</v>
      </c>
      <c r="C986" s="5">
        <v>36131</v>
      </c>
      <c r="D986" s="6" t="s">
        <v>11</v>
      </c>
      <c r="E986" s="6" t="s">
        <v>17</v>
      </c>
      <c r="F986" s="7">
        <v>32902</v>
      </c>
      <c r="G986" s="8">
        <f t="shared" si="15"/>
        <v>32902</v>
      </c>
      <c r="H986" s="6" t="s">
        <v>13</v>
      </c>
      <c r="I986" s="9">
        <v>13114.5599042373</v>
      </c>
      <c r="J986" s="62">
        <v>74.715684363441596</v>
      </c>
      <c r="K986" s="17">
        <v>1</v>
      </c>
    </row>
    <row r="987" spans="1:11" x14ac:dyDescent="0.25">
      <c r="A987" s="3" t="s">
        <v>1993</v>
      </c>
      <c r="B987" s="4" t="s">
        <v>1994</v>
      </c>
      <c r="C987" s="5">
        <v>1763</v>
      </c>
      <c r="D987" s="6" t="s">
        <v>31</v>
      </c>
      <c r="E987" s="6" t="s">
        <v>17</v>
      </c>
      <c r="F987" s="7">
        <v>24108</v>
      </c>
      <c r="G987" s="8">
        <f t="shared" si="15"/>
        <v>24108</v>
      </c>
      <c r="H987" s="6" t="s">
        <v>13</v>
      </c>
      <c r="I987" s="9">
        <v>5324.2596664740404</v>
      </c>
      <c r="J987" s="62">
        <v>41.4659883525621</v>
      </c>
      <c r="K987" s="17">
        <v>1</v>
      </c>
    </row>
    <row r="988" spans="1:11" x14ac:dyDescent="0.25">
      <c r="A988" s="3" t="s">
        <v>1995</v>
      </c>
      <c r="B988" s="4" t="s">
        <v>1996</v>
      </c>
      <c r="C988" s="5">
        <v>1935</v>
      </c>
      <c r="D988" s="6" t="s">
        <v>34</v>
      </c>
      <c r="E988" s="6" t="s">
        <v>17</v>
      </c>
      <c r="F988" s="7">
        <v>29952</v>
      </c>
      <c r="G988" s="8">
        <f t="shared" si="15"/>
        <v>29952</v>
      </c>
      <c r="H988" s="6" t="s">
        <v>13</v>
      </c>
      <c r="I988" s="9">
        <v>129789.387740085</v>
      </c>
      <c r="J988" s="62">
        <v>373.121954832342</v>
      </c>
      <c r="K988" s="17">
        <v>2</v>
      </c>
    </row>
    <row r="989" spans="1:11" x14ac:dyDescent="0.25">
      <c r="A989" s="3" t="s">
        <v>1997</v>
      </c>
      <c r="B989" s="4" t="s">
        <v>1998</v>
      </c>
      <c r="C989" s="5">
        <v>15681</v>
      </c>
      <c r="D989" s="6" t="s">
        <v>28</v>
      </c>
      <c r="E989" s="6" t="s">
        <v>17</v>
      </c>
      <c r="F989" s="7">
        <v>41360</v>
      </c>
      <c r="G989" s="8">
        <f t="shared" si="15"/>
        <v>41360</v>
      </c>
      <c r="H989" s="6" t="s">
        <v>13</v>
      </c>
      <c r="I989" s="9">
        <v>41744.016129161697</v>
      </c>
      <c r="J989" s="62">
        <v>121.36691954138</v>
      </c>
      <c r="K989" s="17">
        <v>1</v>
      </c>
    </row>
    <row r="990" spans="1:11" x14ac:dyDescent="0.25">
      <c r="A990" s="3" t="s">
        <v>1999</v>
      </c>
      <c r="B990" s="4" t="s">
        <v>2000</v>
      </c>
      <c r="C990" s="5">
        <v>18242</v>
      </c>
      <c r="D990" s="6" t="s">
        <v>31</v>
      </c>
      <c r="E990" s="6" t="s">
        <v>17</v>
      </c>
      <c r="F990" s="7">
        <v>32783</v>
      </c>
      <c r="G990" s="8">
        <f t="shared" si="15"/>
        <v>32783</v>
      </c>
      <c r="H990" s="6" t="s">
        <v>13</v>
      </c>
      <c r="I990" s="9">
        <v>43376.392737186201</v>
      </c>
      <c r="J990" s="62">
        <v>241.71571585678601</v>
      </c>
      <c r="K990" s="17">
        <v>1</v>
      </c>
    </row>
    <row r="991" spans="1:11" x14ac:dyDescent="0.25">
      <c r="A991" s="3" t="s">
        <v>2001</v>
      </c>
      <c r="B991" s="4" t="s">
        <v>2002</v>
      </c>
      <c r="C991" s="5">
        <v>1246</v>
      </c>
      <c r="D991" s="6" t="s">
        <v>28</v>
      </c>
      <c r="E991" s="6" t="s">
        <v>17</v>
      </c>
      <c r="F991" s="7">
        <v>29221</v>
      </c>
      <c r="G991" s="8">
        <f t="shared" si="15"/>
        <v>29221</v>
      </c>
      <c r="H991" s="6" t="s">
        <v>13</v>
      </c>
      <c r="I991" s="9">
        <v>49092.606120937198</v>
      </c>
      <c r="J991" s="62">
        <v>343.97866156945503</v>
      </c>
      <c r="K991" s="17">
        <v>1</v>
      </c>
    </row>
    <row r="992" spans="1:11" x14ac:dyDescent="0.25">
      <c r="A992" s="3" t="s">
        <v>2003</v>
      </c>
      <c r="B992" s="4" t="s">
        <v>2004</v>
      </c>
      <c r="C992" s="5">
        <v>29521</v>
      </c>
      <c r="D992" s="6" t="s">
        <v>31</v>
      </c>
      <c r="E992" s="6" t="s">
        <v>17</v>
      </c>
      <c r="F992" s="7">
        <v>30459</v>
      </c>
      <c r="G992" s="8">
        <f t="shared" si="15"/>
        <v>30459</v>
      </c>
      <c r="H992" s="6" t="s">
        <v>13</v>
      </c>
      <c r="I992" s="9">
        <v>6398.5887325371696</v>
      </c>
      <c r="J992" s="62">
        <v>164.223423484639</v>
      </c>
      <c r="K992" s="17">
        <v>1</v>
      </c>
    </row>
    <row r="993" spans="1:11" x14ac:dyDescent="0.25">
      <c r="A993" s="3" t="s">
        <v>2005</v>
      </c>
      <c r="B993" s="4" t="s">
        <v>2006</v>
      </c>
      <c r="C993" s="5">
        <v>48097</v>
      </c>
      <c r="D993" s="6" t="s">
        <v>28</v>
      </c>
      <c r="E993" s="6" t="s">
        <v>17</v>
      </c>
      <c r="F993" s="7">
        <v>37895</v>
      </c>
      <c r="G993" s="8">
        <f t="shared" si="15"/>
        <v>37895</v>
      </c>
      <c r="H993" s="6" t="s">
        <v>13</v>
      </c>
      <c r="I993" s="9">
        <v>14898.836242285701</v>
      </c>
      <c r="J993" s="62">
        <v>208.906573442781</v>
      </c>
      <c r="K993" s="17">
        <v>1</v>
      </c>
    </row>
    <row r="994" spans="1:11" x14ac:dyDescent="0.25">
      <c r="A994" s="3" t="s">
        <v>2007</v>
      </c>
      <c r="B994" s="4" t="s">
        <v>2008</v>
      </c>
      <c r="C994" s="5">
        <v>72109</v>
      </c>
      <c r="D994" s="6" t="s">
        <v>11</v>
      </c>
      <c r="E994" s="6" t="s">
        <v>17</v>
      </c>
      <c r="F994" s="7">
        <v>39169</v>
      </c>
      <c r="G994" s="8">
        <f t="shared" si="15"/>
        <v>39169</v>
      </c>
      <c r="H994" s="6" t="s">
        <v>13</v>
      </c>
      <c r="I994" s="9">
        <v>103848.92068357801</v>
      </c>
      <c r="J994" s="62">
        <v>484.34282861736301</v>
      </c>
      <c r="K994" s="17">
        <v>2</v>
      </c>
    </row>
    <row r="995" spans="1:11" x14ac:dyDescent="0.25">
      <c r="A995" s="3" t="s">
        <v>2009</v>
      </c>
      <c r="B995" s="4" t="s">
        <v>2010</v>
      </c>
      <c r="C995" s="14">
        <v>11841</v>
      </c>
      <c r="D995" s="6" t="s">
        <v>16</v>
      </c>
      <c r="E995" s="6" t="s">
        <v>17</v>
      </c>
      <c r="F995" s="7">
        <v>36892</v>
      </c>
      <c r="G995" s="8">
        <f t="shared" si="15"/>
        <v>36892</v>
      </c>
      <c r="H995" s="6" t="s">
        <v>13</v>
      </c>
      <c r="I995" s="9">
        <v>67239.997304476012</v>
      </c>
      <c r="J995" s="62">
        <v>180.13731781824399</v>
      </c>
      <c r="K995" s="17">
        <v>1</v>
      </c>
    </row>
    <row r="996" spans="1:11" x14ac:dyDescent="0.25">
      <c r="A996" s="18" t="s">
        <v>2011</v>
      </c>
      <c r="B996" s="19" t="s">
        <v>2012</v>
      </c>
      <c r="C996" s="20">
        <v>1104</v>
      </c>
      <c r="D996" s="21" t="s">
        <v>28</v>
      </c>
      <c r="E996" s="21" t="s">
        <v>17</v>
      </c>
      <c r="F996" s="22">
        <v>29952</v>
      </c>
      <c r="G996" s="23">
        <f t="shared" si="15"/>
        <v>29952</v>
      </c>
      <c r="H996" s="21" t="s">
        <v>13</v>
      </c>
      <c r="I996" s="9">
        <v>3294.5004313594</v>
      </c>
      <c r="J996" s="62">
        <v>165.75637104664</v>
      </c>
      <c r="K996" s="25">
        <v>1</v>
      </c>
    </row>
    <row r="997" spans="1:11" x14ac:dyDescent="0.25">
      <c r="A997" s="3" t="s">
        <v>2013</v>
      </c>
      <c r="B997" s="4" t="s">
        <v>2014</v>
      </c>
      <c r="C997" s="5">
        <v>1563</v>
      </c>
      <c r="D997" s="6" t="s">
        <v>28</v>
      </c>
      <c r="E997" s="6" t="s">
        <v>17</v>
      </c>
      <c r="F997" s="7">
        <v>32143</v>
      </c>
      <c r="G997" s="8">
        <f t="shared" si="15"/>
        <v>32143</v>
      </c>
      <c r="H997" s="6" t="s">
        <v>13</v>
      </c>
      <c r="I997" s="9">
        <v>33638.628124804098</v>
      </c>
      <c r="J997" s="62">
        <v>317.57599059170201</v>
      </c>
      <c r="K997" s="11">
        <v>2</v>
      </c>
    </row>
    <row r="998" spans="1:11" x14ac:dyDescent="0.25">
      <c r="A998" s="3" t="s">
        <v>2015</v>
      </c>
      <c r="B998" s="4" t="s">
        <v>2016</v>
      </c>
      <c r="C998" s="5">
        <v>1115</v>
      </c>
      <c r="D998" s="6" t="s">
        <v>28</v>
      </c>
      <c r="E998" s="6" t="s">
        <v>17</v>
      </c>
      <c r="F998" s="7">
        <v>34700</v>
      </c>
      <c r="G998" s="8">
        <f t="shared" si="15"/>
        <v>34700</v>
      </c>
      <c r="H998" s="6" t="s">
        <v>13</v>
      </c>
      <c r="I998" s="9">
        <v>14838.7583064764</v>
      </c>
      <c r="J998" s="62">
        <v>90.691081824581303</v>
      </c>
      <c r="K998" s="17">
        <v>1</v>
      </c>
    </row>
    <row r="999" spans="1:11" x14ac:dyDescent="0.25">
      <c r="A999" s="3" t="s">
        <v>2017</v>
      </c>
      <c r="B999" s="4" t="s">
        <v>2018</v>
      </c>
      <c r="C999" s="5">
        <v>45201</v>
      </c>
      <c r="D999" s="6" t="s">
        <v>31</v>
      </c>
      <c r="E999" s="6" t="s">
        <v>17</v>
      </c>
      <c r="F999" s="7">
        <v>33490</v>
      </c>
      <c r="G999" s="8">
        <f t="shared" si="15"/>
        <v>33490</v>
      </c>
      <c r="H999" s="6" t="s">
        <v>13</v>
      </c>
      <c r="I999" s="9">
        <v>7161.7068241338202</v>
      </c>
      <c r="J999" s="62">
        <v>74.578226636312195</v>
      </c>
      <c r="K999" s="17">
        <v>1</v>
      </c>
    </row>
    <row r="1000" spans="1:11" x14ac:dyDescent="0.25">
      <c r="A1000" s="3" t="s">
        <v>2019</v>
      </c>
      <c r="B1000" s="4" t="s">
        <v>2020</v>
      </c>
      <c r="C1000" s="5">
        <v>44241</v>
      </c>
      <c r="D1000" s="6" t="s">
        <v>31</v>
      </c>
      <c r="E1000" s="6" t="s">
        <v>17</v>
      </c>
      <c r="F1000" s="7">
        <v>33490</v>
      </c>
      <c r="G1000" s="8">
        <f t="shared" si="15"/>
        <v>33490</v>
      </c>
      <c r="H1000" s="6" t="s">
        <v>13</v>
      </c>
      <c r="I1000" s="9">
        <v>35045.657566406495</v>
      </c>
      <c r="J1000" s="62">
        <v>157.02392919848299</v>
      </c>
      <c r="K1000" s="17">
        <v>1</v>
      </c>
    </row>
    <row r="1001" spans="1:11" x14ac:dyDescent="0.25">
      <c r="A1001" s="3" t="s">
        <v>2021</v>
      </c>
      <c r="B1001" s="4" t="s">
        <v>2022</v>
      </c>
      <c r="C1001" s="5">
        <v>44881</v>
      </c>
      <c r="D1001" s="6" t="s">
        <v>31</v>
      </c>
      <c r="E1001" s="6" t="s">
        <v>17</v>
      </c>
      <c r="F1001" s="7">
        <v>33490</v>
      </c>
      <c r="G1001" s="8">
        <f t="shared" si="15"/>
        <v>33490</v>
      </c>
      <c r="H1001" s="6" t="s">
        <v>13</v>
      </c>
      <c r="I1001" s="9">
        <v>18384.858726813502</v>
      </c>
      <c r="J1001" s="62">
        <v>131.89018717969299</v>
      </c>
      <c r="K1001" s="17">
        <v>1</v>
      </c>
    </row>
    <row r="1002" spans="1:11" x14ac:dyDescent="0.25">
      <c r="A1002" s="3" t="s">
        <v>2023</v>
      </c>
      <c r="B1002" s="4" t="s">
        <v>2024</v>
      </c>
      <c r="C1002" s="5">
        <v>2064</v>
      </c>
      <c r="D1002" s="6" t="s">
        <v>34</v>
      </c>
      <c r="E1002" s="6" t="s">
        <v>17</v>
      </c>
      <c r="F1002" s="7">
        <v>29221</v>
      </c>
      <c r="G1002" s="8">
        <f t="shared" si="15"/>
        <v>29221</v>
      </c>
      <c r="H1002" s="6" t="s">
        <v>13</v>
      </c>
      <c r="I1002" s="9">
        <v>10538.0769269623</v>
      </c>
      <c r="J1002" s="62">
        <v>42.230644021578598</v>
      </c>
      <c r="K1002" s="17">
        <v>1</v>
      </c>
    </row>
    <row r="1003" spans="1:11" x14ac:dyDescent="0.25">
      <c r="A1003" s="3" t="s">
        <v>2025</v>
      </c>
      <c r="B1003" s="4" t="s">
        <v>2026</v>
      </c>
      <c r="C1003" s="5">
        <v>1774</v>
      </c>
      <c r="D1003" s="6" t="s">
        <v>34</v>
      </c>
      <c r="E1003" s="6" t="s">
        <v>17</v>
      </c>
      <c r="F1003" s="7">
        <v>36579</v>
      </c>
      <c r="G1003" s="8">
        <f t="shared" si="15"/>
        <v>36579</v>
      </c>
      <c r="H1003" s="6" t="s">
        <v>13</v>
      </c>
      <c r="I1003" s="9">
        <v>745.28279521775903</v>
      </c>
      <c r="J1003" s="62">
        <v>212.20695674643099</v>
      </c>
      <c r="K1003" s="17">
        <v>1</v>
      </c>
    </row>
    <row r="1004" spans="1:11" x14ac:dyDescent="0.25">
      <c r="A1004" s="3" t="s">
        <v>2027</v>
      </c>
      <c r="B1004" s="4" t="s">
        <v>2028</v>
      </c>
      <c r="C1004" s="5">
        <v>54657</v>
      </c>
      <c r="D1004" s="6" t="s">
        <v>28</v>
      </c>
      <c r="E1004" s="6" t="s">
        <v>17</v>
      </c>
      <c r="F1004" s="7">
        <v>38355</v>
      </c>
      <c r="G1004" s="8">
        <f t="shared" si="15"/>
        <v>38355</v>
      </c>
      <c r="H1004" s="6" t="s">
        <v>13</v>
      </c>
      <c r="I1004" s="9">
        <v>6632.4696598371193</v>
      </c>
      <c r="J1004" s="62">
        <v>118.87775280231099</v>
      </c>
      <c r="K1004" s="17">
        <v>1</v>
      </c>
    </row>
    <row r="1005" spans="1:11" x14ac:dyDescent="0.25">
      <c r="A1005" s="3" t="s">
        <v>2029</v>
      </c>
      <c r="B1005" s="4" t="s">
        <v>2030</v>
      </c>
      <c r="C1005" s="5">
        <v>72131</v>
      </c>
      <c r="D1005" s="6" t="s">
        <v>34</v>
      </c>
      <c r="E1005" s="6" t="s">
        <v>17</v>
      </c>
      <c r="F1005" s="7">
        <v>39017</v>
      </c>
      <c r="G1005" s="8">
        <f t="shared" si="15"/>
        <v>39017</v>
      </c>
      <c r="H1005" s="6" t="s">
        <v>13</v>
      </c>
      <c r="I1005" s="9">
        <v>5675.0390163396296</v>
      </c>
      <c r="J1005" s="62">
        <v>136.248527209408</v>
      </c>
      <c r="K1005" s="17">
        <v>1</v>
      </c>
    </row>
    <row r="1006" spans="1:11" x14ac:dyDescent="0.25">
      <c r="A1006" s="3" t="s">
        <v>2031</v>
      </c>
      <c r="B1006" s="4" t="s">
        <v>2032</v>
      </c>
      <c r="C1006" s="5">
        <v>10564</v>
      </c>
      <c r="D1006" s="6" t="s">
        <v>16</v>
      </c>
      <c r="E1006" s="6" t="s">
        <v>17</v>
      </c>
      <c r="F1006" s="7">
        <v>37312</v>
      </c>
      <c r="G1006" s="8">
        <f t="shared" si="15"/>
        <v>37312</v>
      </c>
      <c r="H1006" s="6" t="s">
        <v>13</v>
      </c>
      <c r="I1006" s="9">
        <v>20120.974589374899</v>
      </c>
      <c r="J1006" s="62">
        <v>128.48449486615999</v>
      </c>
      <c r="K1006" s="17">
        <v>1</v>
      </c>
    </row>
    <row r="1007" spans="1:11" x14ac:dyDescent="0.25">
      <c r="A1007" s="3" t="s">
        <v>2033</v>
      </c>
      <c r="B1007" s="4" t="s">
        <v>2034</v>
      </c>
      <c r="C1007" s="5">
        <v>1728</v>
      </c>
      <c r="D1007" s="6" t="s">
        <v>16</v>
      </c>
      <c r="E1007" s="6" t="s">
        <v>17</v>
      </c>
      <c r="F1007" s="7">
        <v>29221</v>
      </c>
      <c r="G1007" s="8">
        <f t="shared" si="15"/>
        <v>29221</v>
      </c>
      <c r="H1007" s="6" t="s">
        <v>13</v>
      </c>
      <c r="I1007" s="9">
        <v>47220.037800640806</v>
      </c>
      <c r="J1007" s="62">
        <v>208.95035791510799</v>
      </c>
      <c r="K1007" s="17">
        <v>1</v>
      </c>
    </row>
    <row r="1008" spans="1:11" x14ac:dyDescent="0.25">
      <c r="A1008" s="3" t="s">
        <v>2035</v>
      </c>
      <c r="B1008" s="4" t="s">
        <v>2036</v>
      </c>
      <c r="C1008" s="5">
        <v>1051</v>
      </c>
      <c r="D1008" s="6" t="s">
        <v>16</v>
      </c>
      <c r="E1008" s="6" t="s">
        <v>17</v>
      </c>
      <c r="F1008" s="7">
        <v>36355</v>
      </c>
      <c r="G1008" s="8">
        <f t="shared" si="15"/>
        <v>36355</v>
      </c>
      <c r="H1008" s="6" t="s">
        <v>13</v>
      </c>
      <c r="I1008" s="9">
        <v>18715.617287898</v>
      </c>
      <c r="J1008" s="62">
        <v>366.84804299367801</v>
      </c>
      <c r="K1008" s="17">
        <v>1</v>
      </c>
    </row>
    <row r="1009" spans="1:11" x14ac:dyDescent="0.25">
      <c r="A1009" s="3" t="s">
        <v>2037</v>
      </c>
      <c r="B1009" s="4" t="s">
        <v>2038</v>
      </c>
      <c r="C1009" s="5">
        <v>52949</v>
      </c>
      <c r="D1009" s="6" t="s">
        <v>34</v>
      </c>
      <c r="E1009" s="6" t="s">
        <v>17</v>
      </c>
      <c r="F1009" s="7">
        <v>39017</v>
      </c>
      <c r="G1009" s="8">
        <f t="shared" si="15"/>
        <v>39017</v>
      </c>
      <c r="H1009" s="6" t="s">
        <v>13</v>
      </c>
      <c r="I1009" s="9">
        <v>5644.1080898403907</v>
      </c>
      <c r="J1009" s="62">
        <v>67.501171618431002</v>
      </c>
      <c r="K1009" s="17">
        <v>1</v>
      </c>
    </row>
    <row r="1010" spans="1:11" x14ac:dyDescent="0.25">
      <c r="A1010" s="3" t="s">
        <v>2039</v>
      </c>
      <c r="B1010" s="4" t="s">
        <v>2040</v>
      </c>
      <c r="C1010" s="5">
        <v>17927</v>
      </c>
      <c r="D1010" s="6" t="s">
        <v>16</v>
      </c>
      <c r="E1010" s="6" t="s">
        <v>17</v>
      </c>
      <c r="F1010" s="7">
        <v>21178</v>
      </c>
      <c r="G1010" s="8">
        <f t="shared" si="15"/>
        <v>21178</v>
      </c>
      <c r="H1010" s="6" t="s">
        <v>13</v>
      </c>
      <c r="I1010" s="9">
        <v>13407.124298448201</v>
      </c>
      <c r="J1010" s="62">
        <v>79.007897546280105</v>
      </c>
      <c r="K1010" s="17">
        <v>1</v>
      </c>
    </row>
    <row r="1011" spans="1:11" x14ac:dyDescent="0.25">
      <c r="A1011" s="3" t="s">
        <v>2041</v>
      </c>
      <c r="B1011" s="4" t="s">
        <v>2042</v>
      </c>
      <c r="C1011" s="5">
        <v>27569</v>
      </c>
      <c r="D1011" s="6" t="s">
        <v>11</v>
      </c>
      <c r="E1011" s="6" t="s">
        <v>12</v>
      </c>
      <c r="F1011" s="7">
        <v>36677</v>
      </c>
      <c r="G1011" s="8">
        <f t="shared" si="15"/>
        <v>36677</v>
      </c>
      <c r="H1011" s="6" t="s">
        <v>39</v>
      </c>
      <c r="I1011" s="9">
        <v>44910.412102226095</v>
      </c>
      <c r="J1011" s="62">
        <v>299.20427788934097</v>
      </c>
      <c r="K1011" s="17">
        <v>1</v>
      </c>
    </row>
    <row r="1012" spans="1:11" x14ac:dyDescent="0.25">
      <c r="A1012" s="3" t="s">
        <v>2043</v>
      </c>
      <c r="B1012" s="4" t="s">
        <v>2044</v>
      </c>
      <c r="C1012" s="5">
        <v>54664</v>
      </c>
      <c r="D1012" s="6" t="s">
        <v>11</v>
      </c>
      <c r="E1012" s="6" t="s">
        <v>12</v>
      </c>
      <c r="F1012" s="7">
        <v>38013</v>
      </c>
      <c r="G1012" s="8">
        <f t="shared" si="15"/>
        <v>38013</v>
      </c>
      <c r="H1012" s="6" t="s">
        <v>39</v>
      </c>
      <c r="I1012" s="9">
        <v>25454.877164865302</v>
      </c>
      <c r="J1012" s="62">
        <v>150.53598132916599</v>
      </c>
      <c r="K1012" s="17">
        <v>1</v>
      </c>
    </row>
    <row r="1013" spans="1:11" ht="30" x14ac:dyDescent="0.25">
      <c r="A1013" s="3" t="s">
        <v>2045</v>
      </c>
      <c r="B1013" s="4" t="s">
        <v>2046</v>
      </c>
      <c r="C1013" s="5">
        <v>54665</v>
      </c>
      <c r="D1013" s="6" t="s">
        <v>11</v>
      </c>
      <c r="E1013" s="6" t="s">
        <v>12</v>
      </c>
      <c r="F1013" s="7">
        <v>37426</v>
      </c>
      <c r="G1013" s="8">
        <f t="shared" si="15"/>
        <v>37426</v>
      </c>
      <c r="H1013" s="6" t="s">
        <v>776</v>
      </c>
      <c r="I1013" s="9">
        <v>10608.229715317499</v>
      </c>
      <c r="J1013" s="62">
        <v>244.52843558695801</v>
      </c>
      <c r="K1013" s="17">
        <v>1</v>
      </c>
    </row>
    <row r="1014" spans="1:11" x14ac:dyDescent="0.25">
      <c r="A1014" s="3" t="s">
        <v>2047</v>
      </c>
      <c r="B1014" s="4" t="s">
        <v>2048</v>
      </c>
      <c r="C1014" s="5">
        <v>1047</v>
      </c>
      <c r="D1014" s="6" t="s">
        <v>16</v>
      </c>
      <c r="E1014" s="6" t="s">
        <v>17</v>
      </c>
      <c r="F1014" s="7">
        <v>29221</v>
      </c>
      <c r="G1014" s="8">
        <f t="shared" si="15"/>
        <v>29221</v>
      </c>
      <c r="H1014" s="6" t="s">
        <v>13</v>
      </c>
      <c r="I1014" s="9">
        <v>4587.6426393726097</v>
      </c>
      <c r="J1014" s="62">
        <v>90.647011861042202</v>
      </c>
      <c r="K1014" s="17">
        <v>1</v>
      </c>
    </row>
    <row r="1015" spans="1:11" x14ac:dyDescent="0.25">
      <c r="A1015" s="3" t="s">
        <v>2049</v>
      </c>
      <c r="B1015" s="4" t="s">
        <v>2050</v>
      </c>
      <c r="C1015" s="14">
        <v>1424</v>
      </c>
      <c r="D1015" s="6" t="s">
        <v>16</v>
      </c>
      <c r="E1015" s="6" t="s">
        <v>17</v>
      </c>
      <c r="F1015" s="7">
        <v>29221</v>
      </c>
      <c r="G1015" s="8">
        <f t="shared" si="15"/>
        <v>29221</v>
      </c>
      <c r="H1015" s="6" t="s">
        <v>13</v>
      </c>
      <c r="I1015" s="9">
        <v>86911.472306181589</v>
      </c>
      <c r="J1015" s="62">
        <v>450.93619136507198</v>
      </c>
      <c r="K1015" s="17">
        <v>1</v>
      </c>
    </row>
    <row r="1016" spans="1:11" x14ac:dyDescent="0.25">
      <c r="A1016" s="3" t="s">
        <v>2051</v>
      </c>
      <c r="B1016" s="4" t="s">
        <v>2052</v>
      </c>
      <c r="C1016" s="14">
        <v>13122</v>
      </c>
      <c r="D1016" s="6" t="s">
        <v>11</v>
      </c>
      <c r="E1016" s="6" t="s">
        <v>17</v>
      </c>
      <c r="F1016" s="7">
        <v>38243</v>
      </c>
      <c r="G1016" s="8">
        <f t="shared" si="15"/>
        <v>38243</v>
      </c>
      <c r="H1016" s="6" t="s">
        <v>13</v>
      </c>
      <c r="I1016" s="9">
        <v>122004.33413054</v>
      </c>
      <c r="J1016" s="62">
        <v>792.23104287113097</v>
      </c>
      <c r="K1016" s="17">
        <v>1</v>
      </c>
    </row>
    <row r="1017" spans="1:11" x14ac:dyDescent="0.25">
      <c r="A1017" s="3" t="s">
        <v>2053</v>
      </c>
      <c r="B1017" s="4" t="s">
        <v>2054</v>
      </c>
      <c r="C1017" s="5">
        <v>25601</v>
      </c>
      <c r="D1017" s="6" t="s">
        <v>11</v>
      </c>
      <c r="E1017" s="6" t="s">
        <v>17</v>
      </c>
      <c r="F1017" s="7">
        <v>35004</v>
      </c>
      <c r="G1017" s="8">
        <f t="shared" si="15"/>
        <v>35004</v>
      </c>
      <c r="H1017" s="6" t="s">
        <v>13</v>
      </c>
      <c r="I1017" s="9">
        <v>26690.309694929299</v>
      </c>
      <c r="J1017" s="62">
        <v>91.435515539382195</v>
      </c>
      <c r="K1017" s="17">
        <v>2</v>
      </c>
    </row>
    <row r="1018" spans="1:11" x14ac:dyDescent="0.25">
      <c r="A1018" s="3" t="s">
        <v>2055</v>
      </c>
      <c r="B1018" s="4" t="s">
        <v>2056</v>
      </c>
      <c r="C1018" s="5">
        <v>1711</v>
      </c>
      <c r="D1018" s="6" t="s">
        <v>16</v>
      </c>
      <c r="E1018" s="6" t="s">
        <v>17</v>
      </c>
      <c r="F1018" s="7">
        <v>29221</v>
      </c>
      <c r="G1018" s="8">
        <f t="shared" si="15"/>
        <v>29221</v>
      </c>
      <c r="H1018" s="6" t="s">
        <v>13</v>
      </c>
      <c r="I1018" s="9">
        <v>65709.0431557462</v>
      </c>
      <c r="J1018" s="62">
        <v>459.67695456165302</v>
      </c>
      <c r="K1018" s="17">
        <v>1</v>
      </c>
    </row>
    <row r="1019" spans="1:11" x14ac:dyDescent="0.25">
      <c r="A1019" s="3" t="s">
        <v>2057</v>
      </c>
      <c r="B1019" s="4" t="s">
        <v>2058</v>
      </c>
      <c r="C1019" s="14">
        <v>19213</v>
      </c>
      <c r="D1019" s="6" t="s">
        <v>16</v>
      </c>
      <c r="E1019" s="6" t="s">
        <v>17</v>
      </c>
      <c r="F1019" s="7">
        <v>33162</v>
      </c>
      <c r="G1019" s="8">
        <f t="shared" si="15"/>
        <v>33162</v>
      </c>
      <c r="H1019" s="6" t="s">
        <v>13</v>
      </c>
      <c r="I1019" s="9" t="s">
        <v>3380</v>
      </c>
      <c r="J1019" s="62" t="s">
        <v>3380</v>
      </c>
      <c r="K1019" s="17">
        <v>2</v>
      </c>
    </row>
    <row r="1020" spans="1:11" x14ac:dyDescent="0.25">
      <c r="A1020" s="3" t="s">
        <v>2059</v>
      </c>
      <c r="B1020" s="4" t="s">
        <v>2060</v>
      </c>
      <c r="C1020" s="5">
        <v>2013</v>
      </c>
      <c r="D1020" s="6" t="s">
        <v>16</v>
      </c>
      <c r="E1020" s="6" t="s">
        <v>17</v>
      </c>
      <c r="F1020" s="7">
        <v>30317</v>
      </c>
      <c r="G1020" s="8">
        <f t="shared" si="15"/>
        <v>30317</v>
      </c>
      <c r="H1020" s="6" t="s">
        <v>13</v>
      </c>
      <c r="I1020" s="9">
        <v>15175.010428244701</v>
      </c>
      <c r="J1020" s="62">
        <v>321.80329329011801</v>
      </c>
      <c r="K1020" s="17">
        <v>2</v>
      </c>
    </row>
    <row r="1021" spans="1:11" x14ac:dyDescent="0.25">
      <c r="A1021" s="3" t="s">
        <v>2061</v>
      </c>
      <c r="B1021" s="4" t="s">
        <v>2062</v>
      </c>
      <c r="C1021" s="5">
        <v>1717</v>
      </c>
      <c r="D1021" s="6" t="s">
        <v>16</v>
      </c>
      <c r="E1021" s="6" t="s">
        <v>17</v>
      </c>
      <c r="F1021" s="7">
        <v>31734</v>
      </c>
      <c r="G1021" s="8">
        <f t="shared" si="15"/>
        <v>31734</v>
      </c>
      <c r="H1021" s="6" t="s">
        <v>13</v>
      </c>
      <c r="I1021" s="9" t="s">
        <v>3380</v>
      </c>
      <c r="J1021" s="62" t="s">
        <v>3380</v>
      </c>
      <c r="K1021" s="17">
        <v>4</v>
      </c>
    </row>
    <row r="1022" spans="1:11" x14ac:dyDescent="0.25">
      <c r="A1022" s="3" t="s">
        <v>2063</v>
      </c>
      <c r="B1022" s="4" t="s">
        <v>2064</v>
      </c>
      <c r="C1022" s="14">
        <v>54689</v>
      </c>
      <c r="D1022" s="6" t="s">
        <v>16</v>
      </c>
      <c r="E1022" s="6" t="s">
        <v>17</v>
      </c>
      <c r="F1022" s="7">
        <v>29221</v>
      </c>
      <c r="G1022" s="8">
        <f t="shared" si="15"/>
        <v>29221</v>
      </c>
      <c r="H1022" s="6" t="s">
        <v>13</v>
      </c>
      <c r="I1022" s="9">
        <v>3763.9975704580497</v>
      </c>
      <c r="J1022" s="62">
        <v>199.031840173327</v>
      </c>
      <c r="K1022" s="17">
        <v>2</v>
      </c>
    </row>
    <row r="1023" spans="1:11" x14ac:dyDescent="0.25">
      <c r="A1023" s="3" t="s">
        <v>2065</v>
      </c>
      <c r="B1023" s="4" t="s">
        <v>2066</v>
      </c>
      <c r="C1023" s="5">
        <v>17923</v>
      </c>
      <c r="D1023" s="6" t="s">
        <v>16</v>
      </c>
      <c r="E1023" s="6" t="s">
        <v>17</v>
      </c>
      <c r="F1023" s="7">
        <v>30243</v>
      </c>
      <c r="G1023" s="8">
        <f t="shared" si="15"/>
        <v>30243</v>
      </c>
      <c r="H1023" s="6" t="s">
        <v>13</v>
      </c>
      <c r="I1023" s="9">
        <v>15161.3460791696</v>
      </c>
      <c r="J1023" s="62">
        <v>213.101128740447</v>
      </c>
      <c r="K1023" s="17">
        <v>1</v>
      </c>
    </row>
    <row r="1024" spans="1:11" x14ac:dyDescent="0.25">
      <c r="A1024" s="3" t="s">
        <v>2067</v>
      </c>
      <c r="B1024" s="4" t="s">
        <v>2068</v>
      </c>
      <c r="C1024" s="5">
        <v>18243</v>
      </c>
      <c r="D1024" s="6" t="s">
        <v>16</v>
      </c>
      <c r="E1024" s="6" t="s">
        <v>17</v>
      </c>
      <c r="F1024" s="7">
        <v>30706</v>
      </c>
      <c r="G1024" s="8">
        <f t="shared" si="15"/>
        <v>30706</v>
      </c>
      <c r="H1024" s="6" t="s">
        <v>13</v>
      </c>
      <c r="I1024" s="9">
        <v>11067.4957877333</v>
      </c>
      <c r="J1024" s="62">
        <v>254.44882386856801</v>
      </c>
      <c r="K1024" s="17">
        <v>1</v>
      </c>
    </row>
    <row r="1025" spans="1:11" x14ac:dyDescent="0.25">
      <c r="A1025" s="3" t="s">
        <v>2069</v>
      </c>
      <c r="B1025" s="4" t="s">
        <v>2070</v>
      </c>
      <c r="C1025" s="14">
        <v>19212</v>
      </c>
      <c r="D1025" s="6" t="s">
        <v>16</v>
      </c>
      <c r="E1025" s="6" t="s">
        <v>17</v>
      </c>
      <c r="F1025" s="7">
        <v>33108</v>
      </c>
      <c r="G1025" s="8">
        <f t="shared" si="15"/>
        <v>33108</v>
      </c>
      <c r="H1025" s="6" t="s">
        <v>13</v>
      </c>
      <c r="I1025" s="9">
        <v>82370.85578542031</v>
      </c>
      <c r="J1025" s="62">
        <v>419.25330147010197</v>
      </c>
      <c r="K1025" s="17">
        <v>2</v>
      </c>
    </row>
    <row r="1026" spans="1:11" x14ac:dyDescent="0.25">
      <c r="A1026" s="3" t="s">
        <v>2071</v>
      </c>
      <c r="B1026" s="4" t="s">
        <v>2072</v>
      </c>
      <c r="C1026" s="14">
        <v>1322</v>
      </c>
      <c r="D1026" s="6" t="s">
        <v>16</v>
      </c>
      <c r="E1026" s="6" t="s">
        <v>17</v>
      </c>
      <c r="F1026" s="7">
        <v>29221</v>
      </c>
      <c r="G1026" s="8">
        <f t="shared" ref="G1026:G1089" si="16">F1026</f>
        <v>29221</v>
      </c>
      <c r="H1026" s="6" t="s">
        <v>13</v>
      </c>
      <c r="I1026" s="9" t="s">
        <v>3380</v>
      </c>
      <c r="J1026" s="62" t="s">
        <v>3380</v>
      </c>
      <c r="K1026" s="17">
        <v>3</v>
      </c>
    </row>
    <row r="1027" spans="1:11" x14ac:dyDescent="0.25">
      <c r="A1027" s="3" t="s">
        <v>2073</v>
      </c>
      <c r="B1027" s="4" t="s">
        <v>2074</v>
      </c>
      <c r="C1027" s="5">
        <v>1519</v>
      </c>
      <c r="D1027" s="6" t="s">
        <v>11</v>
      </c>
      <c r="E1027" s="6" t="s">
        <v>17</v>
      </c>
      <c r="F1027" s="7">
        <v>36600</v>
      </c>
      <c r="G1027" s="8">
        <f t="shared" si="16"/>
        <v>36600</v>
      </c>
      <c r="H1027" s="6" t="s">
        <v>13</v>
      </c>
      <c r="I1027" s="9">
        <v>67483.606936196913</v>
      </c>
      <c r="J1027" s="62">
        <v>365.587458178416</v>
      </c>
      <c r="K1027" s="17">
        <v>1</v>
      </c>
    </row>
    <row r="1028" spans="1:11" x14ac:dyDescent="0.25">
      <c r="A1028" s="3" t="s">
        <v>2075</v>
      </c>
      <c r="B1028" s="4" t="s">
        <v>2076</v>
      </c>
      <c r="C1028" s="5">
        <v>52905</v>
      </c>
      <c r="D1028" s="6" t="s">
        <v>34</v>
      </c>
      <c r="E1028" s="6" t="s">
        <v>17</v>
      </c>
      <c r="F1028" s="7">
        <v>39209</v>
      </c>
      <c r="G1028" s="8">
        <f t="shared" si="16"/>
        <v>39209</v>
      </c>
      <c r="H1028" s="6" t="s">
        <v>13</v>
      </c>
      <c r="I1028" s="9">
        <v>14934.390141014501</v>
      </c>
      <c r="J1028" s="62">
        <v>161.101279942567</v>
      </c>
      <c r="K1028" s="17">
        <v>1</v>
      </c>
    </row>
    <row r="1029" spans="1:11" x14ac:dyDescent="0.25">
      <c r="A1029" s="26" t="s">
        <v>2077</v>
      </c>
      <c r="B1029" s="27" t="s">
        <v>2078</v>
      </c>
      <c r="C1029" s="5">
        <v>54690</v>
      </c>
      <c r="D1029" s="28" t="s">
        <v>31</v>
      </c>
      <c r="E1029" s="28" t="s">
        <v>17</v>
      </c>
      <c r="F1029" s="29">
        <v>39735</v>
      </c>
      <c r="G1029" s="30">
        <f t="shared" si="16"/>
        <v>39735</v>
      </c>
      <c r="H1029" s="28" t="s">
        <v>13</v>
      </c>
      <c r="I1029" s="9">
        <v>43402.188559851296</v>
      </c>
      <c r="J1029" s="62">
        <v>485.15904222836298</v>
      </c>
      <c r="K1029" s="33">
        <v>2</v>
      </c>
    </row>
    <row r="1030" spans="1:11" x14ac:dyDescent="0.25">
      <c r="A1030" s="3" t="s">
        <v>2079</v>
      </c>
      <c r="B1030" s="4" t="s">
        <v>2080</v>
      </c>
      <c r="C1030" s="14">
        <v>1227</v>
      </c>
      <c r="D1030" s="6" t="s">
        <v>31</v>
      </c>
      <c r="E1030" s="6" t="s">
        <v>17</v>
      </c>
      <c r="F1030" s="7">
        <v>39735</v>
      </c>
      <c r="G1030" s="8">
        <f t="shared" si="16"/>
        <v>39735</v>
      </c>
      <c r="H1030" s="6" t="s">
        <v>13</v>
      </c>
      <c r="I1030" s="9">
        <v>7164.3655624454104</v>
      </c>
      <c r="J1030" s="62">
        <v>10.4073817097527</v>
      </c>
      <c r="K1030" s="17">
        <v>4</v>
      </c>
    </row>
    <row r="1031" spans="1:11" x14ac:dyDescent="0.25">
      <c r="A1031" s="3" t="s">
        <v>2081</v>
      </c>
      <c r="B1031" s="4" t="s">
        <v>2082</v>
      </c>
      <c r="C1031" s="14">
        <v>1542</v>
      </c>
      <c r="D1031" s="6" t="s">
        <v>28</v>
      </c>
      <c r="E1031" s="6" t="s">
        <v>17</v>
      </c>
      <c r="F1031" s="7">
        <v>35065</v>
      </c>
      <c r="G1031" s="8">
        <f t="shared" si="16"/>
        <v>35065</v>
      </c>
      <c r="H1031" s="6" t="s">
        <v>13</v>
      </c>
      <c r="I1031" s="9" t="s">
        <v>3380</v>
      </c>
      <c r="J1031" s="62" t="s">
        <v>3380</v>
      </c>
      <c r="K1031" s="17">
        <v>4</v>
      </c>
    </row>
    <row r="1032" spans="1:11" x14ac:dyDescent="0.25">
      <c r="A1032" s="3" t="s">
        <v>2083</v>
      </c>
      <c r="B1032" s="4" t="s">
        <v>2084</v>
      </c>
      <c r="C1032" s="14">
        <v>72147</v>
      </c>
      <c r="D1032" s="6" t="s">
        <v>11</v>
      </c>
      <c r="E1032" s="6" t="s">
        <v>12</v>
      </c>
      <c r="F1032" s="7">
        <v>36923</v>
      </c>
      <c r="G1032" s="8">
        <f t="shared" si="16"/>
        <v>36923</v>
      </c>
      <c r="H1032" s="6" t="s">
        <v>39</v>
      </c>
      <c r="I1032" s="9">
        <v>4013.7245416557998</v>
      </c>
      <c r="J1032" s="62">
        <v>116.163814429646</v>
      </c>
      <c r="K1032" s="17">
        <v>1</v>
      </c>
    </row>
    <row r="1033" spans="1:11" x14ac:dyDescent="0.25">
      <c r="A1033" s="3" t="s">
        <v>2085</v>
      </c>
      <c r="B1033" s="4" t="s">
        <v>2086</v>
      </c>
      <c r="C1033" s="14">
        <v>41713</v>
      </c>
      <c r="D1033" s="6" t="s">
        <v>11</v>
      </c>
      <c r="E1033" s="6" t="s">
        <v>17</v>
      </c>
      <c r="F1033" s="7">
        <v>36419</v>
      </c>
      <c r="G1033" s="8">
        <f t="shared" si="16"/>
        <v>36419</v>
      </c>
      <c r="H1033" s="6" t="s">
        <v>13</v>
      </c>
      <c r="I1033" s="9">
        <v>37772.607990246499</v>
      </c>
      <c r="J1033" s="62">
        <v>483.54560301321499</v>
      </c>
      <c r="K1033" s="17">
        <v>2</v>
      </c>
    </row>
    <row r="1034" spans="1:11" x14ac:dyDescent="0.25">
      <c r="A1034" s="3" t="s">
        <v>2087</v>
      </c>
      <c r="B1034" s="4" t="s">
        <v>2088</v>
      </c>
      <c r="C1034" s="5">
        <v>52290</v>
      </c>
      <c r="D1034" s="6" t="s">
        <v>37</v>
      </c>
      <c r="E1034" s="6" t="s">
        <v>38</v>
      </c>
      <c r="F1034" s="7">
        <v>37970</v>
      </c>
      <c r="G1034" s="8">
        <f t="shared" si="16"/>
        <v>37970</v>
      </c>
      <c r="H1034" s="6" t="s">
        <v>39</v>
      </c>
      <c r="I1034" s="9">
        <v>9205.0336723933306</v>
      </c>
      <c r="J1034" s="62">
        <v>289.34439495802599</v>
      </c>
      <c r="K1034" s="17">
        <v>1</v>
      </c>
    </row>
    <row r="1035" spans="1:11" x14ac:dyDescent="0.25">
      <c r="A1035" s="3" t="s">
        <v>2089</v>
      </c>
      <c r="B1035" s="4" t="s">
        <v>2090</v>
      </c>
      <c r="C1035" s="14">
        <v>30543</v>
      </c>
      <c r="D1035" s="6" t="s">
        <v>37</v>
      </c>
      <c r="E1035" s="6" t="s">
        <v>38</v>
      </c>
      <c r="F1035" s="7">
        <v>38132</v>
      </c>
      <c r="G1035" s="8">
        <f t="shared" si="16"/>
        <v>38132</v>
      </c>
      <c r="H1035" s="6" t="s">
        <v>39</v>
      </c>
      <c r="I1035" s="9">
        <v>13521.179115297899</v>
      </c>
      <c r="J1035" s="62">
        <v>119.319264696543</v>
      </c>
      <c r="K1035" s="17">
        <v>1</v>
      </c>
    </row>
    <row r="1036" spans="1:11" x14ac:dyDescent="0.25">
      <c r="A1036" s="3" t="s">
        <v>2091</v>
      </c>
      <c r="B1036" s="4" t="s">
        <v>2092</v>
      </c>
      <c r="C1036" s="5">
        <v>52291</v>
      </c>
      <c r="D1036" s="6" t="s">
        <v>37</v>
      </c>
      <c r="E1036" s="6" t="s">
        <v>38</v>
      </c>
      <c r="F1036" s="7">
        <v>38132</v>
      </c>
      <c r="G1036" s="8">
        <f t="shared" si="16"/>
        <v>38132</v>
      </c>
      <c r="H1036" s="6" t="s">
        <v>39</v>
      </c>
      <c r="I1036" s="9">
        <v>248.37128888339799</v>
      </c>
      <c r="J1036" s="62">
        <v>54.101283221918401</v>
      </c>
      <c r="K1036" s="17">
        <v>1</v>
      </c>
    </row>
    <row r="1037" spans="1:11" x14ac:dyDescent="0.25">
      <c r="A1037" s="3" t="s">
        <v>2093</v>
      </c>
      <c r="B1037" s="4" t="s">
        <v>2094</v>
      </c>
      <c r="C1037" s="5">
        <v>52292</v>
      </c>
      <c r="D1037" s="6" t="s">
        <v>37</v>
      </c>
      <c r="E1037" s="6" t="s">
        <v>38</v>
      </c>
      <c r="F1037" s="7">
        <v>39475</v>
      </c>
      <c r="G1037" s="8">
        <f t="shared" si="16"/>
        <v>39475</v>
      </c>
      <c r="H1037" s="6" t="s">
        <v>39</v>
      </c>
      <c r="I1037" s="9">
        <v>111.172747777081</v>
      </c>
      <c r="J1037" s="62">
        <v>13.9418553569518</v>
      </c>
      <c r="K1037" s="17">
        <v>1</v>
      </c>
    </row>
    <row r="1038" spans="1:11" x14ac:dyDescent="0.25">
      <c r="A1038" s="3" t="s">
        <v>2095</v>
      </c>
      <c r="B1038" s="4" t="s">
        <v>2096</v>
      </c>
      <c r="C1038" s="5">
        <v>47138</v>
      </c>
      <c r="D1038" s="6" t="s">
        <v>37</v>
      </c>
      <c r="E1038" s="6" t="s">
        <v>38</v>
      </c>
      <c r="F1038" s="7">
        <v>38687</v>
      </c>
      <c r="G1038" s="8">
        <f t="shared" si="16"/>
        <v>38687</v>
      </c>
      <c r="H1038" s="6" t="s">
        <v>39</v>
      </c>
      <c r="I1038" s="9">
        <v>32626.814713884301</v>
      </c>
      <c r="J1038" s="62">
        <v>535.53947886826495</v>
      </c>
      <c r="K1038" s="17">
        <v>2</v>
      </c>
    </row>
    <row r="1039" spans="1:11" x14ac:dyDescent="0.25">
      <c r="A1039" s="3" t="s">
        <v>2097</v>
      </c>
      <c r="B1039" s="4" t="s">
        <v>2098</v>
      </c>
      <c r="C1039" s="5">
        <v>33217</v>
      </c>
      <c r="D1039" s="6" t="s">
        <v>37</v>
      </c>
      <c r="E1039" s="6" t="s">
        <v>38</v>
      </c>
      <c r="F1039" s="7">
        <v>35517</v>
      </c>
      <c r="G1039" s="8">
        <f t="shared" si="16"/>
        <v>35517</v>
      </c>
      <c r="H1039" s="6" t="s">
        <v>39</v>
      </c>
      <c r="I1039" s="9">
        <v>15056.377007609701</v>
      </c>
      <c r="J1039" s="62">
        <v>373.67271722881202</v>
      </c>
      <c r="K1039" s="17">
        <v>1</v>
      </c>
    </row>
    <row r="1040" spans="1:11" x14ac:dyDescent="0.25">
      <c r="A1040" s="3" t="s">
        <v>2099</v>
      </c>
      <c r="B1040" s="4" t="s">
        <v>2100</v>
      </c>
      <c r="C1040" s="5">
        <v>1316</v>
      </c>
      <c r="D1040" s="6" t="s">
        <v>16</v>
      </c>
      <c r="E1040" s="6" t="s">
        <v>17</v>
      </c>
      <c r="F1040" s="7">
        <v>31048</v>
      </c>
      <c r="G1040" s="8">
        <f t="shared" si="16"/>
        <v>31048</v>
      </c>
      <c r="H1040" s="6" t="s">
        <v>13</v>
      </c>
      <c r="I1040" s="9">
        <v>24533.052752263</v>
      </c>
      <c r="J1040" s="62">
        <v>131.99301644847</v>
      </c>
      <c r="K1040" s="17">
        <v>2</v>
      </c>
    </row>
    <row r="1041" spans="1:11" x14ac:dyDescent="0.25">
      <c r="A1041" s="3" t="s">
        <v>2101</v>
      </c>
      <c r="B1041" s="4" t="s">
        <v>2102</v>
      </c>
      <c r="C1041" s="14">
        <v>1619</v>
      </c>
      <c r="D1041" s="6" t="s">
        <v>16</v>
      </c>
      <c r="E1041" s="6" t="s">
        <v>17</v>
      </c>
      <c r="F1041" s="7">
        <v>29221</v>
      </c>
      <c r="G1041" s="8">
        <f t="shared" si="16"/>
        <v>29221</v>
      </c>
      <c r="H1041" s="6" t="s">
        <v>13</v>
      </c>
      <c r="I1041" s="9" t="s">
        <v>3380</v>
      </c>
      <c r="J1041" s="62" t="s">
        <v>3380</v>
      </c>
      <c r="K1041" s="17">
        <v>3</v>
      </c>
    </row>
    <row r="1042" spans="1:11" x14ac:dyDescent="0.25">
      <c r="A1042" s="3" t="s">
        <v>2103</v>
      </c>
      <c r="B1042" s="4" t="s">
        <v>2104</v>
      </c>
      <c r="C1042" s="5">
        <v>1447</v>
      </c>
      <c r="D1042" s="6" t="s">
        <v>16</v>
      </c>
      <c r="E1042" s="6" t="s">
        <v>17</v>
      </c>
      <c r="F1042" s="7">
        <v>25569</v>
      </c>
      <c r="G1042" s="8">
        <f t="shared" si="16"/>
        <v>25569</v>
      </c>
      <c r="H1042" s="6" t="s">
        <v>13</v>
      </c>
      <c r="I1042" s="9">
        <v>2601.35374628913</v>
      </c>
      <c r="J1042" s="62">
        <v>230.72779823012601</v>
      </c>
      <c r="K1042" s="17">
        <v>1</v>
      </c>
    </row>
    <row r="1043" spans="1:11" x14ac:dyDescent="0.25">
      <c r="A1043" s="3" t="s">
        <v>2105</v>
      </c>
      <c r="B1043" s="4" t="s">
        <v>2106</v>
      </c>
      <c r="C1043" s="14">
        <v>1169</v>
      </c>
      <c r="D1043" s="6" t="s">
        <v>31</v>
      </c>
      <c r="E1043" s="6" t="s">
        <v>17</v>
      </c>
      <c r="F1043" s="7">
        <v>35065</v>
      </c>
      <c r="G1043" s="8">
        <f t="shared" si="16"/>
        <v>35065</v>
      </c>
      <c r="H1043" s="6" t="s">
        <v>13</v>
      </c>
      <c r="I1043" s="9">
        <v>24339.1805363823</v>
      </c>
      <c r="J1043" s="62">
        <v>188.34878121674799</v>
      </c>
      <c r="K1043" s="17">
        <v>1</v>
      </c>
    </row>
    <row r="1044" spans="1:11" x14ac:dyDescent="0.25">
      <c r="A1044" s="3" t="s">
        <v>2107</v>
      </c>
      <c r="B1044" s="4" t="s">
        <v>2108</v>
      </c>
      <c r="C1044" s="5">
        <v>14723</v>
      </c>
      <c r="D1044" s="6" t="s">
        <v>11</v>
      </c>
      <c r="E1044" s="6" t="s">
        <v>17</v>
      </c>
      <c r="F1044" s="7">
        <v>38274</v>
      </c>
      <c r="G1044" s="8">
        <f t="shared" si="16"/>
        <v>38274</v>
      </c>
      <c r="H1044" s="6" t="s">
        <v>13</v>
      </c>
      <c r="I1044" s="9">
        <v>45981.254945014596</v>
      </c>
      <c r="J1044" s="62">
        <v>312.163477043032</v>
      </c>
      <c r="K1044" s="17">
        <v>2</v>
      </c>
    </row>
    <row r="1045" spans="1:11" x14ac:dyDescent="0.25">
      <c r="A1045" s="3" t="s">
        <v>2109</v>
      </c>
      <c r="B1045" s="4" t="s">
        <v>2110</v>
      </c>
      <c r="C1045" s="5">
        <v>54692</v>
      </c>
      <c r="D1045" s="6" t="s">
        <v>11</v>
      </c>
      <c r="E1045" s="6" t="s">
        <v>17</v>
      </c>
      <c r="F1045" s="7">
        <v>38976</v>
      </c>
      <c r="G1045" s="8">
        <f t="shared" si="16"/>
        <v>38976</v>
      </c>
      <c r="H1045" s="6" t="s">
        <v>13</v>
      </c>
      <c r="I1045" s="9">
        <v>36343.079420494803</v>
      </c>
      <c r="J1045" s="62">
        <v>185.234142569374</v>
      </c>
      <c r="K1045" s="17">
        <v>1</v>
      </c>
    </row>
    <row r="1046" spans="1:11" x14ac:dyDescent="0.25">
      <c r="A1046" s="18" t="s">
        <v>2111</v>
      </c>
      <c r="B1046" s="19" t="s">
        <v>2112</v>
      </c>
      <c r="C1046" s="20">
        <v>54691</v>
      </c>
      <c r="D1046" s="21" t="s">
        <v>11</v>
      </c>
      <c r="E1046" s="21" t="s">
        <v>12</v>
      </c>
      <c r="F1046" s="22">
        <v>36826</v>
      </c>
      <c r="G1046" s="23">
        <f t="shared" si="16"/>
        <v>36826</v>
      </c>
      <c r="H1046" s="21" t="s">
        <v>39</v>
      </c>
      <c r="I1046" s="9">
        <v>21457.314380360098</v>
      </c>
      <c r="J1046" s="62">
        <v>98.619600477097293</v>
      </c>
      <c r="K1046" s="25">
        <v>1</v>
      </c>
    </row>
    <row r="1047" spans="1:11" x14ac:dyDescent="0.25">
      <c r="A1047" s="3" t="s">
        <v>2113</v>
      </c>
      <c r="B1047" s="4" t="s">
        <v>2114</v>
      </c>
      <c r="C1047" s="5">
        <v>1572</v>
      </c>
      <c r="D1047" s="6" t="s">
        <v>16</v>
      </c>
      <c r="E1047" s="6" t="s">
        <v>17</v>
      </c>
      <c r="F1047" s="7">
        <v>18264</v>
      </c>
      <c r="G1047" s="8">
        <f t="shared" si="16"/>
        <v>18264</v>
      </c>
      <c r="H1047" s="6" t="s">
        <v>13</v>
      </c>
      <c r="I1047" s="9">
        <v>47988.546250017302</v>
      </c>
      <c r="J1047" s="62">
        <v>228.76623742691001</v>
      </c>
      <c r="K1047" s="17">
        <v>1</v>
      </c>
    </row>
    <row r="1048" spans="1:11" x14ac:dyDescent="0.25">
      <c r="A1048" s="3" t="s">
        <v>2115</v>
      </c>
      <c r="B1048" s="4" t="s">
        <v>2116</v>
      </c>
      <c r="C1048" s="5">
        <v>51601</v>
      </c>
      <c r="D1048" s="6" t="s">
        <v>37</v>
      </c>
      <c r="E1048" s="6" t="s">
        <v>38</v>
      </c>
      <c r="F1048" s="7">
        <v>33682</v>
      </c>
      <c r="G1048" s="8">
        <f t="shared" si="16"/>
        <v>33682</v>
      </c>
      <c r="H1048" s="6" t="s">
        <v>39</v>
      </c>
      <c r="I1048" s="9">
        <v>14958.0278518123</v>
      </c>
      <c r="J1048" s="62">
        <v>183.71807112496799</v>
      </c>
      <c r="K1048" s="17">
        <v>2</v>
      </c>
    </row>
    <row r="1049" spans="1:11" x14ac:dyDescent="0.25">
      <c r="A1049" s="3" t="s">
        <v>2117</v>
      </c>
      <c r="B1049" s="4" t="s">
        <v>2118</v>
      </c>
      <c r="C1049" s="14">
        <v>46161</v>
      </c>
      <c r="D1049" s="6" t="s">
        <v>11</v>
      </c>
      <c r="E1049" s="6" t="s">
        <v>17</v>
      </c>
      <c r="F1049" s="7">
        <v>39133</v>
      </c>
      <c r="G1049" s="8">
        <f t="shared" si="16"/>
        <v>39133</v>
      </c>
      <c r="H1049" s="6" t="s">
        <v>13</v>
      </c>
      <c r="I1049" s="9">
        <v>233396.34879683101</v>
      </c>
      <c r="J1049" s="62">
        <v>1842.093544247</v>
      </c>
      <c r="K1049" s="11">
        <v>3</v>
      </c>
    </row>
    <row r="1050" spans="1:11" x14ac:dyDescent="0.25">
      <c r="A1050" s="3" t="s">
        <v>2119</v>
      </c>
      <c r="B1050" s="4" t="s">
        <v>2120</v>
      </c>
      <c r="C1050" s="14">
        <v>21767</v>
      </c>
      <c r="D1050" s="6" t="s">
        <v>31</v>
      </c>
      <c r="E1050" s="6" t="s">
        <v>17</v>
      </c>
      <c r="F1050" s="7">
        <v>38771</v>
      </c>
      <c r="G1050" s="8">
        <f t="shared" si="16"/>
        <v>38771</v>
      </c>
      <c r="H1050" s="6" t="s">
        <v>13</v>
      </c>
      <c r="I1050" s="9">
        <v>19827.861719033797</v>
      </c>
      <c r="J1050" s="62">
        <v>77.845598453356502</v>
      </c>
      <c r="K1050" s="17">
        <v>1</v>
      </c>
    </row>
    <row r="1051" spans="1:11" x14ac:dyDescent="0.25">
      <c r="A1051" s="3" t="s">
        <v>2121</v>
      </c>
      <c r="B1051" s="4" t="s">
        <v>2122</v>
      </c>
      <c r="C1051" s="5">
        <v>22721</v>
      </c>
      <c r="D1051" s="6" t="s">
        <v>31</v>
      </c>
      <c r="E1051" s="6" t="s">
        <v>17</v>
      </c>
      <c r="F1051" s="7">
        <v>38783</v>
      </c>
      <c r="G1051" s="8">
        <f t="shared" si="16"/>
        <v>38783</v>
      </c>
      <c r="H1051" s="6" t="s">
        <v>13</v>
      </c>
      <c r="I1051" s="9">
        <v>3549.14229600509</v>
      </c>
      <c r="J1051" s="62">
        <v>24.341905610936699</v>
      </c>
      <c r="K1051" s="17">
        <v>1</v>
      </c>
    </row>
    <row r="1052" spans="1:11" x14ac:dyDescent="0.25">
      <c r="A1052" s="12" t="s">
        <v>2123</v>
      </c>
      <c r="B1052" s="4" t="s">
        <v>2124</v>
      </c>
      <c r="C1052" s="14">
        <v>1156</v>
      </c>
      <c r="D1052" s="6" t="s">
        <v>34</v>
      </c>
      <c r="E1052" s="6" t="s">
        <v>17</v>
      </c>
      <c r="F1052" s="7">
        <v>35590</v>
      </c>
      <c r="G1052" s="8">
        <f t="shared" si="16"/>
        <v>35590</v>
      </c>
      <c r="H1052" s="6" t="s">
        <v>13</v>
      </c>
      <c r="I1052" s="9" t="s">
        <v>3380</v>
      </c>
      <c r="J1052" s="62" t="s">
        <v>3380</v>
      </c>
      <c r="K1052" s="17">
        <v>4</v>
      </c>
    </row>
    <row r="1053" spans="1:11" x14ac:dyDescent="0.25">
      <c r="A1053" s="3" t="s">
        <v>2125</v>
      </c>
      <c r="B1053" s="4" t="s">
        <v>2126</v>
      </c>
      <c r="C1053" s="14">
        <v>1299</v>
      </c>
      <c r="D1053" s="6" t="s">
        <v>31</v>
      </c>
      <c r="E1053" s="6" t="s">
        <v>17</v>
      </c>
      <c r="F1053" s="7">
        <v>18264</v>
      </c>
      <c r="G1053" s="8">
        <f t="shared" si="16"/>
        <v>18264</v>
      </c>
      <c r="H1053" s="6" t="s">
        <v>13</v>
      </c>
      <c r="I1053" s="9">
        <v>104146.23776633599</v>
      </c>
      <c r="J1053" s="62">
        <v>149.287188901441</v>
      </c>
      <c r="K1053" s="17">
        <v>3</v>
      </c>
    </row>
    <row r="1054" spans="1:11" x14ac:dyDescent="0.25">
      <c r="A1054" s="3" t="s">
        <v>2127</v>
      </c>
      <c r="B1054" s="4" t="s">
        <v>2128</v>
      </c>
      <c r="C1054" s="5">
        <v>28545</v>
      </c>
      <c r="D1054" s="6" t="s">
        <v>28</v>
      </c>
      <c r="E1054" s="6" t="s">
        <v>17</v>
      </c>
      <c r="F1054" s="7">
        <v>38547</v>
      </c>
      <c r="G1054" s="8">
        <f t="shared" si="16"/>
        <v>38547</v>
      </c>
      <c r="H1054" s="6" t="s">
        <v>13</v>
      </c>
      <c r="I1054" s="9">
        <v>27714.0650495712</v>
      </c>
      <c r="J1054" s="62">
        <v>221.00670683366599</v>
      </c>
      <c r="K1054" s="17">
        <v>1</v>
      </c>
    </row>
    <row r="1055" spans="1:11" x14ac:dyDescent="0.25">
      <c r="A1055" s="3" t="s">
        <v>2129</v>
      </c>
      <c r="B1055" s="4" t="s">
        <v>2130</v>
      </c>
      <c r="C1055" s="5">
        <v>24369</v>
      </c>
      <c r="D1055" s="6" t="s">
        <v>31</v>
      </c>
      <c r="E1055" s="6" t="s">
        <v>17</v>
      </c>
      <c r="F1055" s="7">
        <v>33023</v>
      </c>
      <c r="G1055" s="8">
        <f t="shared" si="16"/>
        <v>33023</v>
      </c>
      <c r="H1055" s="6" t="s">
        <v>13</v>
      </c>
      <c r="I1055" s="9">
        <v>290120.98173229798</v>
      </c>
      <c r="J1055" s="62">
        <v>618.67711078654997</v>
      </c>
      <c r="K1055" s="17">
        <v>2</v>
      </c>
    </row>
    <row r="1056" spans="1:11" x14ac:dyDescent="0.25">
      <c r="A1056" s="3" t="s">
        <v>2131</v>
      </c>
      <c r="B1056" s="4" t="s">
        <v>2132</v>
      </c>
      <c r="C1056" s="5">
        <v>30659</v>
      </c>
      <c r="D1056" s="6" t="s">
        <v>34</v>
      </c>
      <c r="E1056" s="6" t="s">
        <v>17</v>
      </c>
      <c r="F1056" s="7">
        <v>38804</v>
      </c>
      <c r="G1056" s="8">
        <f t="shared" si="16"/>
        <v>38804</v>
      </c>
      <c r="H1056" s="6" t="s">
        <v>13</v>
      </c>
      <c r="I1056" s="9">
        <v>1251.7490243299901</v>
      </c>
      <c r="J1056" s="62">
        <v>29.625800107883901</v>
      </c>
      <c r="K1056" s="17">
        <v>1</v>
      </c>
    </row>
    <row r="1057" spans="1:11" x14ac:dyDescent="0.25">
      <c r="A1057" s="3" t="s">
        <v>2133</v>
      </c>
      <c r="B1057" s="4" t="s">
        <v>2134</v>
      </c>
      <c r="C1057" s="14">
        <v>2060</v>
      </c>
      <c r="D1057" s="6" t="s">
        <v>34</v>
      </c>
      <c r="E1057" s="6" t="s">
        <v>17</v>
      </c>
      <c r="F1057" s="7">
        <v>35632</v>
      </c>
      <c r="G1057" s="8">
        <f t="shared" si="16"/>
        <v>35632</v>
      </c>
      <c r="H1057" s="6" t="s">
        <v>13</v>
      </c>
      <c r="I1057" s="9">
        <v>11634.513878191599</v>
      </c>
      <c r="J1057" s="62">
        <v>210.06863828493599</v>
      </c>
      <c r="K1057" s="17">
        <v>1</v>
      </c>
    </row>
    <row r="1058" spans="1:11" x14ac:dyDescent="0.25">
      <c r="A1058" s="3" t="s">
        <v>2135</v>
      </c>
      <c r="B1058" s="4" t="s">
        <v>2136</v>
      </c>
      <c r="C1058" s="14">
        <v>10894</v>
      </c>
      <c r="D1058" s="6" t="s">
        <v>28</v>
      </c>
      <c r="E1058" s="6" t="s">
        <v>17</v>
      </c>
      <c r="F1058" s="7">
        <v>37608</v>
      </c>
      <c r="G1058" s="8">
        <f t="shared" si="16"/>
        <v>37608</v>
      </c>
      <c r="H1058" s="6" t="s">
        <v>13</v>
      </c>
      <c r="I1058" s="9">
        <v>3932.1039995927299</v>
      </c>
      <c r="J1058" s="62">
        <v>97.1574980725931</v>
      </c>
      <c r="K1058" s="17">
        <v>1</v>
      </c>
    </row>
    <row r="1059" spans="1:11" x14ac:dyDescent="0.25">
      <c r="A1059" s="3" t="s">
        <v>2137</v>
      </c>
      <c r="B1059" s="4" t="s">
        <v>2138</v>
      </c>
      <c r="C1059" s="5">
        <v>2004</v>
      </c>
      <c r="D1059" s="6" t="s">
        <v>16</v>
      </c>
      <c r="E1059" s="6" t="s">
        <v>17</v>
      </c>
      <c r="F1059" s="7">
        <v>25569</v>
      </c>
      <c r="G1059" s="8">
        <f t="shared" si="16"/>
        <v>25569</v>
      </c>
      <c r="H1059" s="6" t="s">
        <v>13</v>
      </c>
      <c r="I1059" s="9">
        <v>4188.9152867578996</v>
      </c>
      <c r="J1059" s="62">
        <v>292.01839457806801</v>
      </c>
      <c r="K1059" s="17">
        <v>1</v>
      </c>
    </row>
    <row r="1060" spans="1:11" x14ac:dyDescent="0.25">
      <c r="A1060" s="3" t="s">
        <v>2139</v>
      </c>
      <c r="B1060" s="4" t="s">
        <v>2140</v>
      </c>
      <c r="C1060" s="5">
        <v>54693</v>
      </c>
      <c r="D1060" s="6" t="s">
        <v>28</v>
      </c>
      <c r="E1060" s="6" t="s">
        <v>508</v>
      </c>
      <c r="F1060" s="7">
        <v>37573</v>
      </c>
      <c r="G1060" s="8">
        <f t="shared" si="16"/>
        <v>37573</v>
      </c>
      <c r="H1060" s="6" t="s">
        <v>509</v>
      </c>
      <c r="I1060" s="9">
        <v>66590.204135631502</v>
      </c>
      <c r="J1060" s="62">
        <v>338.95773602939801</v>
      </c>
      <c r="K1060" s="17">
        <v>1</v>
      </c>
    </row>
    <row r="1061" spans="1:11" x14ac:dyDescent="0.25">
      <c r="A1061" s="3" t="s">
        <v>2141</v>
      </c>
      <c r="B1061" s="4" t="s">
        <v>2142</v>
      </c>
      <c r="C1061" s="14">
        <v>1795</v>
      </c>
      <c r="D1061" s="6" t="s">
        <v>16</v>
      </c>
      <c r="E1061" s="6" t="s">
        <v>17</v>
      </c>
      <c r="F1061" s="7">
        <v>29952</v>
      </c>
      <c r="G1061" s="8">
        <f t="shared" si="16"/>
        <v>29952</v>
      </c>
      <c r="H1061" s="6" t="s">
        <v>13</v>
      </c>
      <c r="I1061" s="9">
        <v>66468.037431333898</v>
      </c>
      <c r="J1061" s="62">
        <v>314.01722327053301</v>
      </c>
      <c r="K1061" s="17">
        <v>2</v>
      </c>
    </row>
    <row r="1062" spans="1:11" x14ac:dyDescent="0.25">
      <c r="A1062" s="3" t="s">
        <v>2143</v>
      </c>
      <c r="B1062" s="4" t="s">
        <v>2144</v>
      </c>
      <c r="C1062" s="5">
        <v>52242</v>
      </c>
      <c r="D1062" s="6" t="s">
        <v>37</v>
      </c>
      <c r="E1062" s="6" t="s">
        <v>38</v>
      </c>
      <c r="F1062" s="7">
        <v>39175</v>
      </c>
      <c r="G1062" s="8">
        <f t="shared" si="16"/>
        <v>39175</v>
      </c>
      <c r="H1062" s="6" t="s">
        <v>39</v>
      </c>
      <c r="I1062" s="9">
        <v>19261.587995283</v>
      </c>
      <c r="J1062" s="62">
        <v>152.343121336492</v>
      </c>
      <c r="K1062" s="17">
        <v>1</v>
      </c>
    </row>
    <row r="1063" spans="1:11" x14ac:dyDescent="0.25">
      <c r="A1063" s="26" t="s">
        <v>2145</v>
      </c>
      <c r="B1063" s="27" t="s">
        <v>2146</v>
      </c>
      <c r="C1063" s="34">
        <v>20170</v>
      </c>
      <c r="D1063" s="28" t="s">
        <v>34</v>
      </c>
      <c r="E1063" s="28" t="s">
        <v>17</v>
      </c>
      <c r="F1063" s="29">
        <v>20821</v>
      </c>
      <c r="G1063" s="30">
        <f t="shared" si="16"/>
        <v>20821</v>
      </c>
      <c r="H1063" s="28" t="s">
        <v>13</v>
      </c>
      <c r="I1063" s="9">
        <v>968.23722207249295</v>
      </c>
      <c r="J1063" s="62">
        <v>48.757217250231299</v>
      </c>
      <c r="K1063" s="33">
        <v>1</v>
      </c>
    </row>
    <row r="1064" spans="1:11" x14ac:dyDescent="0.25">
      <c r="A1064" s="3" t="s">
        <v>2147</v>
      </c>
      <c r="B1064" s="4" t="s">
        <v>2148</v>
      </c>
      <c r="C1064" s="5">
        <v>49681</v>
      </c>
      <c r="D1064" s="6" t="s">
        <v>28</v>
      </c>
      <c r="E1064" s="6" t="s">
        <v>17</v>
      </c>
      <c r="F1064" s="7">
        <v>38899</v>
      </c>
      <c r="G1064" s="8">
        <f t="shared" si="16"/>
        <v>38899</v>
      </c>
      <c r="H1064" s="6" t="s">
        <v>13</v>
      </c>
      <c r="I1064" s="9">
        <v>1053.3296880083701</v>
      </c>
      <c r="J1064" s="62">
        <v>76.793556525621796</v>
      </c>
      <c r="K1064" s="17">
        <v>1</v>
      </c>
    </row>
    <row r="1065" spans="1:11" x14ac:dyDescent="0.25">
      <c r="A1065" s="3" t="s">
        <v>2149</v>
      </c>
      <c r="B1065" s="4" t="s">
        <v>2150</v>
      </c>
      <c r="C1065" s="5">
        <v>1958</v>
      </c>
      <c r="D1065" s="6" t="s">
        <v>28</v>
      </c>
      <c r="E1065" s="6" t="s">
        <v>17</v>
      </c>
      <c r="F1065" s="7">
        <v>19725</v>
      </c>
      <c r="G1065" s="8">
        <f t="shared" si="16"/>
        <v>19725</v>
      </c>
      <c r="H1065" s="6" t="s">
        <v>13</v>
      </c>
      <c r="I1065" s="9">
        <v>1546.04485623759</v>
      </c>
      <c r="J1065" s="62">
        <v>15.659895060966999</v>
      </c>
      <c r="K1065" s="11">
        <v>1</v>
      </c>
    </row>
    <row r="1066" spans="1:11" x14ac:dyDescent="0.25">
      <c r="A1066" s="3" t="s">
        <v>2151</v>
      </c>
      <c r="B1066" s="4" t="s">
        <v>2152</v>
      </c>
      <c r="C1066" s="5">
        <v>10571</v>
      </c>
      <c r="D1066" s="6" t="s">
        <v>28</v>
      </c>
      <c r="E1066" s="6" t="s">
        <v>17</v>
      </c>
      <c r="F1066" s="7">
        <v>37312</v>
      </c>
      <c r="G1066" s="8">
        <f t="shared" si="16"/>
        <v>37312</v>
      </c>
      <c r="H1066" s="6" t="s">
        <v>13</v>
      </c>
      <c r="I1066" s="9">
        <v>13214.9768865028</v>
      </c>
      <c r="J1066" s="62">
        <v>284.914179072114</v>
      </c>
      <c r="K1066" s="17">
        <v>1</v>
      </c>
    </row>
    <row r="1067" spans="1:11" x14ac:dyDescent="0.25">
      <c r="A1067" s="3" t="s">
        <v>2153</v>
      </c>
      <c r="B1067" s="4" t="s">
        <v>2154</v>
      </c>
      <c r="C1067" s="5">
        <v>19523</v>
      </c>
      <c r="D1067" s="6" t="s">
        <v>16</v>
      </c>
      <c r="E1067" s="6" t="s">
        <v>17</v>
      </c>
      <c r="F1067" s="7">
        <v>38507</v>
      </c>
      <c r="G1067" s="8">
        <f t="shared" si="16"/>
        <v>38507</v>
      </c>
      <c r="H1067" s="6" t="s">
        <v>13</v>
      </c>
      <c r="I1067" s="9">
        <v>20188.042280365698</v>
      </c>
      <c r="J1067" s="62">
        <v>282.59059393157099</v>
      </c>
      <c r="K1067" s="17">
        <v>1</v>
      </c>
    </row>
    <row r="1068" spans="1:11" x14ac:dyDescent="0.25">
      <c r="A1068" s="3" t="s">
        <v>2155</v>
      </c>
      <c r="B1068" s="4" t="s">
        <v>2156</v>
      </c>
      <c r="C1068" s="5">
        <v>10887</v>
      </c>
      <c r="D1068" s="6" t="s">
        <v>34</v>
      </c>
      <c r="E1068" s="6" t="s">
        <v>17</v>
      </c>
      <c r="F1068" s="7">
        <v>37768</v>
      </c>
      <c r="G1068" s="8">
        <f t="shared" si="16"/>
        <v>37768</v>
      </c>
      <c r="H1068" s="6" t="s">
        <v>13</v>
      </c>
      <c r="I1068" s="9">
        <v>31889.026788994401</v>
      </c>
      <c r="J1068" s="62">
        <v>211.28833411764199</v>
      </c>
      <c r="K1068" s="17">
        <v>1</v>
      </c>
    </row>
    <row r="1069" spans="1:11" x14ac:dyDescent="0.25">
      <c r="A1069" s="3" t="s">
        <v>2157</v>
      </c>
      <c r="B1069" s="4" t="s">
        <v>2158</v>
      </c>
      <c r="C1069" s="14">
        <v>52355</v>
      </c>
      <c r="D1069" s="6" t="s">
        <v>31</v>
      </c>
      <c r="E1069" s="6" t="s">
        <v>17</v>
      </c>
      <c r="F1069" s="7">
        <v>39476</v>
      </c>
      <c r="G1069" s="8">
        <f t="shared" si="16"/>
        <v>39476</v>
      </c>
      <c r="H1069" s="6" t="s">
        <v>13</v>
      </c>
      <c r="I1069" s="9">
        <v>69633.770851708308</v>
      </c>
      <c r="J1069" s="62">
        <v>1298.3775731118101</v>
      </c>
      <c r="K1069" s="11">
        <v>2</v>
      </c>
    </row>
    <row r="1070" spans="1:11" x14ac:dyDescent="0.25">
      <c r="A1070" s="3" t="s">
        <v>2159</v>
      </c>
      <c r="B1070" s="4" t="s">
        <v>2160</v>
      </c>
      <c r="C1070" s="5">
        <v>1634</v>
      </c>
      <c r="D1070" s="6" t="s">
        <v>31</v>
      </c>
      <c r="E1070" s="6" t="s">
        <v>17</v>
      </c>
      <c r="F1070" s="7">
        <v>18264</v>
      </c>
      <c r="G1070" s="8">
        <f t="shared" si="16"/>
        <v>18264</v>
      </c>
      <c r="H1070" s="6" t="s">
        <v>13</v>
      </c>
      <c r="I1070" s="9">
        <v>46105.537488378199</v>
      </c>
      <c r="J1070" s="62">
        <v>337.53721286248799</v>
      </c>
      <c r="K1070" s="17">
        <v>1</v>
      </c>
    </row>
    <row r="1071" spans="1:11" x14ac:dyDescent="0.25">
      <c r="A1071" s="3" t="s">
        <v>2161</v>
      </c>
      <c r="B1071" s="4" t="s">
        <v>2162</v>
      </c>
      <c r="C1071" s="14">
        <v>1059</v>
      </c>
      <c r="D1071" s="6" t="s">
        <v>16</v>
      </c>
      <c r="E1071" s="6" t="s">
        <v>17</v>
      </c>
      <c r="F1071" s="7">
        <v>31048</v>
      </c>
      <c r="G1071" s="8">
        <f t="shared" si="16"/>
        <v>31048</v>
      </c>
      <c r="H1071" s="6" t="s">
        <v>13</v>
      </c>
      <c r="I1071" s="9">
        <v>144421.06662709801</v>
      </c>
      <c r="J1071" s="62">
        <v>391.46720748924503</v>
      </c>
      <c r="K1071" s="17">
        <v>1</v>
      </c>
    </row>
    <row r="1072" spans="1:11" x14ac:dyDescent="0.25">
      <c r="A1072" s="3" t="s">
        <v>2163</v>
      </c>
      <c r="B1072" s="4" t="s">
        <v>2164</v>
      </c>
      <c r="C1072" s="5">
        <v>2015</v>
      </c>
      <c r="D1072" s="6" t="s">
        <v>16</v>
      </c>
      <c r="E1072" s="6" t="s">
        <v>17</v>
      </c>
      <c r="F1072" s="7">
        <v>29221</v>
      </c>
      <c r="G1072" s="8">
        <f t="shared" si="16"/>
        <v>29221</v>
      </c>
      <c r="H1072" s="6" t="s">
        <v>13</v>
      </c>
      <c r="I1072" s="9">
        <v>7979.6530920303703</v>
      </c>
      <c r="J1072" s="62">
        <v>310.23940763824203</v>
      </c>
      <c r="K1072" s="17">
        <v>1</v>
      </c>
    </row>
    <row r="1073" spans="1:11" x14ac:dyDescent="0.25">
      <c r="A1073" s="3" t="s">
        <v>2165</v>
      </c>
      <c r="B1073" s="4" t="s">
        <v>2166</v>
      </c>
      <c r="C1073" s="14">
        <v>52914</v>
      </c>
      <c r="D1073" s="6" t="s">
        <v>31</v>
      </c>
      <c r="E1073" s="6" t="s">
        <v>17</v>
      </c>
      <c r="F1073" s="7">
        <v>38854</v>
      </c>
      <c r="G1073" s="8">
        <f t="shared" si="16"/>
        <v>38854</v>
      </c>
      <c r="H1073" s="6" t="s">
        <v>13</v>
      </c>
      <c r="I1073" s="9">
        <v>60954.524242694395</v>
      </c>
      <c r="J1073" s="62">
        <v>348.59333109195501</v>
      </c>
      <c r="K1073" s="17">
        <v>2</v>
      </c>
    </row>
    <row r="1074" spans="1:11" x14ac:dyDescent="0.25">
      <c r="A1074" s="3" t="s">
        <v>2167</v>
      </c>
      <c r="B1074" s="4" t="s">
        <v>2168</v>
      </c>
      <c r="C1074" s="5">
        <v>2043</v>
      </c>
      <c r="D1074" s="6" t="s">
        <v>34</v>
      </c>
      <c r="E1074" s="6" t="s">
        <v>17</v>
      </c>
      <c r="F1074" s="7">
        <v>29221</v>
      </c>
      <c r="G1074" s="8">
        <f t="shared" si="16"/>
        <v>29221</v>
      </c>
      <c r="H1074" s="6" t="s">
        <v>13</v>
      </c>
      <c r="I1074" s="9">
        <v>25963.689894215498</v>
      </c>
      <c r="J1074" s="62">
        <v>205.02160335894499</v>
      </c>
      <c r="K1074" s="17">
        <v>1</v>
      </c>
    </row>
    <row r="1075" spans="1:11" x14ac:dyDescent="0.25">
      <c r="A1075" s="3" t="s">
        <v>2169</v>
      </c>
      <c r="B1075" s="4" t="s">
        <v>2170</v>
      </c>
      <c r="C1075" s="5">
        <v>72171</v>
      </c>
      <c r="D1075" s="6" t="s">
        <v>16</v>
      </c>
      <c r="E1075" s="6" t="s">
        <v>17</v>
      </c>
      <c r="F1075" s="7">
        <v>38630</v>
      </c>
      <c r="G1075" s="8">
        <f t="shared" si="16"/>
        <v>38630</v>
      </c>
      <c r="H1075" s="6" t="s">
        <v>13</v>
      </c>
      <c r="I1075" s="9">
        <v>24925.092451451699</v>
      </c>
      <c r="J1075" s="62">
        <v>235.98571096336599</v>
      </c>
      <c r="K1075" s="17">
        <v>1</v>
      </c>
    </row>
    <row r="1076" spans="1:11" x14ac:dyDescent="0.25">
      <c r="A1076" s="3" t="s">
        <v>2171</v>
      </c>
      <c r="B1076" s="4" t="s">
        <v>2172</v>
      </c>
      <c r="C1076" s="5">
        <v>1920</v>
      </c>
      <c r="D1076" s="6" t="s">
        <v>31</v>
      </c>
      <c r="E1076" s="6" t="s">
        <v>17</v>
      </c>
      <c r="F1076" s="7">
        <v>29221</v>
      </c>
      <c r="G1076" s="8">
        <f t="shared" si="16"/>
        <v>29221</v>
      </c>
      <c r="H1076" s="6" t="s">
        <v>13</v>
      </c>
      <c r="I1076" s="9">
        <v>87300.902212079702</v>
      </c>
      <c r="J1076" s="62">
        <v>707.36349579137698</v>
      </c>
      <c r="K1076" s="17">
        <v>2</v>
      </c>
    </row>
    <row r="1077" spans="1:11" x14ac:dyDescent="0.25">
      <c r="A1077" s="3" t="s">
        <v>2173</v>
      </c>
      <c r="B1077" s="4" t="s">
        <v>2174</v>
      </c>
      <c r="C1077" s="14">
        <v>1615</v>
      </c>
      <c r="D1077" s="6" t="s">
        <v>31</v>
      </c>
      <c r="E1077" s="6" t="s">
        <v>17</v>
      </c>
      <c r="F1077" s="7">
        <v>29221</v>
      </c>
      <c r="G1077" s="8">
        <f t="shared" si="16"/>
        <v>29221</v>
      </c>
      <c r="H1077" s="6" t="s">
        <v>13</v>
      </c>
      <c r="I1077" s="9" t="s">
        <v>3380</v>
      </c>
      <c r="J1077" s="62" t="s">
        <v>3380</v>
      </c>
      <c r="K1077" s="17">
        <v>3</v>
      </c>
    </row>
    <row r="1078" spans="1:11" x14ac:dyDescent="0.25">
      <c r="A1078" s="3" t="s">
        <v>2175</v>
      </c>
      <c r="B1078" s="4" t="s">
        <v>2176</v>
      </c>
      <c r="C1078" s="5">
        <v>1650</v>
      </c>
      <c r="D1078" s="6" t="s">
        <v>28</v>
      </c>
      <c r="E1078" s="6" t="s">
        <v>17</v>
      </c>
      <c r="F1078" s="7">
        <v>29587</v>
      </c>
      <c r="G1078" s="8">
        <f t="shared" si="16"/>
        <v>29587</v>
      </c>
      <c r="H1078" s="6" t="s">
        <v>13</v>
      </c>
      <c r="I1078" s="9">
        <v>62516.304729723997</v>
      </c>
      <c r="J1078" s="62">
        <v>329.531845104963</v>
      </c>
      <c r="K1078" s="17">
        <v>2</v>
      </c>
    </row>
    <row r="1079" spans="1:11" x14ac:dyDescent="0.25">
      <c r="A1079" s="3" t="s">
        <v>2177</v>
      </c>
      <c r="B1079" s="4" t="s">
        <v>2178</v>
      </c>
      <c r="C1079" s="5">
        <v>1512</v>
      </c>
      <c r="D1079" s="6" t="s">
        <v>28</v>
      </c>
      <c r="E1079" s="6" t="s">
        <v>17</v>
      </c>
      <c r="F1079" s="7">
        <v>31778</v>
      </c>
      <c r="G1079" s="8">
        <f t="shared" si="16"/>
        <v>31778</v>
      </c>
      <c r="H1079" s="6" t="s">
        <v>13</v>
      </c>
      <c r="I1079" s="9">
        <v>24941.095501531501</v>
      </c>
      <c r="J1079" s="62">
        <v>221.52619235593301</v>
      </c>
      <c r="K1079" s="17">
        <v>1</v>
      </c>
    </row>
    <row r="1080" spans="1:11" x14ac:dyDescent="0.25">
      <c r="A1080" s="3" t="s">
        <v>2179</v>
      </c>
      <c r="B1080" s="4" t="s">
        <v>2180</v>
      </c>
      <c r="C1080" s="5">
        <v>1852</v>
      </c>
      <c r="D1080" s="6" t="s">
        <v>16</v>
      </c>
      <c r="E1080" s="6" t="s">
        <v>17</v>
      </c>
      <c r="F1080" s="7">
        <v>25569</v>
      </c>
      <c r="G1080" s="8">
        <f t="shared" si="16"/>
        <v>25569</v>
      </c>
      <c r="H1080" s="6" t="s">
        <v>13</v>
      </c>
      <c r="I1080" s="9">
        <v>45315.530741148003</v>
      </c>
      <c r="J1080" s="62">
        <v>220.665057267945</v>
      </c>
      <c r="K1080" s="17">
        <v>1</v>
      </c>
    </row>
    <row r="1081" spans="1:11" x14ac:dyDescent="0.25">
      <c r="A1081" s="18" t="s">
        <v>2181</v>
      </c>
      <c r="B1081" s="19" t="s">
        <v>2182</v>
      </c>
      <c r="C1081" s="5">
        <v>1552</v>
      </c>
      <c r="D1081" s="21" t="s">
        <v>28</v>
      </c>
      <c r="E1081" s="21" t="s">
        <v>17</v>
      </c>
      <c r="F1081" s="22">
        <v>28126</v>
      </c>
      <c r="G1081" s="23">
        <f t="shared" si="16"/>
        <v>28126</v>
      </c>
      <c r="H1081" s="21" t="s">
        <v>13</v>
      </c>
      <c r="I1081" s="9">
        <v>66201.575449607102</v>
      </c>
      <c r="J1081" s="62">
        <v>564.15262049090904</v>
      </c>
      <c r="K1081" s="25">
        <v>2</v>
      </c>
    </row>
    <row r="1082" spans="1:11" x14ac:dyDescent="0.25">
      <c r="A1082" s="12" t="s">
        <v>2183</v>
      </c>
      <c r="B1082" s="4" t="s">
        <v>2184</v>
      </c>
      <c r="C1082" s="14">
        <v>1276</v>
      </c>
      <c r="D1082" s="6" t="s">
        <v>34</v>
      </c>
      <c r="E1082" s="6" t="s">
        <v>17</v>
      </c>
      <c r="F1082" s="7">
        <v>24108</v>
      </c>
      <c r="G1082" s="8">
        <f t="shared" si="16"/>
        <v>24108</v>
      </c>
      <c r="H1082" s="6" t="s">
        <v>13</v>
      </c>
      <c r="I1082" s="9" t="s">
        <v>3380</v>
      </c>
      <c r="J1082" s="62" t="s">
        <v>3380</v>
      </c>
      <c r="K1082" s="17">
        <v>4</v>
      </c>
    </row>
    <row r="1083" spans="1:11" x14ac:dyDescent="0.25">
      <c r="A1083" s="3" t="s">
        <v>2185</v>
      </c>
      <c r="B1083" s="4" t="s">
        <v>2186</v>
      </c>
      <c r="C1083" s="5">
        <v>1530</v>
      </c>
      <c r="D1083" s="6" t="s">
        <v>34</v>
      </c>
      <c r="E1083" s="6" t="s">
        <v>17</v>
      </c>
      <c r="F1083" s="7">
        <v>18264</v>
      </c>
      <c r="G1083" s="8">
        <f t="shared" si="16"/>
        <v>18264</v>
      </c>
      <c r="H1083" s="6" t="s">
        <v>13</v>
      </c>
      <c r="I1083" s="9">
        <v>178482.24686929601</v>
      </c>
      <c r="J1083" s="62">
        <v>340.93978337643199</v>
      </c>
      <c r="K1083" s="17">
        <v>1</v>
      </c>
    </row>
    <row r="1084" spans="1:11" x14ac:dyDescent="0.25">
      <c r="A1084" s="3" t="s">
        <v>2187</v>
      </c>
      <c r="B1084" s="4" t="s">
        <v>2188</v>
      </c>
      <c r="C1084" s="14">
        <v>17925</v>
      </c>
      <c r="D1084" s="6" t="s">
        <v>28</v>
      </c>
      <c r="E1084" s="6" t="s">
        <v>17</v>
      </c>
      <c r="F1084" s="7">
        <v>39995</v>
      </c>
      <c r="G1084" s="8">
        <f t="shared" si="16"/>
        <v>39995</v>
      </c>
      <c r="H1084" s="6" t="s">
        <v>13</v>
      </c>
      <c r="I1084" s="9" t="s">
        <v>3380</v>
      </c>
      <c r="J1084" s="62" t="s">
        <v>3380</v>
      </c>
      <c r="K1084" s="17">
        <v>3</v>
      </c>
    </row>
    <row r="1085" spans="1:11" x14ac:dyDescent="0.25">
      <c r="A1085" s="3" t="s">
        <v>2189</v>
      </c>
      <c r="B1085" s="4" t="s">
        <v>2190</v>
      </c>
      <c r="C1085" s="5">
        <v>1734</v>
      </c>
      <c r="D1085" s="6" t="s">
        <v>16</v>
      </c>
      <c r="E1085" s="6" t="s">
        <v>17</v>
      </c>
      <c r="F1085" s="7">
        <v>29221</v>
      </c>
      <c r="G1085" s="8">
        <f t="shared" si="16"/>
        <v>29221</v>
      </c>
      <c r="H1085" s="6" t="s">
        <v>13</v>
      </c>
      <c r="I1085" s="9">
        <v>2094.6197179527699</v>
      </c>
      <c r="J1085" s="62">
        <v>133.158461928289</v>
      </c>
      <c r="K1085" s="17">
        <v>1</v>
      </c>
    </row>
    <row r="1086" spans="1:11" x14ac:dyDescent="0.25">
      <c r="A1086" s="3" t="s">
        <v>2191</v>
      </c>
      <c r="B1086" s="4" t="s">
        <v>2192</v>
      </c>
      <c r="C1086" s="5">
        <v>1559</v>
      </c>
      <c r="D1086" s="6" t="s">
        <v>28</v>
      </c>
      <c r="E1086" s="6" t="s">
        <v>17</v>
      </c>
      <c r="F1086" s="7">
        <v>28856</v>
      </c>
      <c r="G1086" s="8">
        <f t="shared" si="16"/>
        <v>28856</v>
      </c>
      <c r="H1086" s="6" t="s">
        <v>13</v>
      </c>
      <c r="I1086" s="9">
        <v>18197.854917145603</v>
      </c>
      <c r="J1086" s="62">
        <v>101.465986607068</v>
      </c>
      <c r="K1086" s="17">
        <v>1</v>
      </c>
    </row>
    <row r="1087" spans="1:11" x14ac:dyDescent="0.25">
      <c r="A1087" s="3" t="s">
        <v>2193</v>
      </c>
      <c r="B1087" s="4" t="s">
        <v>2194</v>
      </c>
      <c r="C1087" s="5">
        <v>1628</v>
      </c>
      <c r="D1087" s="6" t="s">
        <v>16</v>
      </c>
      <c r="E1087" s="6" t="s">
        <v>17</v>
      </c>
      <c r="F1087" s="7">
        <v>36617</v>
      </c>
      <c r="G1087" s="8">
        <f t="shared" si="16"/>
        <v>36617</v>
      </c>
      <c r="H1087" s="6" t="s">
        <v>13</v>
      </c>
      <c r="I1087" s="9">
        <v>36062.441776591601</v>
      </c>
      <c r="J1087" s="62">
        <v>269.01873541442302</v>
      </c>
      <c r="K1087" s="17">
        <v>1</v>
      </c>
    </row>
    <row r="1088" spans="1:11" x14ac:dyDescent="0.25">
      <c r="A1088" s="18" t="s">
        <v>2195</v>
      </c>
      <c r="B1088" s="19" t="s">
        <v>2196</v>
      </c>
      <c r="C1088" s="5">
        <v>50001</v>
      </c>
      <c r="D1088" s="21" t="s">
        <v>11</v>
      </c>
      <c r="E1088" s="21" t="s">
        <v>12</v>
      </c>
      <c r="F1088" s="22">
        <v>39294</v>
      </c>
      <c r="G1088" s="23">
        <f t="shared" si="16"/>
        <v>39294</v>
      </c>
      <c r="H1088" s="21" t="s">
        <v>39</v>
      </c>
      <c r="I1088" s="9">
        <v>91436.040034196689</v>
      </c>
      <c r="J1088" s="62">
        <v>257.61041729434902</v>
      </c>
      <c r="K1088" s="25">
        <v>2</v>
      </c>
    </row>
    <row r="1089" spans="1:11" x14ac:dyDescent="0.25">
      <c r="A1089" s="3" t="s">
        <v>2197</v>
      </c>
      <c r="B1089" s="4" t="s">
        <v>2198</v>
      </c>
      <c r="C1089" s="5">
        <v>1377</v>
      </c>
      <c r="D1089" s="6" t="s">
        <v>28</v>
      </c>
      <c r="E1089" s="6" t="s">
        <v>17</v>
      </c>
      <c r="F1089" s="7">
        <v>25569</v>
      </c>
      <c r="G1089" s="8">
        <f t="shared" si="16"/>
        <v>25569</v>
      </c>
      <c r="H1089" s="6" t="s">
        <v>13</v>
      </c>
      <c r="I1089" s="9">
        <v>47476.277617651198</v>
      </c>
      <c r="J1089" s="62">
        <v>201.818163956045</v>
      </c>
      <c r="K1089" s="17">
        <v>1</v>
      </c>
    </row>
    <row r="1090" spans="1:11" x14ac:dyDescent="0.25">
      <c r="A1090" s="3" t="s">
        <v>2199</v>
      </c>
      <c r="B1090" s="4" t="s">
        <v>2200</v>
      </c>
      <c r="C1090" s="5">
        <v>54695</v>
      </c>
      <c r="D1090" s="6" t="s">
        <v>28</v>
      </c>
      <c r="E1090" s="6" t="s">
        <v>17</v>
      </c>
      <c r="F1090" s="7">
        <v>39520</v>
      </c>
      <c r="G1090" s="8">
        <f t="shared" ref="G1090:G1153" si="17">F1090</f>
        <v>39520</v>
      </c>
      <c r="H1090" s="6" t="s">
        <v>13</v>
      </c>
      <c r="I1090" s="9">
        <v>1850.9093494117901</v>
      </c>
      <c r="J1090" s="62">
        <v>25.976656955659401</v>
      </c>
      <c r="K1090" s="17">
        <v>1</v>
      </c>
    </row>
    <row r="1091" spans="1:11" x14ac:dyDescent="0.25">
      <c r="A1091" s="18" t="s">
        <v>2201</v>
      </c>
      <c r="B1091" s="19" t="s">
        <v>2202</v>
      </c>
      <c r="C1091" s="20">
        <v>1271</v>
      </c>
      <c r="D1091" s="21" t="s">
        <v>16</v>
      </c>
      <c r="E1091" s="21" t="s">
        <v>17</v>
      </c>
      <c r="F1091" s="22">
        <v>29221</v>
      </c>
      <c r="G1091" s="23">
        <f t="shared" si="17"/>
        <v>29221</v>
      </c>
      <c r="H1091" s="21" t="s">
        <v>13</v>
      </c>
      <c r="I1091" s="9">
        <v>92722.331143948788</v>
      </c>
      <c r="J1091" s="62">
        <v>364.48181291026799</v>
      </c>
      <c r="K1091" s="25">
        <v>1</v>
      </c>
    </row>
    <row r="1092" spans="1:11" x14ac:dyDescent="0.25">
      <c r="A1092" s="3" t="s">
        <v>2203</v>
      </c>
      <c r="B1092" s="4" t="s">
        <v>2204</v>
      </c>
      <c r="C1092" s="5">
        <v>1827</v>
      </c>
      <c r="D1092" s="6" t="s">
        <v>31</v>
      </c>
      <c r="E1092" s="6" t="s">
        <v>17</v>
      </c>
      <c r="F1092" s="7">
        <v>18264</v>
      </c>
      <c r="G1092" s="8">
        <f t="shared" si="17"/>
        <v>18264</v>
      </c>
      <c r="H1092" s="6" t="s">
        <v>13</v>
      </c>
      <c r="I1092" s="9">
        <v>9789.2920606962998</v>
      </c>
      <c r="J1092" s="62">
        <v>60.867274396099504</v>
      </c>
      <c r="K1092" s="17">
        <v>1</v>
      </c>
    </row>
    <row r="1093" spans="1:11" x14ac:dyDescent="0.25">
      <c r="A1093" s="3" t="s">
        <v>2205</v>
      </c>
      <c r="B1093" s="4" t="s">
        <v>2206</v>
      </c>
      <c r="C1093" s="5">
        <v>1830</v>
      </c>
      <c r="D1093" s="6" t="s">
        <v>31</v>
      </c>
      <c r="E1093" s="6" t="s">
        <v>17</v>
      </c>
      <c r="F1093" s="7">
        <v>29221</v>
      </c>
      <c r="G1093" s="8">
        <f t="shared" si="17"/>
        <v>29221</v>
      </c>
      <c r="H1093" s="6" t="s">
        <v>13</v>
      </c>
      <c r="I1093" s="9">
        <v>16123.430811904602</v>
      </c>
      <c r="J1093" s="62">
        <v>172.65667116145701</v>
      </c>
      <c r="K1093" s="17">
        <v>1</v>
      </c>
    </row>
    <row r="1094" spans="1:11" x14ac:dyDescent="0.25">
      <c r="A1094" s="3" t="s">
        <v>2207</v>
      </c>
      <c r="B1094" s="4" t="s">
        <v>2208</v>
      </c>
      <c r="C1094" s="5">
        <v>1724</v>
      </c>
      <c r="D1094" s="6" t="s">
        <v>16</v>
      </c>
      <c r="E1094" s="6" t="s">
        <v>17</v>
      </c>
      <c r="F1094" s="7">
        <v>31048</v>
      </c>
      <c r="G1094" s="8">
        <f t="shared" si="17"/>
        <v>31048</v>
      </c>
      <c r="H1094" s="6" t="s">
        <v>13</v>
      </c>
      <c r="I1094" s="9">
        <v>20226.515577321501</v>
      </c>
      <c r="J1094" s="62">
        <v>111.935682482128</v>
      </c>
      <c r="K1094" s="17">
        <v>2</v>
      </c>
    </row>
    <row r="1095" spans="1:11" x14ac:dyDescent="0.25">
      <c r="A1095" s="3" t="s">
        <v>2209</v>
      </c>
      <c r="B1095" s="4" t="s">
        <v>2210</v>
      </c>
      <c r="C1095" s="5">
        <v>1807</v>
      </c>
      <c r="D1095" s="6" t="s">
        <v>28</v>
      </c>
      <c r="E1095" s="6" t="s">
        <v>17</v>
      </c>
      <c r="F1095" s="7">
        <v>29221</v>
      </c>
      <c r="G1095" s="8">
        <f t="shared" si="17"/>
        <v>29221</v>
      </c>
      <c r="H1095" s="6" t="s">
        <v>13</v>
      </c>
      <c r="I1095" s="9">
        <v>74866.636712876207</v>
      </c>
      <c r="J1095" s="62">
        <v>480.01833207630199</v>
      </c>
      <c r="K1095" s="17">
        <v>2</v>
      </c>
    </row>
    <row r="1096" spans="1:11" x14ac:dyDescent="0.25">
      <c r="A1096" s="3" t="s">
        <v>2211</v>
      </c>
      <c r="B1096" s="4" t="s">
        <v>2212</v>
      </c>
      <c r="C1096" s="5">
        <v>21447</v>
      </c>
      <c r="D1096" s="6" t="s">
        <v>11</v>
      </c>
      <c r="E1096" s="6" t="s">
        <v>12</v>
      </c>
      <c r="F1096" s="7">
        <v>32356</v>
      </c>
      <c r="G1096" s="8">
        <f t="shared" si="17"/>
        <v>32356</v>
      </c>
      <c r="H1096" s="6" t="s">
        <v>39</v>
      </c>
      <c r="I1096" s="9">
        <v>3805.3104843138599</v>
      </c>
      <c r="J1096" s="62">
        <v>159.33670056589301</v>
      </c>
      <c r="K1096" s="17">
        <v>1</v>
      </c>
    </row>
    <row r="1097" spans="1:11" x14ac:dyDescent="0.25">
      <c r="A1097" s="3" t="s">
        <v>2213</v>
      </c>
      <c r="B1097" s="4" t="s">
        <v>2214</v>
      </c>
      <c r="C1097" s="14">
        <v>33537</v>
      </c>
      <c r="D1097" s="6" t="s">
        <v>37</v>
      </c>
      <c r="E1097" s="6" t="s">
        <v>38</v>
      </c>
      <c r="F1097" s="7">
        <v>38322</v>
      </c>
      <c r="G1097" s="8">
        <f t="shared" si="17"/>
        <v>38322</v>
      </c>
      <c r="H1097" s="6" t="s">
        <v>39</v>
      </c>
      <c r="I1097" s="9" t="s">
        <v>3380</v>
      </c>
      <c r="J1097" s="62" t="s">
        <v>3380</v>
      </c>
      <c r="K1097" s="17">
        <v>2</v>
      </c>
    </row>
    <row r="1098" spans="1:11" x14ac:dyDescent="0.25">
      <c r="A1098" s="3" t="s">
        <v>2215</v>
      </c>
      <c r="B1098" s="4" t="s">
        <v>2216</v>
      </c>
      <c r="C1098" s="5">
        <v>1195</v>
      </c>
      <c r="D1098" s="6" t="s">
        <v>16</v>
      </c>
      <c r="E1098" s="6" t="s">
        <v>17</v>
      </c>
      <c r="F1098" s="7">
        <v>36356</v>
      </c>
      <c r="G1098" s="8">
        <f t="shared" si="17"/>
        <v>36356</v>
      </c>
      <c r="H1098" s="6" t="s">
        <v>13</v>
      </c>
      <c r="I1098" s="9">
        <v>29597.4836133315</v>
      </c>
      <c r="J1098" s="62">
        <v>221.377019534097</v>
      </c>
      <c r="K1098" s="17">
        <v>1</v>
      </c>
    </row>
    <row r="1099" spans="1:11" x14ac:dyDescent="0.25">
      <c r="A1099" s="3" t="s">
        <v>2217</v>
      </c>
      <c r="B1099" s="4" t="s">
        <v>2218</v>
      </c>
      <c r="C1099" s="5">
        <v>1111</v>
      </c>
      <c r="D1099" s="6" t="s">
        <v>28</v>
      </c>
      <c r="E1099" s="6" t="s">
        <v>17</v>
      </c>
      <c r="F1099" s="7">
        <v>27395</v>
      </c>
      <c r="G1099" s="8">
        <f t="shared" si="17"/>
        <v>27395</v>
      </c>
      <c r="H1099" s="6" t="s">
        <v>13</v>
      </c>
      <c r="I1099" s="9">
        <v>1082895.40933539</v>
      </c>
      <c r="J1099" s="62">
        <v>6444.5078771843901</v>
      </c>
      <c r="K1099" s="17">
        <v>4</v>
      </c>
    </row>
    <row r="1100" spans="1:11" x14ac:dyDescent="0.25">
      <c r="A1100" s="3" t="s">
        <v>2219</v>
      </c>
      <c r="B1100" s="4" t="s">
        <v>2220</v>
      </c>
      <c r="C1100" s="14">
        <v>1375</v>
      </c>
      <c r="D1100" s="6" t="s">
        <v>28</v>
      </c>
      <c r="E1100" s="6" t="s">
        <v>17</v>
      </c>
      <c r="F1100" s="7">
        <v>23743</v>
      </c>
      <c r="G1100" s="8">
        <f t="shared" si="17"/>
        <v>23743</v>
      </c>
      <c r="H1100" s="6" t="s">
        <v>13</v>
      </c>
      <c r="I1100" s="9">
        <v>45918.063535082903</v>
      </c>
      <c r="J1100" s="62">
        <v>484.07475469673301</v>
      </c>
      <c r="K1100" s="17">
        <v>2</v>
      </c>
    </row>
    <row r="1101" spans="1:11" x14ac:dyDescent="0.25">
      <c r="A1101" s="3" t="s">
        <v>2221</v>
      </c>
      <c r="B1101" s="4" t="s">
        <v>2222</v>
      </c>
      <c r="C1101" s="5">
        <v>52916</v>
      </c>
      <c r="D1101" s="6" t="s">
        <v>11</v>
      </c>
      <c r="E1101" s="6" t="s">
        <v>17</v>
      </c>
      <c r="F1101" s="7">
        <v>39133</v>
      </c>
      <c r="G1101" s="8">
        <f t="shared" si="17"/>
        <v>39133</v>
      </c>
      <c r="H1101" s="6" t="s">
        <v>13</v>
      </c>
      <c r="I1101" s="9">
        <v>9162.5980732069711</v>
      </c>
      <c r="J1101" s="62">
        <v>43.875879616645598</v>
      </c>
      <c r="K1101" s="17">
        <v>1</v>
      </c>
    </row>
    <row r="1102" spans="1:11" x14ac:dyDescent="0.25">
      <c r="A1102" s="3" t="s">
        <v>2223</v>
      </c>
      <c r="B1102" s="4" t="s">
        <v>2224</v>
      </c>
      <c r="C1102" s="5">
        <v>1581</v>
      </c>
      <c r="D1102" s="6" t="s">
        <v>31</v>
      </c>
      <c r="E1102" s="6" t="s">
        <v>17</v>
      </c>
      <c r="F1102" s="7">
        <v>25569</v>
      </c>
      <c r="G1102" s="8">
        <f t="shared" si="17"/>
        <v>25569</v>
      </c>
      <c r="H1102" s="6" t="s">
        <v>13</v>
      </c>
      <c r="I1102" s="9">
        <v>3018.9435204603797</v>
      </c>
      <c r="J1102" s="62">
        <v>184.80522063529301</v>
      </c>
      <c r="K1102" s="17">
        <v>1</v>
      </c>
    </row>
    <row r="1103" spans="1:11" x14ac:dyDescent="0.25">
      <c r="A1103" s="3" t="s">
        <v>2225</v>
      </c>
      <c r="B1103" s="4" t="s">
        <v>2226</v>
      </c>
      <c r="C1103" s="5">
        <v>1746</v>
      </c>
      <c r="D1103" s="6" t="s">
        <v>34</v>
      </c>
      <c r="E1103" s="6" t="s">
        <v>17</v>
      </c>
      <c r="F1103" s="7">
        <v>29221</v>
      </c>
      <c r="G1103" s="8">
        <f t="shared" si="17"/>
        <v>29221</v>
      </c>
      <c r="H1103" s="6" t="s">
        <v>13</v>
      </c>
      <c r="I1103" s="9">
        <v>9739.6653431869709</v>
      </c>
      <c r="J1103" s="62">
        <v>119.294970253912</v>
      </c>
      <c r="K1103" s="17">
        <v>1</v>
      </c>
    </row>
    <row r="1104" spans="1:11" x14ac:dyDescent="0.25">
      <c r="A1104" s="3" t="s">
        <v>2227</v>
      </c>
      <c r="B1104" s="4" t="s">
        <v>2228</v>
      </c>
      <c r="C1104" s="5">
        <v>12806</v>
      </c>
      <c r="D1104" s="6" t="s">
        <v>16</v>
      </c>
      <c r="E1104" s="6" t="s">
        <v>17</v>
      </c>
      <c r="F1104" s="7">
        <v>37790</v>
      </c>
      <c r="G1104" s="8">
        <f t="shared" si="17"/>
        <v>37790</v>
      </c>
      <c r="H1104" s="6" t="s">
        <v>13</v>
      </c>
      <c r="I1104" s="9">
        <v>170669.52258050401</v>
      </c>
      <c r="J1104" s="62">
        <v>2354.1114464826601</v>
      </c>
      <c r="K1104" s="17">
        <v>3</v>
      </c>
    </row>
    <row r="1105" spans="1:11" x14ac:dyDescent="0.25">
      <c r="A1105" s="3" t="s">
        <v>2229</v>
      </c>
      <c r="B1105" s="4" t="s">
        <v>2230</v>
      </c>
      <c r="C1105" s="14">
        <v>1426</v>
      </c>
      <c r="D1105" s="6" t="s">
        <v>16</v>
      </c>
      <c r="E1105" s="6" t="s">
        <v>17</v>
      </c>
      <c r="F1105" s="7">
        <v>29952</v>
      </c>
      <c r="G1105" s="8">
        <f t="shared" si="17"/>
        <v>29952</v>
      </c>
      <c r="H1105" s="6" t="s">
        <v>13</v>
      </c>
      <c r="I1105" s="9">
        <v>167690.72807194901</v>
      </c>
      <c r="J1105" s="62">
        <v>962.07412197557505</v>
      </c>
      <c r="K1105" s="17">
        <v>2</v>
      </c>
    </row>
    <row r="1106" spans="1:11" x14ac:dyDescent="0.25">
      <c r="A1106" s="3" t="s">
        <v>2231</v>
      </c>
      <c r="B1106" s="4" t="s">
        <v>2232</v>
      </c>
      <c r="C1106" s="14">
        <v>1612</v>
      </c>
      <c r="D1106" s="6" t="s">
        <v>16</v>
      </c>
      <c r="E1106" s="6" t="s">
        <v>17</v>
      </c>
      <c r="F1106" s="7">
        <v>29952</v>
      </c>
      <c r="G1106" s="8">
        <f t="shared" si="17"/>
        <v>29952</v>
      </c>
      <c r="H1106" s="6" t="s">
        <v>13</v>
      </c>
      <c r="I1106" s="9">
        <v>87755.477020668099</v>
      </c>
      <c r="J1106" s="62">
        <v>1051.5673310772499</v>
      </c>
      <c r="K1106" s="17">
        <v>2</v>
      </c>
    </row>
    <row r="1107" spans="1:11" x14ac:dyDescent="0.25">
      <c r="A1107" s="3" t="s">
        <v>2233</v>
      </c>
      <c r="B1107" s="4" t="s">
        <v>2234</v>
      </c>
      <c r="C1107" s="14">
        <v>29843</v>
      </c>
      <c r="D1107" s="6" t="s">
        <v>16</v>
      </c>
      <c r="E1107" s="6" t="s">
        <v>17</v>
      </c>
      <c r="F1107" s="7">
        <v>38258</v>
      </c>
      <c r="G1107" s="8">
        <f t="shared" si="17"/>
        <v>38258</v>
      </c>
      <c r="H1107" s="6" t="s">
        <v>13</v>
      </c>
      <c r="I1107" s="9" t="s">
        <v>3380</v>
      </c>
      <c r="J1107" s="62" t="s">
        <v>3380</v>
      </c>
      <c r="K1107" s="17">
        <v>4</v>
      </c>
    </row>
    <row r="1108" spans="1:11" x14ac:dyDescent="0.25">
      <c r="A1108" s="18" t="s">
        <v>2235</v>
      </c>
      <c r="B1108" s="19" t="s">
        <v>2236</v>
      </c>
      <c r="C1108" s="5">
        <v>377644</v>
      </c>
      <c r="D1108" s="21" t="s">
        <v>31</v>
      </c>
      <c r="E1108" s="21" t="s">
        <v>17</v>
      </c>
      <c r="F1108" s="22">
        <v>45555</v>
      </c>
      <c r="G1108" s="23">
        <f t="shared" si="17"/>
        <v>45555</v>
      </c>
      <c r="H1108" s="21" t="s">
        <v>13</v>
      </c>
      <c r="I1108" s="9">
        <v>105552.89088175001</v>
      </c>
      <c r="J1108" s="62">
        <v>496.09069570681902</v>
      </c>
      <c r="K1108" s="25">
        <v>3</v>
      </c>
    </row>
    <row r="1109" spans="1:11" x14ac:dyDescent="0.25">
      <c r="A1109" s="3" t="s">
        <v>2237</v>
      </c>
      <c r="B1109" s="4" t="s">
        <v>2238</v>
      </c>
      <c r="C1109" s="5">
        <v>26257</v>
      </c>
      <c r="D1109" s="6" t="s">
        <v>28</v>
      </c>
      <c r="E1109" s="6" t="s">
        <v>17</v>
      </c>
      <c r="F1109" s="7">
        <v>36412</v>
      </c>
      <c r="G1109" s="8">
        <f t="shared" si="17"/>
        <v>36412</v>
      </c>
      <c r="H1109" s="6" t="s">
        <v>13</v>
      </c>
      <c r="I1109" s="9">
        <v>108081.01852883899</v>
      </c>
      <c r="J1109" s="62">
        <v>356.47008442167203</v>
      </c>
      <c r="K1109" s="17">
        <v>1</v>
      </c>
    </row>
    <row r="1110" spans="1:11" x14ac:dyDescent="0.25">
      <c r="A1110" s="3" t="s">
        <v>2239</v>
      </c>
      <c r="B1110" s="4" t="s">
        <v>2240</v>
      </c>
      <c r="C1110" s="5">
        <v>8961</v>
      </c>
      <c r="D1110" s="6" t="s">
        <v>28</v>
      </c>
      <c r="E1110" s="6" t="s">
        <v>17</v>
      </c>
      <c r="F1110" s="7">
        <v>37712</v>
      </c>
      <c r="G1110" s="8">
        <f t="shared" si="17"/>
        <v>37712</v>
      </c>
      <c r="H1110" s="6" t="s">
        <v>13</v>
      </c>
      <c r="I1110" s="9">
        <v>9273.3418582691502</v>
      </c>
      <c r="J1110" s="62">
        <v>22.573770581066402</v>
      </c>
      <c r="K1110" s="17">
        <v>1</v>
      </c>
    </row>
    <row r="1111" spans="1:11" x14ac:dyDescent="0.25">
      <c r="A1111" s="3" t="s">
        <v>2241</v>
      </c>
      <c r="B1111" s="4" t="s">
        <v>2242</v>
      </c>
      <c r="C1111" s="5">
        <v>8964</v>
      </c>
      <c r="D1111" s="6" t="s">
        <v>28</v>
      </c>
      <c r="E1111" s="6" t="s">
        <v>17</v>
      </c>
      <c r="F1111" s="7">
        <v>37725</v>
      </c>
      <c r="G1111" s="8">
        <f t="shared" si="17"/>
        <v>37725</v>
      </c>
      <c r="H1111" s="6" t="s">
        <v>13</v>
      </c>
      <c r="I1111" s="9">
        <v>17574.5761746674</v>
      </c>
      <c r="J1111" s="62">
        <v>115.18438122954601</v>
      </c>
      <c r="K1111" s="17">
        <v>1</v>
      </c>
    </row>
    <row r="1112" spans="1:11" x14ac:dyDescent="0.25">
      <c r="A1112" s="3" t="s">
        <v>2243</v>
      </c>
      <c r="B1112" s="4" t="s">
        <v>2244</v>
      </c>
      <c r="C1112" s="14">
        <v>1582</v>
      </c>
      <c r="D1112" s="6" t="s">
        <v>31</v>
      </c>
      <c r="E1112" s="6" t="s">
        <v>17</v>
      </c>
      <c r="F1112" s="7">
        <v>29221</v>
      </c>
      <c r="G1112" s="8">
        <f t="shared" si="17"/>
        <v>29221</v>
      </c>
      <c r="H1112" s="6" t="s">
        <v>13</v>
      </c>
      <c r="I1112" s="9">
        <v>48946.036626087</v>
      </c>
      <c r="J1112" s="62">
        <v>572.52843433161695</v>
      </c>
      <c r="K1112" s="17">
        <v>1</v>
      </c>
    </row>
    <row r="1113" spans="1:11" x14ac:dyDescent="0.25">
      <c r="A1113" s="3" t="s">
        <v>2245</v>
      </c>
      <c r="B1113" s="4" t="s">
        <v>2246</v>
      </c>
      <c r="C1113" s="5">
        <v>54697</v>
      </c>
      <c r="D1113" s="6" t="s">
        <v>31</v>
      </c>
      <c r="E1113" s="6" t="s">
        <v>17</v>
      </c>
      <c r="F1113" s="7">
        <v>35583</v>
      </c>
      <c r="G1113" s="8">
        <f t="shared" si="17"/>
        <v>35583</v>
      </c>
      <c r="H1113" s="6" t="s">
        <v>13</v>
      </c>
      <c r="I1113" s="9">
        <v>6537.6521389438703</v>
      </c>
      <c r="J1113" s="62">
        <v>38.375005560489498</v>
      </c>
      <c r="K1113" s="17">
        <v>1</v>
      </c>
    </row>
    <row r="1114" spans="1:11" x14ac:dyDescent="0.25">
      <c r="A1114" s="3" t="s">
        <v>2247</v>
      </c>
      <c r="B1114" s="4" t="s">
        <v>2248</v>
      </c>
      <c r="C1114" s="5">
        <v>10576</v>
      </c>
      <c r="D1114" s="6" t="s">
        <v>34</v>
      </c>
      <c r="E1114" s="6" t="s">
        <v>17</v>
      </c>
      <c r="F1114" s="7">
        <v>37006</v>
      </c>
      <c r="G1114" s="8">
        <f t="shared" si="17"/>
        <v>37006</v>
      </c>
      <c r="H1114" s="6" t="s">
        <v>13</v>
      </c>
      <c r="I1114" s="9">
        <v>23010.513535069302</v>
      </c>
      <c r="J1114" s="62">
        <v>167.57926285209899</v>
      </c>
      <c r="K1114" s="17">
        <v>1</v>
      </c>
    </row>
    <row r="1115" spans="1:11" x14ac:dyDescent="0.25">
      <c r="A1115" s="3" t="s">
        <v>2249</v>
      </c>
      <c r="B1115" s="4" t="s">
        <v>2250</v>
      </c>
      <c r="C1115" s="14">
        <v>1351</v>
      </c>
      <c r="D1115" s="6" t="s">
        <v>31</v>
      </c>
      <c r="E1115" s="6" t="s">
        <v>17</v>
      </c>
      <c r="F1115" s="7">
        <v>31560</v>
      </c>
      <c r="G1115" s="8">
        <f t="shared" si="17"/>
        <v>31560</v>
      </c>
      <c r="H1115" s="6" t="s">
        <v>13</v>
      </c>
      <c r="I1115" s="9">
        <v>165974.56052918499</v>
      </c>
      <c r="J1115" s="62">
        <v>357.45256243618098</v>
      </c>
      <c r="K1115" s="17">
        <v>3</v>
      </c>
    </row>
    <row r="1116" spans="1:11" x14ac:dyDescent="0.25">
      <c r="A1116" s="3" t="s">
        <v>2251</v>
      </c>
      <c r="B1116" s="4" t="s">
        <v>2252</v>
      </c>
      <c r="C1116" s="5">
        <v>1701</v>
      </c>
      <c r="D1116" s="6" t="s">
        <v>31</v>
      </c>
      <c r="E1116" s="6" t="s">
        <v>17</v>
      </c>
      <c r="F1116" s="7">
        <v>29952</v>
      </c>
      <c r="G1116" s="8">
        <f t="shared" si="17"/>
        <v>29952</v>
      </c>
      <c r="H1116" s="6" t="s">
        <v>13</v>
      </c>
      <c r="I1116" s="9" t="s">
        <v>3380</v>
      </c>
      <c r="J1116" s="62" t="s">
        <v>3380</v>
      </c>
      <c r="K1116" s="17">
        <v>4</v>
      </c>
    </row>
    <row r="1117" spans="1:11" x14ac:dyDescent="0.25">
      <c r="A1117" s="3" t="s">
        <v>2253</v>
      </c>
      <c r="B1117" s="4" t="s">
        <v>2254</v>
      </c>
      <c r="C1117" s="14">
        <v>21761</v>
      </c>
      <c r="D1117" s="6" t="s">
        <v>11</v>
      </c>
      <c r="E1117" s="6" t="s">
        <v>12</v>
      </c>
      <c r="F1117" s="7">
        <v>31935</v>
      </c>
      <c r="G1117" s="8">
        <f t="shared" si="17"/>
        <v>31935</v>
      </c>
      <c r="H1117" s="6" t="s">
        <v>39</v>
      </c>
      <c r="I1117" s="9">
        <v>38442.986782211301</v>
      </c>
      <c r="J1117" s="62">
        <v>117.54276850724099</v>
      </c>
      <c r="K1117" s="17">
        <v>1</v>
      </c>
    </row>
    <row r="1118" spans="1:11" x14ac:dyDescent="0.25">
      <c r="A1118" s="3" t="s">
        <v>2255</v>
      </c>
      <c r="B1118" s="4" t="s">
        <v>2256</v>
      </c>
      <c r="C1118" s="5">
        <v>1880</v>
      </c>
      <c r="D1118" s="6" t="s">
        <v>34</v>
      </c>
      <c r="E1118" s="6" t="s">
        <v>17</v>
      </c>
      <c r="F1118" s="7">
        <v>29952</v>
      </c>
      <c r="G1118" s="8">
        <f t="shared" si="17"/>
        <v>29952</v>
      </c>
      <c r="H1118" s="6" t="s">
        <v>13</v>
      </c>
      <c r="I1118" s="9">
        <v>24581.076192996199</v>
      </c>
      <c r="J1118" s="62">
        <v>154.999641160891</v>
      </c>
      <c r="K1118" s="17">
        <v>1</v>
      </c>
    </row>
    <row r="1119" spans="1:11" x14ac:dyDescent="0.25">
      <c r="A1119" s="3" t="s">
        <v>2257</v>
      </c>
      <c r="B1119" s="4" t="s">
        <v>2258</v>
      </c>
      <c r="C1119" s="5">
        <v>1671</v>
      </c>
      <c r="D1119" s="6" t="s">
        <v>31</v>
      </c>
      <c r="E1119" s="6" t="s">
        <v>17</v>
      </c>
      <c r="F1119" s="7">
        <v>25569</v>
      </c>
      <c r="G1119" s="8">
        <f t="shared" si="17"/>
        <v>25569</v>
      </c>
      <c r="H1119" s="6" t="s">
        <v>13</v>
      </c>
      <c r="I1119" s="9">
        <v>9483.8994062068996</v>
      </c>
      <c r="J1119" s="62">
        <v>92.743693026540697</v>
      </c>
      <c r="K1119" s="17">
        <v>1</v>
      </c>
    </row>
    <row r="1120" spans="1:11" x14ac:dyDescent="0.25">
      <c r="A1120" s="3" t="s">
        <v>2259</v>
      </c>
      <c r="B1120" s="4" t="s">
        <v>2260</v>
      </c>
      <c r="C1120" s="5">
        <v>9281</v>
      </c>
      <c r="D1120" s="6" t="s">
        <v>28</v>
      </c>
      <c r="E1120" s="6" t="s">
        <v>17</v>
      </c>
      <c r="F1120" s="7">
        <v>37697</v>
      </c>
      <c r="G1120" s="8">
        <f t="shared" si="17"/>
        <v>37697</v>
      </c>
      <c r="H1120" s="6" t="s">
        <v>13</v>
      </c>
      <c r="I1120" s="9">
        <v>167941.79490507001</v>
      </c>
      <c r="J1120" s="62">
        <v>762.64037781479999</v>
      </c>
      <c r="K1120" s="17">
        <v>2</v>
      </c>
    </row>
    <row r="1121" spans="1:11" x14ac:dyDescent="0.25">
      <c r="A1121" s="3" t="s">
        <v>2261</v>
      </c>
      <c r="B1121" s="4" t="s">
        <v>2262</v>
      </c>
      <c r="C1121" s="5">
        <v>29825</v>
      </c>
      <c r="D1121" s="6" t="s">
        <v>31</v>
      </c>
      <c r="E1121" s="6" t="s">
        <v>17</v>
      </c>
      <c r="F1121" s="7">
        <v>25143</v>
      </c>
      <c r="G1121" s="8">
        <f t="shared" si="17"/>
        <v>25143</v>
      </c>
      <c r="H1121" s="6" t="s">
        <v>13</v>
      </c>
      <c r="I1121" s="9">
        <v>14122.456522128599</v>
      </c>
      <c r="J1121" s="62">
        <v>242.105315529351</v>
      </c>
      <c r="K1121" s="17">
        <v>1</v>
      </c>
    </row>
    <row r="1122" spans="1:11" x14ac:dyDescent="0.25">
      <c r="A1122" s="3" t="s">
        <v>2263</v>
      </c>
      <c r="B1122" s="4" t="s">
        <v>2264</v>
      </c>
      <c r="C1122" s="14">
        <v>54698</v>
      </c>
      <c r="D1122" s="6" t="s">
        <v>31</v>
      </c>
      <c r="E1122" s="6" t="s">
        <v>17</v>
      </c>
      <c r="F1122" s="7">
        <v>32492</v>
      </c>
      <c r="G1122" s="8">
        <f t="shared" si="17"/>
        <v>32492</v>
      </c>
      <c r="H1122" s="6" t="s">
        <v>13</v>
      </c>
      <c r="I1122" s="9">
        <v>10790.5759176539</v>
      </c>
      <c r="J1122" s="62">
        <v>64.175567737243895</v>
      </c>
      <c r="K1122" s="17">
        <v>1</v>
      </c>
    </row>
    <row r="1123" spans="1:11" x14ac:dyDescent="0.25">
      <c r="A1123" s="18" t="s">
        <v>2265</v>
      </c>
      <c r="B1123" s="19" t="s">
        <v>2266</v>
      </c>
      <c r="C1123" s="5">
        <v>15364</v>
      </c>
      <c r="D1123" s="21" t="s">
        <v>31</v>
      </c>
      <c r="E1123" s="21" t="s">
        <v>17</v>
      </c>
      <c r="F1123" s="22">
        <v>26599</v>
      </c>
      <c r="G1123" s="23">
        <f t="shared" si="17"/>
        <v>26599</v>
      </c>
      <c r="H1123" s="21" t="s">
        <v>13</v>
      </c>
      <c r="I1123" s="9">
        <v>46333.592281080899</v>
      </c>
      <c r="J1123" s="62">
        <v>281.59561230416301</v>
      </c>
      <c r="K1123" s="25">
        <v>2</v>
      </c>
    </row>
    <row r="1124" spans="1:11" x14ac:dyDescent="0.25">
      <c r="A1124" s="3" t="s">
        <v>2267</v>
      </c>
      <c r="B1124" s="4" t="s">
        <v>2268</v>
      </c>
      <c r="C1124" s="5">
        <v>31361</v>
      </c>
      <c r="D1124" s="6" t="s">
        <v>31</v>
      </c>
      <c r="E1124" s="6" t="s">
        <v>17</v>
      </c>
      <c r="F1124" s="7">
        <v>26100</v>
      </c>
      <c r="G1124" s="8">
        <f t="shared" si="17"/>
        <v>26100</v>
      </c>
      <c r="H1124" s="6" t="s">
        <v>13</v>
      </c>
      <c r="I1124" s="9">
        <v>35488.766728432798</v>
      </c>
      <c r="J1124" s="62">
        <v>510.69350124005001</v>
      </c>
      <c r="K1124" s="17">
        <v>2</v>
      </c>
    </row>
    <row r="1125" spans="1:11" x14ac:dyDescent="0.25">
      <c r="A1125" s="3" t="s">
        <v>2269</v>
      </c>
      <c r="B1125" s="4" t="s">
        <v>2270</v>
      </c>
      <c r="C1125" s="5">
        <v>29505</v>
      </c>
      <c r="D1125" s="6" t="s">
        <v>31</v>
      </c>
      <c r="E1125" s="6" t="s">
        <v>17</v>
      </c>
      <c r="F1125" s="7">
        <v>29517</v>
      </c>
      <c r="G1125" s="8">
        <f t="shared" si="17"/>
        <v>29517</v>
      </c>
      <c r="H1125" s="6" t="s">
        <v>13</v>
      </c>
      <c r="I1125" s="9">
        <v>4741.0073319358698</v>
      </c>
      <c r="J1125" s="62">
        <v>116.915240240215</v>
      </c>
      <c r="K1125" s="17">
        <v>1</v>
      </c>
    </row>
    <row r="1126" spans="1:11" x14ac:dyDescent="0.25">
      <c r="A1126" s="26" t="s">
        <v>2271</v>
      </c>
      <c r="B1126" s="27" t="s">
        <v>2272</v>
      </c>
      <c r="C1126" s="34">
        <v>54699</v>
      </c>
      <c r="D1126" s="28" t="s">
        <v>31</v>
      </c>
      <c r="E1126" s="28" t="s">
        <v>17</v>
      </c>
      <c r="F1126" s="29">
        <v>33512</v>
      </c>
      <c r="G1126" s="30">
        <f t="shared" si="17"/>
        <v>33512</v>
      </c>
      <c r="H1126" s="28" t="s">
        <v>13</v>
      </c>
      <c r="I1126" s="9">
        <v>18311.988996224802</v>
      </c>
      <c r="J1126" s="62">
        <v>140.9221126345</v>
      </c>
      <c r="K1126" s="33">
        <v>1</v>
      </c>
    </row>
    <row r="1127" spans="1:11" x14ac:dyDescent="0.25">
      <c r="A1127" s="3" t="s">
        <v>2273</v>
      </c>
      <c r="B1127" s="4" t="s">
        <v>2274</v>
      </c>
      <c r="C1127" s="14">
        <v>13121</v>
      </c>
      <c r="D1127" s="6" t="s">
        <v>31</v>
      </c>
      <c r="E1127" s="6" t="s">
        <v>17</v>
      </c>
      <c r="F1127" s="7">
        <v>32360</v>
      </c>
      <c r="G1127" s="8">
        <f t="shared" si="17"/>
        <v>32360</v>
      </c>
      <c r="H1127" s="6" t="s">
        <v>13</v>
      </c>
      <c r="I1127" s="9">
        <v>27224.738715248801</v>
      </c>
      <c r="J1127" s="62">
        <v>178.70115016830599</v>
      </c>
      <c r="K1127" s="17">
        <v>2</v>
      </c>
    </row>
    <row r="1128" spans="1:11" x14ac:dyDescent="0.25">
      <c r="A1128" s="3" t="s">
        <v>2275</v>
      </c>
      <c r="B1128" s="4" t="s">
        <v>2276</v>
      </c>
      <c r="C1128" s="5">
        <v>1580</v>
      </c>
      <c r="D1128" s="6" t="s">
        <v>31</v>
      </c>
      <c r="E1128" s="6" t="s">
        <v>17</v>
      </c>
      <c r="F1128" s="7">
        <v>31058</v>
      </c>
      <c r="G1128" s="8">
        <f t="shared" si="17"/>
        <v>31058</v>
      </c>
      <c r="H1128" s="6" t="s">
        <v>13</v>
      </c>
      <c r="I1128" s="9">
        <v>25836.146049980398</v>
      </c>
      <c r="J1128" s="62">
        <v>155.80142958323199</v>
      </c>
      <c r="K1128" s="17">
        <v>2</v>
      </c>
    </row>
    <row r="1129" spans="1:11" x14ac:dyDescent="0.25">
      <c r="A1129" s="3" t="s">
        <v>2277</v>
      </c>
      <c r="B1129" s="4" t="s">
        <v>2278</v>
      </c>
      <c r="C1129" s="5">
        <v>1926</v>
      </c>
      <c r="D1129" s="6" t="s">
        <v>31</v>
      </c>
      <c r="E1129" s="6" t="s">
        <v>17</v>
      </c>
      <c r="F1129" s="7">
        <v>29221</v>
      </c>
      <c r="G1129" s="8">
        <f t="shared" si="17"/>
        <v>29221</v>
      </c>
      <c r="H1129" s="6" t="s">
        <v>13</v>
      </c>
      <c r="I1129" s="9">
        <v>68476.677999902298</v>
      </c>
      <c r="J1129" s="62">
        <v>299.05972007085802</v>
      </c>
      <c r="K1129" s="17">
        <v>1</v>
      </c>
    </row>
    <row r="1130" spans="1:11" x14ac:dyDescent="0.25">
      <c r="A1130" s="3" t="s">
        <v>2279</v>
      </c>
      <c r="B1130" s="4" t="s">
        <v>2280</v>
      </c>
      <c r="C1130" s="5">
        <v>15373</v>
      </c>
      <c r="D1130" s="6" t="s">
        <v>16</v>
      </c>
      <c r="E1130" s="6" t="s">
        <v>17</v>
      </c>
      <c r="F1130" s="7">
        <v>25883</v>
      </c>
      <c r="G1130" s="8">
        <f t="shared" si="17"/>
        <v>25883</v>
      </c>
      <c r="H1130" s="6" t="s">
        <v>13</v>
      </c>
      <c r="I1130" s="9">
        <v>13815.041274020099</v>
      </c>
      <c r="J1130" s="62">
        <v>47.698339532578899</v>
      </c>
      <c r="K1130" s="17">
        <v>1</v>
      </c>
    </row>
    <row r="1131" spans="1:11" x14ac:dyDescent="0.25">
      <c r="A1131" s="3" t="s">
        <v>2281</v>
      </c>
      <c r="B1131" s="4" t="s">
        <v>2282</v>
      </c>
      <c r="C1131" s="5">
        <v>15691</v>
      </c>
      <c r="D1131" s="6" t="s">
        <v>31</v>
      </c>
      <c r="E1131" s="6" t="s">
        <v>17</v>
      </c>
      <c r="F1131" s="7">
        <v>26501</v>
      </c>
      <c r="G1131" s="8">
        <f t="shared" si="17"/>
        <v>26501</v>
      </c>
      <c r="H1131" s="6" t="s">
        <v>13</v>
      </c>
      <c r="I1131" s="9">
        <v>7441.8725218009004</v>
      </c>
      <c r="J1131" s="62">
        <v>46.201309990112797</v>
      </c>
      <c r="K1131" s="17">
        <v>1</v>
      </c>
    </row>
    <row r="1132" spans="1:11" x14ac:dyDescent="0.25">
      <c r="A1132" s="3" t="s">
        <v>2283</v>
      </c>
      <c r="B1132" s="4" t="s">
        <v>2284</v>
      </c>
      <c r="C1132" s="5">
        <v>1835</v>
      </c>
      <c r="D1132" s="6" t="s">
        <v>31</v>
      </c>
      <c r="E1132" s="6" t="s">
        <v>17</v>
      </c>
      <c r="F1132" s="7">
        <v>25569</v>
      </c>
      <c r="G1132" s="8">
        <f t="shared" si="17"/>
        <v>25569</v>
      </c>
      <c r="H1132" s="6" t="s">
        <v>13</v>
      </c>
      <c r="I1132" s="9">
        <v>60256.145830127301</v>
      </c>
      <c r="J1132" s="62">
        <v>356.05934066924499</v>
      </c>
      <c r="K1132" s="17">
        <v>1</v>
      </c>
    </row>
    <row r="1133" spans="1:11" x14ac:dyDescent="0.25">
      <c r="A1133" s="12" t="s">
        <v>2285</v>
      </c>
      <c r="B1133" s="4" t="s">
        <v>2286</v>
      </c>
      <c r="C1133" s="14">
        <v>2054</v>
      </c>
      <c r="D1133" s="6" t="s">
        <v>31</v>
      </c>
      <c r="E1133" s="6" t="s">
        <v>17</v>
      </c>
      <c r="F1133" s="7">
        <v>29952</v>
      </c>
      <c r="G1133" s="8">
        <f t="shared" si="17"/>
        <v>29952</v>
      </c>
      <c r="H1133" s="6" t="s">
        <v>13</v>
      </c>
      <c r="I1133" s="9" t="s">
        <v>3380</v>
      </c>
      <c r="J1133" s="62" t="s">
        <v>3380</v>
      </c>
      <c r="K1133" s="17">
        <v>4</v>
      </c>
    </row>
    <row r="1134" spans="1:11" x14ac:dyDescent="0.25">
      <c r="A1134" s="3" t="s">
        <v>2287</v>
      </c>
      <c r="B1134" s="4" t="s">
        <v>2288</v>
      </c>
      <c r="C1134" s="5">
        <v>1815</v>
      </c>
      <c r="D1134" s="6" t="s">
        <v>28</v>
      </c>
      <c r="E1134" s="6" t="s">
        <v>17</v>
      </c>
      <c r="F1134" s="7">
        <v>36510</v>
      </c>
      <c r="G1134" s="8">
        <f t="shared" si="17"/>
        <v>36510</v>
      </c>
      <c r="H1134" s="6" t="s">
        <v>13</v>
      </c>
      <c r="I1134" s="9">
        <v>5862.6398608654608</v>
      </c>
      <c r="J1134" s="62">
        <v>27.437547991799299</v>
      </c>
      <c r="K1134" s="17">
        <v>1</v>
      </c>
    </row>
    <row r="1135" spans="1:11" x14ac:dyDescent="0.25">
      <c r="A1135" s="3" t="s">
        <v>2289</v>
      </c>
      <c r="B1135" s="4" t="s">
        <v>2290</v>
      </c>
      <c r="C1135" s="5">
        <v>54700</v>
      </c>
      <c r="D1135" s="6" t="s">
        <v>37</v>
      </c>
      <c r="E1135" s="6" t="s">
        <v>17</v>
      </c>
      <c r="F1135" s="7">
        <v>39037</v>
      </c>
      <c r="G1135" s="8">
        <f t="shared" si="17"/>
        <v>39037</v>
      </c>
      <c r="H1135" s="6" t="s">
        <v>39</v>
      </c>
      <c r="I1135" s="9">
        <v>50352.368089089701</v>
      </c>
      <c r="J1135" s="62">
        <v>478.63248442235101</v>
      </c>
      <c r="K1135" s="11">
        <v>2</v>
      </c>
    </row>
    <row r="1136" spans="1:11" x14ac:dyDescent="0.25">
      <c r="A1136" s="3" t="s">
        <v>2291</v>
      </c>
      <c r="B1136" s="4" t="s">
        <v>2292</v>
      </c>
      <c r="C1136" s="5">
        <v>72124</v>
      </c>
      <c r="D1136" s="6" t="s">
        <v>11</v>
      </c>
      <c r="E1136" s="6" t="s">
        <v>17</v>
      </c>
      <c r="F1136" s="7">
        <v>39184</v>
      </c>
      <c r="G1136" s="8">
        <f t="shared" si="17"/>
        <v>39184</v>
      </c>
      <c r="H1136" s="6" t="s">
        <v>13</v>
      </c>
      <c r="I1136" s="9">
        <v>23458.5232524149</v>
      </c>
      <c r="J1136" s="62">
        <v>366.34654326614998</v>
      </c>
      <c r="K1136" s="17">
        <v>1</v>
      </c>
    </row>
    <row r="1137" spans="1:11" x14ac:dyDescent="0.25">
      <c r="A1137" s="3" t="s">
        <v>2293</v>
      </c>
      <c r="B1137" s="4" t="s">
        <v>2294</v>
      </c>
      <c r="C1137" s="5">
        <v>16642</v>
      </c>
      <c r="D1137" s="6" t="s">
        <v>16</v>
      </c>
      <c r="E1137" s="6" t="s">
        <v>17</v>
      </c>
      <c r="F1137" s="7">
        <v>29007</v>
      </c>
      <c r="G1137" s="8">
        <f t="shared" si="17"/>
        <v>29007</v>
      </c>
      <c r="H1137" s="6" t="s">
        <v>13</v>
      </c>
      <c r="I1137" s="9">
        <v>7998.0355242600299</v>
      </c>
      <c r="J1137" s="62">
        <v>108.155640316709</v>
      </c>
      <c r="K1137" s="17">
        <v>1</v>
      </c>
    </row>
    <row r="1138" spans="1:11" x14ac:dyDescent="0.25">
      <c r="A1138" s="3" t="s">
        <v>2295</v>
      </c>
      <c r="B1138" s="4" t="s">
        <v>2296</v>
      </c>
      <c r="C1138" s="5">
        <v>10882</v>
      </c>
      <c r="D1138" s="6" t="s">
        <v>34</v>
      </c>
      <c r="E1138" s="6" t="s">
        <v>17</v>
      </c>
      <c r="F1138" s="7">
        <v>37843</v>
      </c>
      <c r="G1138" s="8">
        <f t="shared" si="17"/>
        <v>37843</v>
      </c>
      <c r="H1138" s="6" t="s">
        <v>13</v>
      </c>
      <c r="I1138" s="9">
        <v>66105.43690848221</v>
      </c>
      <c r="J1138" s="62">
        <v>317.193234495323</v>
      </c>
      <c r="K1138" s="17">
        <v>2</v>
      </c>
    </row>
    <row r="1139" spans="1:11" x14ac:dyDescent="0.25">
      <c r="A1139" s="26" t="s">
        <v>2297</v>
      </c>
      <c r="B1139" s="27" t="s">
        <v>2298</v>
      </c>
      <c r="C1139" s="34">
        <v>54702</v>
      </c>
      <c r="D1139" s="28" t="s">
        <v>16</v>
      </c>
      <c r="E1139" s="28" t="s">
        <v>17</v>
      </c>
      <c r="F1139" s="29">
        <v>39520</v>
      </c>
      <c r="G1139" s="30">
        <f t="shared" si="17"/>
        <v>39520</v>
      </c>
      <c r="H1139" s="28" t="s">
        <v>13</v>
      </c>
      <c r="I1139" s="9">
        <v>23239.706588068198</v>
      </c>
      <c r="J1139" s="62">
        <v>34.941160768255301</v>
      </c>
      <c r="K1139" s="33">
        <v>1</v>
      </c>
    </row>
    <row r="1140" spans="1:11" x14ac:dyDescent="0.25">
      <c r="A1140" s="3" t="s">
        <v>2299</v>
      </c>
      <c r="B1140" s="4" t="s">
        <v>2300</v>
      </c>
      <c r="C1140" s="5">
        <v>11842</v>
      </c>
      <c r="D1140" s="6" t="s">
        <v>28</v>
      </c>
      <c r="E1140" s="6" t="s">
        <v>17</v>
      </c>
      <c r="F1140" s="7">
        <v>37978</v>
      </c>
      <c r="G1140" s="8">
        <f t="shared" si="17"/>
        <v>37978</v>
      </c>
      <c r="H1140" s="6" t="s">
        <v>13</v>
      </c>
      <c r="I1140" s="9">
        <v>1442.41918129635</v>
      </c>
      <c r="J1140" s="62">
        <v>118.437148724064</v>
      </c>
      <c r="K1140" s="17">
        <v>1</v>
      </c>
    </row>
    <row r="1141" spans="1:11" x14ac:dyDescent="0.25">
      <c r="A1141" s="3" t="s">
        <v>2301</v>
      </c>
      <c r="B1141" s="4" t="s">
        <v>2302</v>
      </c>
      <c r="C1141" s="5">
        <v>50641</v>
      </c>
      <c r="D1141" s="6" t="s">
        <v>11</v>
      </c>
      <c r="E1141" s="6" t="s">
        <v>12</v>
      </c>
      <c r="F1141" s="7">
        <v>39400</v>
      </c>
      <c r="G1141" s="8">
        <f t="shared" si="17"/>
        <v>39400</v>
      </c>
      <c r="H1141" s="6" t="s">
        <v>39</v>
      </c>
      <c r="I1141" s="9">
        <v>16037.2495274799</v>
      </c>
      <c r="J1141" s="62">
        <v>145.69989416605</v>
      </c>
      <c r="K1141" s="17">
        <v>1</v>
      </c>
    </row>
    <row r="1142" spans="1:11" x14ac:dyDescent="0.25">
      <c r="A1142" s="3" t="s">
        <v>2303</v>
      </c>
      <c r="B1142" s="4" t="s">
        <v>2304</v>
      </c>
      <c r="C1142" s="14">
        <v>23394</v>
      </c>
      <c r="D1142" s="6" t="s">
        <v>11</v>
      </c>
      <c r="E1142" s="6" t="s">
        <v>17</v>
      </c>
      <c r="F1142" s="7">
        <v>35199</v>
      </c>
      <c r="G1142" s="8">
        <f t="shared" si="17"/>
        <v>35199</v>
      </c>
      <c r="H1142" s="6" t="s">
        <v>13</v>
      </c>
      <c r="I1142" s="9">
        <v>73930.92970234371</v>
      </c>
      <c r="J1142" s="62">
        <v>341.10028836073099</v>
      </c>
      <c r="K1142" s="17">
        <v>1</v>
      </c>
    </row>
    <row r="1143" spans="1:11" x14ac:dyDescent="0.25">
      <c r="A1143" s="3" t="s">
        <v>2305</v>
      </c>
      <c r="B1143" s="4" t="s">
        <v>2306</v>
      </c>
      <c r="C1143" s="5">
        <v>107317</v>
      </c>
      <c r="D1143" s="6" t="s">
        <v>34</v>
      </c>
      <c r="E1143" s="6" t="s">
        <v>17</v>
      </c>
      <c r="F1143" s="7">
        <v>40655</v>
      </c>
      <c r="G1143" s="8">
        <f t="shared" si="17"/>
        <v>40655</v>
      </c>
      <c r="H1143" s="6" t="s">
        <v>13</v>
      </c>
      <c r="I1143" s="9">
        <v>45297.7034329136</v>
      </c>
      <c r="J1143" s="62">
        <v>543.47492495130098</v>
      </c>
      <c r="K1143" s="11">
        <v>1</v>
      </c>
    </row>
    <row r="1144" spans="1:11" x14ac:dyDescent="0.25">
      <c r="A1144" s="3" t="s">
        <v>2307</v>
      </c>
      <c r="B1144" s="4" t="s">
        <v>2308</v>
      </c>
      <c r="C1144" s="5">
        <v>10885</v>
      </c>
      <c r="D1144" s="6" t="s">
        <v>34</v>
      </c>
      <c r="E1144" s="6" t="s">
        <v>17</v>
      </c>
      <c r="F1144" s="7">
        <v>37377</v>
      </c>
      <c r="G1144" s="8">
        <f t="shared" si="17"/>
        <v>37377</v>
      </c>
      <c r="H1144" s="6" t="s">
        <v>13</v>
      </c>
      <c r="I1144" s="9">
        <v>3153.45037622173</v>
      </c>
      <c r="J1144" s="62">
        <v>37.413198129284602</v>
      </c>
      <c r="K1144" s="17">
        <v>1</v>
      </c>
    </row>
    <row r="1145" spans="1:11" x14ac:dyDescent="0.25">
      <c r="A1145" s="3" t="s">
        <v>2309</v>
      </c>
      <c r="B1145" s="4" t="s">
        <v>2310</v>
      </c>
      <c r="C1145" s="14">
        <v>54703</v>
      </c>
      <c r="D1145" s="6" t="s">
        <v>28</v>
      </c>
      <c r="E1145" s="6" t="s">
        <v>508</v>
      </c>
      <c r="F1145" s="7">
        <v>37573</v>
      </c>
      <c r="G1145" s="8">
        <f t="shared" si="17"/>
        <v>37573</v>
      </c>
      <c r="H1145" s="6" t="s">
        <v>509</v>
      </c>
      <c r="I1145" s="9">
        <v>53604.635690431598</v>
      </c>
      <c r="J1145" s="62">
        <v>266.44735904802002</v>
      </c>
      <c r="K1145" s="17">
        <v>1</v>
      </c>
    </row>
    <row r="1146" spans="1:11" x14ac:dyDescent="0.25">
      <c r="A1146" s="26" t="s">
        <v>2311</v>
      </c>
      <c r="B1146" s="27" t="s">
        <v>2312</v>
      </c>
      <c r="C1146" s="5">
        <v>1588</v>
      </c>
      <c r="D1146" s="28" t="s">
        <v>34</v>
      </c>
      <c r="E1146" s="28" t="s">
        <v>17</v>
      </c>
      <c r="F1146" s="29">
        <v>29221</v>
      </c>
      <c r="G1146" s="30">
        <f t="shared" si="17"/>
        <v>29221</v>
      </c>
      <c r="H1146" s="28" t="s">
        <v>13</v>
      </c>
      <c r="I1146" s="9">
        <v>28776.769540103</v>
      </c>
      <c r="J1146" s="62">
        <v>125.423429809555</v>
      </c>
      <c r="K1146" s="33">
        <v>1</v>
      </c>
    </row>
    <row r="1147" spans="1:11" x14ac:dyDescent="0.25">
      <c r="A1147" s="18" t="s">
        <v>2313</v>
      </c>
      <c r="B1147" s="19" t="s">
        <v>2314</v>
      </c>
      <c r="C1147" s="5">
        <v>54704</v>
      </c>
      <c r="D1147" s="21" t="s">
        <v>11</v>
      </c>
      <c r="E1147" s="21" t="s">
        <v>17</v>
      </c>
      <c r="F1147" s="22">
        <v>38871</v>
      </c>
      <c r="G1147" s="8">
        <f t="shared" si="17"/>
        <v>38871</v>
      </c>
      <c r="H1147" s="21" t="s">
        <v>13</v>
      </c>
      <c r="I1147" s="9">
        <v>42601.0865922019</v>
      </c>
      <c r="J1147" s="62">
        <v>399.44517476160098</v>
      </c>
      <c r="K1147" s="17">
        <v>1</v>
      </c>
    </row>
    <row r="1148" spans="1:11" x14ac:dyDescent="0.25">
      <c r="A1148" s="3" t="s">
        <v>2315</v>
      </c>
      <c r="B1148" s="4" t="s">
        <v>2316</v>
      </c>
      <c r="C1148" s="5">
        <v>1334</v>
      </c>
      <c r="D1148" s="6" t="s">
        <v>31</v>
      </c>
      <c r="E1148" s="6" t="s">
        <v>17</v>
      </c>
      <c r="F1148" s="7">
        <v>31048</v>
      </c>
      <c r="G1148" s="8">
        <f t="shared" si="17"/>
        <v>31048</v>
      </c>
      <c r="H1148" s="6" t="s">
        <v>13</v>
      </c>
      <c r="I1148" s="9">
        <v>17225.846935966998</v>
      </c>
      <c r="J1148" s="62">
        <v>99.691822841845905</v>
      </c>
      <c r="K1148" s="17">
        <v>1</v>
      </c>
    </row>
    <row r="1149" spans="1:11" x14ac:dyDescent="0.25">
      <c r="A1149" s="3" t="s">
        <v>2317</v>
      </c>
      <c r="B1149" s="4" t="s">
        <v>2318</v>
      </c>
      <c r="C1149" s="5">
        <v>1184</v>
      </c>
      <c r="D1149" s="6" t="s">
        <v>16</v>
      </c>
      <c r="E1149" s="6" t="s">
        <v>17</v>
      </c>
      <c r="F1149" s="7">
        <v>31048</v>
      </c>
      <c r="G1149" s="8">
        <f t="shared" si="17"/>
        <v>31048</v>
      </c>
      <c r="H1149" s="6" t="s">
        <v>13</v>
      </c>
      <c r="I1149" s="9">
        <v>16162.213935229101</v>
      </c>
      <c r="J1149" s="62">
        <v>338.20150613500198</v>
      </c>
      <c r="K1149" s="17">
        <v>2</v>
      </c>
    </row>
    <row r="1150" spans="1:11" x14ac:dyDescent="0.25">
      <c r="A1150" s="3" t="s">
        <v>2319</v>
      </c>
      <c r="B1150" s="4" t="s">
        <v>2320</v>
      </c>
      <c r="C1150" s="5">
        <v>1167</v>
      </c>
      <c r="D1150" s="6" t="s">
        <v>34</v>
      </c>
      <c r="E1150" s="6" t="s">
        <v>17</v>
      </c>
      <c r="F1150" s="7">
        <v>29221</v>
      </c>
      <c r="G1150" s="8">
        <f t="shared" si="17"/>
        <v>29221</v>
      </c>
      <c r="H1150" s="6" t="s">
        <v>13</v>
      </c>
      <c r="I1150" s="9">
        <v>6925.3525850756796</v>
      </c>
      <c r="J1150" s="62">
        <v>163.499866527877</v>
      </c>
      <c r="K1150" s="17">
        <v>1</v>
      </c>
    </row>
    <row r="1151" spans="1:11" x14ac:dyDescent="0.25">
      <c r="A1151" s="3" t="s">
        <v>2321</v>
      </c>
      <c r="B1151" s="4" t="s">
        <v>2322</v>
      </c>
      <c r="C1151" s="5">
        <v>54705</v>
      </c>
      <c r="D1151" s="6" t="s">
        <v>16</v>
      </c>
      <c r="E1151" s="6" t="s">
        <v>17</v>
      </c>
      <c r="F1151" s="7">
        <v>38240</v>
      </c>
      <c r="G1151" s="8">
        <f t="shared" si="17"/>
        <v>38240</v>
      </c>
      <c r="H1151" s="6" t="s">
        <v>13</v>
      </c>
      <c r="I1151" s="9">
        <v>5792.0620865218607</v>
      </c>
      <c r="J1151" s="62">
        <v>95.850899978002104</v>
      </c>
      <c r="K1151" s="17">
        <v>1</v>
      </c>
    </row>
    <row r="1152" spans="1:11" x14ac:dyDescent="0.25">
      <c r="A1152" s="3" t="s">
        <v>2323</v>
      </c>
      <c r="B1152" s="4" t="s">
        <v>2324</v>
      </c>
      <c r="C1152" s="5">
        <v>12816</v>
      </c>
      <c r="D1152" s="6" t="s">
        <v>16</v>
      </c>
      <c r="E1152" s="6" t="s">
        <v>17</v>
      </c>
      <c r="F1152" s="7">
        <v>38084</v>
      </c>
      <c r="G1152" s="8">
        <f t="shared" si="17"/>
        <v>38084</v>
      </c>
      <c r="H1152" s="6" t="s">
        <v>13</v>
      </c>
      <c r="I1152" s="9">
        <v>12812.690222191699</v>
      </c>
      <c r="J1152" s="62">
        <v>124.508572878368</v>
      </c>
      <c r="K1152" s="17">
        <v>1</v>
      </c>
    </row>
    <row r="1153" spans="1:11" x14ac:dyDescent="0.25">
      <c r="A1153" s="3" t="s">
        <v>2325</v>
      </c>
      <c r="B1153" s="4" t="s">
        <v>2326</v>
      </c>
      <c r="C1153" s="14">
        <v>1420</v>
      </c>
      <c r="D1153" s="6" t="s">
        <v>34</v>
      </c>
      <c r="E1153" s="6" t="s">
        <v>17</v>
      </c>
      <c r="F1153" s="7">
        <v>29952</v>
      </c>
      <c r="G1153" s="8">
        <f t="shared" si="17"/>
        <v>29952</v>
      </c>
      <c r="H1153" s="6" t="s">
        <v>13</v>
      </c>
      <c r="I1153" s="9">
        <v>400928.18687996903</v>
      </c>
      <c r="J1153" s="62">
        <v>2564.6752264363799</v>
      </c>
      <c r="K1153" s="17">
        <v>4</v>
      </c>
    </row>
    <row r="1154" spans="1:11" x14ac:dyDescent="0.25">
      <c r="A1154" s="3" t="s">
        <v>2327</v>
      </c>
      <c r="B1154" s="4" t="s">
        <v>2328</v>
      </c>
      <c r="C1154" s="5">
        <v>1250</v>
      </c>
      <c r="D1154" s="6" t="s">
        <v>28</v>
      </c>
      <c r="E1154" s="6" t="s">
        <v>17</v>
      </c>
      <c r="F1154" s="7">
        <v>31778</v>
      </c>
      <c r="G1154" s="8">
        <f t="shared" ref="G1154:G1217" si="18">F1154</f>
        <v>31778</v>
      </c>
      <c r="H1154" s="6" t="s">
        <v>13</v>
      </c>
      <c r="I1154" s="9">
        <v>1561.14987644507</v>
      </c>
      <c r="J1154" s="62">
        <v>20.6553181901361</v>
      </c>
      <c r="K1154" s="17">
        <v>1</v>
      </c>
    </row>
    <row r="1155" spans="1:11" x14ac:dyDescent="0.25">
      <c r="A1155" s="3" t="s">
        <v>2329</v>
      </c>
      <c r="B1155" s="4" t="s">
        <v>2330</v>
      </c>
      <c r="C1155" s="14">
        <v>54706</v>
      </c>
      <c r="D1155" s="6" t="s">
        <v>31</v>
      </c>
      <c r="E1155" s="6" t="s">
        <v>17</v>
      </c>
      <c r="F1155" s="7">
        <v>32766</v>
      </c>
      <c r="G1155" s="8">
        <f t="shared" si="18"/>
        <v>32766</v>
      </c>
      <c r="H1155" s="6" t="s">
        <v>13</v>
      </c>
      <c r="I1155" s="9">
        <v>65781.363320805991</v>
      </c>
      <c r="J1155" s="62">
        <v>141.05629219513</v>
      </c>
      <c r="K1155" s="17">
        <v>1</v>
      </c>
    </row>
    <row r="1156" spans="1:11" x14ac:dyDescent="0.25">
      <c r="A1156" s="3" t="s">
        <v>2331</v>
      </c>
      <c r="B1156" s="4" t="s">
        <v>2332</v>
      </c>
      <c r="C1156" s="5">
        <v>1198</v>
      </c>
      <c r="D1156" s="6" t="s">
        <v>16</v>
      </c>
      <c r="E1156" s="6" t="s">
        <v>17</v>
      </c>
      <c r="F1156" s="7">
        <v>29221</v>
      </c>
      <c r="G1156" s="8">
        <f t="shared" si="18"/>
        <v>29221</v>
      </c>
      <c r="H1156" s="6" t="s">
        <v>13</v>
      </c>
      <c r="I1156" s="9">
        <v>17297.4772978658</v>
      </c>
      <c r="J1156" s="62">
        <v>209.43364012858399</v>
      </c>
      <c r="K1156" s="17">
        <v>1</v>
      </c>
    </row>
    <row r="1157" spans="1:11" x14ac:dyDescent="0.25">
      <c r="A1157" s="3" t="s">
        <v>2333</v>
      </c>
      <c r="B1157" s="4" t="s">
        <v>2334</v>
      </c>
      <c r="C1157" s="5">
        <v>1243</v>
      </c>
      <c r="D1157" s="6" t="s">
        <v>28</v>
      </c>
      <c r="E1157" s="6" t="s">
        <v>17</v>
      </c>
      <c r="F1157" s="7">
        <v>35065</v>
      </c>
      <c r="G1157" s="8">
        <f t="shared" si="18"/>
        <v>35065</v>
      </c>
      <c r="H1157" s="6" t="s">
        <v>13</v>
      </c>
      <c r="I1157" s="9">
        <v>24475.5167844428</v>
      </c>
      <c r="J1157" s="62">
        <v>332.161118180355</v>
      </c>
      <c r="K1157" s="17">
        <v>1</v>
      </c>
    </row>
    <row r="1158" spans="1:11" x14ac:dyDescent="0.25">
      <c r="A1158" s="3" t="s">
        <v>2335</v>
      </c>
      <c r="B1158" s="4" t="s">
        <v>2336</v>
      </c>
      <c r="C1158" s="5">
        <v>1551</v>
      </c>
      <c r="D1158" s="6" t="s">
        <v>28</v>
      </c>
      <c r="E1158" s="6" t="s">
        <v>17</v>
      </c>
      <c r="F1158" s="7">
        <v>32874</v>
      </c>
      <c r="G1158" s="8">
        <f t="shared" si="18"/>
        <v>32874</v>
      </c>
      <c r="H1158" s="6" t="s">
        <v>13</v>
      </c>
      <c r="I1158" s="9">
        <v>5661.9959940240396</v>
      </c>
      <c r="J1158" s="62">
        <v>153.15505405377701</v>
      </c>
      <c r="K1158" s="17">
        <v>1</v>
      </c>
    </row>
    <row r="1159" spans="1:11" x14ac:dyDescent="0.25">
      <c r="A1159" s="3" t="s">
        <v>2337</v>
      </c>
      <c r="B1159" s="4" t="s">
        <v>2338</v>
      </c>
      <c r="C1159" s="5">
        <v>1587</v>
      </c>
      <c r="D1159" s="6" t="s">
        <v>34</v>
      </c>
      <c r="E1159" s="6" t="s">
        <v>17</v>
      </c>
      <c r="F1159" s="7">
        <v>18264</v>
      </c>
      <c r="G1159" s="8">
        <f t="shared" si="18"/>
        <v>18264</v>
      </c>
      <c r="H1159" s="6" t="s">
        <v>13</v>
      </c>
      <c r="I1159" s="9">
        <v>8400.3635663165187</v>
      </c>
      <c r="J1159" s="62">
        <v>178.538939826361</v>
      </c>
      <c r="K1159" s="11">
        <v>1</v>
      </c>
    </row>
    <row r="1160" spans="1:11" x14ac:dyDescent="0.25">
      <c r="A1160" s="3" t="s">
        <v>2339</v>
      </c>
      <c r="B1160" s="4" t="s">
        <v>2340</v>
      </c>
      <c r="C1160" s="5">
        <v>1663</v>
      </c>
      <c r="D1160" s="6" t="s">
        <v>16</v>
      </c>
      <c r="E1160" s="6" t="s">
        <v>17</v>
      </c>
      <c r="F1160" s="7">
        <v>36607</v>
      </c>
      <c r="G1160" s="8">
        <f t="shared" si="18"/>
        <v>36607</v>
      </c>
      <c r="H1160" s="6" t="s">
        <v>13</v>
      </c>
      <c r="I1160" s="9">
        <v>3806.65913633944</v>
      </c>
      <c r="J1160" s="62">
        <v>103.015947771648</v>
      </c>
      <c r="K1160" s="17">
        <v>1</v>
      </c>
    </row>
    <row r="1161" spans="1:11" x14ac:dyDescent="0.25">
      <c r="A1161" s="3" t="s">
        <v>2341</v>
      </c>
      <c r="B1161" s="4" t="s">
        <v>2342</v>
      </c>
      <c r="C1161" s="14">
        <v>19208</v>
      </c>
      <c r="D1161" s="6" t="s">
        <v>16</v>
      </c>
      <c r="E1161" s="6" t="s">
        <v>17</v>
      </c>
      <c r="F1161" s="7">
        <v>31453</v>
      </c>
      <c r="G1161" s="8">
        <f t="shared" si="18"/>
        <v>31453</v>
      </c>
      <c r="H1161" s="6" t="s">
        <v>13</v>
      </c>
      <c r="I1161" s="9">
        <v>49030.6571990784</v>
      </c>
      <c r="J1161" s="62">
        <v>680.79868352676306</v>
      </c>
      <c r="K1161" s="17">
        <v>1</v>
      </c>
    </row>
    <row r="1162" spans="1:11" x14ac:dyDescent="0.25">
      <c r="A1162" s="3" t="s">
        <v>2343</v>
      </c>
      <c r="B1162" s="4" t="s">
        <v>2344</v>
      </c>
      <c r="C1162" s="5">
        <v>18883</v>
      </c>
      <c r="D1162" s="6" t="s">
        <v>16</v>
      </c>
      <c r="E1162" s="6" t="s">
        <v>17</v>
      </c>
      <c r="F1162" s="7">
        <v>32701</v>
      </c>
      <c r="G1162" s="8">
        <f t="shared" si="18"/>
        <v>32701</v>
      </c>
      <c r="H1162" s="6" t="s">
        <v>13</v>
      </c>
      <c r="I1162" s="9">
        <v>26978.279088630101</v>
      </c>
      <c r="J1162" s="62">
        <v>404.68938372223101</v>
      </c>
      <c r="K1162" s="17">
        <v>1</v>
      </c>
    </row>
    <row r="1163" spans="1:11" x14ac:dyDescent="0.25">
      <c r="A1163" s="3" t="s">
        <v>2345</v>
      </c>
      <c r="B1163" s="4" t="s">
        <v>2346</v>
      </c>
      <c r="C1163" s="5">
        <v>1502</v>
      </c>
      <c r="D1163" s="6" t="s">
        <v>28</v>
      </c>
      <c r="E1163" s="6" t="s">
        <v>17</v>
      </c>
      <c r="F1163" s="7">
        <v>18264</v>
      </c>
      <c r="G1163" s="8">
        <f t="shared" si="18"/>
        <v>18264</v>
      </c>
      <c r="H1163" s="6" t="s">
        <v>13</v>
      </c>
      <c r="I1163" s="9">
        <v>74006.130767090304</v>
      </c>
      <c r="J1163" s="62">
        <v>233.496440699857</v>
      </c>
      <c r="K1163" s="17">
        <v>1</v>
      </c>
    </row>
    <row r="1164" spans="1:11" x14ac:dyDescent="0.25">
      <c r="A1164" s="3" t="s">
        <v>2347</v>
      </c>
      <c r="B1164" s="4" t="s">
        <v>2348</v>
      </c>
      <c r="C1164" s="5">
        <v>1495</v>
      </c>
      <c r="D1164" s="6" t="s">
        <v>28</v>
      </c>
      <c r="E1164" s="6" t="s">
        <v>17</v>
      </c>
      <c r="F1164" s="7">
        <v>29221</v>
      </c>
      <c r="G1164" s="8">
        <f t="shared" si="18"/>
        <v>29221</v>
      </c>
      <c r="H1164" s="6" t="s">
        <v>13</v>
      </c>
      <c r="I1164" s="9" t="s">
        <v>3380</v>
      </c>
      <c r="J1164" s="62" t="s">
        <v>3380</v>
      </c>
      <c r="K1164" s="17">
        <v>3</v>
      </c>
    </row>
    <row r="1165" spans="1:11" x14ac:dyDescent="0.25">
      <c r="A1165" s="3" t="s">
        <v>2349</v>
      </c>
      <c r="B1165" s="4" t="s">
        <v>2350</v>
      </c>
      <c r="C1165" s="5">
        <v>21445</v>
      </c>
      <c r="D1165" s="6" t="s">
        <v>28</v>
      </c>
      <c r="E1165" s="6" t="s">
        <v>17</v>
      </c>
      <c r="F1165" s="7">
        <v>38958</v>
      </c>
      <c r="G1165" s="8">
        <f t="shared" si="18"/>
        <v>38958</v>
      </c>
      <c r="H1165" s="6" t="s">
        <v>13</v>
      </c>
      <c r="I1165" s="9">
        <v>37194.229130493099</v>
      </c>
      <c r="J1165" s="62">
        <v>334.11353254636202</v>
      </c>
      <c r="K1165" s="17">
        <v>2</v>
      </c>
    </row>
    <row r="1166" spans="1:11" x14ac:dyDescent="0.25">
      <c r="A1166" s="3" t="s">
        <v>2351</v>
      </c>
      <c r="B1166" s="4" t="s">
        <v>2352</v>
      </c>
      <c r="C1166" s="5">
        <v>1937</v>
      </c>
      <c r="D1166" s="6" t="s">
        <v>34</v>
      </c>
      <c r="E1166" s="6" t="s">
        <v>17</v>
      </c>
      <c r="F1166" s="7">
        <v>36395</v>
      </c>
      <c r="G1166" s="8">
        <f t="shared" si="18"/>
        <v>36395</v>
      </c>
      <c r="H1166" s="6" t="s">
        <v>13</v>
      </c>
      <c r="I1166" s="9">
        <v>13574.325885013301</v>
      </c>
      <c r="J1166" s="62">
        <v>152.49257678310499</v>
      </c>
      <c r="K1166" s="17">
        <v>1</v>
      </c>
    </row>
    <row r="1167" spans="1:11" x14ac:dyDescent="0.25">
      <c r="A1167" s="3" t="s">
        <v>2353</v>
      </c>
      <c r="B1167" s="4" t="s">
        <v>2354</v>
      </c>
      <c r="C1167" s="5">
        <v>1853</v>
      </c>
      <c r="D1167" s="6" t="s">
        <v>16</v>
      </c>
      <c r="E1167" s="6" t="s">
        <v>17</v>
      </c>
      <c r="F1167" s="7">
        <v>31048</v>
      </c>
      <c r="G1167" s="8">
        <f t="shared" si="18"/>
        <v>31048</v>
      </c>
      <c r="H1167" s="6" t="s">
        <v>13</v>
      </c>
      <c r="I1167" s="9">
        <v>83923.589805809796</v>
      </c>
      <c r="J1167" s="62">
        <v>326.17791712233901</v>
      </c>
      <c r="K1167" s="17">
        <v>2</v>
      </c>
    </row>
    <row r="1168" spans="1:11" x14ac:dyDescent="0.25">
      <c r="A1168" s="3" t="s">
        <v>2355</v>
      </c>
      <c r="B1168" s="4" t="s">
        <v>2356</v>
      </c>
      <c r="C1168" s="5">
        <v>1669</v>
      </c>
      <c r="D1168" s="6" t="s">
        <v>31</v>
      </c>
      <c r="E1168" s="6" t="s">
        <v>17</v>
      </c>
      <c r="F1168" s="7">
        <v>18264</v>
      </c>
      <c r="G1168" s="8">
        <f t="shared" si="18"/>
        <v>18264</v>
      </c>
      <c r="H1168" s="6" t="s">
        <v>13</v>
      </c>
      <c r="I1168" s="9">
        <v>2660.3349145469601</v>
      </c>
      <c r="J1168" s="62">
        <v>106.509462478518</v>
      </c>
      <c r="K1168" s="17">
        <v>1</v>
      </c>
    </row>
    <row r="1169" spans="1:11" x14ac:dyDescent="0.25">
      <c r="A1169" s="3" t="s">
        <v>2357</v>
      </c>
      <c r="B1169" s="4" t="s">
        <v>2358</v>
      </c>
      <c r="C1169" s="5">
        <v>1451</v>
      </c>
      <c r="D1169" s="6" t="s">
        <v>31</v>
      </c>
      <c r="E1169" s="6" t="s">
        <v>17</v>
      </c>
      <c r="F1169" s="7">
        <v>19725</v>
      </c>
      <c r="G1169" s="8">
        <f t="shared" si="18"/>
        <v>19725</v>
      </c>
      <c r="H1169" s="6" t="s">
        <v>13</v>
      </c>
      <c r="I1169" s="9">
        <v>11752.441486595799</v>
      </c>
      <c r="J1169" s="62">
        <v>169.25760315352699</v>
      </c>
      <c r="K1169" s="17">
        <v>2</v>
      </c>
    </row>
    <row r="1170" spans="1:11" x14ac:dyDescent="0.25">
      <c r="A1170" s="3" t="s">
        <v>2359</v>
      </c>
      <c r="B1170" s="4" t="s">
        <v>2360</v>
      </c>
      <c r="C1170" s="5">
        <v>2246</v>
      </c>
      <c r="D1170" s="6" t="s">
        <v>31</v>
      </c>
      <c r="E1170" s="6" t="s">
        <v>17</v>
      </c>
      <c r="F1170" s="7">
        <v>37054</v>
      </c>
      <c r="G1170" s="8">
        <f t="shared" si="18"/>
        <v>37054</v>
      </c>
      <c r="H1170" s="6" t="s">
        <v>13</v>
      </c>
      <c r="I1170" s="9">
        <v>14070.121688135099</v>
      </c>
      <c r="J1170" s="62">
        <v>155.28382787359001</v>
      </c>
      <c r="K1170" s="17">
        <v>1</v>
      </c>
    </row>
    <row r="1171" spans="1:11" x14ac:dyDescent="0.25">
      <c r="A1171" s="3" t="s">
        <v>2361</v>
      </c>
      <c r="B1171" s="4" t="s">
        <v>2362</v>
      </c>
      <c r="C1171" s="5">
        <v>72100</v>
      </c>
      <c r="D1171" s="6" t="s">
        <v>37</v>
      </c>
      <c r="E1171" s="6" t="s">
        <v>38</v>
      </c>
      <c r="F1171" s="7">
        <v>39003</v>
      </c>
      <c r="G1171" s="8">
        <f t="shared" si="18"/>
        <v>39003</v>
      </c>
      <c r="H1171" s="6" t="s">
        <v>39</v>
      </c>
      <c r="I1171" s="9">
        <v>17545.5842852061</v>
      </c>
      <c r="J1171" s="62">
        <v>262.27336585563</v>
      </c>
      <c r="K1171" s="17">
        <v>2</v>
      </c>
    </row>
    <row r="1172" spans="1:11" x14ac:dyDescent="0.25">
      <c r="A1172" s="26" t="s">
        <v>2363</v>
      </c>
      <c r="B1172" s="27" t="s">
        <v>2364</v>
      </c>
      <c r="C1172" s="5">
        <v>1832</v>
      </c>
      <c r="D1172" s="28" t="s">
        <v>31</v>
      </c>
      <c r="E1172" s="28" t="s">
        <v>17</v>
      </c>
      <c r="F1172" s="29">
        <v>32070</v>
      </c>
      <c r="G1172" s="30">
        <f t="shared" si="18"/>
        <v>32070</v>
      </c>
      <c r="H1172" s="28" t="s">
        <v>13</v>
      </c>
      <c r="I1172" s="9">
        <v>19365.727842017102</v>
      </c>
      <c r="J1172" s="62">
        <v>101.098394834337</v>
      </c>
      <c r="K1172" s="33">
        <v>1</v>
      </c>
    </row>
    <row r="1173" spans="1:11" x14ac:dyDescent="0.25">
      <c r="A1173" s="3" t="s">
        <v>2365</v>
      </c>
      <c r="B1173" s="4" t="s">
        <v>2366</v>
      </c>
      <c r="C1173" s="5">
        <v>1921</v>
      </c>
      <c r="D1173" s="6" t="s">
        <v>31</v>
      </c>
      <c r="E1173" s="6" t="s">
        <v>17</v>
      </c>
      <c r="F1173" s="7">
        <v>36945</v>
      </c>
      <c r="G1173" s="8">
        <f t="shared" si="18"/>
        <v>36945</v>
      </c>
      <c r="H1173" s="6" t="s">
        <v>13</v>
      </c>
      <c r="I1173" s="9">
        <v>73070.923417191589</v>
      </c>
      <c r="J1173" s="62">
        <v>546.18889976298499</v>
      </c>
      <c r="K1173" s="17">
        <v>2</v>
      </c>
    </row>
    <row r="1174" spans="1:11" x14ac:dyDescent="0.25">
      <c r="A1174" s="3" t="s">
        <v>2367</v>
      </c>
      <c r="B1174" s="4" t="s">
        <v>2368</v>
      </c>
      <c r="C1174" s="14">
        <v>39745</v>
      </c>
      <c r="D1174" s="6" t="s">
        <v>37</v>
      </c>
      <c r="E1174" s="6" t="s">
        <v>38</v>
      </c>
      <c r="F1174" s="7">
        <v>36903</v>
      </c>
      <c r="G1174" s="8">
        <f t="shared" si="18"/>
        <v>36903</v>
      </c>
      <c r="H1174" s="6" t="s">
        <v>39</v>
      </c>
      <c r="I1174" s="9">
        <v>1497.6733920013701</v>
      </c>
      <c r="J1174" s="62">
        <v>495.58631516709602</v>
      </c>
      <c r="K1174" s="11">
        <v>2</v>
      </c>
    </row>
    <row r="1175" spans="1:11" x14ac:dyDescent="0.25">
      <c r="A1175" s="3" t="s">
        <v>2369</v>
      </c>
      <c r="B1175" s="4" t="s">
        <v>2370</v>
      </c>
      <c r="C1175" s="5">
        <v>12494</v>
      </c>
      <c r="D1175" s="6" t="s">
        <v>37</v>
      </c>
      <c r="E1175" s="6" t="s">
        <v>38</v>
      </c>
      <c r="F1175" s="7">
        <v>37425</v>
      </c>
      <c r="G1175" s="8">
        <f t="shared" si="18"/>
        <v>37425</v>
      </c>
      <c r="H1175" s="6" t="s">
        <v>39</v>
      </c>
      <c r="I1175" s="9">
        <v>30528.0909676679</v>
      </c>
      <c r="J1175" s="62">
        <v>726.39028886547499</v>
      </c>
      <c r="K1175" s="17">
        <v>1</v>
      </c>
    </row>
    <row r="1176" spans="1:11" x14ac:dyDescent="0.25">
      <c r="A1176" s="3" t="s">
        <v>2371</v>
      </c>
      <c r="B1176" s="4" t="s">
        <v>2372</v>
      </c>
      <c r="C1176" s="5">
        <v>1845</v>
      </c>
      <c r="D1176" s="6" t="s">
        <v>31</v>
      </c>
      <c r="E1176" s="6" t="s">
        <v>17</v>
      </c>
      <c r="F1176" s="7">
        <v>31048</v>
      </c>
      <c r="G1176" s="8">
        <f t="shared" si="18"/>
        <v>31048</v>
      </c>
      <c r="H1176" s="6" t="s">
        <v>13</v>
      </c>
      <c r="I1176" s="9">
        <v>88182.582760921214</v>
      </c>
      <c r="J1176" s="62">
        <v>258.826942846355</v>
      </c>
      <c r="K1176" s="17">
        <v>1</v>
      </c>
    </row>
    <row r="1177" spans="1:11" x14ac:dyDescent="0.25">
      <c r="A1177" s="3" t="s">
        <v>2373</v>
      </c>
      <c r="B1177" s="4" t="s">
        <v>2374</v>
      </c>
      <c r="C1177" s="14">
        <v>1843</v>
      </c>
      <c r="D1177" s="6" t="s">
        <v>31</v>
      </c>
      <c r="E1177" s="6" t="s">
        <v>17</v>
      </c>
      <c r="F1177" s="7">
        <v>33055</v>
      </c>
      <c r="G1177" s="8">
        <f t="shared" si="18"/>
        <v>33055</v>
      </c>
      <c r="H1177" s="6" t="s">
        <v>13</v>
      </c>
      <c r="I1177" s="9">
        <v>61446.300601759605</v>
      </c>
      <c r="J1177" s="62">
        <v>609.49791917473203</v>
      </c>
      <c r="K1177" s="17">
        <v>2</v>
      </c>
    </row>
    <row r="1178" spans="1:11" x14ac:dyDescent="0.25">
      <c r="A1178" s="3" t="s">
        <v>2375</v>
      </c>
      <c r="B1178" s="4" t="s">
        <v>2376</v>
      </c>
      <c r="C1178" s="5">
        <v>1180</v>
      </c>
      <c r="D1178" s="6" t="s">
        <v>31</v>
      </c>
      <c r="E1178" s="6" t="s">
        <v>17</v>
      </c>
      <c r="F1178" s="7">
        <v>32874</v>
      </c>
      <c r="G1178" s="8">
        <f t="shared" si="18"/>
        <v>32874</v>
      </c>
      <c r="H1178" s="6" t="s">
        <v>13</v>
      </c>
      <c r="I1178" s="9">
        <v>8162.7232802209001</v>
      </c>
      <c r="J1178" s="62">
        <v>337.65833913752698</v>
      </c>
      <c r="K1178" s="17">
        <v>1</v>
      </c>
    </row>
    <row r="1179" spans="1:11" x14ac:dyDescent="0.25">
      <c r="A1179" s="3" t="s">
        <v>2377</v>
      </c>
      <c r="B1179" s="4" t="s">
        <v>2378</v>
      </c>
      <c r="C1179" s="14">
        <v>53843</v>
      </c>
      <c r="D1179" s="6" t="s">
        <v>34</v>
      </c>
      <c r="E1179" s="6" t="s">
        <v>17</v>
      </c>
      <c r="F1179" s="7">
        <v>37196</v>
      </c>
      <c r="G1179" s="8">
        <f t="shared" si="18"/>
        <v>37196</v>
      </c>
      <c r="H1179" s="6" t="s">
        <v>13</v>
      </c>
      <c r="I1179" s="9">
        <v>593.09011513239</v>
      </c>
      <c r="J1179" s="62">
        <v>107.181215005486</v>
      </c>
      <c r="K1179" s="17">
        <v>1</v>
      </c>
    </row>
    <row r="1180" spans="1:11" x14ac:dyDescent="0.25">
      <c r="A1180" s="3" t="s">
        <v>2379</v>
      </c>
      <c r="B1180" s="4" t="s">
        <v>2380</v>
      </c>
      <c r="C1180" s="5">
        <v>15372</v>
      </c>
      <c r="D1180" s="6" t="s">
        <v>34</v>
      </c>
      <c r="E1180" s="6" t="s">
        <v>17</v>
      </c>
      <c r="F1180" s="7">
        <v>37196</v>
      </c>
      <c r="G1180" s="8">
        <f t="shared" si="18"/>
        <v>37196</v>
      </c>
      <c r="H1180" s="6" t="s">
        <v>13</v>
      </c>
      <c r="I1180" s="9">
        <v>947.21629307481498</v>
      </c>
      <c r="J1180" s="62">
        <v>33.125498430027903</v>
      </c>
      <c r="K1180" s="17">
        <v>1</v>
      </c>
    </row>
    <row r="1181" spans="1:11" x14ac:dyDescent="0.25">
      <c r="A1181" s="3" t="s">
        <v>2381</v>
      </c>
      <c r="B1181" s="4" t="s">
        <v>2382</v>
      </c>
      <c r="C1181" s="5">
        <v>15370</v>
      </c>
      <c r="D1181" s="6" t="s">
        <v>34</v>
      </c>
      <c r="E1181" s="6" t="s">
        <v>17</v>
      </c>
      <c r="F1181" s="7">
        <v>37196</v>
      </c>
      <c r="G1181" s="8">
        <f t="shared" si="18"/>
        <v>37196</v>
      </c>
      <c r="H1181" s="6" t="s">
        <v>13</v>
      </c>
      <c r="I1181" s="9">
        <v>17406.689163733801</v>
      </c>
      <c r="J1181" s="62">
        <v>315.54212167571302</v>
      </c>
      <c r="K1181" s="17">
        <v>1</v>
      </c>
    </row>
    <row r="1182" spans="1:11" x14ac:dyDescent="0.25">
      <c r="A1182" s="18" t="s">
        <v>2383</v>
      </c>
      <c r="B1182" s="19" t="s">
        <v>2384</v>
      </c>
      <c r="C1182" s="5">
        <v>1825</v>
      </c>
      <c r="D1182" s="21" t="s">
        <v>28</v>
      </c>
      <c r="E1182" s="21" t="s">
        <v>17</v>
      </c>
      <c r="F1182" s="22">
        <v>37951</v>
      </c>
      <c r="G1182" s="23">
        <f t="shared" si="18"/>
        <v>37951</v>
      </c>
      <c r="H1182" s="21" t="s">
        <v>13</v>
      </c>
      <c r="I1182" s="9">
        <v>89577.042709965201</v>
      </c>
      <c r="J1182" s="62">
        <v>639.13597864228097</v>
      </c>
      <c r="K1182" s="41">
        <v>3</v>
      </c>
    </row>
    <row r="1183" spans="1:11" x14ac:dyDescent="0.25">
      <c r="A1183" s="3" t="s">
        <v>2385</v>
      </c>
      <c r="B1183" s="4" t="s">
        <v>2386</v>
      </c>
      <c r="C1183" s="5">
        <v>1789</v>
      </c>
      <c r="D1183" s="6" t="s">
        <v>28</v>
      </c>
      <c r="E1183" s="6" t="s">
        <v>17</v>
      </c>
      <c r="F1183" s="7">
        <v>29221</v>
      </c>
      <c r="G1183" s="8">
        <f t="shared" si="18"/>
        <v>29221</v>
      </c>
      <c r="H1183" s="6" t="s">
        <v>13</v>
      </c>
      <c r="I1183" s="9">
        <v>56345.567350164303</v>
      </c>
      <c r="J1183" s="62">
        <v>105.748562168399</v>
      </c>
      <c r="K1183" s="17">
        <v>1</v>
      </c>
    </row>
    <row r="1184" spans="1:11" x14ac:dyDescent="0.25">
      <c r="A1184" s="3" t="s">
        <v>2387</v>
      </c>
      <c r="B1184" s="4" t="s">
        <v>2388</v>
      </c>
      <c r="C1184" s="14">
        <v>1788</v>
      </c>
      <c r="D1184" s="6" t="s">
        <v>28</v>
      </c>
      <c r="E1184" s="6" t="s">
        <v>17</v>
      </c>
      <c r="F1184" s="7">
        <v>24108</v>
      </c>
      <c r="G1184" s="8">
        <f t="shared" si="18"/>
        <v>24108</v>
      </c>
      <c r="H1184" s="6" t="s">
        <v>13</v>
      </c>
      <c r="I1184" s="9">
        <v>250084.038069281</v>
      </c>
      <c r="J1184" s="62">
        <v>875.68154368440401</v>
      </c>
      <c r="K1184" s="17">
        <v>4</v>
      </c>
    </row>
    <row r="1185" spans="1:11" x14ac:dyDescent="0.25">
      <c r="A1185" s="3" t="s">
        <v>2389</v>
      </c>
      <c r="B1185" s="4" t="s">
        <v>2390</v>
      </c>
      <c r="C1185" s="5">
        <v>1814</v>
      </c>
      <c r="D1185" s="6" t="s">
        <v>28</v>
      </c>
      <c r="E1185" s="6" t="s">
        <v>17</v>
      </c>
      <c r="F1185" s="7">
        <v>29221</v>
      </c>
      <c r="G1185" s="8">
        <f t="shared" si="18"/>
        <v>29221</v>
      </c>
      <c r="H1185" s="6" t="s">
        <v>13</v>
      </c>
      <c r="I1185" s="9">
        <v>7848.3077939270606</v>
      </c>
      <c r="J1185" s="62">
        <v>286.57439586032802</v>
      </c>
      <c r="K1185" s="17">
        <v>1</v>
      </c>
    </row>
    <row r="1186" spans="1:11" x14ac:dyDescent="0.25">
      <c r="A1186" s="3" t="s">
        <v>2391</v>
      </c>
      <c r="B1186" s="4" t="s">
        <v>2392</v>
      </c>
      <c r="C1186" s="5">
        <v>54708</v>
      </c>
      <c r="D1186" s="6" t="s">
        <v>34</v>
      </c>
      <c r="E1186" s="6" t="s">
        <v>17</v>
      </c>
      <c r="F1186" s="7">
        <v>39520</v>
      </c>
      <c r="G1186" s="8">
        <f t="shared" si="18"/>
        <v>39520</v>
      </c>
      <c r="H1186" s="6" t="s">
        <v>13</v>
      </c>
      <c r="I1186" s="9">
        <v>28079.8954705816</v>
      </c>
      <c r="J1186" s="62">
        <v>397.63902166813602</v>
      </c>
      <c r="K1186" s="11">
        <v>1</v>
      </c>
    </row>
    <row r="1187" spans="1:11" x14ac:dyDescent="0.25">
      <c r="A1187" s="3" t="s">
        <v>2393</v>
      </c>
      <c r="B1187" s="4" t="s">
        <v>2394</v>
      </c>
      <c r="C1187" s="5">
        <v>54709</v>
      </c>
      <c r="D1187" s="6" t="s">
        <v>11</v>
      </c>
      <c r="E1187" s="6" t="s">
        <v>12</v>
      </c>
      <c r="F1187" s="7">
        <v>37413</v>
      </c>
      <c r="G1187" s="8">
        <f t="shared" si="18"/>
        <v>37413</v>
      </c>
      <c r="H1187" s="6" t="s">
        <v>39</v>
      </c>
      <c r="I1187" s="9">
        <v>6181.5361643271599</v>
      </c>
      <c r="J1187" s="62">
        <v>104.133801513558</v>
      </c>
      <c r="K1187" s="17">
        <v>1</v>
      </c>
    </row>
    <row r="1188" spans="1:11" x14ac:dyDescent="0.25">
      <c r="A1188" s="3" t="s">
        <v>2395</v>
      </c>
      <c r="B1188" s="4" t="s">
        <v>2396</v>
      </c>
      <c r="C1188" s="5">
        <v>1163</v>
      </c>
      <c r="D1188" s="6" t="s">
        <v>31</v>
      </c>
      <c r="E1188" s="6" t="s">
        <v>17</v>
      </c>
      <c r="F1188" s="7">
        <v>29221</v>
      </c>
      <c r="G1188" s="8">
        <f t="shared" si="18"/>
        <v>29221</v>
      </c>
      <c r="H1188" s="6" t="s">
        <v>13</v>
      </c>
      <c r="I1188" s="9">
        <v>16066.036185327101</v>
      </c>
      <c r="J1188" s="62">
        <v>88.700714534344002</v>
      </c>
      <c r="K1188" s="17">
        <v>1</v>
      </c>
    </row>
    <row r="1189" spans="1:11" x14ac:dyDescent="0.25">
      <c r="A1189" s="3" t="s">
        <v>2397</v>
      </c>
      <c r="B1189" s="4" t="s">
        <v>2398</v>
      </c>
      <c r="C1189" s="5">
        <v>10565</v>
      </c>
      <c r="D1189" s="6" t="s">
        <v>11</v>
      </c>
      <c r="E1189" s="6" t="s">
        <v>17</v>
      </c>
      <c r="F1189" s="7">
        <v>37503</v>
      </c>
      <c r="G1189" s="8">
        <f t="shared" si="18"/>
        <v>37503</v>
      </c>
      <c r="H1189" s="6" t="s">
        <v>13</v>
      </c>
      <c r="I1189" s="9">
        <v>37609.8837880102</v>
      </c>
      <c r="J1189" s="62">
        <v>212.09237776989301</v>
      </c>
      <c r="K1189" s="17">
        <v>1</v>
      </c>
    </row>
    <row r="1190" spans="1:11" x14ac:dyDescent="0.25">
      <c r="A1190" s="3" t="s">
        <v>2399</v>
      </c>
      <c r="B1190" s="4" t="s">
        <v>2400</v>
      </c>
      <c r="C1190" s="5">
        <v>1916</v>
      </c>
      <c r="D1190" s="6" t="s">
        <v>34</v>
      </c>
      <c r="E1190" s="6" t="s">
        <v>17</v>
      </c>
      <c r="F1190" s="7">
        <v>29221</v>
      </c>
      <c r="G1190" s="8">
        <f t="shared" si="18"/>
        <v>29221</v>
      </c>
      <c r="H1190" s="6" t="s">
        <v>13</v>
      </c>
      <c r="I1190" s="9">
        <v>21016.568981670003</v>
      </c>
      <c r="J1190" s="62">
        <v>194.98032901553199</v>
      </c>
      <c r="K1190" s="17">
        <v>1</v>
      </c>
    </row>
    <row r="1191" spans="1:11" x14ac:dyDescent="0.25">
      <c r="A1191" s="3" t="s">
        <v>2401</v>
      </c>
      <c r="B1191" s="4" t="s">
        <v>2402</v>
      </c>
      <c r="C1191" s="5">
        <v>1248</v>
      </c>
      <c r="D1191" s="6" t="s">
        <v>28</v>
      </c>
      <c r="E1191" s="6" t="s">
        <v>17</v>
      </c>
      <c r="F1191" s="7">
        <v>32874</v>
      </c>
      <c r="G1191" s="8">
        <f t="shared" si="18"/>
        <v>32874</v>
      </c>
      <c r="H1191" s="6" t="s">
        <v>13</v>
      </c>
      <c r="I1191" s="9">
        <v>48704.581614786905</v>
      </c>
      <c r="J1191" s="62">
        <v>209.82150966446599</v>
      </c>
      <c r="K1191" s="17">
        <v>1</v>
      </c>
    </row>
    <row r="1192" spans="1:11" x14ac:dyDescent="0.25">
      <c r="A1192" s="3" t="s">
        <v>2403</v>
      </c>
      <c r="B1192" s="4" t="s">
        <v>2404</v>
      </c>
      <c r="C1192" s="5">
        <v>54710</v>
      </c>
      <c r="D1192" s="6" t="s">
        <v>11</v>
      </c>
      <c r="E1192" s="6" t="s">
        <v>17</v>
      </c>
      <c r="F1192" s="7">
        <v>30621</v>
      </c>
      <c r="G1192" s="8">
        <f t="shared" si="18"/>
        <v>30621</v>
      </c>
      <c r="H1192" s="6" t="s">
        <v>13</v>
      </c>
      <c r="I1192" s="9">
        <v>12938.021071342</v>
      </c>
      <c r="J1192" s="62">
        <v>54.129987205996798</v>
      </c>
      <c r="K1192" s="17">
        <v>1</v>
      </c>
    </row>
    <row r="1193" spans="1:11" x14ac:dyDescent="0.25">
      <c r="A1193" s="3" t="s">
        <v>2405</v>
      </c>
      <c r="B1193" s="4" t="s">
        <v>2406</v>
      </c>
      <c r="C1193" s="14">
        <v>72158</v>
      </c>
      <c r="D1193" s="6" t="s">
        <v>37</v>
      </c>
      <c r="E1193" s="6" t="s">
        <v>38</v>
      </c>
      <c r="F1193" s="7">
        <v>38469</v>
      </c>
      <c r="G1193" s="8">
        <f t="shared" si="18"/>
        <v>38469</v>
      </c>
      <c r="H1193" s="6" t="s">
        <v>39</v>
      </c>
      <c r="I1193" s="9">
        <v>75396.322014175195</v>
      </c>
      <c r="J1193" s="62">
        <v>437.16964949346402</v>
      </c>
      <c r="K1193" s="17">
        <v>2</v>
      </c>
    </row>
    <row r="1194" spans="1:11" x14ac:dyDescent="0.25">
      <c r="A1194" s="18" t="s">
        <v>2407</v>
      </c>
      <c r="B1194" s="19" t="s">
        <v>2408</v>
      </c>
      <c r="C1194" s="20">
        <v>24977</v>
      </c>
      <c r="D1194" s="21" t="s">
        <v>31</v>
      </c>
      <c r="E1194" s="21" t="s">
        <v>17</v>
      </c>
      <c r="F1194" s="22">
        <v>22920</v>
      </c>
      <c r="G1194" s="23">
        <f t="shared" si="18"/>
        <v>22920</v>
      </c>
      <c r="H1194" s="21" t="s">
        <v>13</v>
      </c>
      <c r="I1194" s="9">
        <v>40326.474996041499</v>
      </c>
      <c r="J1194" s="62">
        <v>89.831428827776605</v>
      </c>
      <c r="K1194" s="25">
        <v>1</v>
      </c>
    </row>
    <row r="1195" spans="1:11" x14ac:dyDescent="0.25">
      <c r="A1195" s="3" t="s">
        <v>2409</v>
      </c>
      <c r="B1195" s="4" t="s">
        <v>2410</v>
      </c>
      <c r="C1195" s="5">
        <v>24657</v>
      </c>
      <c r="D1195" s="6" t="s">
        <v>31</v>
      </c>
      <c r="E1195" s="6" t="s">
        <v>17</v>
      </c>
      <c r="F1195" s="7">
        <v>22920</v>
      </c>
      <c r="G1195" s="8">
        <f t="shared" si="18"/>
        <v>22920</v>
      </c>
      <c r="H1195" s="6" t="s">
        <v>13</v>
      </c>
      <c r="I1195" s="9">
        <v>11050.7189800167</v>
      </c>
      <c r="J1195" s="62">
        <v>60.820254069387502</v>
      </c>
      <c r="K1195" s="17">
        <v>1</v>
      </c>
    </row>
    <row r="1196" spans="1:11" x14ac:dyDescent="0.25">
      <c r="A1196" s="3" t="s">
        <v>2411</v>
      </c>
      <c r="B1196" s="4" t="s">
        <v>2412</v>
      </c>
      <c r="C1196" s="5">
        <v>1233</v>
      </c>
      <c r="D1196" s="6" t="s">
        <v>34</v>
      </c>
      <c r="E1196" s="6" t="s">
        <v>17</v>
      </c>
      <c r="F1196" s="7">
        <v>36635</v>
      </c>
      <c r="G1196" s="8">
        <f t="shared" si="18"/>
        <v>36635</v>
      </c>
      <c r="H1196" s="6" t="s">
        <v>13</v>
      </c>
      <c r="I1196" s="9" t="s">
        <v>3380</v>
      </c>
      <c r="J1196" s="62" t="s">
        <v>3380</v>
      </c>
      <c r="K1196" s="17">
        <v>1</v>
      </c>
    </row>
    <row r="1197" spans="1:11" x14ac:dyDescent="0.25">
      <c r="A1197" s="18" t="s">
        <v>2413</v>
      </c>
      <c r="B1197" s="19" t="s">
        <v>2414</v>
      </c>
      <c r="C1197" s="5">
        <v>1954</v>
      </c>
      <c r="D1197" s="21" t="s">
        <v>28</v>
      </c>
      <c r="E1197" s="21" t="s">
        <v>17</v>
      </c>
      <c r="F1197" s="22">
        <v>19725</v>
      </c>
      <c r="G1197" s="23">
        <f t="shared" si="18"/>
        <v>19725</v>
      </c>
      <c r="H1197" s="21" t="s">
        <v>13</v>
      </c>
      <c r="I1197" s="9">
        <v>43737.157347165994</v>
      </c>
      <c r="J1197" s="62">
        <v>372.70517621338303</v>
      </c>
      <c r="K1197" s="25">
        <v>3</v>
      </c>
    </row>
    <row r="1198" spans="1:11" x14ac:dyDescent="0.25">
      <c r="A1198" s="3" t="s">
        <v>2415</v>
      </c>
      <c r="B1198" s="4" t="s">
        <v>2416</v>
      </c>
      <c r="C1198" s="5">
        <v>27889</v>
      </c>
      <c r="D1198" s="6" t="s">
        <v>31</v>
      </c>
      <c r="E1198" s="6" t="s">
        <v>17</v>
      </c>
      <c r="F1198" s="7">
        <v>22685</v>
      </c>
      <c r="G1198" s="8">
        <f t="shared" si="18"/>
        <v>22685</v>
      </c>
      <c r="H1198" s="6" t="s">
        <v>13</v>
      </c>
      <c r="I1198" s="9">
        <v>17023.650594794799</v>
      </c>
      <c r="J1198" s="62">
        <v>192.489556466609</v>
      </c>
      <c r="K1198" s="17">
        <v>1</v>
      </c>
    </row>
    <row r="1199" spans="1:11" x14ac:dyDescent="0.25">
      <c r="A1199" s="3" t="s">
        <v>2417</v>
      </c>
      <c r="B1199" s="4" t="s">
        <v>2418</v>
      </c>
      <c r="C1199" s="5">
        <v>72141</v>
      </c>
      <c r="D1199" s="6" t="s">
        <v>11</v>
      </c>
      <c r="E1199" s="6" t="s">
        <v>12</v>
      </c>
      <c r="F1199" s="7">
        <v>38685</v>
      </c>
      <c r="G1199" s="8">
        <f t="shared" si="18"/>
        <v>38685</v>
      </c>
      <c r="H1199" s="6" t="s">
        <v>39</v>
      </c>
      <c r="I1199" s="9">
        <v>26889.689117255901</v>
      </c>
      <c r="J1199" s="62">
        <v>538.96999028521805</v>
      </c>
      <c r="K1199" s="17">
        <v>1</v>
      </c>
    </row>
    <row r="1200" spans="1:11" x14ac:dyDescent="0.25">
      <c r="A1200" s="3" t="s">
        <v>2419</v>
      </c>
      <c r="B1200" s="4" t="s">
        <v>2420</v>
      </c>
      <c r="C1200" s="5">
        <v>1314</v>
      </c>
      <c r="D1200" s="6" t="s">
        <v>16</v>
      </c>
      <c r="E1200" s="6" t="s">
        <v>17</v>
      </c>
      <c r="F1200" s="7">
        <v>29221</v>
      </c>
      <c r="G1200" s="8">
        <f t="shared" si="18"/>
        <v>29221</v>
      </c>
      <c r="H1200" s="6" t="s">
        <v>13</v>
      </c>
      <c r="I1200" s="9">
        <v>12943.763568345499</v>
      </c>
      <c r="J1200" s="62">
        <v>365.16553253792398</v>
      </c>
      <c r="K1200" s="17">
        <v>1</v>
      </c>
    </row>
    <row r="1201" spans="1:11" x14ac:dyDescent="0.25">
      <c r="A1201" s="3" t="s">
        <v>2421</v>
      </c>
      <c r="B1201" s="4" t="s">
        <v>2422</v>
      </c>
      <c r="C1201" s="5">
        <v>1326</v>
      </c>
      <c r="D1201" s="6" t="s">
        <v>16</v>
      </c>
      <c r="E1201" s="6" t="s">
        <v>17</v>
      </c>
      <c r="F1201" s="7">
        <v>29221</v>
      </c>
      <c r="G1201" s="8">
        <f t="shared" si="18"/>
        <v>29221</v>
      </c>
      <c r="H1201" s="6" t="s">
        <v>13</v>
      </c>
      <c r="I1201" s="9">
        <v>4913.9767598092003</v>
      </c>
      <c r="J1201" s="62">
        <v>58.505294259800401</v>
      </c>
      <c r="K1201" s="17">
        <v>1</v>
      </c>
    </row>
    <row r="1202" spans="1:11" x14ac:dyDescent="0.25">
      <c r="A1202" s="3" t="s">
        <v>2423</v>
      </c>
      <c r="B1202" s="4" t="s">
        <v>2424</v>
      </c>
      <c r="C1202" s="5">
        <v>47761</v>
      </c>
      <c r="D1202" s="6" t="s">
        <v>11</v>
      </c>
      <c r="E1202" s="6" t="s">
        <v>12</v>
      </c>
      <c r="F1202" s="7">
        <v>39051</v>
      </c>
      <c r="G1202" s="8">
        <f t="shared" si="18"/>
        <v>39051</v>
      </c>
      <c r="H1202" s="6" t="s">
        <v>39</v>
      </c>
      <c r="I1202" s="9">
        <v>2632.24943594146</v>
      </c>
      <c r="J1202" s="62">
        <v>46.151595052791897</v>
      </c>
      <c r="K1202" s="17">
        <v>1</v>
      </c>
    </row>
    <row r="1203" spans="1:11" x14ac:dyDescent="0.25">
      <c r="A1203" s="3" t="s">
        <v>2425</v>
      </c>
      <c r="B1203" s="4" t="s">
        <v>2426</v>
      </c>
      <c r="C1203" s="5">
        <v>10563</v>
      </c>
      <c r="D1203" s="6" t="s">
        <v>34</v>
      </c>
      <c r="E1203" s="6" t="s">
        <v>17</v>
      </c>
      <c r="F1203" s="7">
        <v>37124</v>
      </c>
      <c r="G1203" s="8">
        <f t="shared" si="18"/>
        <v>37124</v>
      </c>
      <c r="H1203" s="6" t="s">
        <v>13</v>
      </c>
      <c r="I1203" s="9">
        <v>26957.910939945999</v>
      </c>
      <c r="J1203" s="62">
        <v>462.65478676622399</v>
      </c>
      <c r="K1203" s="17">
        <v>1</v>
      </c>
    </row>
    <row r="1204" spans="1:11" x14ac:dyDescent="0.25">
      <c r="A1204" s="3" t="s">
        <v>2427</v>
      </c>
      <c r="B1204" s="4" t="s">
        <v>2428</v>
      </c>
      <c r="C1204" s="5">
        <v>52951</v>
      </c>
      <c r="D1204" s="6" t="s">
        <v>34</v>
      </c>
      <c r="E1204" s="6" t="s">
        <v>17</v>
      </c>
      <c r="F1204" s="7">
        <v>38903</v>
      </c>
      <c r="G1204" s="8">
        <f t="shared" si="18"/>
        <v>38903</v>
      </c>
      <c r="H1204" s="6" t="s">
        <v>13</v>
      </c>
      <c r="I1204" s="9">
        <v>22953.9280606947</v>
      </c>
      <c r="J1204" s="62">
        <v>435.05809160223203</v>
      </c>
      <c r="K1204" s="17">
        <v>1</v>
      </c>
    </row>
    <row r="1205" spans="1:11" x14ac:dyDescent="0.25">
      <c r="A1205" s="3" t="s">
        <v>2429</v>
      </c>
      <c r="B1205" s="4" t="s">
        <v>2430</v>
      </c>
      <c r="C1205" s="5">
        <v>72115</v>
      </c>
      <c r="D1205" s="6" t="s">
        <v>37</v>
      </c>
      <c r="E1205" s="6" t="s">
        <v>38</v>
      </c>
      <c r="F1205" s="7">
        <v>38491</v>
      </c>
      <c r="G1205" s="8">
        <f t="shared" si="18"/>
        <v>38491</v>
      </c>
      <c r="H1205" s="6" t="s">
        <v>39</v>
      </c>
      <c r="I1205" s="9">
        <v>8596.266428823601</v>
      </c>
      <c r="J1205" s="62">
        <v>89.096456331866804</v>
      </c>
      <c r="K1205" s="17">
        <v>2</v>
      </c>
    </row>
    <row r="1206" spans="1:11" x14ac:dyDescent="0.25">
      <c r="A1206" s="3" t="s">
        <v>2431</v>
      </c>
      <c r="B1206" s="4" t="s">
        <v>2432</v>
      </c>
      <c r="C1206" s="5">
        <v>1565</v>
      </c>
      <c r="D1206" s="6" t="s">
        <v>28</v>
      </c>
      <c r="E1206" s="6" t="s">
        <v>17</v>
      </c>
      <c r="F1206" s="7">
        <v>28126</v>
      </c>
      <c r="G1206" s="8">
        <f t="shared" si="18"/>
        <v>28126</v>
      </c>
      <c r="H1206" s="6" t="s">
        <v>13</v>
      </c>
      <c r="I1206" s="9">
        <v>52573.319718369603</v>
      </c>
      <c r="J1206" s="62">
        <v>272.48191620536898</v>
      </c>
      <c r="K1206" s="17">
        <v>1</v>
      </c>
    </row>
    <row r="1207" spans="1:11" x14ac:dyDescent="0.25">
      <c r="A1207" s="3" t="s">
        <v>2433</v>
      </c>
      <c r="B1207" s="4" t="s">
        <v>2434</v>
      </c>
      <c r="C1207" s="14">
        <v>1399</v>
      </c>
      <c r="D1207" s="6" t="s">
        <v>34</v>
      </c>
      <c r="E1207" s="6" t="s">
        <v>17</v>
      </c>
      <c r="F1207" s="7">
        <v>27030</v>
      </c>
      <c r="G1207" s="8">
        <f t="shared" si="18"/>
        <v>27030</v>
      </c>
      <c r="H1207" s="6" t="s">
        <v>13</v>
      </c>
      <c r="I1207" s="9" t="s">
        <v>3380</v>
      </c>
      <c r="J1207" s="62" t="s">
        <v>3380</v>
      </c>
      <c r="K1207" s="17">
        <v>2</v>
      </c>
    </row>
    <row r="1208" spans="1:11" x14ac:dyDescent="0.25">
      <c r="A1208" s="3" t="s">
        <v>2435</v>
      </c>
      <c r="B1208" s="4" t="s">
        <v>2436</v>
      </c>
      <c r="C1208" s="5">
        <v>1566</v>
      </c>
      <c r="D1208" s="6" t="s">
        <v>31</v>
      </c>
      <c r="E1208" s="6" t="s">
        <v>17</v>
      </c>
      <c r="F1208" s="7">
        <v>32143</v>
      </c>
      <c r="G1208" s="8">
        <f t="shared" si="18"/>
        <v>32143</v>
      </c>
      <c r="H1208" s="6" t="s">
        <v>13</v>
      </c>
      <c r="I1208" s="9">
        <v>1777.8027184262</v>
      </c>
      <c r="J1208" s="62">
        <v>82.7320092699116</v>
      </c>
      <c r="K1208" s="17">
        <v>1</v>
      </c>
    </row>
    <row r="1209" spans="1:11" x14ac:dyDescent="0.25">
      <c r="A1209" s="3" t="s">
        <v>2437</v>
      </c>
      <c r="B1209" s="4" t="s">
        <v>2438</v>
      </c>
      <c r="C1209" s="14">
        <v>52356</v>
      </c>
      <c r="D1209" s="6" t="s">
        <v>11</v>
      </c>
      <c r="E1209" s="6" t="s">
        <v>17</v>
      </c>
      <c r="F1209" s="7">
        <v>35929</v>
      </c>
      <c r="G1209" s="8">
        <f t="shared" si="18"/>
        <v>35929</v>
      </c>
      <c r="H1209" s="6" t="s">
        <v>13</v>
      </c>
      <c r="I1209" s="9" t="s">
        <v>3380</v>
      </c>
      <c r="J1209" s="62" t="s">
        <v>3380</v>
      </c>
      <c r="K1209" s="17">
        <v>3</v>
      </c>
    </row>
    <row r="1210" spans="1:11" x14ac:dyDescent="0.25">
      <c r="A1210" s="3" t="s">
        <v>2439</v>
      </c>
      <c r="B1210" s="4" t="s">
        <v>21</v>
      </c>
      <c r="C1210" s="5">
        <v>204645</v>
      </c>
      <c r="D1210" s="6" t="s">
        <v>16</v>
      </c>
      <c r="E1210" s="6" t="s">
        <v>17</v>
      </c>
      <c r="F1210" s="7">
        <v>38533</v>
      </c>
      <c r="G1210" s="8">
        <f t="shared" si="18"/>
        <v>38533</v>
      </c>
      <c r="H1210" s="6" t="s">
        <v>13</v>
      </c>
      <c r="I1210" s="9" t="s">
        <v>3380</v>
      </c>
      <c r="J1210" s="62" t="s">
        <v>3380</v>
      </c>
      <c r="K1210" s="11">
        <v>1</v>
      </c>
    </row>
    <row r="1211" spans="1:11" x14ac:dyDescent="0.25">
      <c r="A1211" s="3" t="s">
        <v>2440</v>
      </c>
      <c r="B1211" s="4" t="s">
        <v>2441</v>
      </c>
      <c r="C1211" s="14">
        <v>54566</v>
      </c>
      <c r="D1211" s="6" t="s">
        <v>37</v>
      </c>
      <c r="E1211" s="6" t="s">
        <v>38</v>
      </c>
      <c r="F1211" s="7">
        <v>39293</v>
      </c>
      <c r="G1211" s="8">
        <f t="shared" si="18"/>
        <v>39293</v>
      </c>
      <c r="H1211" s="6" t="s">
        <v>39</v>
      </c>
      <c r="I1211" s="9">
        <v>68312.805774576496</v>
      </c>
      <c r="J1211" s="62">
        <v>547.33019389872504</v>
      </c>
      <c r="K1211" s="17">
        <v>2</v>
      </c>
    </row>
    <row r="1212" spans="1:11" x14ac:dyDescent="0.25">
      <c r="A1212" s="3" t="s">
        <v>2442</v>
      </c>
      <c r="B1212" s="4" t="s">
        <v>2443</v>
      </c>
      <c r="C1212" s="5">
        <v>45537</v>
      </c>
      <c r="D1212" s="6" t="s">
        <v>37</v>
      </c>
      <c r="E1212" s="6" t="s">
        <v>38</v>
      </c>
      <c r="F1212" s="7">
        <v>39353</v>
      </c>
      <c r="G1212" s="8">
        <f t="shared" si="18"/>
        <v>39353</v>
      </c>
      <c r="H1212" s="6" t="s">
        <v>39</v>
      </c>
      <c r="I1212" s="9">
        <v>6546.9592260444406</v>
      </c>
      <c r="J1212" s="62">
        <v>191.63875076149901</v>
      </c>
      <c r="K1212" s="17">
        <v>1</v>
      </c>
    </row>
    <row r="1213" spans="1:11" x14ac:dyDescent="0.25">
      <c r="A1213" s="3" t="s">
        <v>2444</v>
      </c>
      <c r="B1213" s="4" t="s">
        <v>2445</v>
      </c>
      <c r="C1213" s="5">
        <v>54484</v>
      </c>
      <c r="D1213" s="6" t="s">
        <v>11</v>
      </c>
      <c r="E1213" s="6" t="s">
        <v>12</v>
      </c>
      <c r="F1213" s="7">
        <v>41515</v>
      </c>
      <c r="G1213" s="8">
        <f t="shared" si="18"/>
        <v>41515</v>
      </c>
      <c r="H1213" s="6" t="s">
        <v>39</v>
      </c>
      <c r="I1213" s="9">
        <v>5855.1929686228805</v>
      </c>
      <c r="J1213" s="62">
        <v>247.89887008761801</v>
      </c>
      <c r="K1213" s="17">
        <v>1</v>
      </c>
    </row>
    <row r="1214" spans="1:11" x14ac:dyDescent="0.25">
      <c r="A1214" s="3" t="s">
        <v>2446</v>
      </c>
      <c r="B1214" s="4" t="s">
        <v>2447</v>
      </c>
      <c r="C1214" s="5">
        <v>15686</v>
      </c>
      <c r="D1214" s="6" t="s">
        <v>34</v>
      </c>
      <c r="E1214" s="6" t="s">
        <v>17</v>
      </c>
      <c r="F1214" s="7">
        <v>37196</v>
      </c>
      <c r="G1214" s="8">
        <f t="shared" si="18"/>
        <v>37196</v>
      </c>
      <c r="H1214" s="6" t="s">
        <v>13</v>
      </c>
      <c r="I1214" s="9">
        <v>2671.3859190318499</v>
      </c>
      <c r="J1214" s="62">
        <v>173.140416211391</v>
      </c>
      <c r="K1214" s="17">
        <v>1</v>
      </c>
    </row>
    <row r="1215" spans="1:11" x14ac:dyDescent="0.25">
      <c r="A1215" s="3" t="s">
        <v>2448</v>
      </c>
      <c r="B1215" s="4" t="s">
        <v>2449</v>
      </c>
      <c r="C1215" s="5">
        <v>29537</v>
      </c>
      <c r="D1215" s="6" t="s">
        <v>34</v>
      </c>
      <c r="E1215" s="6" t="s">
        <v>17</v>
      </c>
      <c r="F1215" s="7">
        <v>38531</v>
      </c>
      <c r="G1215" s="8">
        <f t="shared" si="18"/>
        <v>38531</v>
      </c>
      <c r="H1215" s="6" t="s">
        <v>13</v>
      </c>
      <c r="I1215" s="9">
        <v>60070.929807428496</v>
      </c>
      <c r="J1215" s="62">
        <v>406.87342417389402</v>
      </c>
      <c r="K1215" s="17">
        <v>1</v>
      </c>
    </row>
    <row r="1216" spans="1:11" x14ac:dyDescent="0.25">
      <c r="A1216" s="3" t="s">
        <v>2450</v>
      </c>
      <c r="B1216" s="4" t="s">
        <v>2451</v>
      </c>
      <c r="C1216" s="5">
        <v>54712</v>
      </c>
      <c r="D1216" s="6" t="s">
        <v>34</v>
      </c>
      <c r="E1216" s="6" t="s">
        <v>17</v>
      </c>
      <c r="F1216" s="7">
        <v>39278</v>
      </c>
      <c r="G1216" s="8">
        <f t="shared" si="18"/>
        <v>39278</v>
      </c>
      <c r="H1216" s="6" t="s">
        <v>13</v>
      </c>
      <c r="I1216" s="9">
        <v>4184.2171268571201</v>
      </c>
      <c r="J1216" s="62">
        <v>113.834210392936</v>
      </c>
      <c r="K1216" s="17">
        <v>1</v>
      </c>
    </row>
    <row r="1217" spans="1:11" x14ac:dyDescent="0.25">
      <c r="A1217" s="3" t="s">
        <v>2452</v>
      </c>
      <c r="B1217" s="4" t="s">
        <v>2453</v>
      </c>
      <c r="C1217" s="5">
        <v>48737</v>
      </c>
      <c r="D1217" s="6" t="s">
        <v>11</v>
      </c>
      <c r="E1217" s="6" t="s">
        <v>17</v>
      </c>
      <c r="F1217" s="7">
        <v>38999</v>
      </c>
      <c r="G1217" s="8">
        <f t="shared" si="18"/>
        <v>38999</v>
      </c>
      <c r="H1217" s="6" t="s">
        <v>13</v>
      </c>
      <c r="I1217" s="9">
        <v>56550.028952131906</v>
      </c>
      <c r="J1217" s="62">
        <v>374.076148476274</v>
      </c>
      <c r="K1217" s="17">
        <v>1</v>
      </c>
    </row>
    <row r="1218" spans="1:11" x14ac:dyDescent="0.25">
      <c r="A1218" s="3" t="s">
        <v>2454</v>
      </c>
      <c r="B1218" s="4" t="s">
        <v>2455</v>
      </c>
      <c r="C1218" s="5">
        <v>54696</v>
      </c>
      <c r="D1218" s="6" t="s">
        <v>11</v>
      </c>
      <c r="E1218" s="6" t="s">
        <v>12</v>
      </c>
      <c r="F1218" s="7">
        <v>39259</v>
      </c>
      <c r="G1218" s="8">
        <f t="shared" ref="G1218:G1281" si="19">F1218</f>
        <v>39259</v>
      </c>
      <c r="H1218" s="6" t="s">
        <v>39</v>
      </c>
      <c r="I1218" s="9">
        <v>9123.18303132847</v>
      </c>
      <c r="J1218" s="62">
        <v>394.48678775792899</v>
      </c>
      <c r="K1218" s="17">
        <v>1</v>
      </c>
    </row>
    <row r="1219" spans="1:11" x14ac:dyDescent="0.25">
      <c r="A1219" s="3" t="s">
        <v>2456</v>
      </c>
      <c r="B1219" s="4" t="s">
        <v>2457</v>
      </c>
      <c r="C1219" s="14">
        <v>53219</v>
      </c>
      <c r="D1219" s="6" t="s">
        <v>16</v>
      </c>
      <c r="E1219" s="6" t="s">
        <v>17</v>
      </c>
      <c r="F1219" s="7">
        <v>39323</v>
      </c>
      <c r="G1219" s="8">
        <f t="shared" si="19"/>
        <v>39323</v>
      </c>
      <c r="H1219" s="6" t="s">
        <v>13</v>
      </c>
      <c r="I1219" s="9">
        <v>75970.595057490107</v>
      </c>
      <c r="J1219" s="62">
        <v>283.877806584258</v>
      </c>
      <c r="K1219" s="17">
        <v>1</v>
      </c>
    </row>
    <row r="1220" spans="1:11" x14ac:dyDescent="0.25">
      <c r="A1220" s="3" t="s">
        <v>2458</v>
      </c>
      <c r="B1220" s="4" t="s">
        <v>2459</v>
      </c>
      <c r="C1220" s="14">
        <v>32577</v>
      </c>
      <c r="D1220" s="6" t="s">
        <v>28</v>
      </c>
      <c r="E1220" s="6" t="s">
        <v>17</v>
      </c>
      <c r="F1220" s="7">
        <v>38474</v>
      </c>
      <c r="G1220" s="8">
        <f t="shared" si="19"/>
        <v>38474</v>
      </c>
      <c r="H1220" s="6" t="s">
        <v>13</v>
      </c>
      <c r="I1220" s="9">
        <v>9218.45158993738</v>
      </c>
      <c r="J1220" s="62">
        <v>395.51577994570403</v>
      </c>
      <c r="K1220" s="17">
        <v>1</v>
      </c>
    </row>
    <row r="1221" spans="1:11" x14ac:dyDescent="0.25">
      <c r="A1221" s="3" t="s">
        <v>2460</v>
      </c>
      <c r="B1221" s="4" t="s">
        <v>2461</v>
      </c>
      <c r="C1221" s="14">
        <v>50002</v>
      </c>
      <c r="D1221" s="6" t="s">
        <v>11</v>
      </c>
      <c r="E1221" s="6" t="s">
        <v>12</v>
      </c>
      <c r="F1221" s="7">
        <v>39294</v>
      </c>
      <c r="G1221" s="8">
        <f t="shared" si="19"/>
        <v>39294</v>
      </c>
      <c r="H1221" s="6" t="s">
        <v>39</v>
      </c>
      <c r="I1221" s="9">
        <v>74791.463202287705</v>
      </c>
      <c r="J1221" s="62">
        <v>337.09935830281398</v>
      </c>
      <c r="K1221" s="17">
        <v>1</v>
      </c>
    </row>
    <row r="1222" spans="1:11" x14ac:dyDescent="0.25">
      <c r="A1222" s="3" t="s">
        <v>2462</v>
      </c>
      <c r="B1222" s="4" t="s">
        <v>2463</v>
      </c>
      <c r="C1222" s="5">
        <v>53217</v>
      </c>
      <c r="D1222" s="6" t="s">
        <v>34</v>
      </c>
      <c r="E1222" s="6" t="s">
        <v>17</v>
      </c>
      <c r="F1222" s="7">
        <v>38807</v>
      </c>
      <c r="G1222" s="8">
        <f t="shared" si="19"/>
        <v>38807</v>
      </c>
      <c r="H1222" s="6" t="s">
        <v>13</v>
      </c>
      <c r="I1222" s="9">
        <v>71184.297909470799</v>
      </c>
      <c r="J1222" s="62">
        <v>197.99774468456999</v>
      </c>
      <c r="K1222" s="17">
        <v>1</v>
      </c>
    </row>
    <row r="1223" spans="1:11" x14ac:dyDescent="0.25">
      <c r="A1223" s="3" t="s">
        <v>2464</v>
      </c>
      <c r="B1223" s="4" t="s">
        <v>2465</v>
      </c>
      <c r="C1223" s="5">
        <v>58017</v>
      </c>
      <c r="D1223" s="6" t="s">
        <v>37</v>
      </c>
      <c r="E1223" s="6" t="s">
        <v>38</v>
      </c>
      <c r="F1223" s="7">
        <v>39507</v>
      </c>
      <c r="G1223" s="8">
        <f t="shared" si="19"/>
        <v>39507</v>
      </c>
      <c r="H1223" s="6" t="s">
        <v>39</v>
      </c>
      <c r="I1223" s="9">
        <v>39289.379870036595</v>
      </c>
      <c r="J1223" s="62">
        <v>1036.04953804461</v>
      </c>
      <c r="K1223" s="17">
        <v>2</v>
      </c>
    </row>
    <row r="1224" spans="1:11" x14ac:dyDescent="0.25">
      <c r="A1224" s="3" t="s">
        <v>2466</v>
      </c>
      <c r="B1224" s="4" t="s">
        <v>2467</v>
      </c>
      <c r="C1224" s="5">
        <v>55473</v>
      </c>
      <c r="D1224" s="6" t="s">
        <v>37</v>
      </c>
      <c r="E1224" s="6" t="s">
        <v>38</v>
      </c>
      <c r="F1224" s="7">
        <v>39507</v>
      </c>
      <c r="G1224" s="8">
        <f t="shared" si="19"/>
        <v>39507</v>
      </c>
      <c r="H1224" s="6" t="s">
        <v>39</v>
      </c>
      <c r="I1224" s="9">
        <v>8659.5742840991497</v>
      </c>
      <c r="J1224" s="62">
        <v>132.90720443626901</v>
      </c>
      <c r="K1224" s="17">
        <v>1</v>
      </c>
    </row>
    <row r="1225" spans="1:11" x14ac:dyDescent="0.25">
      <c r="A1225" s="3" t="s">
        <v>2468</v>
      </c>
      <c r="B1225" s="4" t="s">
        <v>2469</v>
      </c>
      <c r="C1225" s="5">
        <v>207528</v>
      </c>
      <c r="D1225" s="6" t="s">
        <v>28</v>
      </c>
      <c r="E1225" s="6" t="s">
        <v>17</v>
      </c>
      <c r="F1225" s="7">
        <v>39329</v>
      </c>
      <c r="G1225" s="8">
        <f t="shared" si="19"/>
        <v>39329</v>
      </c>
      <c r="H1225" s="6" t="s">
        <v>13</v>
      </c>
      <c r="I1225" s="9">
        <v>6273.0129020038994</v>
      </c>
      <c r="J1225" s="62">
        <v>254.52854413657701</v>
      </c>
      <c r="K1225" s="11">
        <v>1</v>
      </c>
    </row>
    <row r="1226" spans="1:11" x14ac:dyDescent="0.25">
      <c r="A1226" s="3" t="s">
        <v>2470</v>
      </c>
      <c r="B1226" s="4" t="s">
        <v>2471</v>
      </c>
      <c r="C1226" s="5">
        <v>207529</v>
      </c>
      <c r="D1226" s="6" t="s">
        <v>28</v>
      </c>
      <c r="E1226" s="6" t="s">
        <v>17</v>
      </c>
      <c r="F1226" s="7">
        <v>25569</v>
      </c>
      <c r="G1226" s="8">
        <f t="shared" si="19"/>
        <v>25569</v>
      </c>
      <c r="H1226" s="6" t="s">
        <v>13</v>
      </c>
      <c r="I1226" s="9">
        <v>1620.5602508864001</v>
      </c>
      <c r="J1226" s="62">
        <v>78.027700642633903</v>
      </c>
      <c r="K1226" s="6">
        <v>1</v>
      </c>
    </row>
    <row r="1227" spans="1:11" x14ac:dyDescent="0.25">
      <c r="A1227" s="3" t="s">
        <v>2472</v>
      </c>
      <c r="B1227" s="4" t="s">
        <v>2473</v>
      </c>
      <c r="C1227" s="5">
        <v>54817</v>
      </c>
      <c r="D1227" s="6" t="s">
        <v>28</v>
      </c>
      <c r="E1227" s="6" t="s">
        <v>17</v>
      </c>
      <c r="F1227" s="7">
        <v>39050</v>
      </c>
      <c r="G1227" s="8">
        <f t="shared" si="19"/>
        <v>39050</v>
      </c>
      <c r="H1227" s="6" t="s">
        <v>13</v>
      </c>
      <c r="I1227" s="9">
        <v>18766.148729930803</v>
      </c>
      <c r="J1227" s="62">
        <v>259.78889646513602</v>
      </c>
      <c r="K1227" s="17">
        <v>1</v>
      </c>
    </row>
    <row r="1228" spans="1:11" x14ac:dyDescent="0.25">
      <c r="A1228" s="3" t="s">
        <v>2474</v>
      </c>
      <c r="B1228" s="4" t="s">
        <v>2475</v>
      </c>
      <c r="C1228" s="5">
        <v>53537</v>
      </c>
      <c r="D1228" s="6" t="s">
        <v>37</v>
      </c>
      <c r="E1228" s="6" t="s">
        <v>38</v>
      </c>
      <c r="F1228" s="7">
        <v>39483</v>
      </c>
      <c r="G1228" s="8">
        <f t="shared" si="19"/>
        <v>39483</v>
      </c>
      <c r="H1228" s="6" t="s">
        <v>39</v>
      </c>
      <c r="I1228" s="9">
        <v>6630.7423815211905</v>
      </c>
      <c r="J1228" s="62">
        <v>99.501955501770297</v>
      </c>
      <c r="K1228" s="17">
        <v>1</v>
      </c>
    </row>
    <row r="1229" spans="1:11" x14ac:dyDescent="0.25">
      <c r="A1229" s="3" t="s">
        <v>2476</v>
      </c>
      <c r="B1229" s="4" t="s">
        <v>2477</v>
      </c>
      <c r="C1229" s="5">
        <v>59617</v>
      </c>
      <c r="D1229" s="6" t="s">
        <v>16</v>
      </c>
      <c r="E1229" s="6" t="s">
        <v>17</v>
      </c>
      <c r="F1229" s="7">
        <v>39580</v>
      </c>
      <c r="G1229" s="8">
        <f t="shared" si="19"/>
        <v>39580</v>
      </c>
      <c r="H1229" s="6" t="s">
        <v>13</v>
      </c>
      <c r="I1229" s="9">
        <v>23211.1211853325</v>
      </c>
      <c r="J1229" s="62">
        <v>526.24196077239299</v>
      </c>
      <c r="K1229" s="17">
        <v>1</v>
      </c>
    </row>
    <row r="1230" spans="1:11" x14ac:dyDescent="0.25">
      <c r="A1230" s="3" t="s">
        <v>2478</v>
      </c>
      <c r="B1230" s="4" t="s">
        <v>2479</v>
      </c>
      <c r="C1230" s="14">
        <v>46484</v>
      </c>
      <c r="D1230" s="6" t="s">
        <v>37</v>
      </c>
      <c r="E1230" s="6" t="s">
        <v>38</v>
      </c>
      <c r="F1230" s="7">
        <v>39114</v>
      </c>
      <c r="G1230" s="8">
        <f t="shared" si="19"/>
        <v>39114</v>
      </c>
      <c r="H1230" s="6" t="s">
        <v>39</v>
      </c>
      <c r="I1230" s="9">
        <v>18753.17934165</v>
      </c>
      <c r="J1230" s="62">
        <v>316.76893007490003</v>
      </c>
      <c r="K1230" s="17">
        <v>1</v>
      </c>
    </row>
    <row r="1231" spans="1:11" x14ac:dyDescent="0.25">
      <c r="A1231" s="3" t="s">
        <v>2480</v>
      </c>
      <c r="B1231" s="4" t="s">
        <v>2481</v>
      </c>
      <c r="C1231" s="5">
        <v>55457</v>
      </c>
      <c r="D1231" s="6" t="s">
        <v>11</v>
      </c>
      <c r="E1231" s="6" t="s">
        <v>12</v>
      </c>
      <c r="F1231" s="7">
        <v>39525</v>
      </c>
      <c r="G1231" s="8">
        <f t="shared" si="19"/>
        <v>39525</v>
      </c>
      <c r="H1231" s="6" t="s">
        <v>39</v>
      </c>
      <c r="I1231" s="9">
        <v>42018.731441360105</v>
      </c>
      <c r="J1231" s="62">
        <v>247.75279655121199</v>
      </c>
      <c r="K1231" s="17">
        <v>1</v>
      </c>
    </row>
    <row r="1232" spans="1:11" x14ac:dyDescent="0.25">
      <c r="A1232" s="3" t="s">
        <v>2482</v>
      </c>
      <c r="B1232" s="4" t="s">
        <v>2483</v>
      </c>
      <c r="C1232" s="5">
        <v>60257</v>
      </c>
      <c r="D1232" s="6" t="s">
        <v>28</v>
      </c>
      <c r="E1232" s="6" t="s">
        <v>17</v>
      </c>
      <c r="F1232" s="7">
        <v>39600</v>
      </c>
      <c r="G1232" s="8">
        <f t="shared" si="19"/>
        <v>39600</v>
      </c>
      <c r="H1232" s="6" t="s">
        <v>13</v>
      </c>
      <c r="I1232" s="9">
        <v>7084.1804824295496</v>
      </c>
      <c r="J1232" s="62">
        <v>145.102778553561</v>
      </c>
      <c r="K1232" s="17">
        <v>1</v>
      </c>
    </row>
    <row r="1233" spans="1:11" x14ac:dyDescent="0.25">
      <c r="A1233" s="3" t="s">
        <v>2484</v>
      </c>
      <c r="B1233" s="4" t="s">
        <v>2485</v>
      </c>
      <c r="C1233" s="5">
        <v>49361</v>
      </c>
      <c r="D1233" s="6" t="s">
        <v>31</v>
      </c>
      <c r="E1233" s="6" t="s">
        <v>17</v>
      </c>
      <c r="F1233" s="7">
        <v>39356</v>
      </c>
      <c r="G1233" s="8">
        <f t="shared" si="19"/>
        <v>39356</v>
      </c>
      <c r="H1233" s="6" t="s">
        <v>13</v>
      </c>
      <c r="I1233" s="9">
        <v>3697.0810578216601</v>
      </c>
      <c r="J1233" s="62">
        <v>65.456598177590294</v>
      </c>
      <c r="K1233" s="17">
        <v>1</v>
      </c>
    </row>
    <row r="1234" spans="1:11" x14ac:dyDescent="0.25">
      <c r="A1234" s="3" t="s">
        <v>2486</v>
      </c>
      <c r="B1234" s="4" t="s">
        <v>2487</v>
      </c>
      <c r="C1234" s="5">
        <v>70817</v>
      </c>
      <c r="D1234" s="6" t="s">
        <v>34</v>
      </c>
      <c r="E1234" s="6" t="s">
        <v>17</v>
      </c>
      <c r="F1234" s="7">
        <v>39748</v>
      </c>
      <c r="G1234" s="8">
        <f t="shared" si="19"/>
        <v>39748</v>
      </c>
      <c r="H1234" s="6" t="s">
        <v>13</v>
      </c>
      <c r="I1234" s="9">
        <v>2121.4663032859298</v>
      </c>
      <c r="J1234" s="62">
        <v>59.855500296656501</v>
      </c>
      <c r="K1234" s="17">
        <v>1</v>
      </c>
    </row>
    <row r="1235" spans="1:11" x14ac:dyDescent="0.25">
      <c r="A1235" s="3" t="s">
        <v>2488</v>
      </c>
      <c r="B1235" s="4" t="s">
        <v>2489</v>
      </c>
      <c r="C1235" s="5">
        <v>62177</v>
      </c>
      <c r="D1235" s="6" t="s">
        <v>34</v>
      </c>
      <c r="E1235" s="6" t="s">
        <v>17</v>
      </c>
      <c r="F1235" s="7">
        <v>39569</v>
      </c>
      <c r="G1235" s="8">
        <f t="shared" si="19"/>
        <v>39569</v>
      </c>
      <c r="H1235" s="6" t="s">
        <v>13</v>
      </c>
      <c r="I1235" s="9">
        <v>4250.9762100858698</v>
      </c>
      <c r="J1235" s="62">
        <v>52.836419653808299</v>
      </c>
      <c r="K1235" s="17">
        <v>1</v>
      </c>
    </row>
    <row r="1236" spans="1:11" x14ac:dyDescent="0.25">
      <c r="A1236" s="3" t="s">
        <v>2490</v>
      </c>
      <c r="B1236" s="4" t="s">
        <v>2491</v>
      </c>
      <c r="C1236" s="5">
        <v>1756</v>
      </c>
      <c r="D1236" s="6" t="s">
        <v>31</v>
      </c>
      <c r="E1236" s="6" t="s">
        <v>17</v>
      </c>
      <c r="F1236" s="7">
        <v>18264</v>
      </c>
      <c r="G1236" s="8">
        <f t="shared" si="19"/>
        <v>18264</v>
      </c>
      <c r="H1236" s="6" t="s">
        <v>13</v>
      </c>
      <c r="I1236" s="9">
        <v>57437.836053514504</v>
      </c>
      <c r="J1236" s="62">
        <v>417.64427215175402</v>
      </c>
      <c r="K1236" s="17">
        <v>1</v>
      </c>
    </row>
    <row r="1237" spans="1:11" x14ac:dyDescent="0.25">
      <c r="A1237" s="3" t="s">
        <v>2492</v>
      </c>
      <c r="B1237" s="4" t="s">
        <v>2493</v>
      </c>
      <c r="C1237" s="5">
        <v>51921</v>
      </c>
      <c r="D1237" s="6" t="s">
        <v>11</v>
      </c>
      <c r="E1237" s="6" t="s">
        <v>17</v>
      </c>
      <c r="F1237" s="7">
        <v>39429</v>
      </c>
      <c r="G1237" s="8">
        <f t="shared" si="19"/>
        <v>39429</v>
      </c>
      <c r="H1237" s="6" t="s">
        <v>13</v>
      </c>
      <c r="I1237" s="9">
        <v>77279.978803188991</v>
      </c>
      <c r="J1237" s="62">
        <v>413.59169834251401</v>
      </c>
      <c r="K1237" s="17">
        <v>1</v>
      </c>
    </row>
    <row r="1238" spans="1:11" x14ac:dyDescent="0.25">
      <c r="A1238" s="3" t="s">
        <v>2494</v>
      </c>
      <c r="B1238" s="4" t="s">
        <v>2495</v>
      </c>
      <c r="C1238" s="14">
        <v>52241</v>
      </c>
      <c r="D1238" s="6" t="s">
        <v>11</v>
      </c>
      <c r="E1238" s="6" t="s">
        <v>17</v>
      </c>
      <c r="F1238" s="7">
        <v>39429</v>
      </c>
      <c r="G1238" s="8">
        <f t="shared" si="19"/>
        <v>39429</v>
      </c>
      <c r="H1238" s="6" t="s">
        <v>13</v>
      </c>
      <c r="I1238" s="9" t="s">
        <v>3380</v>
      </c>
      <c r="J1238" s="62" t="s">
        <v>3380</v>
      </c>
      <c r="K1238" s="17">
        <v>3</v>
      </c>
    </row>
    <row r="1239" spans="1:11" x14ac:dyDescent="0.25">
      <c r="A1239" s="3" t="s">
        <v>2496</v>
      </c>
      <c r="B1239" s="4" t="s">
        <v>2497</v>
      </c>
      <c r="C1239" s="14">
        <v>67618</v>
      </c>
      <c r="D1239" s="6" t="s">
        <v>11</v>
      </c>
      <c r="E1239" s="6" t="s">
        <v>12</v>
      </c>
      <c r="F1239" s="7">
        <v>39630</v>
      </c>
      <c r="G1239" s="8">
        <f t="shared" si="19"/>
        <v>39630</v>
      </c>
      <c r="H1239" s="6" t="s">
        <v>39</v>
      </c>
      <c r="I1239" s="9">
        <v>51983.969997107699</v>
      </c>
      <c r="J1239" s="62">
        <v>411.38599999232599</v>
      </c>
      <c r="K1239" s="17">
        <v>2</v>
      </c>
    </row>
    <row r="1240" spans="1:11" x14ac:dyDescent="0.25">
      <c r="A1240" s="3" t="s">
        <v>2498</v>
      </c>
      <c r="B1240" s="4" t="s">
        <v>2499</v>
      </c>
      <c r="C1240" s="5">
        <v>79139</v>
      </c>
      <c r="D1240" s="6" t="s">
        <v>11</v>
      </c>
      <c r="E1240" s="6" t="s">
        <v>17</v>
      </c>
      <c r="F1240" s="7">
        <v>39755</v>
      </c>
      <c r="G1240" s="8">
        <f t="shared" si="19"/>
        <v>39755</v>
      </c>
      <c r="H1240" s="6" t="s">
        <v>13</v>
      </c>
      <c r="I1240" s="9">
        <v>6606.2739559953507</v>
      </c>
      <c r="J1240" s="62">
        <v>178.782936131372</v>
      </c>
      <c r="K1240" s="17">
        <v>1</v>
      </c>
    </row>
    <row r="1241" spans="1:11" x14ac:dyDescent="0.25">
      <c r="A1241" s="3" t="s">
        <v>2500</v>
      </c>
      <c r="B1241" s="4" t="s">
        <v>2501</v>
      </c>
      <c r="C1241" s="5">
        <v>65377</v>
      </c>
      <c r="D1241" s="6" t="s">
        <v>28</v>
      </c>
      <c r="E1241" s="6" t="s">
        <v>17</v>
      </c>
      <c r="F1241" s="7">
        <v>39233</v>
      </c>
      <c r="G1241" s="8">
        <f t="shared" si="19"/>
        <v>39233</v>
      </c>
      <c r="H1241" s="6" t="s">
        <v>13</v>
      </c>
      <c r="I1241" s="9">
        <v>2419.0249291606301</v>
      </c>
      <c r="J1241" s="62">
        <v>109.47529806435401</v>
      </c>
      <c r="K1241" s="17">
        <v>1</v>
      </c>
    </row>
    <row r="1242" spans="1:11" x14ac:dyDescent="0.25">
      <c r="A1242" s="3" t="s">
        <v>2502</v>
      </c>
      <c r="B1242" s="4" t="s">
        <v>2503</v>
      </c>
      <c r="C1242" s="5">
        <v>121716</v>
      </c>
      <c r="D1242" s="6" t="s">
        <v>31</v>
      </c>
      <c r="E1242" s="6" t="s">
        <v>17</v>
      </c>
      <c r="F1242" s="7">
        <v>40217</v>
      </c>
      <c r="G1242" s="8">
        <f t="shared" si="19"/>
        <v>40217</v>
      </c>
      <c r="H1242" s="6" t="s">
        <v>13</v>
      </c>
      <c r="I1242" s="9">
        <v>4255.9463724174002</v>
      </c>
      <c r="J1242" s="62">
        <v>28.295336003429199</v>
      </c>
      <c r="K1242" s="17">
        <v>1</v>
      </c>
    </row>
    <row r="1243" spans="1:11" x14ac:dyDescent="0.25">
      <c r="A1243" s="3" t="s">
        <v>2504</v>
      </c>
      <c r="B1243" s="4" t="s">
        <v>2505</v>
      </c>
      <c r="C1243" s="14">
        <v>99972</v>
      </c>
      <c r="D1243" s="6" t="s">
        <v>31</v>
      </c>
      <c r="E1243" s="6" t="s">
        <v>17</v>
      </c>
      <c r="F1243" s="7">
        <v>40042</v>
      </c>
      <c r="G1243" s="8">
        <f t="shared" si="19"/>
        <v>40042</v>
      </c>
      <c r="H1243" s="6" t="s">
        <v>13</v>
      </c>
      <c r="I1243" s="9">
        <v>35374.828624797701</v>
      </c>
      <c r="J1243" s="62">
        <v>367.20245269541499</v>
      </c>
      <c r="K1243" s="17">
        <v>2</v>
      </c>
    </row>
    <row r="1244" spans="1:11" x14ac:dyDescent="0.25">
      <c r="A1244" s="3" t="s">
        <v>2506</v>
      </c>
      <c r="B1244" s="4" t="s">
        <v>2507</v>
      </c>
      <c r="C1244" s="5">
        <v>120452</v>
      </c>
      <c r="D1244" s="6" t="s">
        <v>31</v>
      </c>
      <c r="E1244" s="6" t="s">
        <v>17</v>
      </c>
      <c r="F1244" s="7">
        <v>40217</v>
      </c>
      <c r="G1244" s="8">
        <f t="shared" si="19"/>
        <v>40217</v>
      </c>
      <c r="H1244" s="6" t="s">
        <v>13</v>
      </c>
      <c r="I1244" s="9">
        <v>9157.0379244673295</v>
      </c>
      <c r="J1244" s="62">
        <v>116.61055926840299</v>
      </c>
      <c r="K1244" s="17">
        <v>1</v>
      </c>
    </row>
    <row r="1245" spans="1:11" x14ac:dyDescent="0.25">
      <c r="A1245" s="3" t="s">
        <v>2508</v>
      </c>
      <c r="B1245" s="4" t="s">
        <v>2509</v>
      </c>
      <c r="C1245" s="5">
        <v>120119</v>
      </c>
      <c r="D1245" s="6" t="s">
        <v>31</v>
      </c>
      <c r="E1245" s="6" t="s">
        <v>17</v>
      </c>
      <c r="F1245" s="7">
        <v>40217</v>
      </c>
      <c r="G1245" s="8">
        <f t="shared" si="19"/>
        <v>40217</v>
      </c>
      <c r="H1245" s="6" t="s">
        <v>13</v>
      </c>
      <c r="I1245" s="9">
        <v>5408.6340497565698</v>
      </c>
      <c r="J1245" s="62">
        <v>106.449378799615</v>
      </c>
      <c r="K1245" s="17">
        <v>1</v>
      </c>
    </row>
    <row r="1246" spans="1:11" x14ac:dyDescent="0.25">
      <c r="A1246" s="3" t="s">
        <v>2510</v>
      </c>
      <c r="B1246" s="4" t="s">
        <v>2511</v>
      </c>
      <c r="C1246" s="5">
        <v>207524</v>
      </c>
      <c r="D1246" s="6" t="s">
        <v>11</v>
      </c>
      <c r="E1246" s="6" t="s">
        <v>12</v>
      </c>
      <c r="F1246" s="7">
        <v>39973</v>
      </c>
      <c r="G1246" s="8">
        <f t="shared" si="19"/>
        <v>39973</v>
      </c>
      <c r="H1246" s="6" t="s">
        <v>39</v>
      </c>
      <c r="I1246" s="9" t="s">
        <v>3380</v>
      </c>
      <c r="J1246" s="62" t="s">
        <v>3380</v>
      </c>
      <c r="K1246" s="11">
        <v>4</v>
      </c>
    </row>
    <row r="1247" spans="1:11" x14ac:dyDescent="0.25">
      <c r="A1247" s="3" t="s">
        <v>2512</v>
      </c>
      <c r="B1247" s="4" t="s">
        <v>2513</v>
      </c>
      <c r="C1247" s="5">
        <v>91969</v>
      </c>
      <c r="D1247" s="6" t="s">
        <v>11</v>
      </c>
      <c r="E1247" s="6" t="s">
        <v>17</v>
      </c>
      <c r="F1247" s="7">
        <v>39937</v>
      </c>
      <c r="G1247" s="8">
        <f t="shared" si="19"/>
        <v>39937</v>
      </c>
      <c r="H1247" s="6" t="s">
        <v>13</v>
      </c>
      <c r="I1247" s="9">
        <v>9070.2717718391796</v>
      </c>
      <c r="J1247" s="62">
        <v>240.70738902111799</v>
      </c>
      <c r="K1247" s="17">
        <v>1</v>
      </c>
    </row>
    <row r="1248" spans="1:11" x14ac:dyDescent="0.25">
      <c r="A1248" s="3" t="s">
        <v>2514</v>
      </c>
      <c r="B1248" s="4" t="s">
        <v>2515</v>
      </c>
      <c r="C1248" s="5">
        <v>88433</v>
      </c>
      <c r="D1248" s="6" t="s">
        <v>16</v>
      </c>
      <c r="E1248" s="6" t="s">
        <v>17</v>
      </c>
      <c r="F1248" s="7">
        <v>39016</v>
      </c>
      <c r="G1248" s="8">
        <f t="shared" si="19"/>
        <v>39016</v>
      </c>
      <c r="H1248" s="6" t="s">
        <v>13</v>
      </c>
      <c r="I1248" s="9">
        <v>25137.043259017399</v>
      </c>
      <c r="J1248" s="62">
        <v>322.127568142011</v>
      </c>
      <c r="K1248" s="17">
        <v>1</v>
      </c>
    </row>
    <row r="1249" spans="1:11" x14ac:dyDescent="0.25">
      <c r="A1249" s="3" t="s">
        <v>2516</v>
      </c>
      <c r="B1249" s="4" t="s">
        <v>2517</v>
      </c>
      <c r="C1249" s="5">
        <v>123652</v>
      </c>
      <c r="D1249" s="6" t="s">
        <v>11</v>
      </c>
      <c r="E1249" s="6" t="s">
        <v>12</v>
      </c>
      <c r="F1249" s="7">
        <v>39790</v>
      </c>
      <c r="G1249" s="8">
        <f t="shared" si="19"/>
        <v>39790</v>
      </c>
      <c r="H1249" s="6" t="s">
        <v>39</v>
      </c>
      <c r="I1249" s="9">
        <v>31388.080253001401</v>
      </c>
      <c r="J1249" s="62">
        <v>197.351791239139</v>
      </c>
      <c r="K1249" s="17">
        <v>1</v>
      </c>
    </row>
    <row r="1250" spans="1:11" x14ac:dyDescent="0.25">
      <c r="A1250" s="3" t="s">
        <v>2518</v>
      </c>
      <c r="B1250" s="4" t="s">
        <v>2519</v>
      </c>
      <c r="C1250" s="5">
        <v>98341</v>
      </c>
      <c r="D1250" s="6" t="s">
        <v>11</v>
      </c>
      <c r="E1250" s="6" t="s">
        <v>12</v>
      </c>
      <c r="F1250" s="7">
        <v>40045</v>
      </c>
      <c r="G1250" s="8">
        <f t="shared" si="19"/>
        <v>40045</v>
      </c>
      <c r="H1250" s="6" t="s">
        <v>39</v>
      </c>
      <c r="I1250" s="9" t="s">
        <v>3380</v>
      </c>
      <c r="J1250" s="62" t="s">
        <v>3380</v>
      </c>
      <c r="K1250" s="17">
        <v>3</v>
      </c>
    </row>
    <row r="1251" spans="1:11" x14ac:dyDescent="0.25">
      <c r="A1251" s="3" t="s">
        <v>2520</v>
      </c>
      <c r="B1251" s="4" t="s">
        <v>2521</v>
      </c>
      <c r="C1251" s="5">
        <v>81057</v>
      </c>
      <c r="D1251" s="6" t="s">
        <v>11</v>
      </c>
      <c r="E1251" s="6" t="s">
        <v>12</v>
      </c>
      <c r="F1251" s="7">
        <v>39805</v>
      </c>
      <c r="G1251" s="8">
        <f t="shared" si="19"/>
        <v>39805</v>
      </c>
      <c r="H1251" s="6" t="s">
        <v>39</v>
      </c>
      <c r="I1251" s="9">
        <v>27991.042487544099</v>
      </c>
      <c r="J1251" s="62">
        <v>185.455107634444</v>
      </c>
      <c r="K1251" s="17">
        <v>1</v>
      </c>
    </row>
    <row r="1252" spans="1:11" x14ac:dyDescent="0.25">
      <c r="A1252" s="3" t="s">
        <v>2522</v>
      </c>
      <c r="B1252" s="4" t="s">
        <v>2523</v>
      </c>
      <c r="C1252" s="14">
        <v>119156</v>
      </c>
      <c r="D1252" s="6" t="s">
        <v>11</v>
      </c>
      <c r="E1252" s="6" t="s">
        <v>17</v>
      </c>
      <c r="F1252" s="7">
        <v>40344</v>
      </c>
      <c r="G1252" s="8">
        <f t="shared" si="19"/>
        <v>40344</v>
      </c>
      <c r="H1252" s="6" t="s">
        <v>13</v>
      </c>
      <c r="I1252" s="9" t="s">
        <v>3380</v>
      </c>
      <c r="J1252" s="62" t="s">
        <v>3380</v>
      </c>
      <c r="K1252" s="17">
        <v>2</v>
      </c>
    </row>
    <row r="1253" spans="1:11" x14ac:dyDescent="0.25">
      <c r="A1253" s="3" t="s">
        <v>2524</v>
      </c>
      <c r="B1253" s="4" t="s">
        <v>2525</v>
      </c>
      <c r="C1253" s="5">
        <v>121748</v>
      </c>
      <c r="D1253" s="6" t="s">
        <v>31</v>
      </c>
      <c r="E1253" s="6" t="s">
        <v>17</v>
      </c>
      <c r="F1253" s="7">
        <v>40042</v>
      </c>
      <c r="G1253" s="8">
        <f t="shared" si="19"/>
        <v>40042</v>
      </c>
      <c r="H1253" s="6" t="s">
        <v>13</v>
      </c>
      <c r="I1253" s="9">
        <v>203.285346035077</v>
      </c>
      <c r="J1253" s="62">
        <v>58.329711104038402</v>
      </c>
      <c r="K1253" s="17">
        <v>1</v>
      </c>
    </row>
    <row r="1254" spans="1:11" x14ac:dyDescent="0.25">
      <c r="A1254" s="3" t="s">
        <v>2526</v>
      </c>
      <c r="B1254" s="4" t="s">
        <v>2527</v>
      </c>
      <c r="C1254" s="5">
        <v>120788</v>
      </c>
      <c r="D1254" s="6" t="s">
        <v>31</v>
      </c>
      <c r="E1254" s="6" t="s">
        <v>17</v>
      </c>
      <c r="F1254" s="7">
        <v>40217</v>
      </c>
      <c r="G1254" s="8">
        <f t="shared" si="19"/>
        <v>40217</v>
      </c>
      <c r="H1254" s="6" t="s">
        <v>13</v>
      </c>
      <c r="I1254" s="9">
        <v>2421.3369949061503</v>
      </c>
      <c r="J1254" s="62">
        <v>34.047718189562502</v>
      </c>
      <c r="K1254" s="17">
        <v>1</v>
      </c>
    </row>
    <row r="1255" spans="1:11" x14ac:dyDescent="0.25">
      <c r="A1255" s="3" t="s">
        <v>2528</v>
      </c>
      <c r="B1255" s="4" t="s">
        <v>2529</v>
      </c>
      <c r="C1255" s="5">
        <v>121078</v>
      </c>
      <c r="D1255" s="6" t="s">
        <v>31</v>
      </c>
      <c r="E1255" s="6" t="s">
        <v>17</v>
      </c>
      <c r="F1255" s="7">
        <v>40217</v>
      </c>
      <c r="G1255" s="8">
        <f t="shared" si="19"/>
        <v>40217</v>
      </c>
      <c r="H1255" s="6" t="s">
        <v>13</v>
      </c>
      <c r="I1255" s="9">
        <v>6306.2134239901197</v>
      </c>
      <c r="J1255" s="62">
        <v>135.27979183698301</v>
      </c>
      <c r="K1255" s="17">
        <v>1</v>
      </c>
    </row>
    <row r="1256" spans="1:11" x14ac:dyDescent="0.25">
      <c r="A1256" s="3" t="s">
        <v>2530</v>
      </c>
      <c r="B1256" s="4" t="s">
        <v>2531</v>
      </c>
      <c r="C1256" s="5">
        <v>120756</v>
      </c>
      <c r="D1256" s="6" t="s">
        <v>31</v>
      </c>
      <c r="E1256" s="6" t="s">
        <v>17</v>
      </c>
      <c r="F1256" s="7">
        <v>40219</v>
      </c>
      <c r="G1256" s="8">
        <f t="shared" si="19"/>
        <v>40219</v>
      </c>
      <c r="H1256" s="6" t="s">
        <v>13</v>
      </c>
      <c r="I1256" s="9">
        <v>3312.9676756922199</v>
      </c>
      <c r="J1256" s="62">
        <v>114.072363400819</v>
      </c>
      <c r="K1256" s="17">
        <v>1</v>
      </c>
    </row>
    <row r="1257" spans="1:11" x14ac:dyDescent="0.25">
      <c r="A1257" s="3" t="s">
        <v>2532</v>
      </c>
      <c r="B1257" s="4" t="s">
        <v>2533</v>
      </c>
      <c r="C1257" s="5">
        <v>121412</v>
      </c>
      <c r="D1257" s="6" t="s">
        <v>31</v>
      </c>
      <c r="E1257" s="6" t="s">
        <v>17</v>
      </c>
      <c r="F1257" s="7">
        <v>40217</v>
      </c>
      <c r="G1257" s="8">
        <f t="shared" si="19"/>
        <v>40217</v>
      </c>
      <c r="H1257" s="6" t="s">
        <v>13</v>
      </c>
      <c r="I1257" s="9">
        <v>1140.8067008397099</v>
      </c>
      <c r="J1257" s="62">
        <v>230.087080064768</v>
      </c>
      <c r="K1257" s="17">
        <v>1</v>
      </c>
    </row>
    <row r="1258" spans="1:11" x14ac:dyDescent="0.25">
      <c r="A1258" s="3" t="s">
        <v>2534</v>
      </c>
      <c r="B1258" s="4" t="s">
        <v>2535</v>
      </c>
      <c r="C1258" s="5">
        <v>119172</v>
      </c>
      <c r="D1258" s="6" t="s">
        <v>31</v>
      </c>
      <c r="E1258" s="6" t="s">
        <v>17</v>
      </c>
      <c r="F1258" s="7">
        <v>40217</v>
      </c>
      <c r="G1258" s="8">
        <f t="shared" si="19"/>
        <v>40217</v>
      </c>
      <c r="H1258" s="6" t="s">
        <v>13</v>
      </c>
      <c r="I1258" s="9">
        <v>34665.048441176601</v>
      </c>
      <c r="J1258" s="62">
        <v>254.66359596897999</v>
      </c>
      <c r="K1258" s="17">
        <v>1</v>
      </c>
    </row>
    <row r="1259" spans="1:11" x14ac:dyDescent="0.25">
      <c r="A1259" s="3" t="s">
        <v>2536</v>
      </c>
      <c r="B1259" s="4" t="s">
        <v>2537</v>
      </c>
      <c r="C1259" s="5">
        <v>179333</v>
      </c>
      <c r="D1259" s="6" t="s">
        <v>16</v>
      </c>
      <c r="E1259" s="6" t="s">
        <v>17</v>
      </c>
      <c r="F1259" s="7">
        <v>40317</v>
      </c>
      <c r="G1259" s="8">
        <f t="shared" si="19"/>
        <v>40317</v>
      </c>
      <c r="H1259" s="6" t="s">
        <v>13</v>
      </c>
      <c r="I1259" s="9">
        <v>431.19259974905299</v>
      </c>
      <c r="J1259" s="62">
        <v>376.56858930538101</v>
      </c>
      <c r="K1259" s="17">
        <v>2</v>
      </c>
    </row>
    <row r="1260" spans="1:11" x14ac:dyDescent="0.25">
      <c r="A1260" s="3" t="s">
        <v>2538</v>
      </c>
      <c r="B1260" s="4" t="s">
        <v>2539</v>
      </c>
      <c r="C1260" s="5">
        <v>112116</v>
      </c>
      <c r="D1260" s="6" t="s">
        <v>11</v>
      </c>
      <c r="E1260" s="6" t="s">
        <v>17</v>
      </c>
      <c r="F1260" s="7">
        <v>40273</v>
      </c>
      <c r="G1260" s="8">
        <f t="shared" si="19"/>
        <v>40273</v>
      </c>
      <c r="H1260" s="6" t="s">
        <v>13</v>
      </c>
      <c r="I1260" s="9">
        <v>31049.9366362992</v>
      </c>
      <c r="J1260" s="62">
        <v>251.05263248588199</v>
      </c>
      <c r="K1260" s="17">
        <v>1</v>
      </c>
    </row>
    <row r="1261" spans="1:11" x14ac:dyDescent="0.25">
      <c r="A1261" s="3" t="s">
        <v>2540</v>
      </c>
      <c r="B1261" s="4" t="s">
        <v>2541</v>
      </c>
      <c r="C1261" s="5">
        <v>138677</v>
      </c>
      <c r="D1261" s="6" t="s">
        <v>28</v>
      </c>
      <c r="E1261" s="6" t="s">
        <v>508</v>
      </c>
      <c r="F1261" s="7">
        <v>40653</v>
      </c>
      <c r="G1261" s="8">
        <f t="shared" si="19"/>
        <v>40653</v>
      </c>
      <c r="H1261" s="6" t="s">
        <v>509</v>
      </c>
      <c r="I1261" s="9">
        <v>92979.488262068</v>
      </c>
      <c r="J1261" s="62">
        <v>444.992954495915</v>
      </c>
      <c r="K1261" s="17">
        <v>2</v>
      </c>
    </row>
    <row r="1262" spans="1:11" x14ac:dyDescent="0.25">
      <c r="A1262" s="3" t="s">
        <v>2542</v>
      </c>
      <c r="B1262" s="4" t="s">
        <v>2543</v>
      </c>
      <c r="C1262" s="5">
        <v>181556</v>
      </c>
      <c r="D1262" s="6" t="s">
        <v>37</v>
      </c>
      <c r="E1262" s="6" t="s">
        <v>38</v>
      </c>
      <c r="F1262" s="7">
        <v>41750</v>
      </c>
      <c r="G1262" s="8">
        <f t="shared" si="19"/>
        <v>41750</v>
      </c>
      <c r="H1262" s="6" t="s">
        <v>39</v>
      </c>
      <c r="I1262" s="9">
        <v>4697.9157747175605</v>
      </c>
      <c r="J1262" s="62">
        <v>214.254979672638</v>
      </c>
      <c r="K1262" s="17">
        <v>1</v>
      </c>
    </row>
    <row r="1263" spans="1:11" x14ac:dyDescent="0.25">
      <c r="A1263" s="3" t="s">
        <v>2544</v>
      </c>
      <c r="B1263" s="4" t="s">
        <v>2545</v>
      </c>
      <c r="C1263" s="5">
        <v>110516</v>
      </c>
      <c r="D1263" s="6" t="s">
        <v>31</v>
      </c>
      <c r="E1263" s="6" t="s">
        <v>17</v>
      </c>
      <c r="F1263" s="7">
        <v>40094</v>
      </c>
      <c r="G1263" s="8">
        <f t="shared" si="19"/>
        <v>40094</v>
      </c>
      <c r="H1263" s="6" t="s">
        <v>13</v>
      </c>
      <c r="I1263" s="9">
        <v>1929.2749974752701</v>
      </c>
      <c r="J1263" s="62">
        <v>44.827937162644901</v>
      </c>
      <c r="K1263" s="17">
        <v>1</v>
      </c>
    </row>
    <row r="1264" spans="1:11" x14ac:dyDescent="0.25">
      <c r="A1264" s="3" t="s">
        <v>2546</v>
      </c>
      <c r="B1264" s="4" t="s">
        <v>2547</v>
      </c>
      <c r="C1264" s="5">
        <v>107636</v>
      </c>
      <c r="D1264" s="6" t="s">
        <v>11</v>
      </c>
      <c r="E1264" s="6" t="s">
        <v>12</v>
      </c>
      <c r="F1264" s="7">
        <v>40163</v>
      </c>
      <c r="G1264" s="8">
        <f t="shared" si="19"/>
        <v>40163</v>
      </c>
      <c r="H1264" s="6" t="s">
        <v>39</v>
      </c>
      <c r="I1264" s="9">
        <v>24789.038331122101</v>
      </c>
      <c r="J1264" s="62">
        <v>225.12556564634201</v>
      </c>
      <c r="K1264" s="17">
        <v>1</v>
      </c>
    </row>
    <row r="1265" spans="1:11" x14ac:dyDescent="0.25">
      <c r="A1265" s="3" t="s">
        <v>2548</v>
      </c>
      <c r="B1265" s="4" t="s">
        <v>2549</v>
      </c>
      <c r="C1265" s="5">
        <v>126196</v>
      </c>
      <c r="D1265" s="6" t="s">
        <v>34</v>
      </c>
      <c r="E1265" s="6" t="s">
        <v>17</v>
      </c>
      <c r="F1265" s="7">
        <v>40407</v>
      </c>
      <c r="G1265" s="8">
        <f t="shared" si="19"/>
        <v>40407</v>
      </c>
      <c r="H1265" s="6" t="s">
        <v>13</v>
      </c>
      <c r="I1265" s="9">
        <v>17712.054197495501</v>
      </c>
      <c r="J1265" s="62">
        <v>213.68055156197701</v>
      </c>
      <c r="K1265" s="17">
        <v>1</v>
      </c>
    </row>
    <row r="1266" spans="1:11" x14ac:dyDescent="0.25">
      <c r="A1266" s="3" t="s">
        <v>2550</v>
      </c>
      <c r="B1266" s="4" t="s">
        <v>2551</v>
      </c>
      <c r="C1266" s="5">
        <v>140917</v>
      </c>
      <c r="D1266" s="6" t="s">
        <v>34</v>
      </c>
      <c r="E1266" s="6" t="s">
        <v>17</v>
      </c>
      <c r="F1266" s="7">
        <v>40674</v>
      </c>
      <c r="G1266" s="8">
        <f t="shared" si="19"/>
        <v>40674</v>
      </c>
      <c r="H1266" s="6" t="s">
        <v>13</v>
      </c>
      <c r="I1266" s="9" t="s">
        <v>3380</v>
      </c>
      <c r="J1266" s="62" t="s">
        <v>3380</v>
      </c>
      <c r="K1266" s="40">
        <v>1</v>
      </c>
    </row>
    <row r="1267" spans="1:11" x14ac:dyDescent="0.25">
      <c r="A1267" s="3" t="s">
        <v>2552</v>
      </c>
      <c r="B1267" s="4" t="s">
        <v>2553</v>
      </c>
      <c r="C1267" s="5">
        <v>129428</v>
      </c>
      <c r="D1267" s="6" t="s">
        <v>11</v>
      </c>
      <c r="E1267" s="6" t="s">
        <v>12</v>
      </c>
      <c r="F1267" s="7">
        <v>40392</v>
      </c>
      <c r="G1267" s="8">
        <f t="shared" si="19"/>
        <v>40392</v>
      </c>
      <c r="H1267" s="6" t="s">
        <v>39</v>
      </c>
      <c r="I1267" s="9">
        <v>20368.723281153598</v>
      </c>
      <c r="J1267" s="62">
        <v>234.83898736644201</v>
      </c>
      <c r="K1267" s="17">
        <v>1</v>
      </c>
    </row>
    <row r="1268" spans="1:11" x14ac:dyDescent="0.25">
      <c r="A1268" s="3" t="s">
        <v>2554</v>
      </c>
      <c r="B1268" s="4" t="s">
        <v>2555</v>
      </c>
      <c r="C1268" s="14">
        <v>130356</v>
      </c>
      <c r="D1268" s="6" t="s">
        <v>11</v>
      </c>
      <c r="E1268" s="6" t="s">
        <v>17</v>
      </c>
      <c r="F1268" s="7">
        <v>40521</v>
      </c>
      <c r="G1268" s="8">
        <f t="shared" si="19"/>
        <v>40521</v>
      </c>
      <c r="H1268" s="6" t="s">
        <v>13</v>
      </c>
      <c r="I1268" s="9">
        <v>83586.380126607299</v>
      </c>
      <c r="J1268" s="62">
        <v>361.08751120950001</v>
      </c>
      <c r="K1268" s="17">
        <v>2</v>
      </c>
    </row>
    <row r="1269" spans="1:11" x14ac:dyDescent="0.25">
      <c r="A1269" s="3" t="s">
        <v>2556</v>
      </c>
      <c r="B1269" s="4" t="s">
        <v>2557</v>
      </c>
      <c r="C1269" s="5">
        <v>71265</v>
      </c>
      <c r="D1269" s="6" t="s">
        <v>11</v>
      </c>
      <c r="E1269" s="6" t="s">
        <v>12</v>
      </c>
      <c r="F1269" s="7">
        <v>39636</v>
      </c>
      <c r="G1269" s="8">
        <f t="shared" si="19"/>
        <v>39636</v>
      </c>
      <c r="H1269" s="6" t="s">
        <v>39</v>
      </c>
      <c r="I1269" s="9">
        <v>10551.756831500701</v>
      </c>
      <c r="J1269" s="62">
        <v>141.22446276311999</v>
      </c>
      <c r="K1269" s="17">
        <v>1</v>
      </c>
    </row>
    <row r="1270" spans="1:11" x14ac:dyDescent="0.25">
      <c r="A1270" s="3" t="s">
        <v>2558</v>
      </c>
      <c r="B1270" s="4" t="s">
        <v>2559</v>
      </c>
      <c r="C1270" s="5">
        <v>79777</v>
      </c>
      <c r="D1270" s="6" t="s">
        <v>11</v>
      </c>
      <c r="E1270" s="6" t="s">
        <v>17</v>
      </c>
      <c r="F1270" s="7">
        <v>39787</v>
      </c>
      <c r="G1270" s="8">
        <f t="shared" si="19"/>
        <v>39787</v>
      </c>
      <c r="H1270" s="6" t="s">
        <v>13</v>
      </c>
      <c r="I1270" s="9">
        <v>68061.036497647612</v>
      </c>
      <c r="J1270" s="62">
        <v>239.40608571359201</v>
      </c>
      <c r="K1270" s="17">
        <v>1</v>
      </c>
    </row>
    <row r="1271" spans="1:11" x14ac:dyDescent="0.25">
      <c r="A1271" s="3" t="s">
        <v>2560</v>
      </c>
      <c r="B1271" s="4" t="s">
        <v>2561</v>
      </c>
      <c r="C1271" s="5">
        <v>140276</v>
      </c>
      <c r="D1271" s="6" t="s">
        <v>34</v>
      </c>
      <c r="E1271" s="6" t="s">
        <v>17</v>
      </c>
      <c r="F1271" s="7">
        <v>42592</v>
      </c>
      <c r="G1271" s="8">
        <f t="shared" si="19"/>
        <v>42592</v>
      </c>
      <c r="H1271" s="6" t="s">
        <v>13</v>
      </c>
      <c r="I1271" s="9">
        <v>5654.4623967111702</v>
      </c>
      <c r="J1271" s="62">
        <v>59.221661567678403</v>
      </c>
      <c r="K1271" s="17">
        <v>1</v>
      </c>
    </row>
    <row r="1272" spans="1:11" x14ac:dyDescent="0.25">
      <c r="A1272" s="3" t="s">
        <v>2562</v>
      </c>
      <c r="B1272" s="4" t="s">
        <v>2563</v>
      </c>
      <c r="C1272" s="5">
        <v>139958</v>
      </c>
      <c r="D1272" s="6" t="s">
        <v>16</v>
      </c>
      <c r="E1272" s="6" t="s">
        <v>17</v>
      </c>
      <c r="F1272" s="7">
        <v>40674</v>
      </c>
      <c r="G1272" s="8">
        <f t="shared" si="19"/>
        <v>40674</v>
      </c>
      <c r="H1272" s="6" t="s">
        <v>13</v>
      </c>
      <c r="I1272" s="9">
        <v>16044.646780742301</v>
      </c>
      <c r="J1272" s="62">
        <v>131.149398842089</v>
      </c>
      <c r="K1272" s="17">
        <v>1</v>
      </c>
    </row>
    <row r="1273" spans="1:11" x14ac:dyDescent="0.25">
      <c r="A1273" s="3" t="s">
        <v>2564</v>
      </c>
      <c r="B1273" s="4" t="s">
        <v>2565</v>
      </c>
      <c r="C1273" s="14">
        <v>145396</v>
      </c>
      <c r="D1273" s="6" t="s">
        <v>28</v>
      </c>
      <c r="E1273" s="6" t="s">
        <v>17</v>
      </c>
      <c r="F1273" s="7">
        <v>40784</v>
      </c>
      <c r="G1273" s="8">
        <f t="shared" si="19"/>
        <v>40784</v>
      </c>
      <c r="H1273" s="6" t="s">
        <v>13</v>
      </c>
      <c r="I1273" s="9" t="s">
        <v>3380</v>
      </c>
      <c r="J1273" s="62" t="s">
        <v>3380</v>
      </c>
      <c r="K1273" s="17">
        <v>3</v>
      </c>
    </row>
    <row r="1274" spans="1:11" x14ac:dyDescent="0.25">
      <c r="A1274" s="3" t="s">
        <v>2566</v>
      </c>
      <c r="B1274" s="4" t="s">
        <v>2567</v>
      </c>
      <c r="C1274" s="5">
        <v>149236</v>
      </c>
      <c r="D1274" s="6" t="s">
        <v>16</v>
      </c>
      <c r="E1274" s="6" t="s">
        <v>17</v>
      </c>
      <c r="F1274" s="7">
        <v>40840</v>
      </c>
      <c r="G1274" s="8">
        <f t="shared" si="19"/>
        <v>40840</v>
      </c>
      <c r="H1274" s="6" t="s">
        <v>13</v>
      </c>
      <c r="I1274" s="9">
        <v>5630.5586034947401</v>
      </c>
      <c r="J1274" s="62">
        <v>155.851353268683</v>
      </c>
      <c r="K1274" s="17">
        <v>1</v>
      </c>
    </row>
    <row r="1275" spans="1:11" x14ac:dyDescent="0.25">
      <c r="A1275" s="3" t="s">
        <v>2568</v>
      </c>
      <c r="B1275" s="4" t="s">
        <v>2569</v>
      </c>
      <c r="C1275" s="5">
        <v>143796</v>
      </c>
      <c r="D1275" s="6" t="s">
        <v>34</v>
      </c>
      <c r="E1275" s="6" t="s">
        <v>17</v>
      </c>
      <c r="F1275" s="7">
        <v>40742</v>
      </c>
      <c r="G1275" s="8">
        <f t="shared" si="19"/>
        <v>40742</v>
      </c>
      <c r="H1275" s="6" t="s">
        <v>13</v>
      </c>
      <c r="I1275" s="9">
        <v>6073.8240208519001</v>
      </c>
      <c r="J1275" s="62">
        <v>166.25164654927201</v>
      </c>
      <c r="K1275" s="17">
        <v>1</v>
      </c>
    </row>
    <row r="1276" spans="1:11" x14ac:dyDescent="0.25">
      <c r="A1276" s="3" t="s">
        <v>2570</v>
      </c>
      <c r="B1276" s="4" t="s">
        <v>2571</v>
      </c>
      <c r="C1276" s="5">
        <v>152436</v>
      </c>
      <c r="D1276" s="6" t="s">
        <v>37</v>
      </c>
      <c r="E1276" s="6" t="s">
        <v>38</v>
      </c>
      <c r="F1276" s="7">
        <v>40884</v>
      </c>
      <c r="G1276" s="8">
        <f t="shared" si="19"/>
        <v>40884</v>
      </c>
      <c r="H1276" s="6" t="s">
        <v>39</v>
      </c>
      <c r="I1276" s="9">
        <v>16998.949180652202</v>
      </c>
      <c r="J1276" s="62">
        <v>392.15922014155802</v>
      </c>
      <c r="K1276" s="17">
        <v>2</v>
      </c>
    </row>
    <row r="1277" spans="1:11" x14ac:dyDescent="0.25">
      <c r="A1277" s="3" t="s">
        <v>2572</v>
      </c>
      <c r="B1277" s="4" t="s">
        <v>2573</v>
      </c>
      <c r="C1277" s="5">
        <v>155636</v>
      </c>
      <c r="D1277" s="6" t="s">
        <v>11</v>
      </c>
      <c r="E1277" s="6" t="s">
        <v>12</v>
      </c>
      <c r="F1277" s="7">
        <v>41033</v>
      </c>
      <c r="G1277" s="8">
        <f t="shared" si="19"/>
        <v>41033</v>
      </c>
      <c r="H1277" s="6" t="s">
        <v>39</v>
      </c>
      <c r="I1277" s="9">
        <v>10923.5634967688</v>
      </c>
      <c r="J1277" s="62">
        <v>165.672620260543</v>
      </c>
      <c r="K1277" s="17">
        <v>1</v>
      </c>
    </row>
    <row r="1278" spans="1:11" x14ac:dyDescent="0.25">
      <c r="A1278" s="3" t="s">
        <v>2574</v>
      </c>
      <c r="B1278" s="4" t="s">
        <v>2575</v>
      </c>
      <c r="C1278" s="5">
        <v>157892</v>
      </c>
      <c r="D1278" s="6" t="s">
        <v>11</v>
      </c>
      <c r="E1278" s="6" t="s">
        <v>12</v>
      </c>
      <c r="F1278" s="7">
        <v>41081</v>
      </c>
      <c r="G1278" s="8">
        <f t="shared" si="19"/>
        <v>41081</v>
      </c>
      <c r="H1278" s="6" t="s">
        <v>39</v>
      </c>
      <c r="I1278" s="9">
        <v>39021.303110602195</v>
      </c>
      <c r="J1278" s="62">
        <v>231.361817607294</v>
      </c>
      <c r="K1278" s="17">
        <v>1</v>
      </c>
    </row>
    <row r="1279" spans="1:11" x14ac:dyDescent="0.25">
      <c r="A1279" s="3" t="s">
        <v>2576</v>
      </c>
      <c r="B1279" s="4" t="s">
        <v>2577</v>
      </c>
      <c r="C1279" s="5">
        <v>158516</v>
      </c>
      <c r="D1279" s="6" t="s">
        <v>16</v>
      </c>
      <c r="E1279" s="6" t="s">
        <v>17</v>
      </c>
      <c r="F1279" s="7">
        <v>41092</v>
      </c>
      <c r="G1279" s="8">
        <f t="shared" si="19"/>
        <v>41092</v>
      </c>
      <c r="H1279" s="6" t="s">
        <v>13</v>
      </c>
      <c r="I1279" s="9">
        <v>3332.06286917137</v>
      </c>
      <c r="J1279" s="62">
        <v>139.09698064039199</v>
      </c>
      <c r="K1279" s="17">
        <v>1</v>
      </c>
    </row>
    <row r="1280" spans="1:11" x14ac:dyDescent="0.25">
      <c r="A1280" s="3" t="s">
        <v>2578</v>
      </c>
      <c r="B1280" s="4" t="s">
        <v>2579</v>
      </c>
      <c r="C1280" s="14">
        <v>158196</v>
      </c>
      <c r="D1280" s="6" t="s">
        <v>34</v>
      </c>
      <c r="E1280" s="6" t="s">
        <v>17</v>
      </c>
      <c r="F1280" s="7">
        <v>40848</v>
      </c>
      <c r="G1280" s="8">
        <f t="shared" si="19"/>
        <v>40848</v>
      </c>
      <c r="H1280" s="6" t="s">
        <v>13</v>
      </c>
      <c r="I1280" s="9">
        <v>69735.168789010699</v>
      </c>
      <c r="J1280" s="62">
        <v>653.02514867598802</v>
      </c>
      <c r="K1280" s="17">
        <v>1</v>
      </c>
    </row>
    <row r="1281" spans="1:11" x14ac:dyDescent="0.25">
      <c r="A1281" s="3" t="s">
        <v>2580</v>
      </c>
      <c r="B1281" s="4" t="s">
        <v>2581</v>
      </c>
      <c r="C1281" s="5">
        <v>205590</v>
      </c>
      <c r="D1281" s="6" t="s">
        <v>34</v>
      </c>
      <c r="E1281" s="6" t="s">
        <v>17</v>
      </c>
      <c r="F1281" s="7">
        <v>41562</v>
      </c>
      <c r="G1281" s="8">
        <f t="shared" si="19"/>
        <v>41562</v>
      </c>
      <c r="H1281" s="6" t="s">
        <v>13</v>
      </c>
      <c r="I1281" s="9">
        <v>933.4606632201909</v>
      </c>
      <c r="J1281" s="62">
        <v>38.246483227731098</v>
      </c>
      <c r="K1281" s="40">
        <v>1</v>
      </c>
    </row>
    <row r="1282" spans="1:11" x14ac:dyDescent="0.25">
      <c r="A1282" s="26" t="s">
        <v>2582</v>
      </c>
      <c r="B1282" s="27" t="s">
        <v>2583</v>
      </c>
      <c r="C1282" s="5">
        <v>163316</v>
      </c>
      <c r="D1282" s="28" t="s">
        <v>16</v>
      </c>
      <c r="E1282" s="28" t="s">
        <v>17</v>
      </c>
      <c r="F1282" s="29">
        <v>41255</v>
      </c>
      <c r="G1282" s="30">
        <f t="shared" ref="G1282:G1345" si="20">F1282</f>
        <v>41255</v>
      </c>
      <c r="H1282" s="28" t="s">
        <v>13</v>
      </c>
      <c r="I1282" s="9" t="s">
        <v>3380</v>
      </c>
      <c r="J1282" s="62" t="s">
        <v>3380</v>
      </c>
      <c r="K1282" s="33">
        <v>3</v>
      </c>
    </row>
    <row r="1283" spans="1:11" x14ac:dyDescent="0.25">
      <c r="A1283" s="3" t="s">
        <v>2584</v>
      </c>
      <c r="B1283" s="4" t="s">
        <v>2585</v>
      </c>
      <c r="C1283" s="5">
        <v>168436</v>
      </c>
      <c r="D1283" s="6" t="s">
        <v>16</v>
      </c>
      <c r="E1283" s="6" t="s">
        <v>17</v>
      </c>
      <c r="F1283" s="7">
        <v>41382</v>
      </c>
      <c r="G1283" s="8">
        <f t="shared" si="20"/>
        <v>41382</v>
      </c>
      <c r="H1283" s="6" t="s">
        <v>13</v>
      </c>
      <c r="I1283" s="9">
        <v>3111.21544176613</v>
      </c>
      <c r="J1283" s="62">
        <v>62.016539914937802</v>
      </c>
      <c r="K1283" s="17">
        <v>1</v>
      </c>
    </row>
    <row r="1284" spans="1:11" x14ac:dyDescent="0.25">
      <c r="A1284" s="3" t="s">
        <v>2586</v>
      </c>
      <c r="B1284" s="4" t="s">
        <v>2587</v>
      </c>
      <c r="C1284" s="5">
        <v>166196</v>
      </c>
      <c r="D1284" s="6" t="s">
        <v>16</v>
      </c>
      <c r="E1284" s="6" t="s">
        <v>17</v>
      </c>
      <c r="F1284" s="7">
        <v>41339</v>
      </c>
      <c r="G1284" s="8">
        <f t="shared" si="20"/>
        <v>41339</v>
      </c>
      <c r="H1284" s="6" t="s">
        <v>13</v>
      </c>
      <c r="I1284" s="9">
        <v>3890.5661841400397</v>
      </c>
      <c r="J1284" s="62">
        <v>72.931987748480097</v>
      </c>
      <c r="K1284" s="17">
        <v>1</v>
      </c>
    </row>
    <row r="1285" spans="1:11" x14ac:dyDescent="0.25">
      <c r="A1285" s="3" t="s">
        <v>2588</v>
      </c>
      <c r="B1285" s="4" t="s">
        <v>2589</v>
      </c>
      <c r="C1285" s="5">
        <v>167156</v>
      </c>
      <c r="D1285" s="6" t="s">
        <v>34</v>
      </c>
      <c r="E1285" s="6" t="s">
        <v>17</v>
      </c>
      <c r="F1285" s="7">
        <v>41373</v>
      </c>
      <c r="G1285" s="8">
        <f t="shared" si="20"/>
        <v>41373</v>
      </c>
      <c r="H1285" s="6" t="s">
        <v>13</v>
      </c>
      <c r="I1285" s="9">
        <v>5013.2730236214302</v>
      </c>
      <c r="J1285" s="62">
        <v>227.17927650448701</v>
      </c>
      <c r="K1285" s="17">
        <v>1</v>
      </c>
    </row>
    <row r="1286" spans="1:11" x14ac:dyDescent="0.25">
      <c r="A1286" s="3" t="s">
        <v>2590</v>
      </c>
      <c r="B1286" s="4" t="s">
        <v>2591</v>
      </c>
      <c r="C1286" s="5">
        <v>168132</v>
      </c>
      <c r="D1286" s="6" t="s">
        <v>11</v>
      </c>
      <c r="E1286" s="6" t="s">
        <v>17</v>
      </c>
      <c r="F1286" s="7">
        <v>41380</v>
      </c>
      <c r="G1286" s="8">
        <f t="shared" si="20"/>
        <v>41380</v>
      </c>
      <c r="H1286" s="6" t="s">
        <v>13</v>
      </c>
      <c r="I1286" s="9">
        <v>45437.075421008405</v>
      </c>
      <c r="J1286" s="62">
        <v>272.15311323472599</v>
      </c>
      <c r="K1286" s="17">
        <v>1</v>
      </c>
    </row>
    <row r="1287" spans="1:11" x14ac:dyDescent="0.25">
      <c r="A1287" s="3" t="s">
        <v>2592</v>
      </c>
      <c r="B1287" s="4" t="s">
        <v>2593</v>
      </c>
      <c r="C1287" s="5">
        <v>204948</v>
      </c>
      <c r="D1287" s="6" t="s">
        <v>28</v>
      </c>
      <c r="E1287" s="6" t="s">
        <v>17</v>
      </c>
      <c r="F1287" s="7">
        <v>42674</v>
      </c>
      <c r="G1287" s="8">
        <f t="shared" si="20"/>
        <v>42674</v>
      </c>
      <c r="H1287" s="6" t="s">
        <v>13</v>
      </c>
      <c r="I1287" s="9">
        <v>220158.35604513899</v>
      </c>
      <c r="J1287" s="62">
        <v>221.208090181741</v>
      </c>
      <c r="K1287" s="11">
        <v>2</v>
      </c>
    </row>
    <row r="1288" spans="1:11" x14ac:dyDescent="0.25">
      <c r="A1288" s="3" t="s">
        <v>2594</v>
      </c>
      <c r="B1288" s="4" t="s">
        <v>2595</v>
      </c>
      <c r="C1288" s="5">
        <v>172916</v>
      </c>
      <c r="D1288" s="6" t="s">
        <v>11</v>
      </c>
      <c r="E1288" s="6" t="s">
        <v>12</v>
      </c>
      <c r="F1288" s="7">
        <v>41394</v>
      </c>
      <c r="G1288" s="8">
        <f t="shared" si="20"/>
        <v>41394</v>
      </c>
      <c r="H1288" s="6" t="s">
        <v>39</v>
      </c>
      <c r="I1288" s="9">
        <v>26794.712207580003</v>
      </c>
      <c r="J1288" s="62">
        <v>122.915698436612</v>
      </c>
      <c r="K1288" s="17">
        <v>1</v>
      </c>
    </row>
    <row r="1289" spans="1:11" x14ac:dyDescent="0.25">
      <c r="A1289" s="3" t="s">
        <v>2596</v>
      </c>
      <c r="B1289" s="4" t="s">
        <v>2597</v>
      </c>
      <c r="C1289" s="5">
        <v>174836</v>
      </c>
      <c r="D1289" s="6" t="s">
        <v>11</v>
      </c>
      <c r="E1289" s="6" t="s">
        <v>17</v>
      </c>
      <c r="F1289" s="7">
        <v>41466</v>
      </c>
      <c r="G1289" s="8">
        <f t="shared" si="20"/>
        <v>41466</v>
      </c>
      <c r="H1289" s="6" t="s">
        <v>13</v>
      </c>
      <c r="I1289" s="9">
        <v>21369.046420403</v>
      </c>
      <c r="J1289" s="62">
        <v>140.43814726134801</v>
      </c>
      <c r="K1289" s="17">
        <v>1</v>
      </c>
    </row>
    <row r="1290" spans="1:11" x14ac:dyDescent="0.25">
      <c r="A1290" s="3" t="s">
        <v>2598</v>
      </c>
      <c r="B1290" s="4" t="s">
        <v>2599</v>
      </c>
      <c r="C1290" s="5">
        <v>174852</v>
      </c>
      <c r="D1290" s="6" t="s">
        <v>16</v>
      </c>
      <c r="E1290" s="6" t="s">
        <v>17</v>
      </c>
      <c r="F1290" s="7">
        <v>41513</v>
      </c>
      <c r="G1290" s="8">
        <f t="shared" si="20"/>
        <v>41513</v>
      </c>
      <c r="H1290" s="6" t="s">
        <v>13</v>
      </c>
      <c r="I1290" s="9">
        <v>10426.7878151636</v>
      </c>
      <c r="J1290" s="62">
        <v>227.50154380764701</v>
      </c>
      <c r="K1290" s="17">
        <v>1</v>
      </c>
    </row>
    <row r="1291" spans="1:11" x14ac:dyDescent="0.25">
      <c r="A1291" s="3" t="s">
        <v>2600</v>
      </c>
      <c r="B1291" s="4" t="s">
        <v>2601</v>
      </c>
      <c r="C1291" s="5">
        <v>173556</v>
      </c>
      <c r="D1291" s="6" t="s">
        <v>16</v>
      </c>
      <c r="E1291" s="6" t="s">
        <v>17</v>
      </c>
      <c r="F1291" s="7">
        <v>41493</v>
      </c>
      <c r="G1291" s="8">
        <f t="shared" si="20"/>
        <v>41493</v>
      </c>
      <c r="H1291" s="6" t="s">
        <v>13</v>
      </c>
      <c r="I1291" s="9">
        <v>16829.985402364902</v>
      </c>
      <c r="J1291" s="62">
        <v>63.228402713645501</v>
      </c>
      <c r="K1291" s="17">
        <v>1</v>
      </c>
    </row>
    <row r="1292" spans="1:11" x14ac:dyDescent="0.25">
      <c r="A1292" s="3" t="s">
        <v>2602</v>
      </c>
      <c r="B1292" s="4" t="s">
        <v>2603</v>
      </c>
      <c r="C1292" s="5">
        <v>179956</v>
      </c>
      <c r="D1292" s="6" t="s">
        <v>11</v>
      </c>
      <c r="E1292" s="6" t="s">
        <v>12</v>
      </c>
      <c r="F1292" s="7">
        <v>41550</v>
      </c>
      <c r="G1292" s="8">
        <f t="shared" si="20"/>
        <v>41550</v>
      </c>
      <c r="H1292" s="6" t="s">
        <v>39</v>
      </c>
      <c r="I1292" s="9">
        <v>30844.3181820426</v>
      </c>
      <c r="J1292" s="62">
        <v>185.32533125332799</v>
      </c>
      <c r="K1292" s="17">
        <v>1</v>
      </c>
    </row>
    <row r="1293" spans="1:11" x14ac:dyDescent="0.25">
      <c r="A1293" s="3" t="s">
        <v>2604</v>
      </c>
      <c r="B1293" s="4" t="s">
        <v>2605</v>
      </c>
      <c r="C1293" s="5">
        <v>176117</v>
      </c>
      <c r="D1293" s="6" t="s">
        <v>31</v>
      </c>
      <c r="E1293" s="6" t="s">
        <v>17</v>
      </c>
      <c r="F1293" s="7">
        <v>41568</v>
      </c>
      <c r="G1293" s="8">
        <f t="shared" si="20"/>
        <v>41568</v>
      </c>
      <c r="H1293" s="6" t="s">
        <v>13</v>
      </c>
      <c r="I1293" s="9">
        <v>4521.8284464303306</v>
      </c>
      <c r="J1293" s="62">
        <v>62.532131246236503</v>
      </c>
      <c r="K1293" s="17">
        <v>1</v>
      </c>
    </row>
    <row r="1294" spans="1:11" ht="30" x14ac:dyDescent="0.25">
      <c r="A1294" s="3" t="s">
        <v>2606</v>
      </c>
      <c r="B1294" s="4" t="s">
        <v>2607</v>
      </c>
      <c r="C1294" s="5">
        <v>207532</v>
      </c>
      <c r="D1294" s="6" t="s">
        <v>11</v>
      </c>
      <c r="E1294" s="6" t="s">
        <v>12</v>
      </c>
      <c r="F1294" s="7">
        <v>38210</v>
      </c>
      <c r="G1294" s="8">
        <f t="shared" si="20"/>
        <v>38210</v>
      </c>
      <c r="H1294" s="6" t="s">
        <v>776</v>
      </c>
      <c r="I1294" s="9">
        <v>37500.425346985205</v>
      </c>
      <c r="J1294" s="62">
        <v>88.610552059656101</v>
      </c>
      <c r="K1294" s="11">
        <v>1</v>
      </c>
    </row>
    <row r="1295" spans="1:11" x14ac:dyDescent="0.25">
      <c r="A1295" s="3" t="s">
        <v>2608</v>
      </c>
      <c r="B1295" s="4" t="s">
        <v>2609</v>
      </c>
      <c r="C1295" s="5">
        <v>180276</v>
      </c>
      <c r="D1295" s="6" t="s">
        <v>31</v>
      </c>
      <c r="E1295" s="6" t="s">
        <v>17</v>
      </c>
      <c r="F1295" s="7">
        <v>41669</v>
      </c>
      <c r="G1295" s="8">
        <f t="shared" si="20"/>
        <v>41669</v>
      </c>
      <c r="H1295" s="6" t="s">
        <v>13</v>
      </c>
      <c r="I1295" s="9">
        <v>35241.0535002334</v>
      </c>
      <c r="J1295" s="62">
        <v>197.28556467002099</v>
      </c>
      <c r="K1295" s="17">
        <v>1</v>
      </c>
    </row>
    <row r="1296" spans="1:11" x14ac:dyDescent="0.25">
      <c r="A1296" s="3" t="s">
        <v>2610</v>
      </c>
      <c r="B1296" s="4" t="s">
        <v>2611</v>
      </c>
      <c r="C1296" s="5">
        <v>184116</v>
      </c>
      <c r="D1296" s="6" t="s">
        <v>11</v>
      </c>
      <c r="E1296" s="6" t="s">
        <v>17</v>
      </c>
      <c r="F1296" s="7">
        <v>41815</v>
      </c>
      <c r="G1296" s="8">
        <f t="shared" si="20"/>
        <v>41815</v>
      </c>
      <c r="H1296" s="6" t="s">
        <v>13</v>
      </c>
      <c r="I1296" s="9">
        <v>27539.422183052298</v>
      </c>
      <c r="J1296" s="62">
        <v>169.353641869043</v>
      </c>
      <c r="K1296" s="17">
        <v>1</v>
      </c>
    </row>
    <row r="1297" spans="1:11" x14ac:dyDescent="0.25">
      <c r="A1297" s="3" t="s">
        <v>2612</v>
      </c>
      <c r="B1297" s="4" t="s">
        <v>2613</v>
      </c>
      <c r="C1297" s="14">
        <v>182518</v>
      </c>
      <c r="D1297" s="6" t="s">
        <v>16</v>
      </c>
      <c r="E1297" s="6" t="s">
        <v>17</v>
      </c>
      <c r="F1297" s="7">
        <v>41788</v>
      </c>
      <c r="G1297" s="8">
        <f t="shared" si="20"/>
        <v>41788</v>
      </c>
      <c r="H1297" s="6" t="s">
        <v>13</v>
      </c>
      <c r="I1297" s="9">
        <v>5908.9749143866493</v>
      </c>
      <c r="J1297" s="62">
        <v>231.182197189882</v>
      </c>
      <c r="K1297" s="17">
        <v>1</v>
      </c>
    </row>
    <row r="1298" spans="1:11" x14ac:dyDescent="0.25">
      <c r="A1298" s="3" t="s">
        <v>2614</v>
      </c>
      <c r="B1298" s="4" t="s">
        <v>2615</v>
      </c>
      <c r="C1298" s="14">
        <v>182218</v>
      </c>
      <c r="D1298" s="6" t="s">
        <v>28</v>
      </c>
      <c r="E1298" s="6" t="s">
        <v>17</v>
      </c>
      <c r="F1298" s="7">
        <v>41649</v>
      </c>
      <c r="G1298" s="8">
        <f t="shared" si="20"/>
        <v>41649</v>
      </c>
      <c r="H1298" s="6" t="s">
        <v>13</v>
      </c>
      <c r="I1298" s="9">
        <v>92257.939750011501</v>
      </c>
      <c r="J1298" s="62">
        <v>806.85690262556204</v>
      </c>
      <c r="K1298" s="17">
        <v>2</v>
      </c>
    </row>
    <row r="1299" spans="1:11" x14ac:dyDescent="0.25">
      <c r="A1299" s="3" t="s">
        <v>2616</v>
      </c>
      <c r="B1299" s="4" t="s">
        <v>2617</v>
      </c>
      <c r="C1299" s="5">
        <v>183476</v>
      </c>
      <c r="D1299" s="6" t="s">
        <v>16</v>
      </c>
      <c r="E1299" s="6" t="s">
        <v>17</v>
      </c>
      <c r="F1299" s="7">
        <v>41836</v>
      </c>
      <c r="G1299" s="8">
        <f t="shared" si="20"/>
        <v>41836</v>
      </c>
      <c r="H1299" s="6" t="s">
        <v>13</v>
      </c>
      <c r="I1299" s="9">
        <v>6405.3750808047498</v>
      </c>
      <c r="J1299" s="62">
        <v>73.959469822647705</v>
      </c>
      <c r="K1299" s="17">
        <v>1</v>
      </c>
    </row>
    <row r="1300" spans="1:11" x14ac:dyDescent="0.25">
      <c r="A1300" s="3" t="s">
        <v>2618</v>
      </c>
      <c r="B1300" s="4" t="s">
        <v>2619</v>
      </c>
      <c r="C1300" s="5">
        <v>185429</v>
      </c>
      <c r="D1300" s="6" t="s">
        <v>34</v>
      </c>
      <c r="E1300" s="6" t="s">
        <v>17</v>
      </c>
      <c r="F1300" s="7">
        <v>41887</v>
      </c>
      <c r="G1300" s="8">
        <f t="shared" si="20"/>
        <v>41887</v>
      </c>
      <c r="H1300" s="6" t="s">
        <v>13</v>
      </c>
      <c r="I1300" s="9">
        <v>4500.7999341416698</v>
      </c>
      <c r="J1300" s="62">
        <v>48.515198176185301</v>
      </c>
      <c r="K1300" s="17">
        <v>1</v>
      </c>
    </row>
    <row r="1301" spans="1:11" x14ac:dyDescent="0.25">
      <c r="A1301" s="3" t="s">
        <v>2620</v>
      </c>
      <c r="B1301" s="4" t="s">
        <v>2621</v>
      </c>
      <c r="C1301" s="5">
        <v>183479</v>
      </c>
      <c r="D1301" s="6" t="s">
        <v>11</v>
      </c>
      <c r="E1301" s="6" t="s">
        <v>17</v>
      </c>
      <c r="F1301" s="7">
        <v>41870</v>
      </c>
      <c r="G1301" s="8">
        <f t="shared" si="20"/>
        <v>41870</v>
      </c>
      <c r="H1301" s="6" t="s">
        <v>13</v>
      </c>
      <c r="I1301" s="9">
        <v>51609.059241057599</v>
      </c>
      <c r="J1301" s="62">
        <v>546.98132481886603</v>
      </c>
      <c r="K1301" s="17">
        <v>1</v>
      </c>
    </row>
    <row r="1302" spans="1:11" x14ac:dyDescent="0.25">
      <c r="A1302" s="3" t="s">
        <v>2622</v>
      </c>
      <c r="B1302" s="4" t="s">
        <v>2623</v>
      </c>
      <c r="C1302" s="5">
        <v>185734</v>
      </c>
      <c r="D1302" s="6" t="s">
        <v>31</v>
      </c>
      <c r="E1302" s="6" t="s">
        <v>17</v>
      </c>
      <c r="F1302" s="7">
        <v>41878</v>
      </c>
      <c r="G1302" s="8">
        <f t="shared" si="20"/>
        <v>41878</v>
      </c>
      <c r="H1302" s="6" t="s">
        <v>13</v>
      </c>
      <c r="I1302" s="9">
        <v>5532.1890629012396</v>
      </c>
      <c r="J1302" s="62">
        <v>82.294411518410598</v>
      </c>
      <c r="K1302" s="17">
        <v>1</v>
      </c>
    </row>
    <row r="1303" spans="1:11" x14ac:dyDescent="0.25">
      <c r="A1303" s="3" t="s">
        <v>2624</v>
      </c>
      <c r="B1303" s="4" t="s">
        <v>2625</v>
      </c>
      <c r="C1303" s="14">
        <v>186378</v>
      </c>
      <c r="D1303" s="6" t="s">
        <v>11</v>
      </c>
      <c r="E1303" s="6" t="s">
        <v>17</v>
      </c>
      <c r="F1303" s="7">
        <v>41915</v>
      </c>
      <c r="G1303" s="8">
        <f t="shared" si="20"/>
        <v>41915</v>
      </c>
      <c r="H1303" s="6" t="s">
        <v>13</v>
      </c>
      <c r="I1303" s="9">
        <v>34425.335430178398</v>
      </c>
      <c r="J1303" s="62">
        <v>177.853696838481</v>
      </c>
      <c r="K1303" s="17">
        <v>1</v>
      </c>
    </row>
    <row r="1304" spans="1:11" x14ac:dyDescent="0.25">
      <c r="A1304" s="3" t="s">
        <v>2626</v>
      </c>
      <c r="B1304" s="4" t="s">
        <v>2627</v>
      </c>
      <c r="C1304" s="14">
        <v>186052</v>
      </c>
      <c r="D1304" s="6" t="s">
        <v>31</v>
      </c>
      <c r="E1304" s="6" t="s">
        <v>17</v>
      </c>
      <c r="F1304" s="7">
        <v>41927</v>
      </c>
      <c r="G1304" s="8">
        <f t="shared" si="20"/>
        <v>41927</v>
      </c>
      <c r="H1304" s="6" t="s">
        <v>13</v>
      </c>
      <c r="I1304" s="9">
        <v>83867.583448464502</v>
      </c>
      <c r="J1304" s="62">
        <v>461.97097398450398</v>
      </c>
      <c r="K1304" s="17">
        <v>1</v>
      </c>
    </row>
    <row r="1305" spans="1:11" x14ac:dyDescent="0.25">
      <c r="A1305" s="3" t="s">
        <v>2628</v>
      </c>
      <c r="B1305" s="4" t="s">
        <v>2629</v>
      </c>
      <c r="C1305" s="14">
        <v>187348</v>
      </c>
      <c r="D1305" s="6" t="s">
        <v>11</v>
      </c>
      <c r="E1305" s="6" t="s">
        <v>17</v>
      </c>
      <c r="F1305" s="7">
        <v>41934</v>
      </c>
      <c r="G1305" s="8">
        <f t="shared" si="20"/>
        <v>41934</v>
      </c>
      <c r="H1305" s="6" t="s">
        <v>13</v>
      </c>
      <c r="I1305" s="9">
        <v>58389.867873023497</v>
      </c>
      <c r="J1305" s="62">
        <v>579.00399864007795</v>
      </c>
      <c r="K1305" s="17">
        <v>2</v>
      </c>
    </row>
    <row r="1306" spans="1:11" x14ac:dyDescent="0.25">
      <c r="A1306" s="3" t="s">
        <v>2630</v>
      </c>
      <c r="B1306" s="4" t="s">
        <v>2631</v>
      </c>
      <c r="C1306" s="5">
        <v>205270</v>
      </c>
      <c r="D1306" s="6" t="s">
        <v>11</v>
      </c>
      <c r="E1306" s="6" t="s">
        <v>17</v>
      </c>
      <c r="F1306" s="7">
        <v>41920</v>
      </c>
      <c r="G1306" s="8">
        <f t="shared" si="20"/>
        <v>41920</v>
      </c>
      <c r="H1306" s="6" t="s">
        <v>13</v>
      </c>
      <c r="I1306" s="9">
        <v>55108.1217090028</v>
      </c>
      <c r="J1306" s="62">
        <v>253.82500369318799</v>
      </c>
      <c r="K1306" s="11">
        <v>2</v>
      </c>
    </row>
    <row r="1307" spans="1:11" x14ac:dyDescent="0.25">
      <c r="A1307" s="3" t="s">
        <v>2632</v>
      </c>
      <c r="B1307" s="4" t="s">
        <v>2633</v>
      </c>
      <c r="C1307" s="5">
        <v>187976</v>
      </c>
      <c r="D1307" s="6" t="s">
        <v>11</v>
      </c>
      <c r="E1307" s="6" t="s">
        <v>12</v>
      </c>
      <c r="F1307" s="7">
        <v>41974</v>
      </c>
      <c r="G1307" s="8">
        <f t="shared" si="20"/>
        <v>41974</v>
      </c>
      <c r="H1307" s="6" t="s">
        <v>39</v>
      </c>
      <c r="I1307" s="9">
        <v>15121.486487919601</v>
      </c>
      <c r="J1307" s="62">
        <v>181.322023919777</v>
      </c>
      <c r="K1307" s="17">
        <v>1</v>
      </c>
    </row>
    <row r="1308" spans="1:11" x14ac:dyDescent="0.25">
      <c r="A1308" s="3" t="s">
        <v>2634</v>
      </c>
      <c r="B1308" s="4" t="s">
        <v>2635</v>
      </c>
      <c r="C1308" s="5">
        <v>185413</v>
      </c>
      <c r="D1308" s="6" t="s">
        <v>16</v>
      </c>
      <c r="E1308" s="6" t="s">
        <v>17</v>
      </c>
      <c r="F1308" s="7">
        <v>41992</v>
      </c>
      <c r="G1308" s="8">
        <f t="shared" si="20"/>
        <v>41992</v>
      </c>
      <c r="H1308" s="6" t="s">
        <v>13</v>
      </c>
      <c r="I1308" s="9">
        <v>1197.8297106587199</v>
      </c>
      <c r="J1308" s="62">
        <v>63.746787010617403</v>
      </c>
      <c r="K1308" s="17">
        <v>1</v>
      </c>
    </row>
    <row r="1309" spans="1:11" x14ac:dyDescent="0.25">
      <c r="A1309" s="3" t="s">
        <v>2636</v>
      </c>
      <c r="B1309" s="4" t="s">
        <v>2637</v>
      </c>
      <c r="C1309" s="5">
        <v>205271</v>
      </c>
      <c r="D1309" s="6" t="s">
        <v>37</v>
      </c>
      <c r="E1309" s="6" t="s">
        <v>38</v>
      </c>
      <c r="F1309" s="7">
        <v>41927</v>
      </c>
      <c r="G1309" s="8">
        <f t="shared" si="20"/>
        <v>41927</v>
      </c>
      <c r="H1309" s="6" t="s">
        <v>39</v>
      </c>
      <c r="I1309" s="9">
        <v>23993.920301208997</v>
      </c>
      <c r="J1309" s="62">
        <v>305.084831818417</v>
      </c>
      <c r="K1309" s="40">
        <v>1</v>
      </c>
    </row>
    <row r="1310" spans="1:11" x14ac:dyDescent="0.25">
      <c r="A1310" s="3" t="s">
        <v>2638</v>
      </c>
      <c r="B1310" s="4" t="s">
        <v>2639</v>
      </c>
      <c r="C1310" s="5">
        <v>188292</v>
      </c>
      <c r="D1310" s="6" t="s">
        <v>11</v>
      </c>
      <c r="E1310" s="6" t="s">
        <v>17</v>
      </c>
      <c r="F1310" s="7">
        <v>41962</v>
      </c>
      <c r="G1310" s="8">
        <f t="shared" si="20"/>
        <v>41962</v>
      </c>
      <c r="H1310" s="6" t="s">
        <v>13</v>
      </c>
      <c r="I1310" s="9">
        <v>6824.9188588809802</v>
      </c>
      <c r="J1310" s="62">
        <v>86.999472385510998</v>
      </c>
      <c r="K1310" s="17">
        <v>1</v>
      </c>
    </row>
    <row r="1311" spans="1:11" x14ac:dyDescent="0.25">
      <c r="A1311" s="3" t="s">
        <v>2640</v>
      </c>
      <c r="B1311" s="4" t="s">
        <v>2641</v>
      </c>
      <c r="C1311" s="5">
        <v>189252</v>
      </c>
      <c r="D1311" s="6" t="s">
        <v>11</v>
      </c>
      <c r="E1311" s="6" t="s">
        <v>12</v>
      </c>
      <c r="F1311" s="7">
        <v>42016</v>
      </c>
      <c r="G1311" s="8">
        <f t="shared" si="20"/>
        <v>42016</v>
      </c>
      <c r="H1311" s="6" t="s">
        <v>39</v>
      </c>
      <c r="I1311" s="9">
        <v>25779.360094020602</v>
      </c>
      <c r="J1311" s="62">
        <v>216.967413207319</v>
      </c>
      <c r="K1311" s="17">
        <v>1</v>
      </c>
    </row>
    <row r="1312" spans="1:11" x14ac:dyDescent="0.25">
      <c r="A1312" s="3" t="s">
        <v>2642</v>
      </c>
      <c r="B1312" s="4" t="s">
        <v>2643</v>
      </c>
      <c r="C1312" s="5">
        <v>201109</v>
      </c>
      <c r="D1312" s="6" t="s">
        <v>31</v>
      </c>
      <c r="E1312" s="6" t="s">
        <v>17</v>
      </c>
      <c r="F1312" s="7">
        <v>41919</v>
      </c>
      <c r="G1312" s="8">
        <f t="shared" si="20"/>
        <v>41919</v>
      </c>
      <c r="H1312" s="6" t="s">
        <v>13</v>
      </c>
      <c r="I1312" s="9">
        <v>30122.707983563701</v>
      </c>
      <c r="J1312" s="62">
        <v>156.78351391470599</v>
      </c>
      <c r="K1312" s="17">
        <v>1</v>
      </c>
    </row>
    <row r="1313" spans="1:11" x14ac:dyDescent="0.25">
      <c r="A1313" s="3" t="s">
        <v>2644</v>
      </c>
      <c r="B1313" s="4" t="s">
        <v>2645</v>
      </c>
      <c r="C1313" s="5">
        <v>188293</v>
      </c>
      <c r="D1313" s="6" t="s">
        <v>11</v>
      </c>
      <c r="E1313" s="6" t="s">
        <v>12</v>
      </c>
      <c r="F1313" s="7">
        <v>42002</v>
      </c>
      <c r="G1313" s="8">
        <f t="shared" si="20"/>
        <v>42002</v>
      </c>
      <c r="H1313" s="6" t="s">
        <v>39</v>
      </c>
      <c r="I1313" s="9">
        <v>17421.7694678845</v>
      </c>
      <c r="J1313" s="62">
        <v>481.4750025953</v>
      </c>
      <c r="K1313" s="17">
        <v>1</v>
      </c>
    </row>
    <row r="1314" spans="1:11" x14ac:dyDescent="0.25">
      <c r="A1314" s="3" t="s">
        <v>2646</v>
      </c>
      <c r="B1314" s="4" t="s">
        <v>2647</v>
      </c>
      <c r="C1314" s="5">
        <v>190228</v>
      </c>
      <c r="D1314" s="6" t="s">
        <v>11</v>
      </c>
      <c r="E1314" s="6" t="s">
        <v>12</v>
      </c>
      <c r="F1314" s="7">
        <v>42059</v>
      </c>
      <c r="G1314" s="8">
        <f t="shared" si="20"/>
        <v>42059</v>
      </c>
      <c r="H1314" s="6" t="s">
        <v>39</v>
      </c>
      <c r="I1314" s="9">
        <v>13346.267758309599</v>
      </c>
      <c r="J1314" s="62">
        <v>111.281376146743</v>
      </c>
      <c r="K1314" s="17">
        <v>1</v>
      </c>
    </row>
    <row r="1315" spans="1:11" x14ac:dyDescent="0.25">
      <c r="A1315" s="3" t="s">
        <v>2648</v>
      </c>
      <c r="B1315" s="4" t="s">
        <v>2649</v>
      </c>
      <c r="C1315" s="5">
        <v>188948</v>
      </c>
      <c r="D1315" s="6" t="s">
        <v>11</v>
      </c>
      <c r="E1315" s="6" t="s">
        <v>12</v>
      </c>
      <c r="F1315" s="7">
        <v>42034</v>
      </c>
      <c r="G1315" s="8">
        <f t="shared" si="20"/>
        <v>42034</v>
      </c>
      <c r="H1315" s="6" t="s">
        <v>39</v>
      </c>
      <c r="I1315" s="9">
        <v>5704.2784768582596</v>
      </c>
      <c r="J1315" s="62">
        <v>100.79294105936</v>
      </c>
      <c r="K1315" s="17">
        <v>1</v>
      </c>
    </row>
    <row r="1316" spans="1:11" x14ac:dyDescent="0.25">
      <c r="A1316" s="3" t="s">
        <v>2650</v>
      </c>
      <c r="B1316" s="4" t="s">
        <v>2651</v>
      </c>
      <c r="C1316" s="5">
        <v>191189</v>
      </c>
      <c r="D1316" s="6" t="s">
        <v>11</v>
      </c>
      <c r="E1316" s="6" t="s">
        <v>17</v>
      </c>
      <c r="F1316" s="7">
        <v>42074</v>
      </c>
      <c r="G1316" s="8">
        <f t="shared" si="20"/>
        <v>42074</v>
      </c>
      <c r="H1316" s="6" t="s">
        <v>13</v>
      </c>
      <c r="I1316" s="9">
        <v>28958.3730854766</v>
      </c>
      <c r="J1316" s="62">
        <v>283.340972679012</v>
      </c>
      <c r="K1316" s="17">
        <v>1</v>
      </c>
    </row>
    <row r="1317" spans="1:11" ht="30" x14ac:dyDescent="0.25">
      <c r="A1317" s="3" t="s">
        <v>2652</v>
      </c>
      <c r="B1317" s="4" t="s">
        <v>2653</v>
      </c>
      <c r="C1317" s="5">
        <v>187670</v>
      </c>
      <c r="D1317" s="6" t="s">
        <v>11</v>
      </c>
      <c r="E1317" s="6" t="s">
        <v>12</v>
      </c>
      <c r="F1317" s="7">
        <v>41950</v>
      </c>
      <c r="G1317" s="8">
        <f t="shared" si="20"/>
        <v>41950</v>
      </c>
      <c r="H1317" s="6" t="s">
        <v>776</v>
      </c>
      <c r="I1317" s="9">
        <v>6039.7678705096396</v>
      </c>
      <c r="J1317" s="62">
        <v>62.4575788807512</v>
      </c>
      <c r="K1317" s="17">
        <v>1</v>
      </c>
    </row>
    <row r="1318" spans="1:11" x14ac:dyDescent="0.25">
      <c r="A1318" s="3" t="s">
        <v>2654</v>
      </c>
      <c r="B1318" s="4" t="s">
        <v>2655</v>
      </c>
      <c r="C1318" s="5">
        <v>189924</v>
      </c>
      <c r="D1318" s="6" t="s">
        <v>34</v>
      </c>
      <c r="E1318" s="6" t="s">
        <v>17</v>
      </c>
      <c r="F1318" s="7">
        <v>42011</v>
      </c>
      <c r="G1318" s="8">
        <f t="shared" si="20"/>
        <v>42011</v>
      </c>
      <c r="H1318" s="6" t="s">
        <v>13</v>
      </c>
      <c r="I1318" s="9">
        <v>29182.846371043201</v>
      </c>
      <c r="J1318" s="62">
        <v>419.19302629992399</v>
      </c>
      <c r="K1318" s="17">
        <v>1</v>
      </c>
    </row>
    <row r="1319" spans="1:11" x14ac:dyDescent="0.25">
      <c r="A1319" s="3" t="s">
        <v>2656</v>
      </c>
      <c r="B1319" s="4" t="s">
        <v>2657</v>
      </c>
      <c r="C1319" s="5">
        <v>190550</v>
      </c>
      <c r="D1319" s="6" t="s">
        <v>34</v>
      </c>
      <c r="E1319" s="6" t="s">
        <v>17</v>
      </c>
      <c r="F1319" s="7">
        <v>41908</v>
      </c>
      <c r="G1319" s="8">
        <f t="shared" si="20"/>
        <v>41908</v>
      </c>
      <c r="H1319" s="6" t="s">
        <v>13</v>
      </c>
      <c r="I1319" s="9">
        <v>7934.5836490925203</v>
      </c>
      <c r="J1319" s="62">
        <v>81.930970147720501</v>
      </c>
      <c r="K1319" s="17">
        <v>1</v>
      </c>
    </row>
    <row r="1320" spans="1:11" x14ac:dyDescent="0.25">
      <c r="A1320" s="3" t="s">
        <v>2658</v>
      </c>
      <c r="B1320" s="4" t="s">
        <v>2659</v>
      </c>
      <c r="C1320" s="5">
        <v>188966</v>
      </c>
      <c r="D1320" s="6" t="s">
        <v>34</v>
      </c>
      <c r="E1320" s="6" t="s">
        <v>17</v>
      </c>
      <c r="F1320" s="7">
        <v>42016</v>
      </c>
      <c r="G1320" s="8">
        <f t="shared" si="20"/>
        <v>42016</v>
      </c>
      <c r="H1320" s="6" t="s">
        <v>13</v>
      </c>
      <c r="I1320" s="9">
        <v>3248.0835004625201</v>
      </c>
      <c r="J1320" s="62">
        <v>88.422547952645601</v>
      </c>
      <c r="K1320" s="17">
        <v>1</v>
      </c>
    </row>
    <row r="1321" spans="1:11" x14ac:dyDescent="0.25">
      <c r="A1321" s="3" t="s">
        <v>2660</v>
      </c>
      <c r="B1321" s="4" t="s">
        <v>2661</v>
      </c>
      <c r="C1321" s="5">
        <v>190551</v>
      </c>
      <c r="D1321" s="6" t="s">
        <v>11</v>
      </c>
      <c r="E1321" s="6" t="s">
        <v>17</v>
      </c>
      <c r="F1321" s="7">
        <v>42096</v>
      </c>
      <c r="G1321" s="8">
        <f t="shared" si="20"/>
        <v>42096</v>
      </c>
      <c r="H1321" s="6" t="s">
        <v>13</v>
      </c>
      <c r="I1321" s="9">
        <v>41593.7741683762</v>
      </c>
      <c r="J1321" s="62">
        <v>262.53407356724398</v>
      </c>
      <c r="K1321" s="17">
        <v>1</v>
      </c>
    </row>
    <row r="1322" spans="1:11" x14ac:dyDescent="0.25">
      <c r="A1322" s="3" t="s">
        <v>2662</v>
      </c>
      <c r="B1322" s="4" t="s">
        <v>2663</v>
      </c>
      <c r="C1322" s="14">
        <v>192148</v>
      </c>
      <c r="D1322" s="6" t="s">
        <v>11</v>
      </c>
      <c r="E1322" s="6" t="s">
        <v>17</v>
      </c>
      <c r="F1322" s="7">
        <v>42114</v>
      </c>
      <c r="G1322" s="8">
        <f t="shared" si="20"/>
        <v>42114</v>
      </c>
      <c r="H1322" s="6" t="s">
        <v>13</v>
      </c>
      <c r="I1322" s="9">
        <v>94336.03865675439</v>
      </c>
      <c r="J1322" s="62">
        <v>553.24626733108096</v>
      </c>
      <c r="K1322" s="17">
        <v>2</v>
      </c>
    </row>
    <row r="1323" spans="1:11" x14ac:dyDescent="0.25">
      <c r="A1323" s="3" t="s">
        <v>2664</v>
      </c>
      <c r="B1323" s="4" t="s">
        <v>2665</v>
      </c>
      <c r="C1323" s="5">
        <v>189604</v>
      </c>
      <c r="D1323" s="6" t="s">
        <v>37</v>
      </c>
      <c r="E1323" s="6" t="s">
        <v>38</v>
      </c>
      <c r="F1323" s="7">
        <v>42056</v>
      </c>
      <c r="G1323" s="8">
        <f t="shared" si="20"/>
        <v>42056</v>
      </c>
      <c r="H1323" s="6" t="s">
        <v>39</v>
      </c>
      <c r="I1323" s="9">
        <v>20070.5835188735</v>
      </c>
      <c r="J1323" s="62">
        <v>197.44912225919299</v>
      </c>
      <c r="K1323" s="17">
        <v>1</v>
      </c>
    </row>
    <row r="1324" spans="1:11" x14ac:dyDescent="0.25">
      <c r="A1324" s="3" t="s">
        <v>2666</v>
      </c>
      <c r="B1324" s="4" t="s">
        <v>2667</v>
      </c>
      <c r="C1324" s="5">
        <v>191844</v>
      </c>
      <c r="D1324" s="6" t="s">
        <v>11</v>
      </c>
      <c r="E1324" s="6" t="s">
        <v>17</v>
      </c>
      <c r="F1324" s="7">
        <v>42109</v>
      </c>
      <c r="G1324" s="8">
        <f t="shared" si="20"/>
        <v>42109</v>
      </c>
      <c r="H1324" s="6" t="s">
        <v>13</v>
      </c>
      <c r="I1324" s="9">
        <v>9734.6761752097591</v>
      </c>
      <c r="J1324" s="62">
        <v>106.419327628716</v>
      </c>
      <c r="K1324" s="17">
        <v>1</v>
      </c>
    </row>
    <row r="1325" spans="1:11" x14ac:dyDescent="0.25">
      <c r="A1325" s="3" t="s">
        <v>2668</v>
      </c>
      <c r="B1325" s="4" t="s">
        <v>2669</v>
      </c>
      <c r="C1325" s="5">
        <v>191861</v>
      </c>
      <c r="D1325" s="6" t="s">
        <v>16</v>
      </c>
      <c r="E1325" s="6" t="s">
        <v>17</v>
      </c>
      <c r="F1325" s="7">
        <v>42166</v>
      </c>
      <c r="G1325" s="8">
        <f t="shared" si="20"/>
        <v>42166</v>
      </c>
      <c r="H1325" s="6" t="s">
        <v>13</v>
      </c>
      <c r="I1325" s="9">
        <v>4182.1032870034696</v>
      </c>
      <c r="J1325" s="62">
        <v>75.562602762162697</v>
      </c>
      <c r="K1325" s="17">
        <v>1</v>
      </c>
    </row>
    <row r="1326" spans="1:11" x14ac:dyDescent="0.25">
      <c r="A1326" s="26" t="s">
        <v>2670</v>
      </c>
      <c r="B1326" s="27" t="s">
        <v>2671</v>
      </c>
      <c r="C1326" s="34">
        <v>191860</v>
      </c>
      <c r="D1326" s="28" t="s">
        <v>34</v>
      </c>
      <c r="E1326" s="28" t="s">
        <v>17</v>
      </c>
      <c r="F1326" s="29">
        <v>42164</v>
      </c>
      <c r="G1326" s="30">
        <f t="shared" si="20"/>
        <v>42164</v>
      </c>
      <c r="H1326" s="28" t="s">
        <v>13</v>
      </c>
      <c r="I1326" s="9">
        <v>11525.738063741799</v>
      </c>
      <c r="J1326" s="62">
        <v>95.300021141306402</v>
      </c>
      <c r="K1326" s="33">
        <v>1</v>
      </c>
    </row>
    <row r="1327" spans="1:11" x14ac:dyDescent="0.25">
      <c r="A1327" s="3" t="s">
        <v>2672</v>
      </c>
      <c r="B1327" s="4" t="s">
        <v>2673</v>
      </c>
      <c r="C1327" s="5">
        <v>192149</v>
      </c>
      <c r="D1327" s="6" t="s">
        <v>11</v>
      </c>
      <c r="E1327" s="6" t="s">
        <v>17</v>
      </c>
      <c r="F1327" s="7">
        <v>42114</v>
      </c>
      <c r="G1327" s="8">
        <f t="shared" si="20"/>
        <v>42114</v>
      </c>
      <c r="H1327" s="6" t="s">
        <v>13</v>
      </c>
      <c r="I1327" s="9">
        <v>10286.2489813542</v>
      </c>
      <c r="J1327" s="62">
        <v>107.089247026835</v>
      </c>
      <c r="K1327" s="17">
        <v>1</v>
      </c>
    </row>
    <row r="1328" spans="1:11" x14ac:dyDescent="0.25">
      <c r="A1328" s="3" t="s">
        <v>2674</v>
      </c>
      <c r="B1328" s="4" t="s">
        <v>2675</v>
      </c>
      <c r="C1328" s="5">
        <v>191845</v>
      </c>
      <c r="D1328" s="6" t="s">
        <v>28</v>
      </c>
      <c r="E1328" s="6" t="s">
        <v>17</v>
      </c>
      <c r="F1328" s="7">
        <v>42139</v>
      </c>
      <c r="G1328" s="8">
        <f t="shared" si="20"/>
        <v>42139</v>
      </c>
      <c r="H1328" s="6" t="s">
        <v>13</v>
      </c>
      <c r="I1328" s="9">
        <v>25127.1517073051</v>
      </c>
      <c r="J1328" s="62">
        <v>220.24136504408099</v>
      </c>
      <c r="K1328" s="17">
        <v>1</v>
      </c>
    </row>
    <row r="1329" spans="1:11" x14ac:dyDescent="0.25">
      <c r="A1329" s="3" t="s">
        <v>2676</v>
      </c>
      <c r="B1329" s="4" t="s">
        <v>2677</v>
      </c>
      <c r="C1329" s="5">
        <v>196660</v>
      </c>
      <c r="D1329" s="6" t="s">
        <v>16</v>
      </c>
      <c r="E1329" s="6" t="s">
        <v>17</v>
      </c>
      <c r="F1329" s="7">
        <v>42180</v>
      </c>
      <c r="G1329" s="8">
        <f t="shared" si="20"/>
        <v>42180</v>
      </c>
      <c r="H1329" s="6" t="s">
        <v>13</v>
      </c>
      <c r="I1329" s="9">
        <v>14763.6830604968</v>
      </c>
      <c r="J1329" s="62">
        <v>46.550333738319303</v>
      </c>
      <c r="K1329" s="17">
        <v>1</v>
      </c>
    </row>
    <row r="1330" spans="1:11" x14ac:dyDescent="0.25">
      <c r="A1330" s="3" t="s">
        <v>2678</v>
      </c>
      <c r="B1330" s="4" t="s">
        <v>2679</v>
      </c>
      <c r="C1330" s="5">
        <v>192157</v>
      </c>
      <c r="D1330" s="6" t="s">
        <v>11</v>
      </c>
      <c r="E1330" s="6" t="s">
        <v>17</v>
      </c>
      <c r="F1330" s="7">
        <v>42163</v>
      </c>
      <c r="G1330" s="8">
        <f t="shared" si="20"/>
        <v>42163</v>
      </c>
      <c r="H1330" s="6" t="s">
        <v>13</v>
      </c>
      <c r="I1330" s="9">
        <v>18025.107814155101</v>
      </c>
      <c r="J1330" s="62">
        <v>159.27838327027001</v>
      </c>
      <c r="K1330" s="17">
        <v>1</v>
      </c>
    </row>
    <row r="1331" spans="1:11" x14ac:dyDescent="0.25">
      <c r="A1331" s="3" t="s">
        <v>2680</v>
      </c>
      <c r="B1331" s="4" t="s">
        <v>2681</v>
      </c>
      <c r="C1331" s="5">
        <v>195991</v>
      </c>
      <c r="D1331" s="6" t="s">
        <v>11</v>
      </c>
      <c r="E1331" s="6" t="s">
        <v>17</v>
      </c>
      <c r="F1331" s="7">
        <v>42284</v>
      </c>
      <c r="G1331" s="8">
        <f t="shared" si="20"/>
        <v>42284</v>
      </c>
      <c r="H1331" s="6" t="s">
        <v>13</v>
      </c>
      <c r="I1331" s="9">
        <v>10125.823113377199</v>
      </c>
      <c r="J1331" s="62">
        <v>100.580944991447</v>
      </c>
      <c r="K1331" s="17">
        <v>1</v>
      </c>
    </row>
    <row r="1332" spans="1:11" x14ac:dyDescent="0.25">
      <c r="A1332" s="3" t="s">
        <v>2682</v>
      </c>
      <c r="B1332" s="4" t="s">
        <v>2683</v>
      </c>
      <c r="C1332" s="5">
        <v>192150</v>
      </c>
      <c r="D1332" s="6" t="s">
        <v>31</v>
      </c>
      <c r="E1332" s="6" t="s">
        <v>17</v>
      </c>
      <c r="F1332" s="7">
        <v>42101</v>
      </c>
      <c r="G1332" s="8">
        <f t="shared" si="20"/>
        <v>42101</v>
      </c>
      <c r="H1332" s="6" t="s">
        <v>13</v>
      </c>
      <c r="I1332" s="9">
        <v>5699.16911865764</v>
      </c>
      <c r="J1332" s="62">
        <v>51.5745794125055</v>
      </c>
      <c r="K1332" s="17">
        <v>1</v>
      </c>
    </row>
    <row r="1333" spans="1:11" x14ac:dyDescent="0.25">
      <c r="A1333" s="3" t="s">
        <v>2684</v>
      </c>
      <c r="B1333" s="4" t="s">
        <v>2685</v>
      </c>
      <c r="C1333" s="14">
        <v>195994</v>
      </c>
      <c r="D1333" s="6" t="s">
        <v>16</v>
      </c>
      <c r="E1333" s="6" t="s">
        <v>17</v>
      </c>
      <c r="F1333" s="7">
        <v>39849</v>
      </c>
      <c r="G1333" s="8">
        <f t="shared" si="20"/>
        <v>39849</v>
      </c>
      <c r="H1333" s="6" t="s">
        <v>13</v>
      </c>
      <c r="I1333" s="9">
        <v>47152.717943435004</v>
      </c>
      <c r="J1333" s="62">
        <v>644.79849261925494</v>
      </c>
      <c r="K1333" s="17">
        <v>2</v>
      </c>
    </row>
    <row r="1334" spans="1:11" x14ac:dyDescent="0.25">
      <c r="A1334" s="3" t="s">
        <v>2686</v>
      </c>
      <c r="B1334" s="4" t="s">
        <v>2687</v>
      </c>
      <c r="C1334" s="5">
        <v>196968</v>
      </c>
      <c r="D1334" s="6" t="s">
        <v>34</v>
      </c>
      <c r="E1334" s="6" t="s">
        <v>17</v>
      </c>
      <c r="F1334" s="7">
        <v>41939</v>
      </c>
      <c r="G1334" s="8">
        <f t="shared" si="20"/>
        <v>41939</v>
      </c>
      <c r="H1334" s="6" t="s">
        <v>13</v>
      </c>
      <c r="I1334" s="9">
        <v>78146.094402062896</v>
      </c>
      <c r="J1334" s="62">
        <v>290.44744836954101</v>
      </c>
      <c r="K1334" s="17">
        <v>1</v>
      </c>
    </row>
    <row r="1335" spans="1:11" x14ac:dyDescent="0.25">
      <c r="A1335" s="3" t="s">
        <v>2688</v>
      </c>
      <c r="B1335" s="4" t="s">
        <v>2689</v>
      </c>
      <c r="C1335" s="5">
        <v>196308</v>
      </c>
      <c r="D1335" s="6" t="s">
        <v>11</v>
      </c>
      <c r="E1335" s="6" t="s">
        <v>17</v>
      </c>
      <c r="F1335" s="7">
        <v>42345</v>
      </c>
      <c r="G1335" s="8">
        <f t="shared" si="20"/>
        <v>42345</v>
      </c>
      <c r="H1335" s="6" t="s">
        <v>13</v>
      </c>
      <c r="I1335" s="9">
        <v>17406.0022808252</v>
      </c>
      <c r="J1335" s="62">
        <v>171.940639413789</v>
      </c>
      <c r="K1335" s="17">
        <v>1</v>
      </c>
    </row>
    <row r="1336" spans="1:11" x14ac:dyDescent="0.25">
      <c r="A1336" s="3" t="s">
        <v>2690</v>
      </c>
      <c r="B1336" s="4" t="s">
        <v>2691</v>
      </c>
      <c r="C1336" s="5">
        <v>195988</v>
      </c>
      <c r="D1336" s="6" t="s">
        <v>11</v>
      </c>
      <c r="E1336" s="6" t="s">
        <v>17</v>
      </c>
      <c r="F1336" s="7">
        <v>42284</v>
      </c>
      <c r="G1336" s="8">
        <f t="shared" si="20"/>
        <v>42284</v>
      </c>
      <c r="H1336" s="6" t="s">
        <v>13</v>
      </c>
      <c r="I1336" s="9">
        <v>14834.8474055202</v>
      </c>
      <c r="J1336" s="62">
        <v>47.301739377713503</v>
      </c>
      <c r="K1336" s="17">
        <v>1</v>
      </c>
    </row>
    <row r="1337" spans="1:11" x14ac:dyDescent="0.25">
      <c r="A1337" s="3" t="s">
        <v>2692</v>
      </c>
      <c r="B1337" s="4" t="s">
        <v>2693</v>
      </c>
      <c r="C1337" s="5">
        <v>205268</v>
      </c>
      <c r="D1337" s="6" t="s">
        <v>11</v>
      </c>
      <c r="E1337" s="6" t="s">
        <v>17</v>
      </c>
      <c r="F1337" s="7">
        <v>42325</v>
      </c>
      <c r="G1337" s="8">
        <f t="shared" si="20"/>
        <v>42325</v>
      </c>
      <c r="H1337" s="6" t="s">
        <v>13</v>
      </c>
      <c r="I1337" s="9">
        <v>50903.094397544599</v>
      </c>
      <c r="J1337" s="62">
        <v>389.08080877198398</v>
      </c>
      <c r="K1337" s="11">
        <v>1</v>
      </c>
    </row>
    <row r="1338" spans="1:11" x14ac:dyDescent="0.25">
      <c r="A1338" s="3" t="s">
        <v>2694</v>
      </c>
      <c r="B1338" s="4" t="s">
        <v>2695</v>
      </c>
      <c r="C1338" s="5">
        <v>196309</v>
      </c>
      <c r="D1338" s="6" t="s">
        <v>28</v>
      </c>
      <c r="E1338" s="6" t="s">
        <v>17</v>
      </c>
      <c r="F1338" s="7">
        <v>42307</v>
      </c>
      <c r="G1338" s="8">
        <f t="shared" si="20"/>
        <v>42307</v>
      </c>
      <c r="H1338" s="6" t="s">
        <v>13</v>
      </c>
      <c r="I1338" s="9">
        <v>11054.688741412101</v>
      </c>
      <c r="J1338" s="62">
        <v>146.46695423532501</v>
      </c>
      <c r="K1338" s="17">
        <v>1</v>
      </c>
    </row>
    <row r="1339" spans="1:11" x14ac:dyDescent="0.25">
      <c r="A1339" s="3" t="s">
        <v>2696</v>
      </c>
      <c r="B1339" s="4" t="s">
        <v>2697</v>
      </c>
      <c r="C1339" s="5">
        <v>198548</v>
      </c>
      <c r="D1339" s="6" t="s">
        <v>16</v>
      </c>
      <c r="E1339" s="6" t="s">
        <v>17</v>
      </c>
      <c r="F1339" s="7">
        <v>42332</v>
      </c>
      <c r="G1339" s="8">
        <f t="shared" si="20"/>
        <v>42332</v>
      </c>
      <c r="H1339" s="6" t="s">
        <v>13</v>
      </c>
      <c r="I1339" s="9">
        <v>2876.8961242460496</v>
      </c>
      <c r="J1339" s="62">
        <v>91.193986993372903</v>
      </c>
      <c r="K1339" s="17">
        <v>1</v>
      </c>
    </row>
    <row r="1340" spans="1:11" x14ac:dyDescent="0.25">
      <c r="A1340" s="3" t="s">
        <v>2698</v>
      </c>
      <c r="B1340" s="4" t="s">
        <v>2699</v>
      </c>
      <c r="C1340" s="5">
        <v>196964</v>
      </c>
      <c r="D1340" s="6" t="s">
        <v>11</v>
      </c>
      <c r="E1340" s="6" t="s">
        <v>12</v>
      </c>
      <c r="F1340" s="7">
        <v>42346</v>
      </c>
      <c r="G1340" s="8">
        <f t="shared" si="20"/>
        <v>42346</v>
      </c>
      <c r="H1340" s="6" t="s">
        <v>39</v>
      </c>
      <c r="I1340" s="9">
        <v>179726.81866457299</v>
      </c>
      <c r="J1340" s="62">
        <v>922.21122045769698</v>
      </c>
      <c r="K1340" s="17">
        <v>3</v>
      </c>
    </row>
    <row r="1341" spans="1:11" x14ac:dyDescent="0.25">
      <c r="A1341" s="3" t="s">
        <v>2700</v>
      </c>
      <c r="B1341" s="4" t="s">
        <v>2701</v>
      </c>
      <c r="C1341" s="5">
        <v>196967</v>
      </c>
      <c r="D1341" s="6" t="s">
        <v>11</v>
      </c>
      <c r="E1341" s="6" t="s">
        <v>12</v>
      </c>
      <c r="F1341" s="7">
        <v>42346</v>
      </c>
      <c r="G1341" s="8">
        <f t="shared" si="20"/>
        <v>42346</v>
      </c>
      <c r="H1341" s="6" t="s">
        <v>39</v>
      </c>
      <c r="I1341" s="9">
        <v>86733.849098851904</v>
      </c>
      <c r="J1341" s="62">
        <v>419.37899828771799</v>
      </c>
      <c r="K1341" s="17">
        <v>1</v>
      </c>
    </row>
    <row r="1342" spans="1:11" x14ac:dyDescent="0.25">
      <c r="A1342" s="3" t="s">
        <v>2702</v>
      </c>
      <c r="B1342" s="4" t="s">
        <v>2703</v>
      </c>
      <c r="C1342" s="5">
        <v>195995</v>
      </c>
      <c r="D1342" s="6" t="s">
        <v>11</v>
      </c>
      <c r="E1342" s="6" t="s">
        <v>12</v>
      </c>
      <c r="F1342" s="7">
        <v>42327</v>
      </c>
      <c r="G1342" s="8">
        <f t="shared" si="20"/>
        <v>42327</v>
      </c>
      <c r="H1342" s="6" t="s">
        <v>39</v>
      </c>
      <c r="I1342" s="9">
        <v>16198.7580149204</v>
      </c>
      <c r="J1342" s="62">
        <v>352.313192743532</v>
      </c>
      <c r="K1342" s="17">
        <v>1</v>
      </c>
    </row>
    <row r="1343" spans="1:11" x14ac:dyDescent="0.25">
      <c r="A1343" s="3" t="s">
        <v>2704</v>
      </c>
      <c r="B1343" s="4" t="s">
        <v>2705</v>
      </c>
      <c r="C1343" s="5">
        <v>198868</v>
      </c>
      <c r="D1343" s="6" t="s">
        <v>16</v>
      </c>
      <c r="E1343" s="6" t="s">
        <v>17</v>
      </c>
      <c r="F1343" s="7">
        <v>42403</v>
      </c>
      <c r="G1343" s="8">
        <f t="shared" si="20"/>
        <v>42403</v>
      </c>
      <c r="H1343" s="6" t="s">
        <v>13</v>
      </c>
      <c r="I1343" s="9">
        <v>5324.8451807235797</v>
      </c>
      <c r="J1343" s="62">
        <v>202.882430340295</v>
      </c>
      <c r="K1343" s="17">
        <v>1</v>
      </c>
    </row>
    <row r="1344" spans="1:11" x14ac:dyDescent="0.25">
      <c r="A1344" s="3" t="s">
        <v>2706</v>
      </c>
      <c r="B1344" s="4" t="s">
        <v>2707</v>
      </c>
      <c r="C1344" s="5">
        <v>198564</v>
      </c>
      <c r="D1344" s="6" t="s">
        <v>16</v>
      </c>
      <c r="E1344" s="6" t="s">
        <v>17</v>
      </c>
      <c r="F1344" s="7">
        <v>42403</v>
      </c>
      <c r="G1344" s="8">
        <f t="shared" si="20"/>
        <v>42403</v>
      </c>
      <c r="H1344" s="6" t="s">
        <v>13</v>
      </c>
      <c r="I1344" s="9">
        <v>5500.4532048045094</v>
      </c>
      <c r="J1344" s="62">
        <v>83.266649318199299</v>
      </c>
      <c r="K1344" s="17">
        <v>1</v>
      </c>
    </row>
    <row r="1345" spans="1:11" x14ac:dyDescent="0.25">
      <c r="A1345" s="3" t="s">
        <v>2708</v>
      </c>
      <c r="B1345" s="4" t="s">
        <v>2709</v>
      </c>
      <c r="C1345" s="5">
        <v>195996</v>
      </c>
      <c r="D1345" s="6" t="s">
        <v>11</v>
      </c>
      <c r="E1345" s="6" t="s">
        <v>17</v>
      </c>
      <c r="F1345" s="7">
        <v>42376</v>
      </c>
      <c r="G1345" s="8">
        <f t="shared" si="20"/>
        <v>42376</v>
      </c>
      <c r="H1345" s="6" t="s">
        <v>13</v>
      </c>
      <c r="I1345" s="9">
        <v>37005.951893086902</v>
      </c>
      <c r="J1345" s="62">
        <v>166.635956390291</v>
      </c>
      <c r="K1345" s="17">
        <v>1</v>
      </c>
    </row>
    <row r="1346" spans="1:11" x14ac:dyDescent="0.25">
      <c r="A1346" s="3" t="s">
        <v>2710</v>
      </c>
      <c r="B1346" s="4" t="s">
        <v>2711</v>
      </c>
      <c r="C1346" s="5">
        <v>198230</v>
      </c>
      <c r="D1346" s="6" t="s">
        <v>11</v>
      </c>
      <c r="E1346" s="6" t="s">
        <v>17</v>
      </c>
      <c r="F1346" s="7">
        <v>42408</v>
      </c>
      <c r="G1346" s="8">
        <f t="shared" ref="G1346:G1409" si="21">F1346</f>
        <v>42408</v>
      </c>
      <c r="H1346" s="6" t="s">
        <v>13</v>
      </c>
      <c r="I1346" s="9">
        <v>7267.9465339885801</v>
      </c>
      <c r="J1346" s="62">
        <v>293.87499917545898</v>
      </c>
      <c r="K1346" s="17">
        <v>1</v>
      </c>
    </row>
    <row r="1347" spans="1:11" x14ac:dyDescent="0.25">
      <c r="A1347" s="3" t="s">
        <v>2712</v>
      </c>
      <c r="B1347" s="4" t="s">
        <v>2713</v>
      </c>
      <c r="C1347" s="5">
        <v>207531</v>
      </c>
      <c r="D1347" s="6" t="s">
        <v>28</v>
      </c>
      <c r="E1347" s="6" t="s">
        <v>17</v>
      </c>
      <c r="F1347" s="7">
        <v>38322</v>
      </c>
      <c r="G1347" s="8">
        <f t="shared" si="21"/>
        <v>38322</v>
      </c>
      <c r="H1347" s="6" t="s">
        <v>13</v>
      </c>
      <c r="I1347" s="9" t="s">
        <v>3380</v>
      </c>
      <c r="J1347" s="62" t="s">
        <v>3380</v>
      </c>
      <c r="K1347" s="11">
        <v>1</v>
      </c>
    </row>
    <row r="1348" spans="1:11" x14ac:dyDescent="0.25">
      <c r="A1348" s="3" t="s">
        <v>2714</v>
      </c>
      <c r="B1348" s="4" t="s">
        <v>2715</v>
      </c>
      <c r="C1348" s="5">
        <v>200468</v>
      </c>
      <c r="D1348" s="6" t="s">
        <v>37</v>
      </c>
      <c r="E1348" s="6" t="s">
        <v>38</v>
      </c>
      <c r="F1348" s="7">
        <v>42423</v>
      </c>
      <c r="G1348" s="8">
        <f t="shared" si="21"/>
        <v>42423</v>
      </c>
      <c r="H1348" s="6" t="s">
        <v>39</v>
      </c>
      <c r="I1348" s="9">
        <v>17231.651545633798</v>
      </c>
      <c r="J1348" s="62">
        <v>270.50099357607701</v>
      </c>
      <c r="K1348" s="17">
        <v>1</v>
      </c>
    </row>
    <row r="1349" spans="1:11" x14ac:dyDescent="0.25">
      <c r="A1349" s="3" t="s">
        <v>2716</v>
      </c>
      <c r="B1349" s="4" t="s">
        <v>2717</v>
      </c>
      <c r="C1349" s="5">
        <v>194710</v>
      </c>
      <c r="D1349" s="6" t="s">
        <v>11</v>
      </c>
      <c r="E1349" s="6" t="s">
        <v>12</v>
      </c>
      <c r="F1349" s="7">
        <v>42250</v>
      </c>
      <c r="G1349" s="8">
        <f t="shared" si="21"/>
        <v>42250</v>
      </c>
      <c r="H1349" s="6" t="s">
        <v>39</v>
      </c>
      <c r="I1349" s="9">
        <v>22860.742869645703</v>
      </c>
      <c r="J1349" s="62">
        <v>632.40427479015204</v>
      </c>
      <c r="K1349" s="17">
        <v>2</v>
      </c>
    </row>
    <row r="1350" spans="1:11" x14ac:dyDescent="0.25">
      <c r="A1350" s="3" t="s">
        <v>2718</v>
      </c>
      <c r="B1350" s="4" t="s">
        <v>2719</v>
      </c>
      <c r="C1350" s="5">
        <v>202708</v>
      </c>
      <c r="D1350" s="6" t="s">
        <v>11</v>
      </c>
      <c r="E1350" s="6" t="s">
        <v>17</v>
      </c>
      <c r="F1350" s="7">
        <v>42496</v>
      </c>
      <c r="G1350" s="8">
        <f t="shared" si="21"/>
        <v>42496</v>
      </c>
      <c r="H1350" s="6" t="s">
        <v>13</v>
      </c>
      <c r="I1350" s="9">
        <v>5123.6486329368599</v>
      </c>
      <c r="J1350" s="62">
        <v>119.380993726312</v>
      </c>
      <c r="K1350" s="17">
        <v>1</v>
      </c>
    </row>
    <row r="1351" spans="1:11" x14ac:dyDescent="0.25">
      <c r="A1351" s="3" t="s">
        <v>2720</v>
      </c>
      <c r="B1351" s="4" t="s">
        <v>2721</v>
      </c>
      <c r="C1351" s="5">
        <v>201124</v>
      </c>
      <c r="D1351" s="6" t="s">
        <v>11</v>
      </c>
      <c r="E1351" s="6" t="s">
        <v>12</v>
      </c>
      <c r="F1351" s="7">
        <v>42451</v>
      </c>
      <c r="G1351" s="8">
        <f t="shared" si="21"/>
        <v>42451</v>
      </c>
      <c r="H1351" s="6" t="s">
        <v>39</v>
      </c>
      <c r="I1351" s="9">
        <v>17763.156959584499</v>
      </c>
      <c r="J1351" s="62">
        <v>220.88210107628501</v>
      </c>
      <c r="K1351" s="17">
        <v>1</v>
      </c>
    </row>
    <row r="1352" spans="1:11" x14ac:dyDescent="0.25">
      <c r="A1352" s="3" t="s">
        <v>2722</v>
      </c>
      <c r="B1352" s="4" t="s">
        <v>2723</v>
      </c>
      <c r="C1352" s="5">
        <v>200486</v>
      </c>
      <c r="D1352" s="6" t="s">
        <v>16</v>
      </c>
      <c r="E1352" s="6" t="s">
        <v>17</v>
      </c>
      <c r="F1352" s="7">
        <v>42431</v>
      </c>
      <c r="G1352" s="8">
        <f t="shared" si="21"/>
        <v>42431</v>
      </c>
      <c r="H1352" s="6" t="s">
        <v>13</v>
      </c>
      <c r="I1352" s="9">
        <v>7054.6501241413807</v>
      </c>
      <c r="J1352" s="62">
        <v>154.78163146755301</v>
      </c>
      <c r="K1352" s="17">
        <v>1</v>
      </c>
    </row>
    <row r="1353" spans="1:11" x14ac:dyDescent="0.25">
      <c r="A1353" s="3" t="s">
        <v>2724</v>
      </c>
      <c r="B1353" s="4" t="s">
        <v>2725</v>
      </c>
      <c r="C1353" s="5">
        <v>201143</v>
      </c>
      <c r="D1353" s="6" t="s">
        <v>16</v>
      </c>
      <c r="E1353" s="6" t="s">
        <v>17</v>
      </c>
      <c r="F1353" s="7">
        <v>42458</v>
      </c>
      <c r="G1353" s="8">
        <f t="shared" si="21"/>
        <v>42458</v>
      </c>
      <c r="H1353" s="6" t="s">
        <v>13</v>
      </c>
      <c r="I1353" s="9">
        <v>2745.7455245505898</v>
      </c>
      <c r="J1353" s="62">
        <v>305.93881524637197</v>
      </c>
      <c r="K1353" s="17">
        <v>1</v>
      </c>
    </row>
    <row r="1354" spans="1:11" x14ac:dyDescent="0.25">
      <c r="A1354" s="3" t="s">
        <v>2726</v>
      </c>
      <c r="B1354" s="4" t="s">
        <v>2727</v>
      </c>
      <c r="C1354" s="5">
        <v>207530</v>
      </c>
      <c r="D1354" s="6" t="s">
        <v>11</v>
      </c>
      <c r="E1354" s="6" t="s">
        <v>17</v>
      </c>
      <c r="F1354" s="7">
        <v>42755</v>
      </c>
      <c r="G1354" s="8">
        <f t="shared" si="21"/>
        <v>42755</v>
      </c>
      <c r="H1354" s="6" t="s">
        <v>13</v>
      </c>
      <c r="I1354" s="9">
        <v>516.33583923294202</v>
      </c>
      <c r="J1354" s="62">
        <v>164.284528071436</v>
      </c>
      <c r="K1354" s="11">
        <v>1</v>
      </c>
    </row>
    <row r="1355" spans="1:11" x14ac:dyDescent="0.25">
      <c r="A1355" s="3" t="s">
        <v>2728</v>
      </c>
      <c r="B1355" s="4" t="s">
        <v>2729</v>
      </c>
      <c r="C1355" s="5">
        <v>199508</v>
      </c>
      <c r="D1355" s="6" t="s">
        <v>37</v>
      </c>
      <c r="E1355" s="6" t="s">
        <v>38</v>
      </c>
      <c r="F1355" s="7">
        <v>42410</v>
      </c>
      <c r="G1355" s="8">
        <f t="shared" si="21"/>
        <v>42410</v>
      </c>
      <c r="H1355" s="6" t="s">
        <v>39</v>
      </c>
      <c r="I1355" s="9">
        <v>32777.1765131184</v>
      </c>
      <c r="J1355" s="62">
        <v>246.98397937561501</v>
      </c>
      <c r="K1355" s="17">
        <v>1</v>
      </c>
    </row>
    <row r="1356" spans="1:11" x14ac:dyDescent="0.25">
      <c r="A1356" s="3" t="s">
        <v>2730</v>
      </c>
      <c r="B1356" s="4" t="s">
        <v>2731</v>
      </c>
      <c r="C1356" s="5">
        <v>206580</v>
      </c>
      <c r="D1356" s="6" t="s">
        <v>28</v>
      </c>
      <c r="E1356" s="6" t="s">
        <v>508</v>
      </c>
      <c r="F1356" s="7">
        <v>42599</v>
      </c>
      <c r="G1356" s="8">
        <f t="shared" si="21"/>
        <v>42599</v>
      </c>
      <c r="H1356" s="6" t="s">
        <v>509</v>
      </c>
      <c r="I1356" s="9">
        <v>43949.9398834893</v>
      </c>
      <c r="J1356" s="62">
        <v>389.31286523535999</v>
      </c>
      <c r="K1356" s="11">
        <v>1</v>
      </c>
    </row>
    <row r="1357" spans="1:11" x14ac:dyDescent="0.25">
      <c r="A1357" s="3" t="s">
        <v>2732</v>
      </c>
      <c r="B1357" s="4" t="s">
        <v>2733</v>
      </c>
      <c r="C1357" s="5">
        <v>203989</v>
      </c>
      <c r="D1357" s="6" t="s">
        <v>11</v>
      </c>
      <c r="E1357" s="6" t="s">
        <v>17</v>
      </c>
      <c r="F1357" s="7">
        <v>42530</v>
      </c>
      <c r="G1357" s="8">
        <f t="shared" si="21"/>
        <v>42530</v>
      </c>
      <c r="H1357" s="6" t="s">
        <v>13</v>
      </c>
      <c r="I1357" s="9">
        <v>70681.7411553579</v>
      </c>
      <c r="J1357" s="62">
        <v>229.213794571546</v>
      </c>
      <c r="K1357" s="11">
        <v>2</v>
      </c>
    </row>
    <row r="1358" spans="1:11" x14ac:dyDescent="0.25">
      <c r="A1358" s="3" t="s">
        <v>2734</v>
      </c>
      <c r="B1358" s="4" t="s">
        <v>2735</v>
      </c>
      <c r="C1358" s="5">
        <v>203668</v>
      </c>
      <c r="D1358" s="6" t="s">
        <v>34</v>
      </c>
      <c r="E1358" s="6" t="s">
        <v>17</v>
      </c>
      <c r="F1358" s="7">
        <v>42614</v>
      </c>
      <c r="G1358" s="8">
        <f t="shared" si="21"/>
        <v>42614</v>
      </c>
      <c r="H1358" s="6" t="s">
        <v>13</v>
      </c>
      <c r="I1358" s="9">
        <v>10947.828933621</v>
      </c>
      <c r="J1358" s="62">
        <v>199.252442389077</v>
      </c>
      <c r="K1358" s="11">
        <v>1</v>
      </c>
    </row>
    <row r="1359" spans="1:11" x14ac:dyDescent="0.25">
      <c r="A1359" s="3" t="s">
        <v>2736</v>
      </c>
      <c r="B1359" s="4" t="s">
        <v>2737</v>
      </c>
      <c r="C1359" s="5">
        <v>203348</v>
      </c>
      <c r="D1359" s="6" t="s">
        <v>11</v>
      </c>
      <c r="E1359" s="6" t="s">
        <v>12</v>
      </c>
      <c r="F1359" s="7">
        <v>42510</v>
      </c>
      <c r="G1359" s="8">
        <f t="shared" si="21"/>
        <v>42510</v>
      </c>
      <c r="H1359" s="6" t="s">
        <v>39</v>
      </c>
      <c r="I1359" s="9">
        <v>26951.974691462103</v>
      </c>
      <c r="J1359" s="62">
        <v>208.43397367593201</v>
      </c>
      <c r="K1359" s="17">
        <v>1</v>
      </c>
    </row>
    <row r="1360" spans="1:11" x14ac:dyDescent="0.25">
      <c r="A1360" s="3" t="s">
        <v>2738</v>
      </c>
      <c r="B1360" s="4" t="s">
        <v>2739</v>
      </c>
      <c r="C1360" s="5">
        <v>206548</v>
      </c>
      <c r="D1360" s="6" t="s">
        <v>31</v>
      </c>
      <c r="E1360" s="6" t="s">
        <v>17</v>
      </c>
      <c r="F1360" s="7">
        <v>42600</v>
      </c>
      <c r="G1360" s="8">
        <f t="shared" si="21"/>
        <v>42600</v>
      </c>
      <c r="H1360" s="6" t="s">
        <v>13</v>
      </c>
      <c r="I1360" s="9" t="s">
        <v>3380</v>
      </c>
      <c r="J1360" s="62" t="s">
        <v>3380</v>
      </c>
      <c r="K1360" s="11">
        <v>1</v>
      </c>
    </row>
    <row r="1361" spans="1:11" x14ac:dyDescent="0.25">
      <c r="A1361" s="3" t="s">
        <v>2740</v>
      </c>
      <c r="B1361" s="4" t="s">
        <v>2741</v>
      </c>
      <c r="C1361" s="5">
        <v>206900</v>
      </c>
      <c r="D1361" s="6" t="s">
        <v>11</v>
      </c>
      <c r="E1361" s="6" t="s">
        <v>17</v>
      </c>
      <c r="F1361" s="7">
        <v>42640</v>
      </c>
      <c r="G1361" s="8">
        <f t="shared" si="21"/>
        <v>42640</v>
      </c>
      <c r="H1361" s="6" t="s">
        <v>13</v>
      </c>
      <c r="I1361" s="9">
        <v>45150.684166584098</v>
      </c>
      <c r="J1361" s="62">
        <v>141.25736895915</v>
      </c>
      <c r="K1361" s="11">
        <v>1</v>
      </c>
    </row>
    <row r="1362" spans="1:11" x14ac:dyDescent="0.25">
      <c r="A1362" s="48" t="s">
        <v>2742</v>
      </c>
      <c r="B1362" s="4" t="s">
        <v>2743</v>
      </c>
      <c r="C1362" s="5">
        <v>207221</v>
      </c>
      <c r="D1362" s="6" t="s">
        <v>11</v>
      </c>
      <c r="E1362" s="6" t="s">
        <v>12</v>
      </c>
      <c r="F1362" s="7">
        <v>42675</v>
      </c>
      <c r="G1362" s="8">
        <f t="shared" si="21"/>
        <v>42675</v>
      </c>
      <c r="H1362" s="6" t="s">
        <v>39</v>
      </c>
      <c r="I1362" s="9">
        <v>21643.867698997201</v>
      </c>
      <c r="J1362" s="62">
        <v>137.494647024801</v>
      </c>
      <c r="K1362" s="14">
        <v>1</v>
      </c>
    </row>
    <row r="1363" spans="1:11" x14ac:dyDescent="0.25">
      <c r="A1363" s="49" t="s">
        <v>2744</v>
      </c>
      <c r="B1363" s="4" t="s">
        <v>2745</v>
      </c>
      <c r="C1363" s="5">
        <v>206948</v>
      </c>
      <c r="D1363" s="6" t="s">
        <v>34</v>
      </c>
      <c r="E1363" s="6" t="s">
        <v>17</v>
      </c>
      <c r="F1363" s="7">
        <v>42726</v>
      </c>
      <c r="G1363" s="8">
        <f t="shared" si="21"/>
        <v>42726</v>
      </c>
      <c r="H1363" s="6" t="s">
        <v>13</v>
      </c>
      <c r="I1363" s="9">
        <v>12421.018837744101</v>
      </c>
      <c r="J1363" s="62">
        <v>154.49008091560299</v>
      </c>
      <c r="K1363" s="14">
        <v>1</v>
      </c>
    </row>
    <row r="1364" spans="1:11" x14ac:dyDescent="0.25">
      <c r="A1364" s="48" t="s">
        <v>2746</v>
      </c>
      <c r="B1364" s="4" t="s">
        <v>2747</v>
      </c>
      <c r="C1364" s="5">
        <v>207831</v>
      </c>
      <c r="D1364" s="6" t="s">
        <v>11</v>
      </c>
      <c r="E1364" s="6" t="s">
        <v>12</v>
      </c>
      <c r="F1364" s="7">
        <v>42754</v>
      </c>
      <c r="G1364" s="8">
        <f t="shared" si="21"/>
        <v>42754</v>
      </c>
      <c r="H1364" s="6" t="s">
        <v>39</v>
      </c>
      <c r="I1364" s="9">
        <v>18586.7458082876</v>
      </c>
      <c r="J1364" s="62">
        <v>449.89408576205398</v>
      </c>
      <c r="K1364" s="14">
        <v>1</v>
      </c>
    </row>
    <row r="1365" spans="1:11" x14ac:dyDescent="0.25">
      <c r="A1365" s="49" t="s">
        <v>2748</v>
      </c>
      <c r="B1365" s="4" t="s">
        <v>2749</v>
      </c>
      <c r="C1365" s="5">
        <v>207556</v>
      </c>
      <c r="D1365" s="6" t="s">
        <v>16</v>
      </c>
      <c r="E1365" s="6" t="s">
        <v>17</v>
      </c>
      <c r="F1365" s="7">
        <v>42762</v>
      </c>
      <c r="G1365" s="8">
        <f t="shared" si="21"/>
        <v>42762</v>
      </c>
      <c r="H1365" s="6" t="s">
        <v>13</v>
      </c>
      <c r="I1365" s="9">
        <v>18447.0236786676</v>
      </c>
      <c r="J1365" s="62">
        <v>396.921473365466</v>
      </c>
      <c r="K1365" s="14">
        <v>2</v>
      </c>
    </row>
    <row r="1366" spans="1:11" x14ac:dyDescent="0.25">
      <c r="A1366" s="49" t="s">
        <v>2750</v>
      </c>
      <c r="B1366" s="4" t="s">
        <v>2751</v>
      </c>
      <c r="C1366" s="5">
        <v>208148</v>
      </c>
      <c r="D1366" s="6" t="s">
        <v>31</v>
      </c>
      <c r="E1366" s="6" t="s">
        <v>17</v>
      </c>
      <c r="F1366" s="7">
        <v>42741</v>
      </c>
      <c r="G1366" s="8">
        <f t="shared" si="21"/>
        <v>42741</v>
      </c>
      <c r="H1366" s="6" t="s">
        <v>13</v>
      </c>
      <c r="I1366" s="9">
        <v>5622.91313238566</v>
      </c>
      <c r="J1366" s="62">
        <v>266.01343569670797</v>
      </c>
      <c r="K1366" s="14">
        <v>1</v>
      </c>
    </row>
    <row r="1367" spans="1:11" x14ac:dyDescent="0.25">
      <c r="A1367" s="49" t="s">
        <v>2752</v>
      </c>
      <c r="B1367" s="4" t="s">
        <v>2753</v>
      </c>
      <c r="C1367" s="5">
        <v>209129</v>
      </c>
      <c r="D1367" s="6" t="s">
        <v>37</v>
      </c>
      <c r="E1367" s="6" t="s">
        <v>17</v>
      </c>
      <c r="F1367" s="7">
        <v>42775</v>
      </c>
      <c r="G1367" s="8">
        <f t="shared" si="21"/>
        <v>42775</v>
      </c>
      <c r="H1367" s="6" t="s">
        <v>39</v>
      </c>
      <c r="I1367" s="9">
        <v>134998.01094338001</v>
      </c>
      <c r="J1367" s="62">
        <v>731.72409818084805</v>
      </c>
      <c r="K1367" s="14">
        <v>2</v>
      </c>
    </row>
    <row r="1368" spans="1:11" x14ac:dyDescent="0.25">
      <c r="A1368" s="49" t="s">
        <v>2754</v>
      </c>
      <c r="B1368" s="4" t="s">
        <v>2755</v>
      </c>
      <c r="C1368" s="5">
        <v>208468</v>
      </c>
      <c r="D1368" s="6" t="s">
        <v>16</v>
      </c>
      <c r="E1368" s="6" t="s">
        <v>17</v>
      </c>
      <c r="F1368" s="7">
        <v>42826</v>
      </c>
      <c r="G1368" s="8">
        <f t="shared" si="21"/>
        <v>42826</v>
      </c>
      <c r="H1368" s="6" t="s">
        <v>13</v>
      </c>
      <c r="I1368" s="9">
        <v>8384.6274425620104</v>
      </c>
      <c r="J1368" s="62">
        <v>81.894242806730404</v>
      </c>
      <c r="K1368" s="14">
        <v>1</v>
      </c>
    </row>
    <row r="1369" spans="1:11" x14ac:dyDescent="0.25">
      <c r="A1369" s="49" t="s">
        <v>2756</v>
      </c>
      <c r="B1369" s="4" t="s">
        <v>2757</v>
      </c>
      <c r="C1369" s="5">
        <v>209444</v>
      </c>
      <c r="D1369" s="6" t="s">
        <v>28</v>
      </c>
      <c r="E1369" s="6" t="s">
        <v>17</v>
      </c>
      <c r="F1369" s="7">
        <v>42821</v>
      </c>
      <c r="G1369" s="8">
        <f t="shared" si="21"/>
        <v>42821</v>
      </c>
      <c r="H1369" s="6" t="s">
        <v>13</v>
      </c>
      <c r="I1369" s="9">
        <v>42186.1618639437</v>
      </c>
      <c r="J1369" s="62">
        <v>368.818950772297</v>
      </c>
      <c r="K1369" s="14">
        <v>1</v>
      </c>
    </row>
    <row r="1370" spans="1:11" x14ac:dyDescent="0.25">
      <c r="A1370" s="49" t="s">
        <v>2758</v>
      </c>
      <c r="B1370" s="4" t="s">
        <v>2759</v>
      </c>
      <c r="C1370" s="5">
        <v>209428</v>
      </c>
      <c r="D1370" s="6" t="s">
        <v>34</v>
      </c>
      <c r="E1370" s="6" t="s">
        <v>17</v>
      </c>
      <c r="F1370" s="7">
        <v>42863</v>
      </c>
      <c r="G1370" s="8">
        <f t="shared" si="21"/>
        <v>42863</v>
      </c>
      <c r="H1370" s="6" t="s">
        <v>13</v>
      </c>
      <c r="I1370" s="9">
        <v>8159.8905270130599</v>
      </c>
      <c r="J1370" s="62">
        <v>120.19868273004801</v>
      </c>
      <c r="K1370" s="14">
        <v>1</v>
      </c>
    </row>
    <row r="1371" spans="1:11" x14ac:dyDescent="0.25">
      <c r="A1371" s="49" t="s">
        <v>2760</v>
      </c>
      <c r="B1371" s="4" t="s">
        <v>2761</v>
      </c>
      <c r="C1371" s="5">
        <v>211989</v>
      </c>
      <c r="D1371" s="6" t="s">
        <v>31</v>
      </c>
      <c r="E1371" s="6" t="s">
        <v>17</v>
      </c>
      <c r="F1371" s="7">
        <v>42812</v>
      </c>
      <c r="G1371" s="8">
        <f t="shared" si="21"/>
        <v>42812</v>
      </c>
      <c r="H1371" s="6" t="s">
        <v>13</v>
      </c>
      <c r="I1371" s="9">
        <v>20028.6674760034</v>
      </c>
      <c r="J1371" s="62">
        <v>148.51558579278401</v>
      </c>
      <c r="K1371" s="14">
        <v>1</v>
      </c>
    </row>
    <row r="1372" spans="1:11" x14ac:dyDescent="0.25">
      <c r="A1372" s="49" t="s">
        <v>2762</v>
      </c>
      <c r="B1372" s="4" t="s">
        <v>2763</v>
      </c>
      <c r="C1372" s="5">
        <v>211032</v>
      </c>
      <c r="D1372" s="6" t="s">
        <v>34</v>
      </c>
      <c r="E1372" s="6" t="s">
        <v>17</v>
      </c>
      <c r="F1372" s="7">
        <v>42713</v>
      </c>
      <c r="G1372" s="8">
        <f t="shared" si="21"/>
        <v>42713</v>
      </c>
      <c r="H1372" s="6" t="s">
        <v>13</v>
      </c>
      <c r="I1372" s="9">
        <v>30505.716079639798</v>
      </c>
      <c r="J1372" s="62">
        <v>420.65850665445799</v>
      </c>
      <c r="K1372" s="14">
        <v>2</v>
      </c>
    </row>
    <row r="1373" spans="1:11" x14ac:dyDescent="0.25">
      <c r="A1373" s="49" t="s">
        <v>2764</v>
      </c>
      <c r="B1373" s="4" t="s">
        <v>2765</v>
      </c>
      <c r="C1373" s="5">
        <v>210388</v>
      </c>
      <c r="D1373" s="6" t="s">
        <v>28</v>
      </c>
      <c r="E1373" s="6" t="s">
        <v>17</v>
      </c>
      <c r="F1373" s="7">
        <v>42816</v>
      </c>
      <c r="G1373" s="8">
        <f t="shared" si="21"/>
        <v>42816</v>
      </c>
      <c r="H1373" s="6" t="s">
        <v>13</v>
      </c>
      <c r="I1373" s="9">
        <v>60723.607781902996</v>
      </c>
      <c r="J1373" s="62">
        <v>761.30237246339698</v>
      </c>
      <c r="K1373" s="2">
        <v>2</v>
      </c>
    </row>
    <row r="1374" spans="1:11" x14ac:dyDescent="0.25">
      <c r="A1374" s="49" t="s">
        <v>2766</v>
      </c>
      <c r="B1374" s="4" t="s">
        <v>2767</v>
      </c>
      <c r="C1374" s="5">
        <v>213268</v>
      </c>
      <c r="D1374" s="6" t="s">
        <v>34</v>
      </c>
      <c r="E1374" s="6" t="s">
        <v>17</v>
      </c>
      <c r="F1374" s="7">
        <v>42793</v>
      </c>
      <c r="G1374" s="8">
        <f t="shared" si="21"/>
        <v>42793</v>
      </c>
      <c r="H1374" s="6" t="s">
        <v>13</v>
      </c>
      <c r="I1374" s="9">
        <v>15255.969072317401</v>
      </c>
      <c r="J1374" s="62">
        <v>163.42171841051601</v>
      </c>
      <c r="K1374" s="14">
        <v>1</v>
      </c>
    </row>
    <row r="1375" spans="1:11" x14ac:dyDescent="0.25">
      <c r="A1375" s="49" t="s">
        <v>2768</v>
      </c>
      <c r="B1375" s="4" t="s">
        <v>2769</v>
      </c>
      <c r="C1375" s="5">
        <v>210708</v>
      </c>
      <c r="D1375" s="6" t="s">
        <v>11</v>
      </c>
      <c r="E1375" s="6" t="s">
        <v>17</v>
      </c>
      <c r="F1375" s="7">
        <v>42865</v>
      </c>
      <c r="G1375" s="8">
        <f t="shared" si="21"/>
        <v>42865</v>
      </c>
      <c r="H1375" s="6" t="s">
        <v>13</v>
      </c>
      <c r="I1375" s="9">
        <v>13616.7002282947</v>
      </c>
      <c r="J1375" s="62">
        <v>88.012346068348293</v>
      </c>
      <c r="K1375" s="2">
        <v>1</v>
      </c>
    </row>
    <row r="1376" spans="1:11" x14ac:dyDescent="0.25">
      <c r="A1376" s="49" t="s">
        <v>2770</v>
      </c>
      <c r="B1376" s="4" t="s">
        <v>2771</v>
      </c>
      <c r="C1376" s="5">
        <v>212309</v>
      </c>
      <c r="D1376" s="6" t="s">
        <v>34</v>
      </c>
      <c r="E1376" s="6" t="s">
        <v>17</v>
      </c>
      <c r="F1376" s="7">
        <v>42817</v>
      </c>
      <c r="G1376" s="8">
        <f t="shared" si="21"/>
        <v>42817</v>
      </c>
      <c r="H1376" s="6" t="s">
        <v>13</v>
      </c>
      <c r="I1376" s="9">
        <v>37007.385346380703</v>
      </c>
      <c r="J1376" s="62">
        <v>386.76391687650897</v>
      </c>
      <c r="K1376" s="14">
        <v>1</v>
      </c>
    </row>
    <row r="1377" spans="1:11" x14ac:dyDescent="0.25">
      <c r="A1377" s="49" t="s">
        <v>2772</v>
      </c>
      <c r="B1377" s="4" t="s">
        <v>2773</v>
      </c>
      <c r="C1377" s="5">
        <v>216164</v>
      </c>
      <c r="D1377" s="6" t="s">
        <v>28</v>
      </c>
      <c r="E1377" s="6" t="s">
        <v>17</v>
      </c>
      <c r="F1377" s="7">
        <v>42928</v>
      </c>
      <c r="G1377" s="8">
        <f t="shared" si="21"/>
        <v>42928</v>
      </c>
      <c r="H1377" s="6" t="s">
        <v>13</v>
      </c>
      <c r="I1377" s="9">
        <v>13187.568137089</v>
      </c>
      <c r="J1377" s="62">
        <v>74.425755288393304</v>
      </c>
      <c r="K1377" s="14">
        <v>1</v>
      </c>
    </row>
    <row r="1378" spans="1:11" x14ac:dyDescent="0.25">
      <c r="A1378" s="49" t="s">
        <v>2774</v>
      </c>
      <c r="B1378" s="4" t="s">
        <v>2775</v>
      </c>
      <c r="C1378" s="5">
        <v>214868</v>
      </c>
      <c r="D1378" s="6" t="s">
        <v>11</v>
      </c>
      <c r="E1378" s="6" t="s">
        <v>17</v>
      </c>
      <c r="F1378" s="7">
        <v>42949</v>
      </c>
      <c r="G1378" s="8">
        <f t="shared" si="21"/>
        <v>42949</v>
      </c>
      <c r="H1378" s="6" t="s">
        <v>13</v>
      </c>
      <c r="I1378" s="9">
        <v>12836.9126844442</v>
      </c>
      <c r="J1378" s="62">
        <v>171.72576481625401</v>
      </c>
      <c r="K1378" s="14">
        <v>1</v>
      </c>
    </row>
    <row r="1379" spans="1:11" x14ac:dyDescent="0.25">
      <c r="A1379" s="49" t="s">
        <v>2776</v>
      </c>
      <c r="B1379" s="4" t="s">
        <v>2777</v>
      </c>
      <c r="C1379" s="5">
        <v>216180</v>
      </c>
      <c r="D1379" s="6" t="s">
        <v>11</v>
      </c>
      <c r="E1379" s="6" t="s">
        <v>12</v>
      </c>
      <c r="F1379" s="7">
        <v>43007</v>
      </c>
      <c r="G1379" s="8">
        <f t="shared" si="21"/>
        <v>43007</v>
      </c>
      <c r="H1379" s="6" t="s">
        <v>13</v>
      </c>
      <c r="I1379" s="9">
        <v>22916.368693647499</v>
      </c>
      <c r="J1379" s="62">
        <v>140.44674562278601</v>
      </c>
      <c r="K1379" s="14">
        <v>1</v>
      </c>
    </row>
    <row r="1380" spans="1:11" x14ac:dyDescent="0.25">
      <c r="A1380" s="49" t="s">
        <v>2778</v>
      </c>
      <c r="B1380" s="4" t="s">
        <v>2779</v>
      </c>
      <c r="C1380" s="5">
        <v>217764</v>
      </c>
      <c r="D1380" s="6" t="s">
        <v>11</v>
      </c>
      <c r="E1380" s="6" t="s">
        <v>17</v>
      </c>
      <c r="F1380" s="7">
        <v>43069</v>
      </c>
      <c r="G1380" s="8">
        <f t="shared" si="21"/>
        <v>43069</v>
      </c>
      <c r="H1380" s="6" t="s">
        <v>13</v>
      </c>
      <c r="I1380" s="9">
        <v>95483.191373904207</v>
      </c>
      <c r="J1380" s="62">
        <v>745.15031327631402</v>
      </c>
      <c r="K1380" s="14">
        <v>2</v>
      </c>
    </row>
    <row r="1381" spans="1:11" x14ac:dyDescent="0.25">
      <c r="A1381" s="49" t="s">
        <v>2780</v>
      </c>
      <c r="B1381" s="4" t="s">
        <v>25</v>
      </c>
      <c r="C1381" s="5">
        <v>217124</v>
      </c>
      <c r="D1381" s="6" t="s">
        <v>16</v>
      </c>
      <c r="E1381" s="6" t="s">
        <v>17</v>
      </c>
      <c r="F1381" s="7">
        <v>43033</v>
      </c>
      <c r="G1381" s="8">
        <f t="shared" si="21"/>
        <v>43033</v>
      </c>
      <c r="H1381" s="6" t="s">
        <v>13</v>
      </c>
      <c r="I1381" s="9">
        <v>61182.223262514395</v>
      </c>
      <c r="J1381" s="62">
        <v>477.46574213756202</v>
      </c>
      <c r="K1381" s="14">
        <v>1</v>
      </c>
    </row>
    <row r="1382" spans="1:11" x14ac:dyDescent="0.25">
      <c r="A1382" s="49" t="s">
        <v>2781</v>
      </c>
      <c r="B1382" s="4" t="s">
        <v>2782</v>
      </c>
      <c r="C1382" s="5">
        <v>216517</v>
      </c>
      <c r="D1382" s="6" t="s">
        <v>11</v>
      </c>
      <c r="E1382" s="6" t="s">
        <v>12</v>
      </c>
      <c r="F1382" s="7">
        <v>43053</v>
      </c>
      <c r="G1382" s="8">
        <f t="shared" si="21"/>
        <v>43053</v>
      </c>
      <c r="H1382" s="6" t="s">
        <v>39</v>
      </c>
      <c r="I1382" s="9" t="s">
        <v>3380</v>
      </c>
      <c r="J1382" s="62" t="s">
        <v>3380</v>
      </c>
      <c r="K1382" s="14">
        <v>4</v>
      </c>
    </row>
    <row r="1383" spans="1:11" x14ac:dyDescent="0.25">
      <c r="A1383" s="49" t="s">
        <v>2783</v>
      </c>
      <c r="B1383" s="4" t="s">
        <v>2784</v>
      </c>
      <c r="C1383" s="5">
        <v>220388</v>
      </c>
      <c r="D1383" s="6" t="s">
        <v>28</v>
      </c>
      <c r="E1383" s="6" t="s">
        <v>17</v>
      </c>
      <c r="F1383" s="7">
        <v>43103</v>
      </c>
      <c r="G1383" s="8">
        <f t="shared" si="21"/>
        <v>43103</v>
      </c>
      <c r="H1383" s="6" t="s">
        <v>13</v>
      </c>
      <c r="I1383" s="9">
        <v>4373.9967161697505</v>
      </c>
      <c r="J1383" s="62">
        <v>155.07116017749999</v>
      </c>
      <c r="K1383" s="14">
        <v>1</v>
      </c>
    </row>
    <row r="1384" spans="1:11" x14ac:dyDescent="0.25">
      <c r="A1384" s="49" t="s">
        <v>2785</v>
      </c>
      <c r="B1384" s="4" t="s">
        <v>2786</v>
      </c>
      <c r="C1384" s="5">
        <v>217444</v>
      </c>
      <c r="D1384" s="6" t="s">
        <v>31</v>
      </c>
      <c r="E1384" s="6" t="s">
        <v>17</v>
      </c>
      <c r="F1384" s="7">
        <v>42975</v>
      </c>
      <c r="G1384" s="8">
        <f t="shared" si="21"/>
        <v>42975</v>
      </c>
      <c r="H1384" s="6" t="s">
        <v>13</v>
      </c>
      <c r="I1384" s="9">
        <v>26883.915904071699</v>
      </c>
      <c r="J1384" s="62">
        <v>235.895872717136</v>
      </c>
      <c r="K1384" s="14">
        <v>1</v>
      </c>
    </row>
    <row r="1385" spans="1:11" x14ac:dyDescent="0.25">
      <c r="A1385" s="49" t="s">
        <v>2787</v>
      </c>
      <c r="B1385" s="4" t="s">
        <v>2788</v>
      </c>
      <c r="C1385" s="5">
        <v>219364</v>
      </c>
      <c r="D1385" s="6" t="s">
        <v>11</v>
      </c>
      <c r="E1385" s="6" t="s">
        <v>12</v>
      </c>
      <c r="F1385" s="7">
        <v>43132</v>
      </c>
      <c r="G1385" s="8">
        <f t="shared" si="21"/>
        <v>43132</v>
      </c>
      <c r="H1385" s="6" t="s">
        <v>39</v>
      </c>
      <c r="I1385" s="9">
        <v>27596.797992187399</v>
      </c>
      <c r="J1385" s="62">
        <v>171.696238257392</v>
      </c>
      <c r="K1385" s="14">
        <v>1</v>
      </c>
    </row>
    <row r="1386" spans="1:11" x14ac:dyDescent="0.25">
      <c r="A1386" s="49" t="s">
        <v>2789</v>
      </c>
      <c r="B1386" s="4" t="s">
        <v>2790</v>
      </c>
      <c r="C1386" s="5">
        <v>223012</v>
      </c>
      <c r="D1386" s="6" t="s">
        <v>11</v>
      </c>
      <c r="E1386" s="6" t="s">
        <v>17</v>
      </c>
      <c r="F1386" s="7">
        <v>43167</v>
      </c>
      <c r="G1386" s="8">
        <f t="shared" si="21"/>
        <v>43167</v>
      </c>
      <c r="H1386" s="17" t="s">
        <v>13</v>
      </c>
      <c r="I1386" s="9">
        <v>40730.782518407803</v>
      </c>
      <c r="J1386" s="62">
        <v>194.33241890890599</v>
      </c>
      <c r="K1386" s="17">
        <v>1</v>
      </c>
    </row>
    <row r="1387" spans="1:11" x14ac:dyDescent="0.25">
      <c r="A1387" s="49" t="s">
        <v>2791</v>
      </c>
      <c r="B1387" s="4" t="s">
        <v>2792</v>
      </c>
      <c r="C1387" s="5">
        <v>224932</v>
      </c>
      <c r="D1387" s="6" t="s">
        <v>11</v>
      </c>
      <c r="E1387" s="6" t="s">
        <v>12</v>
      </c>
      <c r="F1387" s="7">
        <v>43132</v>
      </c>
      <c r="G1387" s="8">
        <f t="shared" si="21"/>
        <v>43132</v>
      </c>
      <c r="H1387" s="17" t="s">
        <v>13</v>
      </c>
      <c r="I1387" s="9">
        <v>18225.6736544622</v>
      </c>
      <c r="J1387" s="62">
        <v>145.93777842078299</v>
      </c>
      <c r="K1387" s="17">
        <v>1</v>
      </c>
    </row>
    <row r="1388" spans="1:11" x14ac:dyDescent="0.25">
      <c r="A1388" s="49" t="s">
        <v>2793</v>
      </c>
      <c r="B1388" s="4" t="s">
        <v>2794</v>
      </c>
      <c r="C1388" s="5">
        <v>217767</v>
      </c>
      <c r="D1388" s="6" t="s">
        <v>16</v>
      </c>
      <c r="E1388" s="6" t="s">
        <v>17</v>
      </c>
      <c r="F1388" s="7">
        <v>43069</v>
      </c>
      <c r="G1388" s="8">
        <f t="shared" si="21"/>
        <v>43069</v>
      </c>
      <c r="H1388" s="17" t="s">
        <v>13</v>
      </c>
      <c r="I1388" s="9">
        <v>51666.032232711601</v>
      </c>
      <c r="J1388" s="62">
        <v>753.04452024499005</v>
      </c>
      <c r="K1388" s="17">
        <v>2</v>
      </c>
    </row>
    <row r="1389" spans="1:11" x14ac:dyDescent="0.25">
      <c r="A1389" s="49" t="s">
        <v>2795</v>
      </c>
      <c r="B1389" s="4" t="s">
        <v>2796</v>
      </c>
      <c r="C1389" s="5">
        <v>222996</v>
      </c>
      <c r="D1389" s="6" t="s">
        <v>28</v>
      </c>
      <c r="E1389" s="6" t="s">
        <v>17</v>
      </c>
      <c r="F1389" s="7">
        <v>43167</v>
      </c>
      <c r="G1389" s="8">
        <f t="shared" si="21"/>
        <v>43167</v>
      </c>
      <c r="H1389" s="17" t="s">
        <v>13</v>
      </c>
      <c r="I1389" s="9">
        <v>3670.4049230283999</v>
      </c>
      <c r="J1389" s="62">
        <v>85.521055819577199</v>
      </c>
      <c r="K1389" s="17">
        <v>1</v>
      </c>
    </row>
    <row r="1390" spans="1:11" x14ac:dyDescent="0.25">
      <c r="A1390" s="49" t="s">
        <v>2797</v>
      </c>
      <c r="B1390" s="4" t="s">
        <v>2798</v>
      </c>
      <c r="C1390" s="5">
        <v>222004</v>
      </c>
      <c r="D1390" s="6" t="s">
        <v>37</v>
      </c>
      <c r="E1390" s="6" t="s">
        <v>38</v>
      </c>
      <c r="F1390" s="7">
        <v>43105</v>
      </c>
      <c r="G1390" s="8">
        <f t="shared" si="21"/>
        <v>43105</v>
      </c>
      <c r="H1390" s="17" t="s">
        <v>39</v>
      </c>
      <c r="I1390" s="9">
        <v>33393.860776318099</v>
      </c>
      <c r="J1390" s="62">
        <v>300.34404191886898</v>
      </c>
      <c r="K1390" s="17">
        <v>2</v>
      </c>
    </row>
    <row r="1391" spans="1:11" x14ac:dyDescent="0.25">
      <c r="A1391" s="49" t="s">
        <v>2799</v>
      </c>
      <c r="B1391" s="4" t="s">
        <v>2800</v>
      </c>
      <c r="C1391" s="5">
        <v>226212</v>
      </c>
      <c r="D1391" s="6" t="s">
        <v>11</v>
      </c>
      <c r="E1391" s="6" t="s">
        <v>12</v>
      </c>
      <c r="F1391" s="7">
        <v>43167</v>
      </c>
      <c r="G1391" s="8">
        <f t="shared" si="21"/>
        <v>43167</v>
      </c>
      <c r="H1391" s="17" t="s">
        <v>39</v>
      </c>
      <c r="I1391" s="9">
        <v>46874.194080655005</v>
      </c>
      <c r="J1391" s="62">
        <v>313.18497501617202</v>
      </c>
      <c r="K1391" s="17">
        <v>1</v>
      </c>
    </row>
    <row r="1392" spans="1:11" x14ac:dyDescent="0.25">
      <c r="A1392" s="49" t="s">
        <v>2801</v>
      </c>
      <c r="B1392" s="4" t="s">
        <v>2802</v>
      </c>
      <c r="C1392" s="5">
        <v>222676</v>
      </c>
      <c r="D1392" s="6" t="s">
        <v>28</v>
      </c>
      <c r="E1392" s="6" t="s">
        <v>17</v>
      </c>
      <c r="F1392" s="7">
        <v>43166</v>
      </c>
      <c r="G1392" s="8">
        <f t="shared" si="21"/>
        <v>43166</v>
      </c>
      <c r="H1392" s="17" t="s">
        <v>13</v>
      </c>
      <c r="I1392" s="9">
        <v>4776.5775109001506</v>
      </c>
      <c r="J1392" s="62">
        <v>64.171254377764001</v>
      </c>
      <c r="K1392" s="17">
        <v>1</v>
      </c>
    </row>
    <row r="1393" spans="1:11" x14ac:dyDescent="0.25">
      <c r="A1393" s="49" t="s">
        <v>2803</v>
      </c>
      <c r="B1393" s="4" t="s">
        <v>2804</v>
      </c>
      <c r="C1393" s="5">
        <v>229845</v>
      </c>
      <c r="D1393" s="6" t="s">
        <v>28</v>
      </c>
      <c r="E1393" s="6" t="s">
        <v>17</v>
      </c>
      <c r="F1393" s="7">
        <v>43178</v>
      </c>
      <c r="G1393" s="8">
        <f t="shared" si="21"/>
        <v>43178</v>
      </c>
      <c r="H1393" s="17" t="s">
        <v>13</v>
      </c>
      <c r="I1393" s="9">
        <v>5237.0236100980401</v>
      </c>
      <c r="J1393" s="62">
        <v>86.762360982844697</v>
      </c>
      <c r="K1393" s="17">
        <v>1</v>
      </c>
    </row>
    <row r="1394" spans="1:11" x14ac:dyDescent="0.25">
      <c r="A1394" s="49" t="s">
        <v>2805</v>
      </c>
      <c r="B1394" s="4" t="s">
        <v>2806</v>
      </c>
      <c r="C1394" s="5">
        <v>225252</v>
      </c>
      <c r="D1394" s="6" t="s">
        <v>37</v>
      </c>
      <c r="E1394" s="6" t="s">
        <v>38</v>
      </c>
      <c r="F1394" s="7">
        <v>43179</v>
      </c>
      <c r="G1394" s="8">
        <f t="shared" si="21"/>
        <v>43179</v>
      </c>
      <c r="H1394" s="17" t="s">
        <v>39</v>
      </c>
      <c r="I1394" s="9">
        <v>13762.802662132501</v>
      </c>
      <c r="J1394" s="62">
        <v>270.023076676882</v>
      </c>
      <c r="K1394" s="17">
        <v>1</v>
      </c>
    </row>
    <row r="1395" spans="1:11" x14ac:dyDescent="0.25">
      <c r="A1395" s="49" t="s">
        <v>2807</v>
      </c>
      <c r="B1395" s="4" t="s">
        <v>2808</v>
      </c>
      <c r="C1395" s="5">
        <v>222036</v>
      </c>
      <c r="D1395" s="6" t="s">
        <v>34</v>
      </c>
      <c r="E1395" s="6" t="s">
        <v>17</v>
      </c>
      <c r="F1395" s="7">
        <v>43179</v>
      </c>
      <c r="G1395" s="8">
        <f t="shared" si="21"/>
        <v>43179</v>
      </c>
      <c r="H1395" s="17" t="s">
        <v>13</v>
      </c>
      <c r="I1395" s="9">
        <v>370.24167089181799</v>
      </c>
      <c r="J1395" s="62">
        <v>11.3308825572998</v>
      </c>
      <c r="K1395" s="17">
        <v>1</v>
      </c>
    </row>
    <row r="1396" spans="1:11" x14ac:dyDescent="0.25">
      <c r="A1396" s="49" t="s">
        <v>2809</v>
      </c>
      <c r="B1396" s="4" t="s">
        <v>2810</v>
      </c>
      <c r="C1396" s="5">
        <v>223668</v>
      </c>
      <c r="D1396" s="6" t="s">
        <v>28</v>
      </c>
      <c r="E1396" s="6" t="s">
        <v>17</v>
      </c>
      <c r="F1396" s="7">
        <v>43187</v>
      </c>
      <c r="G1396" s="8">
        <f t="shared" si="21"/>
        <v>43187</v>
      </c>
      <c r="H1396" s="17" t="s">
        <v>13</v>
      </c>
      <c r="I1396" s="9">
        <v>11965.242731370899</v>
      </c>
      <c r="J1396" s="62">
        <v>254.85194779909199</v>
      </c>
      <c r="K1396" s="17">
        <v>1</v>
      </c>
    </row>
    <row r="1397" spans="1:11" x14ac:dyDescent="0.25">
      <c r="A1397" s="49" t="s">
        <v>2811</v>
      </c>
      <c r="B1397" s="4" t="s">
        <v>2812</v>
      </c>
      <c r="C1397" s="5">
        <v>222052</v>
      </c>
      <c r="D1397" s="6" t="s">
        <v>16</v>
      </c>
      <c r="E1397" s="6" t="s">
        <v>17</v>
      </c>
      <c r="F1397" s="7">
        <v>43118</v>
      </c>
      <c r="G1397" s="8">
        <f t="shared" si="21"/>
        <v>43118</v>
      </c>
      <c r="H1397" s="17" t="s">
        <v>13</v>
      </c>
      <c r="I1397" s="9">
        <v>8760.7719786814814</v>
      </c>
      <c r="J1397" s="62">
        <v>265.11822343281699</v>
      </c>
      <c r="K1397" s="17">
        <v>1</v>
      </c>
    </row>
    <row r="1398" spans="1:11" x14ac:dyDescent="0.25">
      <c r="A1398" s="49" t="s">
        <v>2813</v>
      </c>
      <c r="B1398" s="4" t="s">
        <v>2814</v>
      </c>
      <c r="C1398" s="5">
        <v>224612</v>
      </c>
      <c r="D1398" s="6" t="s">
        <v>11</v>
      </c>
      <c r="E1398" s="6" t="s">
        <v>17</v>
      </c>
      <c r="F1398" s="7">
        <v>43213</v>
      </c>
      <c r="G1398" s="8">
        <f t="shared" si="21"/>
        <v>43213</v>
      </c>
      <c r="H1398" s="17" t="s">
        <v>13</v>
      </c>
      <c r="I1398" s="9">
        <v>28498.118270102397</v>
      </c>
      <c r="J1398" s="62">
        <v>271.79443461616899</v>
      </c>
      <c r="K1398" s="17">
        <v>1</v>
      </c>
    </row>
    <row r="1399" spans="1:11" x14ac:dyDescent="0.25">
      <c r="A1399" s="49" t="s">
        <v>2815</v>
      </c>
      <c r="B1399" s="4" t="s">
        <v>2816</v>
      </c>
      <c r="C1399" s="5">
        <v>224308</v>
      </c>
      <c r="D1399" s="6" t="s">
        <v>16</v>
      </c>
      <c r="E1399" s="6" t="s">
        <v>17</v>
      </c>
      <c r="F1399" s="7">
        <v>43206</v>
      </c>
      <c r="G1399" s="8">
        <f t="shared" si="21"/>
        <v>43206</v>
      </c>
      <c r="H1399" s="17" t="s">
        <v>13</v>
      </c>
      <c r="I1399" s="9">
        <v>14282.615641296699</v>
      </c>
      <c r="J1399" s="62">
        <v>216.82978560681499</v>
      </c>
      <c r="K1399" s="17">
        <v>1</v>
      </c>
    </row>
    <row r="1400" spans="1:11" x14ac:dyDescent="0.25">
      <c r="A1400" s="49" t="s">
        <v>2817</v>
      </c>
      <c r="B1400" s="4" t="s">
        <v>2818</v>
      </c>
      <c r="C1400" s="5">
        <v>223332</v>
      </c>
      <c r="D1400" s="6" t="s">
        <v>31</v>
      </c>
      <c r="E1400" s="6" t="s">
        <v>17</v>
      </c>
      <c r="F1400" s="7">
        <v>43216</v>
      </c>
      <c r="G1400" s="8">
        <f t="shared" si="21"/>
        <v>43216</v>
      </c>
      <c r="H1400" s="17" t="s">
        <v>13</v>
      </c>
      <c r="I1400" s="9">
        <v>19603.490123165902</v>
      </c>
      <c r="J1400" s="62">
        <v>376.61389160108098</v>
      </c>
      <c r="K1400" s="17">
        <v>1</v>
      </c>
    </row>
    <row r="1401" spans="1:11" x14ac:dyDescent="0.25">
      <c r="A1401" s="49" t="s">
        <v>2819</v>
      </c>
      <c r="B1401" s="4" t="s">
        <v>2820</v>
      </c>
      <c r="C1401" s="5">
        <v>226532</v>
      </c>
      <c r="D1401" s="6" t="s">
        <v>16</v>
      </c>
      <c r="E1401" s="6" t="s">
        <v>17</v>
      </c>
      <c r="F1401" s="7">
        <v>43235</v>
      </c>
      <c r="G1401" s="8">
        <f t="shared" si="21"/>
        <v>43235</v>
      </c>
      <c r="H1401" s="17" t="s">
        <v>13</v>
      </c>
      <c r="I1401" s="9">
        <v>13422.1352597443</v>
      </c>
      <c r="J1401" s="62">
        <v>315.88019420184298</v>
      </c>
      <c r="K1401" s="17">
        <v>1</v>
      </c>
    </row>
    <row r="1402" spans="1:11" x14ac:dyDescent="0.25">
      <c r="A1402" s="49" t="s">
        <v>2821</v>
      </c>
      <c r="B1402" s="4" t="s">
        <v>2822</v>
      </c>
      <c r="C1402" s="5">
        <v>227605</v>
      </c>
      <c r="D1402" s="6" t="s">
        <v>11</v>
      </c>
      <c r="E1402" s="6" t="s">
        <v>12</v>
      </c>
      <c r="F1402" s="7">
        <v>43246</v>
      </c>
      <c r="G1402" s="8">
        <f t="shared" si="21"/>
        <v>43246</v>
      </c>
      <c r="H1402" s="25" t="s">
        <v>13</v>
      </c>
      <c r="I1402" s="9">
        <v>35808.778576097</v>
      </c>
      <c r="J1402" s="62">
        <v>241.96923717573901</v>
      </c>
      <c r="K1402" s="17">
        <v>1</v>
      </c>
    </row>
    <row r="1403" spans="1:11" x14ac:dyDescent="0.25">
      <c r="A1403" s="49" t="s">
        <v>2823</v>
      </c>
      <c r="B1403" s="4" t="s">
        <v>2824</v>
      </c>
      <c r="C1403" s="5">
        <v>235204</v>
      </c>
      <c r="D1403" s="6" t="s">
        <v>11</v>
      </c>
      <c r="E1403" s="6" t="s">
        <v>12</v>
      </c>
      <c r="F1403" s="7">
        <v>42170</v>
      </c>
      <c r="G1403" s="8">
        <f t="shared" si="21"/>
        <v>42170</v>
      </c>
      <c r="H1403" s="17" t="s">
        <v>39</v>
      </c>
      <c r="I1403" s="9">
        <v>52779.186763273305</v>
      </c>
      <c r="J1403" s="62">
        <v>228.64066108191901</v>
      </c>
      <c r="K1403" s="17">
        <v>1</v>
      </c>
    </row>
    <row r="1404" spans="1:11" x14ac:dyDescent="0.25">
      <c r="A1404" s="49" t="s">
        <v>2825</v>
      </c>
      <c r="B1404" s="4" t="s">
        <v>2826</v>
      </c>
      <c r="C1404" s="5">
        <v>228788</v>
      </c>
      <c r="D1404" s="6" t="s">
        <v>34</v>
      </c>
      <c r="E1404" s="6" t="s">
        <v>17</v>
      </c>
      <c r="F1404" s="7">
        <v>43269</v>
      </c>
      <c r="G1404" s="8">
        <f t="shared" si="21"/>
        <v>43269</v>
      </c>
      <c r="H1404" s="17" t="s">
        <v>13</v>
      </c>
      <c r="I1404" s="9">
        <v>17513.402222196302</v>
      </c>
      <c r="J1404" s="62">
        <v>340.97659616183103</v>
      </c>
      <c r="K1404" s="17">
        <v>1</v>
      </c>
    </row>
    <row r="1405" spans="1:11" x14ac:dyDescent="0.25">
      <c r="A1405" s="49" t="s">
        <v>2827</v>
      </c>
      <c r="B1405" s="4" t="s">
        <v>2828</v>
      </c>
      <c r="C1405" s="5">
        <v>228151</v>
      </c>
      <c r="D1405" s="6" t="s">
        <v>16</v>
      </c>
      <c r="E1405" s="6" t="s">
        <v>17</v>
      </c>
      <c r="F1405" s="7">
        <v>43276</v>
      </c>
      <c r="G1405" s="8">
        <f t="shared" si="21"/>
        <v>43276</v>
      </c>
      <c r="H1405" s="17" t="s">
        <v>13</v>
      </c>
      <c r="I1405" s="9">
        <v>12478.307544208101</v>
      </c>
      <c r="J1405" s="62">
        <v>608.85417531858798</v>
      </c>
      <c r="K1405" s="17">
        <v>1</v>
      </c>
    </row>
    <row r="1406" spans="1:11" x14ac:dyDescent="0.25">
      <c r="A1406" s="49" t="s">
        <v>2829</v>
      </c>
      <c r="B1406" s="4" t="s">
        <v>2830</v>
      </c>
      <c r="C1406" s="5">
        <v>229788</v>
      </c>
      <c r="D1406" s="6" t="s">
        <v>11</v>
      </c>
      <c r="E1406" s="6" t="s">
        <v>12</v>
      </c>
      <c r="F1406" s="7">
        <v>43286</v>
      </c>
      <c r="G1406" s="8">
        <f t="shared" si="21"/>
        <v>43286</v>
      </c>
      <c r="H1406" s="25" t="s">
        <v>39</v>
      </c>
      <c r="I1406" s="9">
        <v>1080.1828349783</v>
      </c>
      <c r="J1406" s="62">
        <v>137.12078686987701</v>
      </c>
      <c r="K1406" s="17">
        <v>1</v>
      </c>
    </row>
    <row r="1407" spans="1:11" x14ac:dyDescent="0.25">
      <c r="A1407" s="49" t="s">
        <v>2831</v>
      </c>
      <c r="B1407" s="4" t="s">
        <v>2832</v>
      </c>
      <c r="C1407" s="5">
        <v>223972</v>
      </c>
      <c r="D1407" s="6" t="s">
        <v>11</v>
      </c>
      <c r="E1407" s="6" t="s">
        <v>12</v>
      </c>
      <c r="F1407" s="7">
        <v>43293</v>
      </c>
      <c r="G1407" s="8">
        <f t="shared" si="21"/>
        <v>43293</v>
      </c>
      <c r="H1407" s="6" t="s">
        <v>13</v>
      </c>
      <c r="I1407" s="9">
        <v>20803.944616317898</v>
      </c>
      <c r="J1407" s="62">
        <v>159.30510933214001</v>
      </c>
      <c r="K1407" s="17">
        <v>1</v>
      </c>
    </row>
    <row r="1408" spans="1:11" x14ac:dyDescent="0.25">
      <c r="A1408" s="49" t="s">
        <v>2833</v>
      </c>
      <c r="B1408" s="4" t="s">
        <v>2834</v>
      </c>
      <c r="C1408" s="5">
        <v>227174</v>
      </c>
      <c r="D1408" s="6" t="s">
        <v>28</v>
      </c>
      <c r="E1408" s="6" t="s">
        <v>17</v>
      </c>
      <c r="F1408" s="7">
        <v>43294</v>
      </c>
      <c r="G1408" s="8">
        <f t="shared" si="21"/>
        <v>43294</v>
      </c>
      <c r="H1408" s="17" t="s">
        <v>13</v>
      </c>
      <c r="I1408" s="9">
        <v>34783.506415320306</v>
      </c>
      <c r="J1408" s="62">
        <v>167.71488325706</v>
      </c>
      <c r="K1408" s="17">
        <v>1</v>
      </c>
    </row>
    <row r="1409" spans="1:11" x14ac:dyDescent="0.25">
      <c r="A1409" s="49" t="s">
        <v>2835</v>
      </c>
      <c r="B1409" s="4" t="s">
        <v>2836</v>
      </c>
      <c r="C1409" s="5">
        <v>231988</v>
      </c>
      <c r="D1409" s="6" t="s">
        <v>11</v>
      </c>
      <c r="E1409" s="6" t="s">
        <v>17</v>
      </c>
      <c r="F1409" s="7">
        <v>43299</v>
      </c>
      <c r="G1409" s="8">
        <f t="shared" si="21"/>
        <v>43299</v>
      </c>
      <c r="H1409" s="25" t="s">
        <v>13</v>
      </c>
      <c r="I1409" s="9">
        <v>52822.334594551001</v>
      </c>
      <c r="J1409" s="62">
        <v>434.31435762338202</v>
      </c>
      <c r="K1409" s="17">
        <v>1</v>
      </c>
    </row>
    <row r="1410" spans="1:11" x14ac:dyDescent="0.25">
      <c r="A1410" s="49" t="s">
        <v>2837</v>
      </c>
      <c r="B1410" s="4" t="s">
        <v>2838</v>
      </c>
      <c r="C1410" s="5">
        <v>228806</v>
      </c>
      <c r="D1410" s="6" t="s">
        <v>37</v>
      </c>
      <c r="E1410" s="6" t="s">
        <v>38</v>
      </c>
      <c r="F1410" s="7">
        <v>43314</v>
      </c>
      <c r="G1410" s="8">
        <f t="shared" ref="G1410:G1473" si="22">F1410</f>
        <v>43314</v>
      </c>
      <c r="H1410" s="6" t="s">
        <v>39</v>
      </c>
      <c r="I1410" s="9">
        <v>13676.308011131499</v>
      </c>
      <c r="J1410" s="62">
        <v>94.224738946019102</v>
      </c>
      <c r="K1410" s="40">
        <v>1</v>
      </c>
    </row>
    <row r="1411" spans="1:11" x14ac:dyDescent="0.25">
      <c r="A1411" s="49" t="s">
        <v>2839</v>
      </c>
      <c r="B1411" s="4" t="s">
        <v>2840</v>
      </c>
      <c r="C1411" s="5">
        <v>229430</v>
      </c>
      <c r="D1411" s="6" t="s">
        <v>34</v>
      </c>
      <c r="E1411" s="6" t="s">
        <v>17</v>
      </c>
      <c r="F1411" s="7">
        <v>43318</v>
      </c>
      <c r="G1411" s="8">
        <f t="shared" si="22"/>
        <v>43318</v>
      </c>
      <c r="H1411" s="6" t="s">
        <v>13</v>
      </c>
      <c r="I1411" s="9">
        <v>16841.016773297699</v>
      </c>
      <c r="J1411" s="62">
        <v>192.33242946198101</v>
      </c>
      <c r="K1411" s="40">
        <v>1</v>
      </c>
    </row>
    <row r="1412" spans="1:11" x14ac:dyDescent="0.25">
      <c r="A1412" s="3" t="s">
        <v>2841</v>
      </c>
      <c r="B1412" s="4" t="s">
        <v>2842</v>
      </c>
      <c r="C1412" s="5">
        <v>232308</v>
      </c>
      <c r="D1412" s="6" t="s">
        <v>34</v>
      </c>
      <c r="E1412" s="6" t="s">
        <v>17</v>
      </c>
      <c r="F1412" s="7">
        <v>43322</v>
      </c>
      <c r="G1412" s="8">
        <f t="shared" si="22"/>
        <v>43322</v>
      </c>
      <c r="H1412" s="6" t="s">
        <v>13</v>
      </c>
      <c r="I1412" s="9">
        <v>16119.622919654699</v>
      </c>
      <c r="J1412" s="62">
        <v>248.57247477794999</v>
      </c>
      <c r="K1412" s="17">
        <v>1</v>
      </c>
    </row>
    <row r="1413" spans="1:11" x14ac:dyDescent="0.25">
      <c r="A1413" s="3" t="s">
        <v>2843</v>
      </c>
      <c r="B1413" s="4" t="s">
        <v>2844</v>
      </c>
      <c r="C1413" s="5">
        <v>235911</v>
      </c>
      <c r="D1413" s="6" t="s">
        <v>16</v>
      </c>
      <c r="E1413" s="6" t="s">
        <v>17</v>
      </c>
      <c r="F1413" s="7">
        <v>43385</v>
      </c>
      <c r="G1413" s="8">
        <f t="shared" si="22"/>
        <v>43385</v>
      </c>
      <c r="H1413" s="6" t="s">
        <v>13</v>
      </c>
      <c r="I1413" s="9">
        <v>17594.235622640001</v>
      </c>
      <c r="J1413" s="62">
        <v>231.80410115821701</v>
      </c>
      <c r="K1413" s="17">
        <v>1</v>
      </c>
    </row>
    <row r="1414" spans="1:11" x14ac:dyDescent="0.25">
      <c r="A1414" s="3" t="s">
        <v>2845</v>
      </c>
      <c r="B1414" s="4" t="s">
        <v>2846</v>
      </c>
      <c r="C1414" s="14">
        <v>235222</v>
      </c>
      <c r="D1414" s="6" t="s">
        <v>11</v>
      </c>
      <c r="E1414" s="6" t="s">
        <v>12</v>
      </c>
      <c r="F1414" s="7">
        <v>43385</v>
      </c>
      <c r="G1414" s="8">
        <f t="shared" si="22"/>
        <v>43385</v>
      </c>
      <c r="H1414" s="21" t="s">
        <v>39</v>
      </c>
      <c r="I1414" s="9">
        <v>40222.343892192395</v>
      </c>
      <c r="J1414" s="62">
        <v>203.76401480440899</v>
      </c>
      <c r="K1414" s="17">
        <v>1</v>
      </c>
    </row>
    <row r="1415" spans="1:11" x14ac:dyDescent="0.25">
      <c r="A1415" s="3" t="s">
        <v>2847</v>
      </c>
      <c r="B1415" s="4" t="s">
        <v>2848</v>
      </c>
      <c r="C1415" s="5">
        <v>235188</v>
      </c>
      <c r="D1415" s="6" t="s">
        <v>34</v>
      </c>
      <c r="E1415" s="6" t="s">
        <v>17</v>
      </c>
      <c r="F1415" s="7">
        <v>43403</v>
      </c>
      <c r="G1415" s="8">
        <f t="shared" si="22"/>
        <v>43403</v>
      </c>
      <c r="H1415" s="6" t="s">
        <v>13</v>
      </c>
      <c r="I1415" s="9" t="s">
        <v>3380</v>
      </c>
      <c r="J1415" s="62" t="s">
        <v>3380</v>
      </c>
      <c r="K1415" s="17">
        <v>1</v>
      </c>
    </row>
    <row r="1416" spans="1:11" x14ac:dyDescent="0.25">
      <c r="A1416" s="3" t="s">
        <v>2849</v>
      </c>
      <c r="B1416" s="4" t="s">
        <v>2850</v>
      </c>
      <c r="C1416" s="5">
        <v>235205</v>
      </c>
      <c r="D1416" s="6" t="s">
        <v>31</v>
      </c>
      <c r="E1416" s="6" t="s">
        <v>17</v>
      </c>
      <c r="F1416" s="7">
        <v>43432</v>
      </c>
      <c r="G1416" s="8">
        <f t="shared" si="22"/>
        <v>43432</v>
      </c>
      <c r="H1416" s="6" t="s">
        <v>13</v>
      </c>
      <c r="I1416" s="9">
        <v>23063.297460359197</v>
      </c>
      <c r="J1416" s="62">
        <v>117.63770691089</v>
      </c>
      <c r="K1416" s="17">
        <v>1</v>
      </c>
    </row>
    <row r="1417" spans="1:11" x14ac:dyDescent="0.25">
      <c r="A1417" s="3" t="s">
        <v>2851</v>
      </c>
      <c r="B1417" s="4" t="s">
        <v>2852</v>
      </c>
      <c r="C1417" s="5">
        <v>241684</v>
      </c>
      <c r="D1417" s="6" t="s">
        <v>31</v>
      </c>
      <c r="E1417" s="6" t="s">
        <v>17</v>
      </c>
      <c r="F1417" s="7">
        <v>43441</v>
      </c>
      <c r="G1417" s="8">
        <f t="shared" si="22"/>
        <v>43441</v>
      </c>
      <c r="H1417" s="6" t="s">
        <v>13</v>
      </c>
      <c r="I1417" s="9">
        <v>39056.8173136513</v>
      </c>
      <c r="J1417" s="62">
        <v>555.24745400227403</v>
      </c>
      <c r="K1417" s="17">
        <v>1</v>
      </c>
    </row>
    <row r="1418" spans="1:11" x14ac:dyDescent="0.25">
      <c r="A1418" s="3" t="s">
        <v>2853</v>
      </c>
      <c r="B1418" s="4" t="s">
        <v>2854</v>
      </c>
      <c r="C1418" s="5">
        <v>255492</v>
      </c>
      <c r="D1418" s="6" t="s">
        <v>34</v>
      </c>
      <c r="E1418" s="6" t="s">
        <v>17</v>
      </c>
      <c r="F1418" s="7">
        <v>43502</v>
      </c>
      <c r="G1418" s="8">
        <f t="shared" si="22"/>
        <v>43502</v>
      </c>
      <c r="H1418" s="6" t="s">
        <v>13</v>
      </c>
      <c r="I1418" s="9">
        <v>7549.0534399046901</v>
      </c>
      <c r="J1418" s="62">
        <v>126.596009433837</v>
      </c>
      <c r="K1418" s="17">
        <v>1</v>
      </c>
    </row>
    <row r="1419" spans="1:11" x14ac:dyDescent="0.25">
      <c r="A1419" s="3" t="s">
        <v>2855</v>
      </c>
      <c r="B1419" s="4" t="s">
        <v>2856</v>
      </c>
      <c r="C1419" s="5">
        <v>240102</v>
      </c>
      <c r="D1419" s="6" t="s">
        <v>34</v>
      </c>
      <c r="E1419" s="6" t="s">
        <v>17</v>
      </c>
      <c r="F1419" s="7">
        <v>43504</v>
      </c>
      <c r="G1419" s="8">
        <f t="shared" si="22"/>
        <v>43504</v>
      </c>
      <c r="H1419" s="6" t="s">
        <v>13</v>
      </c>
      <c r="I1419" s="9">
        <v>25642.657617712997</v>
      </c>
      <c r="J1419" s="62">
        <v>226.137553608221</v>
      </c>
      <c r="K1419" s="17">
        <v>1</v>
      </c>
    </row>
    <row r="1420" spans="1:11" x14ac:dyDescent="0.25">
      <c r="A1420" s="3" t="s">
        <v>2857</v>
      </c>
      <c r="B1420" s="4" t="s">
        <v>2858</v>
      </c>
      <c r="C1420" s="5">
        <v>240404</v>
      </c>
      <c r="D1420" s="6" t="s">
        <v>37</v>
      </c>
      <c r="E1420" s="6" t="s">
        <v>38</v>
      </c>
      <c r="F1420" s="7">
        <v>43505</v>
      </c>
      <c r="G1420" s="8">
        <f t="shared" si="22"/>
        <v>43505</v>
      </c>
      <c r="H1420" s="6" t="s">
        <v>39</v>
      </c>
      <c r="I1420" s="9">
        <v>6054.7142365455402</v>
      </c>
      <c r="J1420" s="62">
        <v>271.017047937298</v>
      </c>
      <c r="K1420" s="17">
        <v>1</v>
      </c>
    </row>
    <row r="1421" spans="1:11" x14ac:dyDescent="0.25">
      <c r="A1421" s="3" t="s">
        <v>2859</v>
      </c>
      <c r="B1421" s="4" t="s">
        <v>2860</v>
      </c>
      <c r="C1421" s="5">
        <v>242660</v>
      </c>
      <c r="D1421" s="6" t="s">
        <v>11</v>
      </c>
      <c r="E1421" s="6" t="s">
        <v>12</v>
      </c>
      <c r="F1421" s="7">
        <v>43506</v>
      </c>
      <c r="G1421" s="8">
        <f t="shared" si="22"/>
        <v>43506</v>
      </c>
      <c r="H1421" s="21" t="s">
        <v>39</v>
      </c>
      <c r="I1421" s="9">
        <v>26131.416413477302</v>
      </c>
      <c r="J1421" s="62">
        <v>305.335967565244</v>
      </c>
      <c r="K1421" s="17">
        <v>1</v>
      </c>
    </row>
    <row r="1422" spans="1:11" x14ac:dyDescent="0.25">
      <c r="A1422" s="3" t="s">
        <v>2861</v>
      </c>
      <c r="B1422" s="4" t="s">
        <v>2862</v>
      </c>
      <c r="C1422" s="5">
        <v>239780</v>
      </c>
      <c r="D1422" s="6" t="s">
        <v>37</v>
      </c>
      <c r="E1422" s="6" t="s">
        <v>38</v>
      </c>
      <c r="F1422" s="7">
        <v>43505</v>
      </c>
      <c r="G1422" s="8">
        <f t="shared" si="22"/>
        <v>43505</v>
      </c>
      <c r="H1422" s="6" t="s">
        <v>39</v>
      </c>
      <c r="I1422" s="9">
        <v>18514.112460557102</v>
      </c>
      <c r="J1422" s="62">
        <v>416.42514359637102</v>
      </c>
      <c r="K1422" s="17">
        <v>1</v>
      </c>
    </row>
    <row r="1423" spans="1:11" x14ac:dyDescent="0.25">
      <c r="A1423" s="3" t="s">
        <v>2863</v>
      </c>
      <c r="B1423" s="4" t="s">
        <v>2864</v>
      </c>
      <c r="C1423" s="5">
        <v>238484</v>
      </c>
      <c r="D1423" s="6" t="s">
        <v>37</v>
      </c>
      <c r="E1423" s="6" t="s">
        <v>38</v>
      </c>
      <c r="F1423" s="7">
        <v>43505</v>
      </c>
      <c r="G1423" s="8">
        <f t="shared" si="22"/>
        <v>43505</v>
      </c>
      <c r="H1423" s="6" t="s">
        <v>39</v>
      </c>
      <c r="I1423" s="9">
        <v>18343.390761838498</v>
      </c>
      <c r="J1423" s="62">
        <v>244.57959184538001</v>
      </c>
      <c r="K1423" s="17">
        <v>1</v>
      </c>
    </row>
    <row r="1424" spans="1:11" x14ac:dyDescent="0.25">
      <c r="A1424" s="3" t="s">
        <v>2865</v>
      </c>
      <c r="B1424" s="4" t="s">
        <v>2866</v>
      </c>
      <c r="C1424" s="5">
        <v>255172</v>
      </c>
      <c r="D1424" s="6" t="s">
        <v>11</v>
      </c>
      <c r="E1424" s="6" t="s">
        <v>12</v>
      </c>
      <c r="F1424" s="7">
        <v>43508</v>
      </c>
      <c r="G1424" s="8">
        <f t="shared" si="22"/>
        <v>43508</v>
      </c>
      <c r="H1424" s="21" t="s">
        <v>13</v>
      </c>
      <c r="I1424" s="9">
        <v>9105.2259168442797</v>
      </c>
      <c r="J1424" s="62">
        <v>285.02264266419201</v>
      </c>
      <c r="K1424" s="17">
        <v>1</v>
      </c>
    </row>
    <row r="1425" spans="1:11" x14ac:dyDescent="0.25">
      <c r="A1425" s="3" t="s">
        <v>2867</v>
      </c>
      <c r="B1425" s="4" t="s">
        <v>2868</v>
      </c>
      <c r="C1425" s="5">
        <v>242004</v>
      </c>
      <c r="D1425" s="6" t="s">
        <v>28</v>
      </c>
      <c r="E1425" s="6" t="s">
        <v>17</v>
      </c>
      <c r="F1425" s="7">
        <v>43522</v>
      </c>
      <c r="G1425" s="8">
        <f t="shared" si="22"/>
        <v>43522</v>
      </c>
      <c r="H1425" s="6" t="s">
        <v>13</v>
      </c>
      <c r="I1425" s="9">
        <v>24730.318429168801</v>
      </c>
      <c r="J1425" s="62">
        <v>343.89846412748398</v>
      </c>
      <c r="K1425" s="17">
        <v>1</v>
      </c>
    </row>
    <row r="1426" spans="1:11" x14ac:dyDescent="0.25">
      <c r="A1426" s="3" t="s">
        <v>2869</v>
      </c>
      <c r="B1426" s="4" t="s">
        <v>2870</v>
      </c>
      <c r="C1426" s="14">
        <v>241044</v>
      </c>
      <c r="D1426" s="6" t="s">
        <v>31</v>
      </c>
      <c r="E1426" s="6" t="s">
        <v>17</v>
      </c>
      <c r="F1426" s="7">
        <v>43523</v>
      </c>
      <c r="G1426" s="8">
        <f t="shared" si="22"/>
        <v>43523</v>
      </c>
      <c r="H1426" s="6" t="s">
        <v>13</v>
      </c>
      <c r="I1426" s="9">
        <v>3675.99154648487</v>
      </c>
      <c r="J1426" s="62">
        <v>100.170561129666</v>
      </c>
      <c r="K1426" s="17">
        <v>1</v>
      </c>
    </row>
    <row r="1427" spans="1:11" x14ac:dyDescent="0.25">
      <c r="A1427" s="3" t="s">
        <v>2871</v>
      </c>
      <c r="B1427" s="4" t="s">
        <v>2872</v>
      </c>
      <c r="C1427" s="5">
        <v>239140</v>
      </c>
      <c r="D1427" s="6" t="s">
        <v>34</v>
      </c>
      <c r="E1427" s="6" t="s">
        <v>17</v>
      </c>
      <c r="F1427" s="7">
        <v>43524</v>
      </c>
      <c r="G1427" s="8">
        <f t="shared" si="22"/>
        <v>43524</v>
      </c>
      <c r="H1427" s="6" t="s">
        <v>13</v>
      </c>
      <c r="I1427" s="9">
        <v>18088.899176462099</v>
      </c>
      <c r="J1427" s="62">
        <v>170.361031772237</v>
      </c>
      <c r="K1427" s="17">
        <v>1</v>
      </c>
    </row>
    <row r="1428" spans="1:11" x14ac:dyDescent="0.25">
      <c r="A1428" s="3" t="s">
        <v>2873</v>
      </c>
      <c r="B1428" s="4" t="s">
        <v>2874</v>
      </c>
      <c r="C1428" s="5">
        <v>250708</v>
      </c>
      <c r="D1428" s="6" t="s">
        <v>34</v>
      </c>
      <c r="E1428" s="6" t="s">
        <v>17</v>
      </c>
      <c r="F1428" s="7">
        <v>43537</v>
      </c>
      <c r="G1428" s="8">
        <f t="shared" si="22"/>
        <v>43537</v>
      </c>
      <c r="H1428" s="6" t="s">
        <v>13</v>
      </c>
      <c r="I1428" s="9">
        <v>11263.955648552401</v>
      </c>
      <c r="J1428" s="62">
        <v>167.89662454173501</v>
      </c>
      <c r="K1428" s="17">
        <v>1</v>
      </c>
    </row>
    <row r="1429" spans="1:11" x14ac:dyDescent="0.25">
      <c r="A1429" s="3" t="s">
        <v>2875</v>
      </c>
      <c r="B1429" s="4" t="s">
        <v>2876</v>
      </c>
      <c r="C1429" s="5">
        <v>236565</v>
      </c>
      <c r="D1429" s="6" t="s">
        <v>16</v>
      </c>
      <c r="E1429" s="6" t="s">
        <v>17</v>
      </c>
      <c r="F1429" s="7">
        <v>43572</v>
      </c>
      <c r="G1429" s="8">
        <f t="shared" si="22"/>
        <v>43572</v>
      </c>
      <c r="H1429" s="6" t="s">
        <v>13</v>
      </c>
      <c r="I1429" s="9">
        <v>5449.5877728659498</v>
      </c>
      <c r="J1429" s="62">
        <v>61.8646013727613</v>
      </c>
      <c r="K1429" s="17">
        <v>1</v>
      </c>
    </row>
    <row r="1430" spans="1:11" x14ac:dyDescent="0.25">
      <c r="A1430" s="3" t="s">
        <v>2877</v>
      </c>
      <c r="B1430" s="4" t="s">
        <v>2878</v>
      </c>
      <c r="C1430" s="5">
        <v>230740</v>
      </c>
      <c r="D1430" s="6" t="s">
        <v>11</v>
      </c>
      <c r="E1430" s="6" t="s">
        <v>12</v>
      </c>
      <c r="F1430" s="7">
        <v>43178</v>
      </c>
      <c r="G1430" s="8">
        <f t="shared" si="22"/>
        <v>43178</v>
      </c>
      <c r="H1430" s="21" t="s">
        <v>39</v>
      </c>
      <c r="I1430" s="9">
        <v>15742.728921793701</v>
      </c>
      <c r="J1430" s="62">
        <v>122.854319492904</v>
      </c>
      <c r="K1430" s="17">
        <v>1</v>
      </c>
    </row>
    <row r="1431" spans="1:11" x14ac:dyDescent="0.25">
      <c r="A1431" s="3" t="s">
        <v>2879</v>
      </c>
      <c r="B1431" s="4" t="s">
        <v>2880</v>
      </c>
      <c r="C1431" s="14">
        <v>243285</v>
      </c>
      <c r="D1431" s="6" t="s">
        <v>34</v>
      </c>
      <c r="E1431" s="6" t="s">
        <v>17</v>
      </c>
      <c r="F1431" s="7">
        <v>43545</v>
      </c>
      <c r="G1431" s="8">
        <f t="shared" si="22"/>
        <v>43545</v>
      </c>
      <c r="H1431" s="6" t="s">
        <v>13</v>
      </c>
      <c r="I1431" s="9">
        <v>58543.427907075704</v>
      </c>
      <c r="J1431" s="62">
        <v>573.88626781357902</v>
      </c>
      <c r="K1431" s="17">
        <v>1</v>
      </c>
    </row>
    <row r="1432" spans="1:11" x14ac:dyDescent="0.25">
      <c r="A1432" s="3" t="s">
        <v>2881</v>
      </c>
      <c r="B1432" s="4" t="s">
        <v>2882</v>
      </c>
      <c r="C1432" s="5">
        <v>243284</v>
      </c>
      <c r="D1432" s="6" t="s">
        <v>34</v>
      </c>
      <c r="E1432" s="6" t="s">
        <v>17</v>
      </c>
      <c r="F1432" s="7">
        <v>43545</v>
      </c>
      <c r="G1432" s="8">
        <f t="shared" si="22"/>
        <v>43545</v>
      </c>
      <c r="H1432" s="6" t="s">
        <v>13</v>
      </c>
      <c r="I1432" s="9">
        <v>46018.110099250895</v>
      </c>
      <c r="J1432" s="62">
        <v>344.67003367186101</v>
      </c>
      <c r="K1432" s="17">
        <v>1</v>
      </c>
    </row>
    <row r="1433" spans="1:11" x14ac:dyDescent="0.25">
      <c r="A1433" s="3" t="s">
        <v>2883</v>
      </c>
      <c r="B1433" s="4" t="s">
        <v>2884</v>
      </c>
      <c r="C1433" s="5">
        <v>261252</v>
      </c>
      <c r="D1433" s="6" t="s">
        <v>28</v>
      </c>
      <c r="E1433" s="6" t="s">
        <v>17</v>
      </c>
      <c r="F1433" s="7">
        <v>43558</v>
      </c>
      <c r="G1433" s="8">
        <f t="shared" si="22"/>
        <v>43558</v>
      </c>
      <c r="H1433" s="6" t="s">
        <v>13</v>
      </c>
      <c r="I1433" s="9">
        <v>4862.6068079384404</v>
      </c>
      <c r="J1433" s="62">
        <v>530.23029198621805</v>
      </c>
      <c r="K1433" s="17">
        <v>1</v>
      </c>
    </row>
    <row r="1434" spans="1:11" x14ac:dyDescent="0.25">
      <c r="A1434" s="3" t="s">
        <v>2885</v>
      </c>
      <c r="B1434" s="4" t="s">
        <v>2886</v>
      </c>
      <c r="C1434" s="14">
        <v>242967</v>
      </c>
      <c r="D1434" s="6" t="s">
        <v>16</v>
      </c>
      <c r="E1434" s="6" t="s">
        <v>17</v>
      </c>
      <c r="F1434" s="7">
        <v>43558</v>
      </c>
      <c r="G1434" s="8">
        <f t="shared" si="22"/>
        <v>43558</v>
      </c>
      <c r="H1434" s="6" t="s">
        <v>13</v>
      </c>
      <c r="I1434" s="9">
        <v>31044.058774563702</v>
      </c>
      <c r="J1434" s="62">
        <v>247.89464246809101</v>
      </c>
      <c r="K1434" s="17">
        <v>2</v>
      </c>
    </row>
    <row r="1435" spans="1:11" x14ac:dyDescent="0.25">
      <c r="A1435" s="3" t="s">
        <v>2887</v>
      </c>
      <c r="B1435" s="4" t="s">
        <v>2888</v>
      </c>
      <c r="C1435" s="14">
        <v>235924</v>
      </c>
      <c r="D1435" s="6" t="s">
        <v>11</v>
      </c>
      <c r="E1435" s="6" t="s">
        <v>12</v>
      </c>
      <c r="F1435" s="7">
        <v>43425</v>
      </c>
      <c r="G1435" s="8">
        <f t="shared" si="22"/>
        <v>43425</v>
      </c>
      <c r="H1435" s="6" t="s">
        <v>13</v>
      </c>
      <c r="I1435" s="9">
        <v>10760.719259626001</v>
      </c>
      <c r="J1435" s="62">
        <v>428.15735748570899</v>
      </c>
      <c r="K1435" s="40">
        <v>1</v>
      </c>
    </row>
    <row r="1436" spans="1:11" x14ac:dyDescent="0.25">
      <c r="A1436" s="3" t="s">
        <v>2889</v>
      </c>
      <c r="B1436" s="4" t="s">
        <v>2890</v>
      </c>
      <c r="C1436" s="5">
        <v>246804</v>
      </c>
      <c r="D1436" s="6" t="s">
        <v>11</v>
      </c>
      <c r="E1436" s="6" t="s">
        <v>12</v>
      </c>
      <c r="F1436" s="7">
        <v>43567</v>
      </c>
      <c r="G1436" s="8">
        <f t="shared" si="22"/>
        <v>43567</v>
      </c>
      <c r="H1436" s="6" t="s">
        <v>13</v>
      </c>
      <c r="I1436" s="9">
        <v>12862.834633586299</v>
      </c>
      <c r="J1436" s="62">
        <v>107.440109972004</v>
      </c>
      <c r="K1436" s="40">
        <v>1</v>
      </c>
    </row>
    <row r="1437" spans="1:11" x14ac:dyDescent="0.25">
      <c r="A1437" s="3" t="s">
        <v>2891</v>
      </c>
      <c r="B1437" s="4" t="s">
        <v>2892</v>
      </c>
      <c r="C1437" s="14">
        <v>244564</v>
      </c>
      <c r="D1437" s="6" t="s">
        <v>28</v>
      </c>
      <c r="E1437" s="6" t="s">
        <v>17</v>
      </c>
      <c r="F1437" s="7">
        <v>43572</v>
      </c>
      <c r="G1437" s="8">
        <f t="shared" si="22"/>
        <v>43572</v>
      </c>
      <c r="H1437" s="6" t="s">
        <v>13</v>
      </c>
      <c r="I1437" s="9">
        <v>95310.124178750208</v>
      </c>
      <c r="J1437" s="62">
        <v>804.13772565496095</v>
      </c>
      <c r="K1437" s="40">
        <v>2</v>
      </c>
    </row>
    <row r="1438" spans="1:11" x14ac:dyDescent="0.25">
      <c r="A1438" s="3" t="s">
        <v>2893</v>
      </c>
      <c r="B1438" s="4" t="s">
        <v>2894</v>
      </c>
      <c r="C1438" s="5">
        <v>246196</v>
      </c>
      <c r="D1438" s="6" t="s">
        <v>11</v>
      </c>
      <c r="E1438" s="6" t="s">
        <v>12</v>
      </c>
      <c r="F1438" s="7">
        <v>43577</v>
      </c>
      <c r="G1438" s="8">
        <f t="shared" si="22"/>
        <v>43577</v>
      </c>
      <c r="H1438" s="6" t="s">
        <v>39</v>
      </c>
      <c r="I1438" s="9">
        <v>21649.3511034892</v>
      </c>
      <c r="J1438" s="62">
        <v>163.04891283879601</v>
      </c>
      <c r="K1438" s="40">
        <v>1</v>
      </c>
    </row>
    <row r="1439" spans="1:11" x14ac:dyDescent="0.25">
      <c r="A1439" s="3" t="s">
        <v>2895</v>
      </c>
      <c r="B1439" s="4" t="s">
        <v>2896</v>
      </c>
      <c r="C1439" s="50">
        <v>253252</v>
      </c>
      <c r="D1439" s="6" t="s">
        <v>16</v>
      </c>
      <c r="E1439" s="6" t="s">
        <v>17</v>
      </c>
      <c r="F1439" s="7">
        <v>43577</v>
      </c>
      <c r="G1439" s="8">
        <f t="shared" si="22"/>
        <v>43577</v>
      </c>
      <c r="H1439" s="6" t="s">
        <v>13</v>
      </c>
      <c r="I1439" s="9">
        <v>5288.2938559859103</v>
      </c>
      <c r="J1439" s="62">
        <v>153.33069129133699</v>
      </c>
      <c r="K1439" s="40">
        <v>1</v>
      </c>
    </row>
    <row r="1440" spans="1:11" x14ac:dyDescent="0.25">
      <c r="A1440" s="3" t="s">
        <v>2897</v>
      </c>
      <c r="B1440" s="4" t="s">
        <v>2898</v>
      </c>
      <c r="C1440" s="5">
        <v>247124</v>
      </c>
      <c r="D1440" s="6" t="s">
        <v>31</v>
      </c>
      <c r="E1440" s="6" t="s">
        <v>17</v>
      </c>
      <c r="F1440" s="7">
        <v>43585</v>
      </c>
      <c r="G1440" s="8">
        <f t="shared" si="22"/>
        <v>43585</v>
      </c>
      <c r="H1440" s="6" t="s">
        <v>13</v>
      </c>
      <c r="I1440" s="9">
        <v>5377.8186759597402</v>
      </c>
      <c r="J1440" s="62">
        <v>191.97520819962901</v>
      </c>
      <c r="K1440" s="40">
        <v>1</v>
      </c>
    </row>
    <row r="1441" spans="1:11" x14ac:dyDescent="0.25">
      <c r="A1441" s="3" t="s">
        <v>2899</v>
      </c>
      <c r="B1441" s="4" t="s">
        <v>2900</v>
      </c>
      <c r="C1441" s="50">
        <v>252293</v>
      </c>
      <c r="D1441" s="6" t="s">
        <v>11</v>
      </c>
      <c r="E1441" s="6" t="s">
        <v>12</v>
      </c>
      <c r="F1441" s="7">
        <v>43597</v>
      </c>
      <c r="G1441" s="8">
        <f t="shared" si="22"/>
        <v>43597</v>
      </c>
      <c r="H1441" s="6" t="s">
        <v>13</v>
      </c>
      <c r="I1441" s="9">
        <v>17704.6052635005</v>
      </c>
      <c r="J1441" s="62">
        <v>84.645490711117205</v>
      </c>
      <c r="K1441" s="40">
        <v>1</v>
      </c>
    </row>
    <row r="1442" spans="1:11" x14ac:dyDescent="0.25">
      <c r="A1442" s="3" t="s">
        <v>2901</v>
      </c>
      <c r="B1442" s="4" t="s">
        <v>2902</v>
      </c>
      <c r="C1442" s="14">
        <v>249109</v>
      </c>
      <c r="D1442" s="6" t="s">
        <v>28</v>
      </c>
      <c r="E1442" s="6" t="s">
        <v>17</v>
      </c>
      <c r="F1442" s="7">
        <v>43602</v>
      </c>
      <c r="G1442" s="8">
        <f t="shared" si="22"/>
        <v>43602</v>
      </c>
      <c r="H1442" s="6" t="s">
        <v>13</v>
      </c>
      <c r="I1442" s="9">
        <v>58561.714786664299</v>
      </c>
      <c r="J1442" s="62">
        <v>525.430161005998</v>
      </c>
      <c r="K1442" s="11">
        <v>2</v>
      </c>
    </row>
    <row r="1443" spans="1:11" x14ac:dyDescent="0.25">
      <c r="A1443" s="3" t="s">
        <v>2903</v>
      </c>
      <c r="B1443" s="4" t="s">
        <v>2904</v>
      </c>
      <c r="C1443" s="5">
        <v>248452</v>
      </c>
      <c r="D1443" s="6" t="s">
        <v>16</v>
      </c>
      <c r="E1443" s="6" t="s">
        <v>17</v>
      </c>
      <c r="F1443" s="7">
        <v>43602</v>
      </c>
      <c r="G1443" s="8">
        <f t="shared" si="22"/>
        <v>43602</v>
      </c>
      <c r="H1443" s="6" t="s">
        <v>13</v>
      </c>
      <c r="I1443" s="9">
        <v>37738.846343093297</v>
      </c>
      <c r="J1443" s="62">
        <v>406.64625829048902</v>
      </c>
      <c r="K1443" s="11">
        <v>1</v>
      </c>
    </row>
    <row r="1444" spans="1:11" x14ac:dyDescent="0.25">
      <c r="A1444" s="3" t="s">
        <v>2905</v>
      </c>
      <c r="B1444" s="4" t="s">
        <v>2906</v>
      </c>
      <c r="C1444" s="5">
        <v>250692</v>
      </c>
      <c r="D1444" s="6" t="s">
        <v>16</v>
      </c>
      <c r="E1444" s="6" t="s">
        <v>17</v>
      </c>
      <c r="F1444" s="7">
        <v>43602</v>
      </c>
      <c r="G1444" s="8">
        <f t="shared" si="22"/>
        <v>43602</v>
      </c>
      <c r="H1444" s="6" t="s">
        <v>13</v>
      </c>
      <c r="I1444" s="9">
        <v>2449.93854887827</v>
      </c>
      <c r="J1444" s="62">
        <v>233.72728280865601</v>
      </c>
      <c r="K1444" s="11">
        <v>1</v>
      </c>
    </row>
    <row r="1445" spans="1:11" x14ac:dyDescent="0.25">
      <c r="A1445" s="3" t="s">
        <v>2907</v>
      </c>
      <c r="B1445" s="4" t="s">
        <v>2908</v>
      </c>
      <c r="C1445" s="5">
        <v>254903</v>
      </c>
      <c r="D1445" s="16" t="s">
        <v>31</v>
      </c>
      <c r="E1445" s="16" t="s">
        <v>17</v>
      </c>
      <c r="F1445" s="15">
        <v>43609</v>
      </c>
      <c r="G1445" s="8">
        <f t="shared" si="22"/>
        <v>43609</v>
      </c>
      <c r="H1445" s="16" t="s">
        <v>13</v>
      </c>
      <c r="I1445" s="9">
        <v>11466.0382382431</v>
      </c>
      <c r="J1445" s="62">
        <v>173.875662190806</v>
      </c>
      <c r="K1445" s="17">
        <v>1</v>
      </c>
    </row>
    <row r="1446" spans="1:11" x14ac:dyDescent="0.25">
      <c r="A1446" s="3" t="s">
        <v>2909</v>
      </c>
      <c r="B1446" s="4" t="s">
        <v>2910</v>
      </c>
      <c r="C1446" s="5">
        <v>259653</v>
      </c>
      <c r="D1446" s="16" t="s">
        <v>37</v>
      </c>
      <c r="E1446" s="16" t="s">
        <v>38</v>
      </c>
      <c r="F1446" s="15">
        <v>43621</v>
      </c>
      <c r="G1446" s="8">
        <f t="shared" si="22"/>
        <v>43621</v>
      </c>
      <c r="H1446" s="16" t="s">
        <v>39</v>
      </c>
      <c r="I1446" s="9">
        <v>23470.352239882199</v>
      </c>
      <c r="J1446" s="62">
        <v>256.75138006601298</v>
      </c>
      <c r="K1446" s="17">
        <v>1</v>
      </c>
    </row>
    <row r="1447" spans="1:11" x14ac:dyDescent="0.25">
      <c r="A1447" s="3" t="s">
        <v>2911</v>
      </c>
      <c r="B1447" s="4" t="s">
        <v>2912</v>
      </c>
      <c r="C1447" s="14">
        <v>247494</v>
      </c>
      <c r="D1447" s="16" t="s">
        <v>11</v>
      </c>
      <c r="E1447" s="16" t="s">
        <v>12</v>
      </c>
      <c r="F1447" s="15">
        <v>43635</v>
      </c>
      <c r="G1447" s="8">
        <f t="shared" si="22"/>
        <v>43635</v>
      </c>
      <c r="H1447" s="16" t="s">
        <v>13</v>
      </c>
      <c r="I1447" s="9">
        <v>73653.814138089409</v>
      </c>
      <c r="J1447" s="62">
        <v>599.42611946893203</v>
      </c>
      <c r="K1447" s="17">
        <v>2</v>
      </c>
    </row>
    <row r="1448" spans="1:11" x14ac:dyDescent="0.25">
      <c r="A1448" s="3" t="s">
        <v>2913</v>
      </c>
      <c r="B1448" s="4" t="s">
        <v>2914</v>
      </c>
      <c r="C1448" s="14">
        <v>248132</v>
      </c>
      <c r="D1448" s="16" t="s">
        <v>11</v>
      </c>
      <c r="E1448" s="16" t="s">
        <v>12</v>
      </c>
      <c r="F1448" s="15">
        <v>43631</v>
      </c>
      <c r="G1448" s="8">
        <f t="shared" si="22"/>
        <v>43631</v>
      </c>
      <c r="H1448" s="16" t="s">
        <v>13</v>
      </c>
      <c r="I1448" s="9">
        <v>16261.273237871801</v>
      </c>
      <c r="J1448" s="62">
        <v>148.801528022762</v>
      </c>
      <c r="K1448" s="17">
        <v>1</v>
      </c>
    </row>
    <row r="1449" spans="1:11" x14ac:dyDescent="0.25">
      <c r="A1449" s="3" t="s">
        <v>2915</v>
      </c>
      <c r="B1449" s="4" t="s">
        <v>2916</v>
      </c>
      <c r="C1449" s="5">
        <v>252308</v>
      </c>
      <c r="D1449" s="16" t="s">
        <v>37</v>
      </c>
      <c r="E1449" s="16" t="s">
        <v>38</v>
      </c>
      <c r="F1449" s="15">
        <v>43662</v>
      </c>
      <c r="G1449" s="8">
        <f t="shared" si="22"/>
        <v>43662</v>
      </c>
      <c r="H1449" s="16" t="s">
        <v>39</v>
      </c>
      <c r="I1449" s="9">
        <v>5946.5030525366401</v>
      </c>
      <c r="J1449" s="62">
        <v>82.667570668489901</v>
      </c>
      <c r="K1449" s="17">
        <v>1</v>
      </c>
    </row>
    <row r="1450" spans="1:11" x14ac:dyDescent="0.25">
      <c r="A1450" s="3" t="s">
        <v>2917</v>
      </c>
      <c r="B1450" s="4" t="s">
        <v>2918</v>
      </c>
      <c r="C1450" s="14">
        <v>253588</v>
      </c>
      <c r="D1450" s="16" t="s">
        <v>11</v>
      </c>
      <c r="E1450" s="16" t="s">
        <v>12</v>
      </c>
      <c r="F1450" s="15">
        <v>43662</v>
      </c>
      <c r="G1450" s="8">
        <f t="shared" si="22"/>
        <v>43662</v>
      </c>
      <c r="H1450" s="16" t="s">
        <v>39</v>
      </c>
      <c r="I1450" s="9">
        <v>65090.232634951804</v>
      </c>
      <c r="J1450" s="62">
        <v>368.16833548884102</v>
      </c>
      <c r="K1450" s="17">
        <v>1</v>
      </c>
    </row>
    <row r="1451" spans="1:11" x14ac:dyDescent="0.25">
      <c r="A1451" s="3" t="s">
        <v>2919</v>
      </c>
      <c r="B1451" s="4" t="s">
        <v>2920</v>
      </c>
      <c r="C1451" s="5">
        <v>254532</v>
      </c>
      <c r="D1451" s="16" t="s">
        <v>28</v>
      </c>
      <c r="E1451" s="16" t="s">
        <v>17</v>
      </c>
      <c r="F1451" s="15">
        <v>43672</v>
      </c>
      <c r="G1451" s="8">
        <f t="shared" si="22"/>
        <v>43672</v>
      </c>
      <c r="H1451" s="16" t="s">
        <v>13</v>
      </c>
      <c r="I1451" s="9">
        <v>5795.0375009020399</v>
      </c>
      <c r="J1451" s="62">
        <v>103.872188536385</v>
      </c>
      <c r="K1451" s="17">
        <v>2</v>
      </c>
    </row>
    <row r="1452" spans="1:11" x14ac:dyDescent="0.25">
      <c r="A1452" s="3" t="s">
        <v>2921</v>
      </c>
      <c r="B1452" s="4" t="s">
        <v>2922</v>
      </c>
      <c r="C1452" s="14">
        <v>251332</v>
      </c>
      <c r="D1452" s="16" t="s">
        <v>28</v>
      </c>
      <c r="E1452" s="16" t="s">
        <v>17</v>
      </c>
      <c r="F1452" s="15">
        <v>43672</v>
      </c>
      <c r="G1452" s="8">
        <f t="shared" si="22"/>
        <v>43672</v>
      </c>
      <c r="H1452" s="16" t="s">
        <v>13</v>
      </c>
      <c r="I1452" s="9">
        <v>100159.727019664</v>
      </c>
      <c r="J1452" s="62">
        <v>862.27551912650802</v>
      </c>
      <c r="K1452" s="17">
        <v>1</v>
      </c>
    </row>
    <row r="1453" spans="1:11" x14ac:dyDescent="0.25">
      <c r="A1453" s="3" t="s">
        <v>2923</v>
      </c>
      <c r="B1453" s="4" t="s">
        <v>2924</v>
      </c>
      <c r="C1453" s="14">
        <v>261253</v>
      </c>
      <c r="D1453" s="16" t="s">
        <v>28</v>
      </c>
      <c r="E1453" s="16" t="s">
        <v>17</v>
      </c>
      <c r="F1453" s="15">
        <v>43698</v>
      </c>
      <c r="G1453" s="8">
        <f t="shared" si="22"/>
        <v>43698</v>
      </c>
      <c r="H1453" s="16" t="s">
        <v>13</v>
      </c>
      <c r="I1453" s="9">
        <v>9026.7858331205898</v>
      </c>
      <c r="J1453" s="62">
        <v>120.146290022248</v>
      </c>
      <c r="K1453" s="17">
        <v>1</v>
      </c>
    </row>
    <row r="1454" spans="1:11" x14ac:dyDescent="0.25">
      <c r="A1454" s="3" t="s">
        <v>2925</v>
      </c>
      <c r="B1454" s="4" t="s">
        <v>2926</v>
      </c>
      <c r="C1454" s="14">
        <v>257108</v>
      </c>
      <c r="D1454" s="16" t="s">
        <v>37</v>
      </c>
      <c r="E1454" s="16" t="s">
        <v>38</v>
      </c>
      <c r="F1454" s="15">
        <v>43718</v>
      </c>
      <c r="G1454" s="8">
        <f t="shared" si="22"/>
        <v>43718</v>
      </c>
      <c r="H1454" s="16" t="s">
        <v>39</v>
      </c>
      <c r="I1454" s="9">
        <v>9333.4149494540707</v>
      </c>
      <c r="J1454" s="62">
        <v>490.30867513872698</v>
      </c>
      <c r="K1454" s="17">
        <v>1</v>
      </c>
    </row>
    <row r="1455" spans="1:11" x14ac:dyDescent="0.25">
      <c r="A1455" s="3" t="s">
        <v>2927</v>
      </c>
      <c r="B1455" s="4" t="s">
        <v>2928</v>
      </c>
      <c r="C1455" s="5">
        <v>252932</v>
      </c>
      <c r="D1455" s="16" t="s">
        <v>34</v>
      </c>
      <c r="E1455" s="16" t="s">
        <v>17</v>
      </c>
      <c r="F1455" s="15">
        <v>43718</v>
      </c>
      <c r="G1455" s="8">
        <f t="shared" si="22"/>
        <v>43718</v>
      </c>
      <c r="H1455" s="16" t="s">
        <v>13</v>
      </c>
      <c r="I1455" s="9">
        <v>8626.3560536903988</v>
      </c>
      <c r="J1455" s="62">
        <v>152.26142148806301</v>
      </c>
      <c r="K1455" s="17">
        <v>1</v>
      </c>
    </row>
    <row r="1456" spans="1:11" x14ac:dyDescent="0.25">
      <c r="A1456" s="3" t="s">
        <v>2929</v>
      </c>
      <c r="B1456" s="4" t="s">
        <v>2930</v>
      </c>
      <c r="C1456" s="5">
        <v>253892</v>
      </c>
      <c r="D1456" s="16" t="s">
        <v>34</v>
      </c>
      <c r="E1456" s="16" t="s">
        <v>17</v>
      </c>
      <c r="F1456" s="15">
        <v>43718</v>
      </c>
      <c r="G1456" s="8">
        <f t="shared" si="22"/>
        <v>43718</v>
      </c>
      <c r="H1456" s="16" t="s">
        <v>13</v>
      </c>
      <c r="I1456" s="9">
        <v>11433.4966621041</v>
      </c>
      <c r="J1456" s="62">
        <v>103.85166127386</v>
      </c>
      <c r="K1456" s="17">
        <v>1</v>
      </c>
    </row>
    <row r="1457" spans="1:11" x14ac:dyDescent="0.25">
      <c r="A1457" s="3" t="s">
        <v>2931</v>
      </c>
      <c r="B1457" s="4" t="s">
        <v>2932</v>
      </c>
      <c r="C1457" s="14">
        <v>258052</v>
      </c>
      <c r="D1457" s="16" t="s">
        <v>16</v>
      </c>
      <c r="E1457" s="16" t="s">
        <v>17</v>
      </c>
      <c r="F1457" s="15">
        <v>43724</v>
      </c>
      <c r="G1457" s="8">
        <f t="shared" si="22"/>
        <v>43724</v>
      </c>
      <c r="H1457" s="16" t="s">
        <v>13</v>
      </c>
      <c r="I1457" s="9">
        <v>154736.44138057798</v>
      </c>
      <c r="J1457" s="62">
        <v>732.49546156211397</v>
      </c>
      <c r="K1457" s="17">
        <v>3</v>
      </c>
    </row>
    <row r="1458" spans="1:11" x14ac:dyDescent="0.25">
      <c r="A1458" s="3" t="s">
        <v>2933</v>
      </c>
      <c r="B1458" s="4" t="s">
        <v>2934</v>
      </c>
      <c r="C1458" s="5">
        <v>1875</v>
      </c>
      <c r="D1458" s="16" t="s">
        <v>34</v>
      </c>
      <c r="E1458" s="16" t="s">
        <v>17</v>
      </c>
      <c r="F1458" s="15">
        <v>43800</v>
      </c>
      <c r="G1458" s="8">
        <f t="shared" si="22"/>
        <v>43800</v>
      </c>
      <c r="H1458" s="16" t="s">
        <v>13</v>
      </c>
      <c r="I1458" s="9">
        <v>43274.041293194801</v>
      </c>
      <c r="J1458" s="62">
        <v>1176.17855650406</v>
      </c>
      <c r="K1458" s="17">
        <v>1</v>
      </c>
    </row>
    <row r="1459" spans="1:11" x14ac:dyDescent="0.25">
      <c r="A1459" s="3" t="s">
        <v>2935</v>
      </c>
      <c r="B1459" s="4" t="s">
        <v>2936</v>
      </c>
      <c r="C1459" s="5">
        <v>264452</v>
      </c>
      <c r="D1459" s="16" t="s">
        <v>37</v>
      </c>
      <c r="E1459" s="16" t="s">
        <v>38</v>
      </c>
      <c r="F1459" s="15">
        <v>43771</v>
      </c>
      <c r="G1459" s="8">
        <f t="shared" si="22"/>
        <v>43771</v>
      </c>
      <c r="H1459" s="16" t="s">
        <v>39</v>
      </c>
      <c r="I1459" s="9" t="s">
        <v>3380</v>
      </c>
      <c r="J1459" s="62" t="s">
        <v>3380</v>
      </c>
      <c r="K1459" s="17">
        <v>1</v>
      </c>
    </row>
    <row r="1460" spans="1:11" x14ac:dyDescent="0.25">
      <c r="A1460" s="3" t="s">
        <v>2937</v>
      </c>
      <c r="B1460" s="4" t="s">
        <v>2938</v>
      </c>
      <c r="C1460" s="5">
        <v>268004</v>
      </c>
      <c r="D1460" s="16" t="s">
        <v>16</v>
      </c>
      <c r="E1460" s="16" t="s">
        <v>17</v>
      </c>
      <c r="F1460" s="15">
        <v>43772</v>
      </c>
      <c r="G1460" s="8">
        <f t="shared" si="22"/>
        <v>43772</v>
      </c>
      <c r="H1460" s="16" t="s">
        <v>13</v>
      </c>
      <c r="I1460" s="9">
        <v>19659.586239226002</v>
      </c>
      <c r="J1460" s="62">
        <v>177.896984657296</v>
      </c>
      <c r="K1460" s="17">
        <v>1</v>
      </c>
    </row>
    <row r="1461" spans="1:11" x14ac:dyDescent="0.25">
      <c r="A1461" s="3" t="s">
        <v>2939</v>
      </c>
      <c r="B1461" s="4" t="s">
        <v>2940</v>
      </c>
      <c r="C1461" s="5">
        <v>262548</v>
      </c>
      <c r="D1461" s="16" t="s">
        <v>34</v>
      </c>
      <c r="E1461" s="16" t="s">
        <v>17</v>
      </c>
      <c r="F1461" s="15">
        <v>43773</v>
      </c>
      <c r="G1461" s="8">
        <f t="shared" si="22"/>
        <v>43773</v>
      </c>
      <c r="H1461" s="16" t="s">
        <v>13</v>
      </c>
      <c r="I1461" s="9">
        <v>21138.695210006499</v>
      </c>
      <c r="J1461" s="62">
        <v>202.044085934695</v>
      </c>
      <c r="K1461" s="17">
        <v>1</v>
      </c>
    </row>
    <row r="1462" spans="1:11" x14ac:dyDescent="0.25">
      <c r="A1462" s="3" t="s">
        <v>2941</v>
      </c>
      <c r="B1462" s="4" t="s">
        <v>2942</v>
      </c>
      <c r="C1462" s="14">
        <v>257140</v>
      </c>
      <c r="D1462" s="16" t="s">
        <v>37</v>
      </c>
      <c r="E1462" s="16" t="s">
        <v>38</v>
      </c>
      <c r="F1462" s="15">
        <v>43774</v>
      </c>
      <c r="G1462" s="8">
        <f t="shared" si="22"/>
        <v>43774</v>
      </c>
      <c r="H1462" s="16" t="s">
        <v>39</v>
      </c>
      <c r="I1462" s="9">
        <v>33308.2180602921</v>
      </c>
      <c r="J1462" s="62">
        <v>359.43613623294601</v>
      </c>
      <c r="K1462" s="17">
        <v>1</v>
      </c>
    </row>
    <row r="1463" spans="1:11" x14ac:dyDescent="0.25">
      <c r="A1463" s="3" t="s">
        <v>2943</v>
      </c>
      <c r="B1463" s="4" t="s">
        <v>2944</v>
      </c>
      <c r="C1463" s="14">
        <v>260292</v>
      </c>
      <c r="D1463" s="16" t="s">
        <v>16</v>
      </c>
      <c r="E1463" s="16" t="s">
        <v>17</v>
      </c>
      <c r="F1463" s="15">
        <v>43775</v>
      </c>
      <c r="G1463" s="8">
        <f t="shared" si="22"/>
        <v>43775</v>
      </c>
      <c r="H1463" s="16" t="s">
        <v>13</v>
      </c>
      <c r="I1463" s="9">
        <v>40244.819034963795</v>
      </c>
      <c r="J1463" s="62">
        <v>426.12941149509402</v>
      </c>
      <c r="K1463" s="17">
        <v>2</v>
      </c>
    </row>
    <row r="1464" spans="1:11" x14ac:dyDescent="0.25">
      <c r="A1464" s="3" t="s">
        <v>2945</v>
      </c>
      <c r="B1464" s="4" t="s">
        <v>2946</v>
      </c>
      <c r="C1464" s="50">
        <v>262564</v>
      </c>
      <c r="D1464" s="16" t="s">
        <v>11</v>
      </c>
      <c r="E1464" s="16" t="s">
        <v>12</v>
      </c>
      <c r="F1464" s="15">
        <v>43801</v>
      </c>
      <c r="G1464" s="8">
        <f t="shared" si="22"/>
        <v>43801</v>
      </c>
      <c r="H1464" s="16" t="s">
        <v>13</v>
      </c>
      <c r="I1464" s="9">
        <v>13657.250855308301</v>
      </c>
      <c r="J1464" s="62">
        <v>262.972767576835</v>
      </c>
      <c r="K1464" s="17">
        <v>1</v>
      </c>
    </row>
    <row r="1465" spans="1:11" x14ac:dyDescent="0.25">
      <c r="A1465" s="3" t="s">
        <v>2947</v>
      </c>
      <c r="B1465" s="4" t="s">
        <v>2948</v>
      </c>
      <c r="C1465" s="5">
        <v>255828</v>
      </c>
      <c r="D1465" s="16" t="s">
        <v>34</v>
      </c>
      <c r="E1465" s="16" t="s">
        <v>17</v>
      </c>
      <c r="F1465" s="15">
        <v>43800</v>
      </c>
      <c r="G1465" s="8">
        <f t="shared" si="22"/>
        <v>43800</v>
      </c>
      <c r="H1465" s="16" t="s">
        <v>13</v>
      </c>
      <c r="I1465" s="9">
        <v>9445.2194967667692</v>
      </c>
      <c r="J1465" s="62">
        <v>146.25226095148</v>
      </c>
      <c r="K1465" s="17">
        <v>1</v>
      </c>
    </row>
    <row r="1466" spans="1:11" x14ac:dyDescent="0.25">
      <c r="A1466" s="3" t="s">
        <v>2949</v>
      </c>
      <c r="B1466" s="4" t="s">
        <v>2950</v>
      </c>
      <c r="C1466" s="50">
        <v>266068</v>
      </c>
      <c r="D1466" s="16" t="s">
        <v>11</v>
      </c>
      <c r="E1466" s="16" t="s">
        <v>17</v>
      </c>
      <c r="F1466" s="15">
        <v>43800</v>
      </c>
      <c r="G1466" s="8">
        <f t="shared" si="22"/>
        <v>43800</v>
      </c>
      <c r="H1466" s="16" t="s">
        <v>13</v>
      </c>
      <c r="I1466" s="9">
        <v>5623.72919090298</v>
      </c>
      <c r="J1466" s="62">
        <v>144.040714577247</v>
      </c>
      <c r="K1466" s="17">
        <v>1</v>
      </c>
    </row>
    <row r="1467" spans="1:11" x14ac:dyDescent="0.25">
      <c r="A1467" s="3" t="s">
        <v>2951</v>
      </c>
      <c r="B1467" s="4" t="s">
        <v>2952</v>
      </c>
      <c r="C1467" s="50">
        <v>270532</v>
      </c>
      <c r="D1467" s="16" t="s">
        <v>16</v>
      </c>
      <c r="E1467" s="16" t="s">
        <v>17</v>
      </c>
      <c r="F1467" s="15">
        <v>43800</v>
      </c>
      <c r="G1467" s="8">
        <f t="shared" si="22"/>
        <v>43800</v>
      </c>
      <c r="H1467" s="16" t="s">
        <v>13</v>
      </c>
      <c r="I1467" s="9">
        <v>1291.8896905486502</v>
      </c>
      <c r="J1467" s="62">
        <v>258.76402929958601</v>
      </c>
      <c r="K1467" s="17">
        <v>1</v>
      </c>
    </row>
    <row r="1468" spans="1:11" x14ac:dyDescent="0.25">
      <c r="A1468" s="3" t="s">
        <v>2953</v>
      </c>
      <c r="B1468" s="4" t="s">
        <v>2954</v>
      </c>
      <c r="C1468" s="5">
        <v>259972</v>
      </c>
      <c r="D1468" s="16" t="s">
        <v>11</v>
      </c>
      <c r="E1468" s="16" t="s">
        <v>12</v>
      </c>
      <c r="F1468" s="15">
        <v>43800</v>
      </c>
      <c r="G1468" s="8">
        <f t="shared" si="22"/>
        <v>43800</v>
      </c>
      <c r="H1468" s="16" t="s">
        <v>39</v>
      </c>
      <c r="I1468" s="9">
        <v>19946.825413463197</v>
      </c>
      <c r="J1468" s="62">
        <v>99.101557436212801</v>
      </c>
      <c r="K1468" s="17">
        <v>1</v>
      </c>
    </row>
    <row r="1469" spans="1:11" x14ac:dyDescent="0.25">
      <c r="A1469" s="3" t="s">
        <v>2955</v>
      </c>
      <c r="B1469" s="4" t="s">
        <v>2956</v>
      </c>
      <c r="C1469" s="5">
        <v>265092</v>
      </c>
      <c r="D1469" s="16" t="s">
        <v>28</v>
      </c>
      <c r="E1469" s="16" t="s">
        <v>17</v>
      </c>
      <c r="F1469" s="15">
        <v>43949</v>
      </c>
      <c r="G1469" s="8">
        <f t="shared" si="22"/>
        <v>43949</v>
      </c>
      <c r="H1469" s="16" t="s">
        <v>13</v>
      </c>
      <c r="I1469" s="9">
        <v>15806.897241982799</v>
      </c>
      <c r="J1469" s="62">
        <v>215.432320724493</v>
      </c>
      <c r="K1469" s="17">
        <v>1</v>
      </c>
    </row>
    <row r="1470" spans="1:11" x14ac:dyDescent="0.25">
      <c r="A1470" s="3" t="s">
        <v>2957</v>
      </c>
      <c r="B1470" s="4" t="s">
        <v>2958</v>
      </c>
      <c r="C1470" s="14">
        <v>265732</v>
      </c>
      <c r="D1470" s="16" t="s">
        <v>28</v>
      </c>
      <c r="E1470" s="16" t="s">
        <v>17</v>
      </c>
      <c r="F1470" s="15">
        <v>43885</v>
      </c>
      <c r="G1470" s="8">
        <f t="shared" si="22"/>
        <v>43885</v>
      </c>
      <c r="H1470" s="16" t="s">
        <v>13</v>
      </c>
      <c r="I1470" s="9">
        <v>19282.397605183298</v>
      </c>
      <c r="J1470" s="62">
        <v>250.58259230556001</v>
      </c>
      <c r="K1470" s="17">
        <v>1</v>
      </c>
    </row>
    <row r="1471" spans="1:11" x14ac:dyDescent="0.25">
      <c r="A1471" s="3" t="s">
        <v>2959</v>
      </c>
      <c r="B1471" s="4" t="s">
        <v>2960</v>
      </c>
      <c r="C1471" s="5">
        <v>267012</v>
      </c>
      <c r="D1471" s="16" t="s">
        <v>28</v>
      </c>
      <c r="E1471" s="16" t="s">
        <v>17</v>
      </c>
      <c r="F1471" s="15">
        <v>43885</v>
      </c>
      <c r="G1471" s="8">
        <f t="shared" si="22"/>
        <v>43885</v>
      </c>
      <c r="H1471" s="16" t="s">
        <v>13</v>
      </c>
      <c r="I1471" s="9">
        <v>24672.324984843101</v>
      </c>
      <c r="J1471" s="62">
        <v>246.78926170536801</v>
      </c>
      <c r="K1471" s="17">
        <v>1</v>
      </c>
    </row>
    <row r="1472" spans="1:11" x14ac:dyDescent="0.25">
      <c r="A1472" s="3" t="s">
        <v>2961</v>
      </c>
      <c r="B1472" s="4" t="s">
        <v>2962</v>
      </c>
      <c r="C1472" s="5">
        <v>270580</v>
      </c>
      <c r="D1472" s="16" t="s">
        <v>16</v>
      </c>
      <c r="E1472" s="16" t="s">
        <v>17</v>
      </c>
      <c r="F1472" s="15">
        <v>43887</v>
      </c>
      <c r="G1472" s="8">
        <f t="shared" si="22"/>
        <v>43887</v>
      </c>
      <c r="H1472" s="16" t="s">
        <v>13</v>
      </c>
      <c r="I1472" s="9">
        <v>17699.811704203101</v>
      </c>
      <c r="J1472" s="62">
        <v>171.41163769024101</v>
      </c>
      <c r="K1472" s="17">
        <v>1</v>
      </c>
    </row>
    <row r="1473" spans="1:11" x14ac:dyDescent="0.25">
      <c r="A1473" s="3" t="s">
        <v>2963</v>
      </c>
      <c r="B1473" s="4" t="s">
        <v>2964</v>
      </c>
      <c r="C1473" s="5">
        <v>267332</v>
      </c>
      <c r="D1473" s="16" t="s">
        <v>37</v>
      </c>
      <c r="E1473" s="16" t="s">
        <v>38</v>
      </c>
      <c r="F1473" s="15">
        <v>43885</v>
      </c>
      <c r="G1473" s="8">
        <f t="shared" si="22"/>
        <v>43885</v>
      </c>
      <c r="H1473" s="16" t="s">
        <v>39</v>
      </c>
      <c r="I1473" s="9">
        <v>18283.644301209202</v>
      </c>
      <c r="J1473" s="62">
        <v>242.30146109847701</v>
      </c>
      <c r="K1473" s="17">
        <v>1</v>
      </c>
    </row>
    <row r="1474" spans="1:11" x14ac:dyDescent="0.25">
      <c r="A1474" s="3" t="s">
        <v>2965</v>
      </c>
      <c r="B1474" s="4" t="s">
        <v>2966</v>
      </c>
      <c r="C1474" s="5">
        <v>262535</v>
      </c>
      <c r="D1474" s="16" t="s">
        <v>28</v>
      </c>
      <c r="E1474" s="16" t="s">
        <v>17</v>
      </c>
      <c r="F1474" s="15">
        <v>43899</v>
      </c>
      <c r="G1474" s="8">
        <f t="shared" ref="G1474:G1537" si="23">F1474</f>
        <v>43899</v>
      </c>
      <c r="H1474" s="16" t="s">
        <v>13</v>
      </c>
      <c r="I1474" s="9">
        <v>21603.565325542801</v>
      </c>
      <c r="J1474" s="62">
        <v>120.365521639791</v>
      </c>
      <c r="K1474" s="17">
        <v>1</v>
      </c>
    </row>
    <row r="1475" spans="1:11" x14ac:dyDescent="0.25">
      <c r="A1475" s="3" t="s">
        <v>2967</v>
      </c>
      <c r="B1475" s="4" t="s">
        <v>2968</v>
      </c>
      <c r="C1475" s="14">
        <v>263525</v>
      </c>
      <c r="D1475" s="16" t="s">
        <v>34</v>
      </c>
      <c r="E1475" s="16" t="s">
        <v>17</v>
      </c>
      <c r="F1475" s="15">
        <v>43901</v>
      </c>
      <c r="G1475" s="8">
        <f t="shared" si="23"/>
        <v>43901</v>
      </c>
      <c r="H1475" s="16" t="s">
        <v>13</v>
      </c>
      <c r="I1475" s="9">
        <v>3511.9917465130998</v>
      </c>
      <c r="J1475" s="62">
        <v>792.544645670823</v>
      </c>
      <c r="K1475" s="17">
        <v>1</v>
      </c>
    </row>
    <row r="1476" spans="1:11" x14ac:dyDescent="0.25">
      <c r="A1476" s="3" t="s">
        <v>2969</v>
      </c>
      <c r="B1476" s="4" t="s">
        <v>2970</v>
      </c>
      <c r="C1476" s="5">
        <v>263846</v>
      </c>
      <c r="D1476" s="16" t="s">
        <v>31</v>
      </c>
      <c r="E1476" s="16" t="s">
        <v>17</v>
      </c>
      <c r="F1476" s="15">
        <v>43908</v>
      </c>
      <c r="G1476" s="8">
        <f t="shared" si="23"/>
        <v>43908</v>
      </c>
      <c r="H1476" s="16" t="s">
        <v>13</v>
      </c>
      <c r="I1476" s="9">
        <v>12631.6054094385</v>
      </c>
      <c r="J1476" s="62">
        <v>286.66629515607599</v>
      </c>
      <c r="K1476" s="17">
        <v>1</v>
      </c>
    </row>
    <row r="1477" spans="1:11" x14ac:dyDescent="0.25">
      <c r="A1477" s="3" t="s">
        <v>2971</v>
      </c>
      <c r="B1477" s="4" t="s">
        <v>2972</v>
      </c>
      <c r="C1477" s="5">
        <v>264772</v>
      </c>
      <c r="D1477" s="16" t="s">
        <v>16</v>
      </c>
      <c r="E1477" s="16" t="s">
        <v>17</v>
      </c>
      <c r="F1477" s="15">
        <v>43921</v>
      </c>
      <c r="G1477" s="8">
        <f t="shared" si="23"/>
        <v>43921</v>
      </c>
      <c r="H1477" s="16" t="s">
        <v>13</v>
      </c>
      <c r="I1477" s="9">
        <v>22585.606426227299</v>
      </c>
      <c r="J1477" s="62">
        <v>296.10539282299402</v>
      </c>
      <c r="K1477" s="17">
        <v>1</v>
      </c>
    </row>
    <row r="1478" spans="1:11" x14ac:dyDescent="0.25">
      <c r="A1478" s="3" t="s">
        <v>2973</v>
      </c>
      <c r="B1478" s="4" t="s">
        <v>2974</v>
      </c>
      <c r="C1478" s="50">
        <v>267652</v>
      </c>
      <c r="D1478" s="16" t="s">
        <v>31</v>
      </c>
      <c r="E1478" s="16" t="s">
        <v>17</v>
      </c>
      <c r="F1478" s="15">
        <v>43923</v>
      </c>
      <c r="G1478" s="8">
        <f t="shared" si="23"/>
        <v>43923</v>
      </c>
      <c r="H1478" s="16" t="s">
        <v>13</v>
      </c>
      <c r="I1478" s="9">
        <v>3330.9930480068201</v>
      </c>
      <c r="J1478" s="62">
        <v>147.94114586437999</v>
      </c>
      <c r="K1478" s="17">
        <v>1</v>
      </c>
    </row>
    <row r="1479" spans="1:11" x14ac:dyDescent="0.25">
      <c r="A1479" s="3" t="s">
        <v>2975</v>
      </c>
      <c r="B1479" s="4" t="s">
        <v>2976</v>
      </c>
      <c r="C1479" s="14">
        <v>265412</v>
      </c>
      <c r="D1479" s="16" t="s">
        <v>11</v>
      </c>
      <c r="E1479" s="16" t="s">
        <v>12</v>
      </c>
      <c r="F1479" s="15">
        <v>43941</v>
      </c>
      <c r="G1479" s="8">
        <f t="shared" si="23"/>
        <v>43941</v>
      </c>
      <c r="H1479" s="16" t="s">
        <v>39</v>
      </c>
      <c r="I1479" s="9">
        <v>27281.037108253098</v>
      </c>
      <c r="J1479" s="62">
        <v>495.14655256536599</v>
      </c>
      <c r="K1479" s="17">
        <v>2</v>
      </c>
    </row>
    <row r="1480" spans="1:11" x14ac:dyDescent="0.25">
      <c r="A1480" s="3" t="s">
        <v>2977</v>
      </c>
      <c r="B1480" s="4" t="s">
        <v>2978</v>
      </c>
      <c r="C1480" s="50">
        <v>269924</v>
      </c>
      <c r="D1480" s="16" t="s">
        <v>11</v>
      </c>
      <c r="E1480" s="16" t="s">
        <v>12</v>
      </c>
      <c r="F1480" s="15">
        <v>43941</v>
      </c>
      <c r="G1480" s="8">
        <f t="shared" si="23"/>
        <v>43941</v>
      </c>
      <c r="H1480" s="16" t="s">
        <v>39</v>
      </c>
      <c r="I1480" s="9">
        <v>8113.3219858997809</v>
      </c>
      <c r="J1480" s="62">
        <v>98.442829960391705</v>
      </c>
      <c r="K1480" s="17">
        <v>1</v>
      </c>
    </row>
    <row r="1481" spans="1:11" x14ac:dyDescent="0.25">
      <c r="A1481" s="4" t="s">
        <v>2979</v>
      </c>
      <c r="B1481" s="4" t="s">
        <v>2980</v>
      </c>
      <c r="C1481" s="14">
        <v>267669</v>
      </c>
      <c r="D1481" s="16" t="s">
        <v>11</v>
      </c>
      <c r="E1481" s="16" t="s">
        <v>12</v>
      </c>
      <c r="F1481" s="15">
        <v>43956</v>
      </c>
      <c r="G1481" s="8">
        <f t="shared" si="23"/>
        <v>43956</v>
      </c>
      <c r="H1481" s="16" t="s">
        <v>39</v>
      </c>
      <c r="I1481" s="9">
        <v>34360.3841826192</v>
      </c>
      <c r="J1481" s="62">
        <v>383.89212989993399</v>
      </c>
      <c r="K1481" s="17">
        <v>2</v>
      </c>
    </row>
    <row r="1482" spans="1:11" x14ac:dyDescent="0.25">
      <c r="A1482" s="4" t="s">
        <v>2981</v>
      </c>
      <c r="B1482" s="4" t="s">
        <v>2982</v>
      </c>
      <c r="C1482" s="50">
        <v>277033</v>
      </c>
      <c r="D1482" s="16" t="s">
        <v>16</v>
      </c>
      <c r="E1482" s="16" t="s">
        <v>17</v>
      </c>
      <c r="F1482" s="15">
        <v>43981</v>
      </c>
      <c r="G1482" s="8">
        <f t="shared" si="23"/>
        <v>43981</v>
      </c>
      <c r="H1482" s="16" t="s">
        <v>13</v>
      </c>
      <c r="I1482" s="9">
        <v>34016.527254535802</v>
      </c>
      <c r="J1482" s="62">
        <v>329.63865604863997</v>
      </c>
      <c r="K1482" s="17">
        <v>1</v>
      </c>
    </row>
    <row r="1483" spans="1:11" x14ac:dyDescent="0.25">
      <c r="A1483" s="4" t="s">
        <v>2983</v>
      </c>
      <c r="B1483" s="4" t="s">
        <v>2984</v>
      </c>
      <c r="C1483" s="50">
        <v>269588</v>
      </c>
      <c r="D1483" s="16" t="s">
        <v>34</v>
      </c>
      <c r="E1483" s="16" t="s">
        <v>17</v>
      </c>
      <c r="F1483" s="15">
        <v>43981</v>
      </c>
      <c r="G1483" s="8">
        <f t="shared" si="23"/>
        <v>43981</v>
      </c>
      <c r="H1483" s="16" t="s">
        <v>13</v>
      </c>
      <c r="I1483" s="9">
        <v>11887.162299948199</v>
      </c>
      <c r="J1483" s="62">
        <v>213.527443866102</v>
      </c>
      <c r="K1483" s="17">
        <v>1</v>
      </c>
    </row>
    <row r="1484" spans="1:11" x14ac:dyDescent="0.25">
      <c r="A1484" s="4" t="s">
        <v>2985</v>
      </c>
      <c r="B1484" s="4" t="s">
        <v>2986</v>
      </c>
      <c r="C1484" s="5">
        <v>270564</v>
      </c>
      <c r="D1484" s="16" t="s">
        <v>34</v>
      </c>
      <c r="E1484" s="16" t="s">
        <v>17</v>
      </c>
      <c r="F1484" s="15">
        <v>43981</v>
      </c>
      <c r="G1484" s="8">
        <f t="shared" si="23"/>
        <v>43981</v>
      </c>
      <c r="H1484" s="16" t="s">
        <v>13</v>
      </c>
      <c r="I1484" s="9">
        <v>2887.0283777939699</v>
      </c>
      <c r="J1484" s="62">
        <v>24.312654899673898</v>
      </c>
      <c r="K1484" s="17">
        <v>1</v>
      </c>
    </row>
    <row r="1485" spans="1:11" x14ac:dyDescent="0.25">
      <c r="A1485" s="4" t="s">
        <v>2987</v>
      </c>
      <c r="B1485" s="4" t="s">
        <v>2988</v>
      </c>
      <c r="C1485" s="5">
        <v>272180</v>
      </c>
      <c r="D1485" s="16" t="s">
        <v>31</v>
      </c>
      <c r="E1485" s="16" t="s">
        <v>17</v>
      </c>
      <c r="F1485" s="15">
        <v>43981</v>
      </c>
      <c r="G1485" s="8">
        <f t="shared" si="23"/>
        <v>43981</v>
      </c>
      <c r="H1485" s="16" t="s">
        <v>13</v>
      </c>
      <c r="I1485" s="9">
        <v>40423.915585819304</v>
      </c>
      <c r="J1485" s="62">
        <v>316.729695234166</v>
      </c>
      <c r="K1485" s="17">
        <v>1</v>
      </c>
    </row>
    <row r="1486" spans="1:11" x14ac:dyDescent="0.25">
      <c r="A1486" s="4" t="s">
        <v>2989</v>
      </c>
      <c r="B1486" s="4" t="s">
        <v>2990</v>
      </c>
      <c r="C1486" s="5">
        <v>274756</v>
      </c>
      <c r="D1486" s="16" t="s">
        <v>11</v>
      </c>
      <c r="E1486" s="16" t="s">
        <v>17</v>
      </c>
      <c r="F1486" s="15">
        <v>43981</v>
      </c>
      <c r="G1486" s="8">
        <f t="shared" si="23"/>
        <v>43981</v>
      </c>
      <c r="H1486" s="16" t="s">
        <v>13</v>
      </c>
      <c r="I1486" s="9">
        <v>8582.5178728082392</v>
      </c>
      <c r="J1486" s="62">
        <v>241.145848611969</v>
      </c>
      <c r="K1486" s="17">
        <v>1</v>
      </c>
    </row>
    <row r="1487" spans="1:11" x14ac:dyDescent="0.25">
      <c r="A1487" s="4" t="s">
        <v>2991</v>
      </c>
      <c r="B1487" s="4" t="s">
        <v>2992</v>
      </c>
      <c r="C1487" s="5">
        <v>271220</v>
      </c>
      <c r="D1487" s="16" t="s">
        <v>37</v>
      </c>
      <c r="E1487" s="16" t="s">
        <v>38</v>
      </c>
      <c r="F1487" s="15">
        <v>43977</v>
      </c>
      <c r="G1487" s="8">
        <f t="shared" si="23"/>
        <v>43977</v>
      </c>
      <c r="H1487" s="16" t="s">
        <v>39</v>
      </c>
      <c r="I1487" s="9">
        <v>41610.412011138404</v>
      </c>
      <c r="J1487" s="62">
        <v>554.12734213069803</v>
      </c>
      <c r="K1487" s="17">
        <v>2</v>
      </c>
    </row>
    <row r="1488" spans="1:11" x14ac:dyDescent="0.25">
      <c r="A1488" s="4" t="s">
        <v>2993</v>
      </c>
      <c r="B1488" s="4" t="s">
        <v>2994</v>
      </c>
      <c r="C1488" s="5">
        <v>270900</v>
      </c>
      <c r="D1488" s="16" t="s">
        <v>11</v>
      </c>
      <c r="E1488" s="16" t="s">
        <v>12</v>
      </c>
      <c r="F1488" s="15">
        <v>43994</v>
      </c>
      <c r="G1488" s="8">
        <f t="shared" si="23"/>
        <v>43994</v>
      </c>
      <c r="H1488" s="16" t="s">
        <v>39</v>
      </c>
      <c r="I1488" s="9">
        <v>48341.402612533901</v>
      </c>
      <c r="J1488" s="62">
        <v>313.20065810656303</v>
      </c>
      <c r="K1488" s="17">
        <v>1</v>
      </c>
    </row>
    <row r="1489" spans="1:11" x14ac:dyDescent="0.25">
      <c r="A1489" s="3" t="s">
        <v>2995</v>
      </c>
      <c r="B1489" s="4" t="s">
        <v>2996</v>
      </c>
      <c r="C1489" s="5">
        <v>213268</v>
      </c>
      <c r="D1489" s="16" t="s">
        <v>34</v>
      </c>
      <c r="E1489" s="16" t="s">
        <v>17</v>
      </c>
      <c r="F1489" s="15">
        <v>44018</v>
      </c>
      <c r="G1489" s="8">
        <f t="shared" si="23"/>
        <v>44018</v>
      </c>
      <c r="H1489" s="16" t="s">
        <v>13</v>
      </c>
      <c r="I1489" s="9">
        <v>11749.9373671421</v>
      </c>
      <c r="J1489" s="62">
        <v>227.368248914248</v>
      </c>
      <c r="K1489" s="17">
        <v>1</v>
      </c>
    </row>
    <row r="1490" spans="1:11" x14ac:dyDescent="0.25">
      <c r="A1490" s="3" t="s">
        <v>2997</v>
      </c>
      <c r="B1490" s="4" t="s">
        <v>2998</v>
      </c>
      <c r="C1490" s="5">
        <v>275076</v>
      </c>
      <c r="D1490" s="16" t="s">
        <v>11</v>
      </c>
      <c r="E1490" s="16" t="s">
        <v>12</v>
      </c>
      <c r="F1490" s="15">
        <v>44029</v>
      </c>
      <c r="G1490" s="8">
        <f t="shared" si="23"/>
        <v>44029</v>
      </c>
      <c r="H1490" s="16" t="s">
        <v>39</v>
      </c>
      <c r="I1490" s="9">
        <v>12100.216691964601</v>
      </c>
      <c r="J1490" s="62">
        <v>126.884129820883</v>
      </c>
      <c r="K1490" s="17">
        <v>1</v>
      </c>
    </row>
    <row r="1491" spans="1:11" x14ac:dyDescent="0.25">
      <c r="A1491" s="3" t="s">
        <v>2999</v>
      </c>
      <c r="B1491" s="4" t="s">
        <v>3000</v>
      </c>
      <c r="C1491" s="5">
        <v>273828</v>
      </c>
      <c r="D1491" s="16" t="s">
        <v>28</v>
      </c>
      <c r="E1491" s="16" t="s">
        <v>17</v>
      </c>
      <c r="F1491" s="15">
        <v>44123</v>
      </c>
      <c r="G1491" s="8">
        <f t="shared" si="23"/>
        <v>44123</v>
      </c>
      <c r="H1491" s="16" t="s">
        <v>13</v>
      </c>
      <c r="I1491" s="9">
        <v>6183.74035534217</v>
      </c>
      <c r="J1491" s="62">
        <v>98.705566260207505</v>
      </c>
      <c r="K1491" s="17">
        <v>1</v>
      </c>
    </row>
    <row r="1492" spans="1:11" x14ac:dyDescent="0.25">
      <c r="A1492" s="3" t="s">
        <v>3001</v>
      </c>
      <c r="B1492" s="4" t="s">
        <v>3002</v>
      </c>
      <c r="C1492" s="5">
        <v>275172</v>
      </c>
      <c r="D1492" s="16" t="s">
        <v>28</v>
      </c>
      <c r="E1492" s="16" t="s">
        <v>17</v>
      </c>
      <c r="F1492" s="15">
        <v>44036</v>
      </c>
      <c r="G1492" s="8">
        <f t="shared" si="23"/>
        <v>44036</v>
      </c>
      <c r="H1492" s="16" t="s">
        <v>13</v>
      </c>
      <c r="I1492" s="9">
        <v>4648.0893266931098</v>
      </c>
      <c r="J1492" s="62">
        <v>380.11196816923001</v>
      </c>
      <c r="K1492" s="17">
        <v>1</v>
      </c>
    </row>
    <row r="1493" spans="1:11" x14ac:dyDescent="0.25">
      <c r="A1493" s="3" t="s">
        <v>3003</v>
      </c>
      <c r="B1493" s="4" t="s">
        <v>3004</v>
      </c>
      <c r="C1493" s="5">
        <v>272820</v>
      </c>
      <c r="D1493" s="16" t="s">
        <v>34</v>
      </c>
      <c r="E1493" s="16" t="s">
        <v>17</v>
      </c>
      <c r="F1493" s="15">
        <v>44040</v>
      </c>
      <c r="G1493" s="8">
        <f t="shared" si="23"/>
        <v>44040</v>
      </c>
      <c r="H1493" s="16" t="s">
        <v>13</v>
      </c>
      <c r="I1493" s="9">
        <v>9587.6073058269103</v>
      </c>
      <c r="J1493" s="62">
        <v>165.091241400673</v>
      </c>
      <c r="K1493" s="17">
        <v>1</v>
      </c>
    </row>
    <row r="1494" spans="1:11" x14ac:dyDescent="0.25">
      <c r="A1494" s="3" t="s">
        <v>3005</v>
      </c>
      <c r="B1494" s="4" t="s">
        <v>3006</v>
      </c>
      <c r="C1494" s="5">
        <v>272196</v>
      </c>
      <c r="D1494" s="16" t="s">
        <v>11</v>
      </c>
      <c r="E1494" s="16" t="s">
        <v>12</v>
      </c>
      <c r="F1494" s="15">
        <v>44060</v>
      </c>
      <c r="G1494" s="8">
        <f t="shared" si="23"/>
        <v>44060</v>
      </c>
      <c r="H1494" s="16" t="s">
        <v>39</v>
      </c>
      <c r="I1494" s="9">
        <v>23320.707920516998</v>
      </c>
      <c r="J1494" s="62">
        <v>151.18875003138001</v>
      </c>
      <c r="K1494" s="17">
        <v>1</v>
      </c>
    </row>
    <row r="1495" spans="1:11" x14ac:dyDescent="0.25">
      <c r="A1495" s="3" t="s">
        <v>3007</v>
      </c>
      <c r="B1495" s="4" t="s">
        <v>3008</v>
      </c>
      <c r="C1495" s="5">
        <v>273844</v>
      </c>
      <c r="D1495" s="16" t="s">
        <v>11</v>
      </c>
      <c r="E1495" s="16" t="s">
        <v>17</v>
      </c>
      <c r="F1495" s="15">
        <v>44060</v>
      </c>
      <c r="G1495" s="8">
        <f t="shared" si="23"/>
        <v>44060</v>
      </c>
      <c r="H1495" s="16" t="s">
        <v>13</v>
      </c>
      <c r="I1495" s="9">
        <v>15155.2417001384</v>
      </c>
      <c r="J1495" s="62">
        <v>348.140004733365</v>
      </c>
      <c r="K1495" s="17">
        <v>1</v>
      </c>
    </row>
    <row r="1496" spans="1:11" x14ac:dyDescent="0.25">
      <c r="A1496" s="3" t="s">
        <v>3009</v>
      </c>
      <c r="B1496" s="4" t="s">
        <v>3010</v>
      </c>
      <c r="C1496" s="5">
        <v>273460</v>
      </c>
      <c r="D1496" s="16" t="s">
        <v>37</v>
      </c>
      <c r="E1496" s="16" t="s">
        <v>38</v>
      </c>
      <c r="F1496" s="15">
        <v>44064</v>
      </c>
      <c r="G1496" s="8">
        <f t="shared" si="23"/>
        <v>44064</v>
      </c>
      <c r="H1496" s="16" t="s">
        <v>39</v>
      </c>
      <c r="I1496" s="9" t="s">
        <v>3380</v>
      </c>
      <c r="J1496" s="62" t="s">
        <v>3380</v>
      </c>
      <c r="K1496" s="17">
        <v>4</v>
      </c>
    </row>
    <row r="1497" spans="1:11" x14ac:dyDescent="0.25">
      <c r="A1497" s="3" t="s">
        <v>3011</v>
      </c>
      <c r="B1497" s="4" t="s">
        <v>3012</v>
      </c>
      <c r="C1497" s="5">
        <v>277036</v>
      </c>
      <c r="D1497" s="16" t="s">
        <v>11</v>
      </c>
      <c r="E1497" s="16" t="s">
        <v>12</v>
      </c>
      <c r="F1497" s="15">
        <v>44082</v>
      </c>
      <c r="G1497" s="8">
        <f t="shared" si="23"/>
        <v>44082</v>
      </c>
      <c r="H1497" s="16" t="s">
        <v>39</v>
      </c>
      <c r="I1497" s="9">
        <v>32158.336519378699</v>
      </c>
      <c r="J1497" s="62">
        <v>335.82308818976099</v>
      </c>
      <c r="K1497" s="17">
        <v>1</v>
      </c>
    </row>
    <row r="1498" spans="1:11" x14ac:dyDescent="0.25">
      <c r="A1498" s="3" t="s">
        <v>3013</v>
      </c>
      <c r="B1498" s="4" t="s">
        <v>3014</v>
      </c>
      <c r="C1498" s="5">
        <v>271540</v>
      </c>
      <c r="D1498" s="16" t="s">
        <v>34</v>
      </c>
      <c r="E1498" s="16" t="s">
        <v>17</v>
      </c>
      <c r="F1498" s="15">
        <v>44126</v>
      </c>
      <c r="G1498" s="8">
        <f t="shared" si="23"/>
        <v>44126</v>
      </c>
      <c r="H1498" s="16" t="s">
        <v>13</v>
      </c>
      <c r="I1498" s="9">
        <v>16449.508843002299</v>
      </c>
      <c r="J1498" s="62">
        <v>176.69618099527099</v>
      </c>
      <c r="K1498" s="17">
        <v>1</v>
      </c>
    </row>
    <row r="1499" spans="1:11" x14ac:dyDescent="0.25">
      <c r="A1499" s="3" t="s">
        <v>3015</v>
      </c>
      <c r="B1499" s="4" t="s">
        <v>3016</v>
      </c>
      <c r="C1499" s="5">
        <v>277030</v>
      </c>
      <c r="D1499" s="16" t="s">
        <v>37</v>
      </c>
      <c r="E1499" s="16" t="s">
        <v>38</v>
      </c>
      <c r="F1499" s="15">
        <v>44127</v>
      </c>
      <c r="G1499" s="8">
        <f t="shared" si="23"/>
        <v>44127</v>
      </c>
      <c r="H1499" s="16" t="s">
        <v>39</v>
      </c>
      <c r="I1499" s="9">
        <v>21519.202176093699</v>
      </c>
      <c r="J1499" s="62">
        <v>344.76377931936298</v>
      </c>
      <c r="K1499" s="17">
        <v>1</v>
      </c>
    </row>
    <row r="1500" spans="1:11" x14ac:dyDescent="0.25">
      <c r="A1500" s="3" t="s">
        <v>3017</v>
      </c>
      <c r="B1500" s="4" t="s">
        <v>3018</v>
      </c>
      <c r="C1500" s="14">
        <v>219364</v>
      </c>
      <c r="D1500" s="16" t="s">
        <v>11</v>
      </c>
      <c r="E1500" s="16" t="s">
        <v>12</v>
      </c>
      <c r="F1500" s="15">
        <v>44159</v>
      </c>
      <c r="G1500" s="8">
        <f t="shared" si="23"/>
        <v>44159</v>
      </c>
      <c r="H1500" s="16" t="s">
        <v>39</v>
      </c>
      <c r="I1500" s="9">
        <v>10515.077784307699</v>
      </c>
      <c r="J1500" s="62">
        <v>237.110558265012</v>
      </c>
      <c r="K1500" s="17">
        <v>1</v>
      </c>
    </row>
    <row r="1501" spans="1:11" x14ac:dyDescent="0.25">
      <c r="A1501" s="3" t="s">
        <v>3019</v>
      </c>
      <c r="B1501" s="4" t="s">
        <v>3020</v>
      </c>
      <c r="C1501" s="5">
        <v>277038</v>
      </c>
      <c r="D1501" s="16" t="s">
        <v>11</v>
      </c>
      <c r="E1501" s="16" t="s">
        <v>12</v>
      </c>
      <c r="F1501" s="15">
        <v>44159</v>
      </c>
      <c r="G1501" s="8">
        <f t="shared" si="23"/>
        <v>44159</v>
      </c>
      <c r="H1501" s="16" t="s">
        <v>39</v>
      </c>
      <c r="I1501" s="9">
        <v>50444.5571969105</v>
      </c>
      <c r="J1501" s="62">
        <v>275.06131631263901</v>
      </c>
      <c r="K1501" s="17">
        <v>1</v>
      </c>
    </row>
    <row r="1502" spans="1:11" x14ac:dyDescent="0.25">
      <c r="A1502" s="3" t="s">
        <v>3021</v>
      </c>
      <c r="B1502" s="4" t="s">
        <v>3022</v>
      </c>
      <c r="C1502" s="14">
        <v>224932</v>
      </c>
      <c r="D1502" s="16" t="s">
        <v>28</v>
      </c>
      <c r="E1502" s="16" t="s">
        <v>17</v>
      </c>
      <c r="F1502" s="15">
        <v>44169</v>
      </c>
      <c r="G1502" s="8">
        <f t="shared" si="23"/>
        <v>44169</v>
      </c>
      <c r="H1502" s="16" t="s">
        <v>13</v>
      </c>
      <c r="I1502" s="9">
        <v>18615.9856582703</v>
      </c>
      <c r="J1502" s="62">
        <v>224.343621335986</v>
      </c>
      <c r="K1502" s="17">
        <v>1</v>
      </c>
    </row>
    <row r="1503" spans="1:11" x14ac:dyDescent="0.25">
      <c r="A1503" s="3" t="s">
        <v>3023</v>
      </c>
      <c r="B1503" s="4" t="s">
        <v>3024</v>
      </c>
      <c r="C1503" s="14">
        <v>217767</v>
      </c>
      <c r="D1503" s="16" t="s">
        <v>31</v>
      </c>
      <c r="E1503" s="16" t="s">
        <v>17</v>
      </c>
      <c r="F1503" s="15">
        <v>44176</v>
      </c>
      <c r="G1503" s="8">
        <f t="shared" si="23"/>
        <v>44176</v>
      </c>
      <c r="H1503" s="16" t="s">
        <v>13</v>
      </c>
      <c r="I1503" s="9">
        <v>33115.621702449505</v>
      </c>
      <c r="J1503" s="62">
        <v>265.91653323254502</v>
      </c>
      <c r="K1503" s="17">
        <v>1</v>
      </c>
    </row>
    <row r="1504" spans="1:11" x14ac:dyDescent="0.25">
      <c r="A1504" s="3" t="s">
        <v>3025</v>
      </c>
      <c r="B1504" s="4" t="s">
        <v>3026</v>
      </c>
      <c r="C1504" s="14">
        <v>222996</v>
      </c>
      <c r="D1504" s="16" t="s">
        <v>34</v>
      </c>
      <c r="E1504" s="16" t="s">
        <v>17</v>
      </c>
      <c r="F1504" s="15">
        <v>44201</v>
      </c>
      <c r="G1504" s="8">
        <f t="shared" si="23"/>
        <v>44201</v>
      </c>
      <c r="H1504" s="16" t="s">
        <v>13</v>
      </c>
      <c r="I1504" s="9">
        <v>5371.2273896614197</v>
      </c>
      <c r="J1504" s="62">
        <v>286.891603545436</v>
      </c>
      <c r="K1504" s="17">
        <v>1</v>
      </c>
    </row>
    <row r="1505" spans="1:11" x14ac:dyDescent="0.25">
      <c r="A1505" s="3" t="s">
        <v>3027</v>
      </c>
      <c r="B1505" s="4" t="s">
        <v>3028</v>
      </c>
      <c r="C1505" s="14">
        <v>222004</v>
      </c>
      <c r="D1505" s="16" t="s">
        <v>28</v>
      </c>
      <c r="E1505" s="16" t="s">
        <v>17</v>
      </c>
      <c r="F1505" s="15">
        <v>44169</v>
      </c>
      <c r="G1505" s="8">
        <f t="shared" si="23"/>
        <v>44169</v>
      </c>
      <c r="H1505" s="16" t="s">
        <v>13</v>
      </c>
      <c r="I1505" s="9">
        <v>15322.9858175884</v>
      </c>
      <c r="J1505" s="62">
        <v>206.95103609086999</v>
      </c>
      <c r="K1505" s="17">
        <v>1</v>
      </c>
    </row>
    <row r="1506" spans="1:11" x14ac:dyDescent="0.25">
      <c r="A1506" s="3" t="s">
        <v>3029</v>
      </c>
      <c r="B1506" s="4" t="s">
        <v>3030</v>
      </c>
      <c r="C1506" s="14">
        <v>226212</v>
      </c>
      <c r="D1506" s="16" t="s">
        <v>28</v>
      </c>
      <c r="E1506" s="16" t="s">
        <v>17</v>
      </c>
      <c r="F1506" s="15">
        <v>44169</v>
      </c>
      <c r="G1506" s="8">
        <f t="shared" si="23"/>
        <v>44169</v>
      </c>
      <c r="H1506" s="16" t="s">
        <v>13</v>
      </c>
      <c r="I1506" s="9">
        <v>26319.090036835001</v>
      </c>
      <c r="J1506" s="62">
        <v>653.53966359154799</v>
      </c>
      <c r="K1506" s="17">
        <v>1</v>
      </c>
    </row>
    <row r="1507" spans="1:11" x14ac:dyDescent="0.25">
      <c r="A1507" s="3" t="s">
        <v>3031</v>
      </c>
      <c r="B1507" s="4" t="s">
        <v>3032</v>
      </c>
      <c r="C1507" s="14">
        <v>222676</v>
      </c>
      <c r="D1507" s="16" t="s">
        <v>34</v>
      </c>
      <c r="E1507" s="16" t="s">
        <v>17</v>
      </c>
      <c r="F1507" s="15">
        <v>44237</v>
      </c>
      <c r="G1507" s="8">
        <f t="shared" si="23"/>
        <v>44237</v>
      </c>
      <c r="H1507" s="16" t="s">
        <v>13</v>
      </c>
      <c r="I1507" s="9">
        <v>19793.758485020699</v>
      </c>
      <c r="J1507" s="62">
        <v>334.41037058319398</v>
      </c>
      <c r="K1507" s="17">
        <v>1</v>
      </c>
    </row>
    <row r="1508" spans="1:11" x14ac:dyDescent="0.25">
      <c r="A1508" s="3" t="s">
        <v>3033</v>
      </c>
      <c r="B1508" s="4" t="s">
        <v>3034</v>
      </c>
      <c r="C1508" s="14">
        <v>229845</v>
      </c>
      <c r="D1508" s="16" t="s">
        <v>11</v>
      </c>
      <c r="E1508" s="16" t="s">
        <v>12</v>
      </c>
      <c r="F1508" s="15">
        <v>44285</v>
      </c>
      <c r="G1508" s="8">
        <f t="shared" si="23"/>
        <v>44285</v>
      </c>
      <c r="H1508" s="16" t="s">
        <v>39</v>
      </c>
      <c r="I1508" s="9">
        <v>20647.953535746597</v>
      </c>
      <c r="J1508" s="62">
        <v>262.87447054766699</v>
      </c>
      <c r="K1508" s="17">
        <v>1</v>
      </c>
    </row>
    <row r="1509" spans="1:11" x14ac:dyDescent="0.25">
      <c r="A1509" s="3" t="s">
        <v>3035</v>
      </c>
      <c r="B1509" s="4" t="s">
        <v>3036</v>
      </c>
      <c r="C1509" s="14">
        <v>225252</v>
      </c>
      <c r="D1509" s="16" t="s">
        <v>31</v>
      </c>
      <c r="E1509" s="16" t="s">
        <v>17</v>
      </c>
      <c r="F1509" s="15">
        <v>44283</v>
      </c>
      <c r="G1509" s="8">
        <f t="shared" si="23"/>
        <v>44283</v>
      </c>
      <c r="H1509" s="16" t="s">
        <v>13</v>
      </c>
      <c r="I1509" s="9">
        <v>20835.424216336498</v>
      </c>
      <c r="J1509" s="62">
        <v>104.316144035555</v>
      </c>
      <c r="K1509" s="17">
        <v>1</v>
      </c>
    </row>
    <row r="1510" spans="1:11" x14ac:dyDescent="0.25">
      <c r="A1510" s="3" t="s">
        <v>3037</v>
      </c>
      <c r="B1510" s="4" t="s">
        <v>3038</v>
      </c>
      <c r="C1510" s="14">
        <v>222036</v>
      </c>
      <c r="D1510" s="16" t="s">
        <v>11</v>
      </c>
      <c r="E1510" s="16" t="s">
        <v>12</v>
      </c>
      <c r="F1510" s="15">
        <v>44284</v>
      </c>
      <c r="G1510" s="8">
        <f t="shared" si="23"/>
        <v>44284</v>
      </c>
      <c r="H1510" s="16" t="s">
        <v>39</v>
      </c>
      <c r="I1510" s="9">
        <v>36502.046704707405</v>
      </c>
      <c r="J1510" s="62">
        <v>307.44773952435298</v>
      </c>
      <c r="K1510" s="17">
        <v>1</v>
      </c>
    </row>
    <row r="1511" spans="1:11" x14ac:dyDescent="0.25">
      <c r="A1511" s="3" t="s">
        <v>3039</v>
      </c>
      <c r="B1511" s="4" t="s">
        <v>3040</v>
      </c>
      <c r="C1511" s="14">
        <v>223668</v>
      </c>
      <c r="D1511" s="16" t="s">
        <v>31</v>
      </c>
      <c r="E1511" s="16" t="s">
        <v>17</v>
      </c>
      <c r="F1511" s="15">
        <v>44287</v>
      </c>
      <c r="G1511" s="8">
        <f t="shared" si="23"/>
        <v>44287</v>
      </c>
      <c r="H1511" s="16" t="s">
        <v>13</v>
      </c>
      <c r="I1511" s="9">
        <v>11175.135241644099</v>
      </c>
      <c r="J1511" s="62">
        <v>113.825182058425</v>
      </c>
      <c r="K1511" s="17">
        <v>1</v>
      </c>
    </row>
    <row r="1512" spans="1:11" x14ac:dyDescent="0.25">
      <c r="A1512" s="3" t="s">
        <v>3041</v>
      </c>
      <c r="B1512" s="39" t="s">
        <v>3042</v>
      </c>
      <c r="C1512" s="14">
        <v>222052</v>
      </c>
      <c r="D1512" s="16" t="s">
        <v>28</v>
      </c>
      <c r="E1512" s="16" t="s">
        <v>17</v>
      </c>
      <c r="F1512" s="51">
        <v>44287</v>
      </c>
      <c r="G1512" s="8">
        <f t="shared" si="23"/>
        <v>44287</v>
      </c>
      <c r="H1512" s="52" t="s">
        <v>13</v>
      </c>
      <c r="I1512" s="9">
        <v>5618.6914016289402</v>
      </c>
      <c r="J1512" s="62">
        <v>213.030971987443</v>
      </c>
      <c r="K1512" s="17">
        <v>1</v>
      </c>
    </row>
    <row r="1513" spans="1:11" x14ac:dyDescent="0.25">
      <c r="A1513" s="3" t="s">
        <v>3043</v>
      </c>
      <c r="B1513" s="4" t="s">
        <v>3044</v>
      </c>
      <c r="C1513" s="5">
        <v>277051</v>
      </c>
      <c r="D1513" s="16" t="s">
        <v>11</v>
      </c>
      <c r="E1513" s="16" t="s">
        <v>12</v>
      </c>
      <c r="F1513" s="15">
        <v>44312</v>
      </c>
      <c r="G1513" s="8">
        <f t="shared" si="23"/>
        <v>44312</v>
      </c>
      <c r="H1513" s="16" t="s">
        <v>39</v>
      </c>
      <c r="I1513" s="9">
        <v>55248.5481506543</v>
      </c>
      <c r="J1513" s="62">
        <v>525.89075106382097</v>
      </c>
      <c r="K1513" s="17">
        <v>2</v>
      </c>
    </row>
    <row r="1514" spans="1:11" x14ac:dyDescent="0.25">
      <c r="A1514" s="3" t="s">
        <v>3045</v>
      </c>
      <c r="B1514" s="4" t="s">
        <v>3046</v>
      </c>
      <c r="C1514" s="14">
        <v>224308</v>
      </c>
      <c r="D1514" s="16" t="s">
        <v>37</v>
      </c>
      <c r="E1514" s="16" t="s">
        <v>3047</v>
      </c>
      <c r="F1514" s="15">
        <v>44312</v>
      </c>
      <c r="G1514" s="8">
        <f t="shared" si="23"/>
        <v>44312</v>
      </c>
      <c r="H1514" s="16" t="s">
        <v>39</v>
      </c>
      <c r="I1514" s="9">
        <v>12630.6109089083</v>
      </c>
      <c r="J1514" s="62">
        <v>351.45015133727202</v>
      </c>
      <c r="K1514" s="17">
        <v>1</v>
      </c>
    </row>
    <row r="1515" spans="1:11" x14ac:dyDescent="0.25">
      <c r="A1515" s="3" t="s">
        <v>3048</v>
      </c>
      <c r="B1515" s="4" t="s">
        <v>3049</v>
      </c>
      <c r="C1515" s="14">
        <v>277044</v>
      </c>
      <c r="D1515" s="16" t="s">
        <v>28</v>
      </c>
      <c r="E1515" s="16" t="s">
        <v>17</v>
      </c>
      <c r="F1515" s="15">
        <v>44311</v>
      </c>
      <c r="G1515" s="8">
        <f t="shared" si="23"/>
        <v>44311</v>
      </c>
      <c r="H1515" s="16" t="s">
        <v>13</v>
      </c>
      <c r="I1515" s="9">
        <v>23926.4108875729</v>
      </c>
      <c r="J1515" s="62">
        <v>190.590448658193</v>
      </c>
      <c r="K1515" s="17">
        <v>1</v>
      </c>
    </row>
    <row r="1516" spans="1:11" x14ac:dyDescent="0.25">
      <c r="A1516" s="3" t="s">
        <v>3050</v>
      </c>
      <c r="B1516" s="4" t="s">
        <v>3051</v>
      </c>
      <c r="C1516" s="14">
        <v>226532</v>
      </c>
      <c r="D1516" s="16" t="s">
        <v>11</v>
      </c>
      <c r="E1516" s="16" t="s">
        <v>12</v>
      </c>
      <c r="F1516" s="15">
        <v>44316</v>
      </c>
      <c r="G1516" s="8">
        <f t="shared" si="23"/>
        <v>44316</v>
      </c>
      <c r="H1516" s="16" t="s">
        <v>13</v>
      </c>
      <c r="I1516" s="9">
        <v>17559.640683193498</v>
      </c>
      <c r="J1516" s="62">
        <v>216.65821831126601</v>
      </c>
      <c r="K1516" s="17">
        <v>1</v>
      </c>
    </row>
    <row r="1517" spans="1:11" x14ac:dyDescent="0.25">
      <c r="A1517" s="3" t="s">
        <v>3052</v>
      </c>
      <c r="B1517" s="4" t="s">
        <v>3053</v>
      </c>
      <c r="C1517" s="14">
        <v>284077</v>
      </c>
      <c r="D1517" s="16" t="s">
        <v>28</v>
      </c>
      <c r="E1517" s="16" t="s">
        <v>17</v>
      </c>
      <c r="F1517" s="15">
        <v>44317</v>
      </c>
      <c r="G1517" s="8">
        <f t="shared" si="23"/>
        <v>44317</v>
      </c>
      <c r="H1517" s="16" t="s">
        <v>13</v>
      </c>
      <c r="I1517" s="9">
        <v>17677.503200436997</v>
      </c>
      <c r="J1517" s="62">
        <v>185.078290533168</v>
      </c>
      <c r="K1517" s="17">
        <v>1</v>
      </c>
    </row>
    <row r="1518" spans="1:11" x14ac:dyDescent="0.25">
      <c r="A1518" s="3" t="s">
        <v>3054</v>
      </c>
      <c r="B1518" s="4" t="s">
        <v>3055</v>
      </c>
      <c r="C1518" s="14">
        <v>281924</v>
      </c>
      <c r="D1518" s="16" t="s">
        <v>31</v>
      </c>
      <c r="E1518" s="16" t="s">
        <v>17</v>
      </c>
      <c r="F1518" s="15">
        <v>44318</v>
      </c>
      <c r="G1518" s="8">
        <f t="shared" si="23"/>
        <v>44318</v>
      </c>
      <c r="H1518" s="16" t="s">
        <v>13</v>
      </c>
      <c r="I1518" s="9">
        <v>9183.3478518900101</v>
      </c>
      <c r="J1518" s="62">
        <v>130.16351595294299</v>
      </c>
      <c r="K1518" s="17">
        <v>1</v>
      </c>
    </row>
    <row r="1519" spans="1:11" x14ac:dyDescent="0.25">
      <c r="A1519" s="3" t="s">
        <v>3056</v>
      </c>
      <c r="B1519" s="4" t="s">
        <v>3057</v>
      </c>
      <c r="C1519" s="14">
        <v>278292</v>
      </c>
      <c r="D1519" s="16" t="s">
        <v>11</v>
      </c>
      <c r="E1519" s="16" t="s">
        <v>12</v>
      </c>
      <c r="F1519" s="15">
        <v>44320</v>
      </c>
      <c r="G1519" s="8">
        <f t="shared" si="23"/>
        <v>44320</v>
      </c>
      <c r="H1519" s="16" t="s">
        <v>13</v>
      </c>
      <c r="I1519" s="9">
        <v>63778.960700900003</v>
      </c>
      <c r="J1519" s="62">
        <v>471.83566000595403</v>
      </c>
      <c r="K1519" s="17">
        <v>1</v>
      </c>
    </row>
    <row r="1520" spans="1:11" x14ac:dyDescent="0.25">
      <c r="A1520" s="3" t="s">
        <v>3058</v>
      </c>
      <c r="B1520" s="4" t="s">
        <v>3059</v>
      </c>
      <c r="C1520" s="14">
        <v>282132</v>
      </c>
      <c r="D1520" s="16" t="s">
        <v>34</v>
      </c>
      <c r="E1520" s="16" t="s">
        <v>17</v>
      </c>
      <c r="F1520" s="15">
        <v>44369</v>
      </c>
      <c r="G1520" s="8">
        <f t="shared" si="23"/>
        <v>44369</v>
      </c>
      <c r="H1520" s="16" t="s">
        <v>13</v>
      </c>
      <c r="I1520" s="9">
        <v>15319.055704956501</v>
      </c>
      <c r="J1520" s="62">
        <v>117.366219461776</v>
      </c>
      <c r="K1520" s="17">
        <v>1</v>
      </c>
    </row>
    <row r="1521" spans="1:11" x14ac:dyDescent="0.25">
      <c r="A1521" s="3" t="s">
        <v>3060</v>
      </c>
      <c r="B1521" s="4" t="s">
        <v>3061</v>
      </c>
      <c r="C1521" s="14">
        <v>282469</v>
      </c>
      <c r="D1521" s="16" t="s">
        <v>11</v>
      </c>
      <c r="E1521" s="16" t="s">
        <v>12</v>
      </c>
      <c r="F1521" s="15">
        <v>44369</v>
      </c>
      <c r="G1521" s="8">
        <f t="shared" si="23"/>
        <v>44369</v>
      </c>
      <c r="H1521" s="16" t="s">
        <v>13</v>
      </c>
      <c r="I1521" s="9">
        <v>11389.279895465201</v>
      </c>
      <c r="J1521" s="62">
        <v>443.05305630658597</v>
      </c>
      <c r="K1521" s="17">
        <v>1</v>
      </c>
    </row>
    <row r="1522" spans="1:11" x14ac:dyDescent="0.25">
      <c r="A1522" s="3" t="s">
        <v>3062</v>
      </c>
      <c r="B1522" s="4" t="s">
        <v>3063</v>
      </c>
      <c r="C1522" s="14">
        <v>284076</v>
      </c>
      <c r="D1522" s="16" t="s">
        <v>34</v>
      </c>
      <c r="E1522" s="16" t="s">
        <v>17</v>
      </c>
      <c r="F1522" s="15">
        <v>44376</v>
      </c>
      <c r="G1522" s="8">
        <f t="shared" si="23"/>
        <v>44376</v>
      </c>
      <c r="H1522" s="16" t="s">
        <v>13</v>
      </c>
      <c r="I1522" s="9">
        <v>13343.8907887408</v>
      </c>
      <c r="J1522" s="62">
        <v>297.635584297641</v>
      </c>
      <c r="K1522" s="17">
        <v>1</v>
      </c>
    </row>
    <row r="1523" spans="1:11" x14ac:dyDescent="0.25">
      <c r="A1523" s="3" t="s">
        <v>3064</v>
      </c>
      <c r="B1523" s="4" t="s">
        <v>3065</v>
      </c>
      <c r="C1523" s="14">
        <v>281812</v>
      </c>
      <c r="D1523" s="16" t="s">
        <v>11</v>
      </c>
      <c r="E1523" s="16" t="s">
        <v>12</v>
      </c>
      <c r="F1523" s="15">
        <v>44376</v>
      </c>
      <c r="G1523" s="8">
        <f t="shared" si="23"/>
        <v>44376</v>
      </c>
      <c r="H1523" s="16" t="s">
        <v>39</v>
      </c>
      <c r="I1523" s="9">
        <v>23691.651107572401</v>
      </c>
      <c r="J1523" s="62">
        <v>187.81240058266701</v>
      </c>
      <c r="K1523" s="17">
        <v>1</v>
      </c>
    </row>
    <row r="1524" spans="1:11" x14ac:dyDescent="0.25">
      <c r="A1524" s="3" t="s">
        <v>3066</v>
      </c>
      <c r="B1524" s="4" t="s">
        <v>3067</v>
      </c>
      <c r="C1524" s="14">
        <v>281813</v>
      </c>
      <c r="D1524" s="16" t="s">
        <v>11</v>
      </c>
      <c r="E1524" s="16" t="s">
        <v>12</v>
      </c>
      <c r="F1524" s="15">
        <v>44376</v>
      </c>
      <c r="G1524" s="8">
        <f t="shared" si="23"/>
        <v>44376</v>
      </c>
      <c r="H1524" s="16" t="s">
        <v>39</v>
      </c>
      <c r="I1524" s="9">
        <v>29205.8696849015</v>
      </c>
      <c r="J1524" s="62">
        <v>135.50613245765999</v>
      </c>
      <c r="K1524" s="17">
        <v>1</v>
      </c>
    </row>
    <row r="1525" spans="1:11" x14ac:dyDescent="0.25">
      <c r="A1525" s="3" t="s">
        <v>3068</v>
      </c>
      <c r="B1525" s="4" t="s">
        <v>3069</v>
      </c>
      <c r="C1525" s="14">
        <v>284075</v>
      </c>
      <c r="D1525" s="16" t="s">
        <v>28</v>
      </c>
      <c r="E1525" s="16" t="s">
        <v>17</v>
      </c>
      <c r="F1525" s="15">
        <v>44376</v>
      </c>
      <c r="G1525" s="8">
        <f t="shared" si="23"/>
        <v>44376</v>
      </c>
      <c r="H1525" s="16" t="s">
        <v>13</v>
      </c>
      <c r="I1525" s="9">
        <v>7623.8205890395402</v>
      </c>
      <c r="J1525" s="62">
        <v>103.33894988160399</v>
      </c>
      <c r="K1525" s="17">
        <v>1</v>
      </c>
    </row>
    <row r="1526" spans="1:11" x14ac:dyDescent="0.25">
      <c r="A1526" s="3" t="s">
        <v>3070</v>
      </c>
      <c r="B1526" s="4" t="s">
        <v>3071</v>
      </c>
      <c r="C1526" s="14">
        <v>282500</v>
      </c>
      <c r="D1526" s="16" t="s">
        <v>16</v>
      </c>
      <c r="E1526" s="16" t="s">
        <v>17</v>
      </c>
      <c r="F1526" s="15">
        <v>44377</v>
      </c>
      <c r="G1526" s="8">
        <f t="shared" si="23"/>
        <v>44377</v>
      </c>
      <c r="H1526" s="16" t="s">
        <v>13</v>
      </c>
      <c r="I1526" s="9">
        <v>9524.7958279363793</v>
      </c>
      <c r="J1526" s="62">
        <v>239.431034442629</v>
      </c>
      <c r="K1526" s="17">
        <v>1</v>
      </c>
    </row>
    <row r="1527" spans="1:11" x14ac:dyDescent="0.25">
      <c r="A1527" s="3" t="s">
        <v>3072</v>
      </c>
      <c r="B1527" s="4" t="s">
        <v>3073</v>
      </c>
      <c r="C1527" s="14">
        <v>283412</v>
      </c>
      <c r="D1527" s="16" t="s">
        <v>34</v>
      </c>
      <c r="E1527" s="16" t="s">
        <v>17</v>
      </c>
      <c r="F1527" s="15">
        <v>44431</v>
      </c>
      <c r="G1527" s="8">
        <f t="shared" si="23"/>
        <v>44431</v>
      </c>
      <c r="H1527" s="16" t="s">
        <v>13</v>
      </c>
      <c r="I1527" s="9">
        <v>4095.5581621328097</v>
      </c>
      <c r="J1527" s="62">
        <v>76.737104705552099</v>
      </c>
      <c r="K1527" s="17">
        <v>1</v>
      </c>
    </row>
    <row r="1528" spans="1:11" x14ac:dyDescent="0.25">
      <c r="A1528" s="3" t="s">
        <v>3074</v>
      </c>
      <c r="B1528" s="4" t="s">
        <v>3075</v>
      </c>
      <c r="C1528" s="5">
        <v>284074</v>
      </c>
      <c r="D1528" s="16" t="s">
        <v>11</v>
      </c>
      <c r="E1528" s="16" t="s">
        <v>12</v>
      </c>
      <c r="F1528" s="15">
        <v>44431</v>
      </c>
      <c r="G1528" s="8">
        <f t="shared" si="23"/>
        <v>44431</v>
      </c>
      <c r="H1528" s="16" t="s">
        <v>13</v>
      </c>
      <c r="I1528" s="9">
        <v>20136.9728847808</v>
      </c>
      <c r="J1528" s="62">
        <v>522.32023744006301</v>
      </c>
      <c r="K1528" s="17">
        <v>2</v>
      </c>
    </row>
    <row r="1529" spans="1:11" x14ac:dyDescent="0.25">
      <c r="A1529" s="3" t="s">
        <v>3076</v>
      </c>
      <c r="B1529" s="4" t="s">
        <v>3077</v>
      </c>
      <c r="C1529" s="5">
        <v>284073</v>
      </c>
      <c r="D1529" s="16" t="s">
        <v>28</v>
      </c>
      <c r="E1529" s="16" t="s">
        <v>17</v>
      </c>
      <c r="F1529" s="15">
        <v>44434</v>
      </c>
      <c r="G1529" s="8">
        <f t="shared" si="23"/>
        <v>44434</v>
      </c>
      <c r="H1529" s="16" t="s">
        <v>13</v>
      </c>
      <c r="I1529" s="9">
        <v>46735.2178537211</v>
      </c>
      <c r="J1529" s="62">
        <v>554.68372063855998</v>
      </c>
      <c r="K1529" s="17"/>
    </row>
    <row r="1530" spans="1:11" x14ac:dyDescent="0.25">
      <c r="A1530" s="3" t="s">
        <v>3078</v>
      </c>
      <c r="B1530" s="4" t="s">
        <v>3079</v>
      </c>
      <c r="C1530" s="14">
        <v>284072</v>
      </c>
      <c r="D1530" s="16" t="s">
        <v>37</v>
      </c>
      <c r="E1530" s="16" t="s">
        <v>38</v>
      </c>
      <c r="F1530" s="15">
        <v>44453</v>
      </c>
      <c r="G1530" s="8">
        <f t="shared" si="23"/>
        <v>44453</v>
      </c>
      <c r="H1530" s="16" t="s">
        <v>39</v>
      </c>
      <c r="I1530" s="9">
        <v>15510.910466859799</v>
      </c>
      <c r="J1530" s="62">
        <v>86.501294237251301</v>
      </c>
      <c r="K1530" s="17">
        <v>1</v>
      </c>
    </row>
    <row r="1531" spans="1:11" x14ac:dyDescent="0.25">
      <c r="A1531" s="3" t="s">
        <v>3080</v>
      </c>
      <c r="B1531" s="4" t="s">
        <v>3081</v>
      </c>
      <c r="C1531" s="14">
        <v>284071</v>
      </c>
      <c r="D1531" s="16" t="s">
        <v>28</v>
      </c>
      <c r="E1531" s="16" t="s">
        <v>508</v>
      </c>
      <c r="F1531" s="15">
        <v>44476</v>
      </c>
      <c r="G1531" s="8">
        <f t="shared" si="23"/>
        <v>44476</v>
      </c>
      <c r="H1531" s="16" t="s">
        <v>509</v>
      </c>
      <c r="I1531" s="9">
        <v>26490.334162445801</v>
      </c>
      <c r="J1531" s="62">
        <v>390.87813317955198</v>
      </c>
      <c r="K1531" s="17">
        <v>1</v>
      </c>
    </row>
    <row r="1532" spans="1:11" x14ac:dyDescent="0.25">
      <c r="A1532" s="3" t="s">
        <v>3082</v>
      </c>
      <c r="B1532" s="4" t="s">
        <v>3083</v>
      </c>
      <c r="C1532" s="5">
        <v>284070</v>
      </c>
      <c r="D1532" s="16" t="s">
        <v>16</v>
      </c>
      <c r="E1532" s="16" t="s">
        <v>17</v>
      </c>
      <c r="F1532" s="15">
        <v>44494</v>
      </c>
      <c r="G1532" s="8">
        <f t="shared" si="23"/>
        <v>44494</v>
      </c>
      <c r="H1532" s="16" t="s">
        <v>13</v>
      </c>
      <c r="I1532" s="9">
        <v>29611.776036371601</v>
      </c>
      <c r="J1532" s="62">
        <v>285.85600587206397</v>
      </c>
      <c r="K1532" s="17">
        <v>1</v>
      </c>
    </row>
    <row r="1533" spans="1:11" x14ac:dyDescent="0.25">
      <c r="A1533" s="3" t="s">
        <v>3084</v>
      </c>
      <c r="B1533" s="4" t="s">
        <v>3085</v>
      </c>
      <c r="C1533" s="14">
        <v>284069</v>
      </c>
      <c r="D1533" s="16" t="s">
        <v>11</v>
      </c>
      <c r="E1533" s="16" t="s">
        <v>17</v>
      </c>
      <c r="F1533" s="15">
        <v>44504</v>
      </c>
      <c r="G1533" s="8">
        <f t="shared" si="23"/>
        <v>44504</v>
      </c>
      <c r="H1533" s="16" t="s">
        <v>13</v>
      </c>
      <c r="I1533" s="9">
        <v>19157.4221013106</v>
      </c>
      <c r="J1533" s="62">
        <v>281.19814201928102</v>
      </c>
      <c r="K1533" s="17">
        <v>1</v>
      </c>
    </row>
    <row r="1534" spans="1:11" x14ac:dyDescent="0.25">
      <c r="A1534" s="3" t="s">
        <v>3086</v>
      </c>
      <c r="B1534" s="4" t="s">
        <v>3087</v>
      </c>
      <c r="C1534" s="14">
        <v>284068</v>
      </c>
      <c r="D1534" s="16" t="s">
        <v>34</v>
      </c>
      <c r="E1534" s="16" t="s">
        <v>17</v>
      </c>
      <c r="F1534" s="15">
        <v>44504</v>
      </c>
      <c r="G1534" s="8">
        <f t="shared" si="23"/>
        <v>44504</v>
      </c>
      <c r="H1534" s="16" t="s">
        <v>13</v>
      </c>
      <c r="I1534" s="9">
        <v>13200.4317559267</v>
      </c>
      <c r="J1534" s="62">
        <v>260.29327663117903</v>
      </c>
      <c r="K1534" s="17">
        <v>1</v>
      </c>
    </row>
    <row r="1535" spans="1:11" x14ac:dyDescent="0.25">
      <c r="A1535" s="3" t="s">
        <v>3088</v>
      </c>
      <c r="B1535" s="4" t="s">
        <v>3089</v>
      </c>
      <c r="C1535" s="14">
        <v>284067</v>
      </c>
      <c r="D1535" s="16" t="s">
        <v>16</v>
      </c>
      <c r="E1535" s="16" t="s">
        <v>17</v>
      </c>
      <c r="F1535" s="15">
        <v>44531</v>
      </c>
      <c r="G1535" s="8">
        <f t="shared" si="23"/>
        <v>44531</v>
      </c>
      <c r="H1535" s="16" t="s">
        <v>13</v>
      </c>
      <c r="I1535" s="9">
        <v>14400.563783976701</v>
      </c>
      <c r="J1535" s="62">
        <v>146.52904110190701</v>
      </c>
      <c r="K1535" s="17">
        <v>1</v>
      </c>
    </row>
    <row r="1536" spans="1:11" x14ac:dyDescent="0.25">
      <c r="A1536" s="3" t="s">
        <v>3090</v>
      </c>
      <c r="B1536" s="4" t="s">
        <v>3091</v>
      </c>
      <c r="C1536" s="5">
        <v>283764</v>
      </c>
      <c r="D1536" s="16" t="s">
        <v>11</v>
      </c>
      <c r="E1536" s="16" t="s">
        <v>17</v>
      </c>
      <c r="F1536" s="15">
        <v>44531</v>
      </c>
      <c r="G1536" s="8">
        <f t="shared" si="23"/>
        <v>44531</v>
      </c>
      <c r="H1536" s="16" t="s">
        <v>13</v>
      </c>
      <c r="I1536" s="9">
        <v>29777.2905404304</v>
      </c>
      <c r="J1536" s="62">
        <v>514.46454881545606</v>
      </c>
      <c r="K1536" s="17"/>
    </row>
    <row r="1537" spans="1:11" x14ac:dyDescent="0.25">
      <c r="A1537" s="3" t="s">
        <v>3092</v>
      </c>
      <c r="B1537" s="4" t="s">
        <v>3093</v>
      </c>
      <c r="C1537" s="14">
        <v>284066</v>
      </c>
      <c r="D1537" s="16" t="s">
        <v>11</v>
      </c>
      <c r="E1537" s="16" t="s">
        <v>17</v>
      </c>
      <c r="F1537" s="15">
        <v>44621</v>
      </c>
      <c r="G1537" s="8">
        <f t="shared" si="23"/>
        <v>44621</v>
      </c>
      <c r="H1537" s="16" t="s">
        <v>13</v>
      </c>
      <c r="I1537" s="9">
        <v>23094.952144461502</v>
      </c>
      <c r="J1537" s="62">
        <v>164.422671840231</v>
      </c>
      <c r="K1537" s="17"/>
    </row>
    <row r="1538" spans="1:11" x14ac:dyDescent="0.25">
      <c r="A1538" s="3" t="s">
        <v>3094</v>
      </c>
      <c r="B1538" s="4" t="s">
        <v>3095</v>
      </c>
      <c r="C1538" s="5">
        <v>284065</v>
      </c>
      <c r="D1538" s="16" t="s">
        <v>11</v>
      </c>
      <c r="E1538" s="16" t="s">
        <v>17</v>
      </c>
      <c r="F1538" s="15">
        <v>44622</v>
      </c>
      <c r="G1538" s="8">
        <f t="shared" ref="G1538:G1601" si="24">F1538</f>
        <v>44622</v>
      </c>
      <c r="H1538" s="16" t="s">
        <v>13</v>
      </c>
      <c r="I1538" s="9">
        <v>14542.389454808899</v>
      </c>
      <c r="J1538" s="62">
        <v>832.70815898113699</v>
      </c>
      <c r="K1538" s="17"/>
    </row>
    <row r="1539" spans="1:11" x14ac:dyDescent="0.25">
      <c r="A1539" s="3" t="s">
        <v>3096</v>
      </c>
      <c r="B1539" s="4" t="s">
        <v>3097</v>
      </c>
      <c r="C1539" s="14">
        <v>284078</v>
      </c>
      <c r="D1539" s="16" t="s">
        <v>16</v>
      </c>
      <c r="E1539" s="16" t="s">
        <v>17</v>
      </c>
      <c r="F1539" s="15">
        <v>44635</v>
      </c>
      <c r="G1539" s="8">
        <f t="shared" si="24"/>
        <v>44635</v>
      </c>
      <c r="H1539" s="16" t="s">
        <v>13</v>
      </c>
      <c r="I1539" s="9">
        <v>12944.014248547899</v>
      </c>
      <c r="J1539" s="62">
        <v>173.32813834917599</v>
      </c>
      <c r="K1539" s="17" t="s">
        <v>3098</v>
      </c>
    </row>
    <row r="1540" spans="1:11" x14ac:dyDescent="0.25">
      <c r="A1540" s="3" t="s">
        <v>3099</v>
      </c>
      <c r="B1540" s="4" t="s">
        <v>3100</v>
      </c>
      <c r="C1540" s="14">
        <v>284084</v>
      </c>
      <c r="D1540" s="17" t="s">
        <v>16</v>
      </c>
      <c r="E1540" s="17" t="s">
        <v>17</v>
      </c>
      <c r="F1540" s="15">
        <v>44636</v>
      </c>
      <c r="G1540" s="8">
        <f t="shared" si="24"/>
        <v>44636</v>
      </c>
      <c r="H1540" s="17" t="s">
        <v>13</v>
      </c>
      <c r="I1540" s="9">
        <v>2492.3262039534698</v>
      </c>
      <c r="J1540" s="62">
        <v>381.03223027631998</v>
      </c>
      <c r="K1540" s="17">
        <v>1</v>
      </c>
    </row>
    <row r="1541" spans="1:11" x14ac:dyDescent="0.25">
      <c r="A1541" s="3" t="s">
        <v>3101</v>
      </c>
      <c r="B1541" s="4" t="s">
        <v>3102</v>
      </c>
      <c r="C1541" s="14">
        <v>285013</v>
      </c>
      <c r="D1541" s="17" t="s">
        <v>28</v>
      </c>
      <c r="E1541" s="17" t="s">
        <v>17</v>
      </c>
      <c r="F1541" s="15">
        <v>44652</v>
      </c>
      <c r="G1541" s="8">
        <f t="shared" si="24"/>
        <v>44652</v>
      </c>
      <c r="H1541" s="17" t="s">
        <v>13</v>
      </c>
      <c r="I1541" s="9">
        <v>10305.5469295814</v>
      </c>
      <c r="J1541" s="62">
        <v>408.517181687169</v>
      </c>
      <c r="K1541" s="17"/>
    </row>
    <row r="1542" spans="1:11" x14ac:dyDescent="0.25">
      <c r="A1542" s="3" t="s">
        <v>3103</v>
      </c>
      <c r="B1542" s="4" t="s">
        <v>3104</v>
      </c>
      <c r="C1542" s="14">
        <v>285012</v>
      </c>
      <c r="D1542" s="17" t="s">
        <v>11</v>
      </c>
      <c r="E1542" s="17" t="s">
        <v>12</v>
      </c>
      <c r="F1542" s="15">
        <v>44652</v>
      </c>
      <c r="G1542" s="8">
        <f t="shared" si="24"/>
        <v>44652</v>
      </c>
      <c r="H1542" s="17" t="s">
        <v>39</v>
      </c>
      <c r="I1542" s="9">
        <v>21415.841565479401</v>
      </c>
      <c r="J1542" s="62">
        <v>208.927626886795</v>
      </c>
      <c r="K1542" s="17">
        <v>1</v>
      </c>
    </row>
    <row r="1543" spans="1:11" x14ac:dyDescent="0.25">
      <c r="A1543" s="3" t="s">
        <v>3105</v>
      </c>
      <c r="B1543" s="4" t="s">
        <v>3106</v>
      </c>
      <c r="C1543" s="54">
        <v>286004</v>
      </c>
      <c r="D1543" s="17" t="s">
        <v>3107</v>
      </c>
      <c r="E1543" s="17" t="s">
        <v>17</v>
      </c>
      <c r="F1543" s="15">
        <v>44682</v>
      </c>
      <c r="G1543" s="8">
        <f t="shared" si="24"/>
        <v>44682</v>
      </c>
      <c r="H1543" s="8" t="s">
        <v>13</v>
      </c>
      <c r="I1543" s="9">
        <v>16808.786133621899</v>
      </c>
      <c r="J1543" s="62">
        <v>101.58962302591701</v>
      </c>
      <c r="K1543" s="17">
        <v>1</v>
      </c>
    </row>
    <row r="1544" spans="1:11" x14ac:dyDescent="0.25">
      <c r="A1544" s="3" t="s">
        <v>3108</v>
      </c>
      <c r="B1544" s="4" t="s">
        <v>3109</v>
      </c>
      <c r="C1544" s="54">
        <v>286629</v>
      </c>
      <c r="D1544" s="17" t="s">
        <v>16</v>
      </c>
      <c r="E1544" s="17" t="s">
        <v>17</v>
      </c>
      <c r="F1544" s="15">
        <v>44687</v>
      </c>
      <c r="G1544" s="8">
        <f t="shared" si="24"/>
        <v>44687</v>
      </c>
      <c r="H1544" s="8" t="s">
        <v>13</v>
      </c>
      <c r="I1544" s="9">
        <v>5434.5417196215603</v>
      </c>
      <c r="J1544" s="62">
        <v>118.500884737443</v>
      </c>
      <c r="K1544" s="17">
        <v>1</v>
      </c>
    </row>
    <row r="1545" spans="1:11" x14ac:dyDescent="0.25">
      <c r="A1545" s="3" t="s">
        <v>3110</v>
      </c>
      <c r="B1545" s="4" t="s">
        <v>3111</v>
      </c>
      <c r="C1545" s="5">
        <v>286628</v>
      </c>
      <c r="D1545" s="17" t="s">
        <v>37</v>
      </c>
      <c r="E1545" s="17" t="s">
        <v>38</v>
      </c>
      <c r="F1545" s="15">
        <v>44687</v>
      </c>
      <c r="G1545" s="8">
        <f t="shared" si="24"/>
        <v>44687</v>
      </c>
      <c r="H1545" s="8" t="s">
        <v>39</v>
      </c>
      <c r="I1545" s="9">
        <v>25869.2580796724</v>
      </c>
      <c r="J1545" s="62">
        <v>427.30426035197598</v>
      </c>
      <c r="K1545" s="17">
        <v>1</v>
      </c>
    </row>
    <row r="1546" spans="1:11" x14ac:dyDescent="0.25">
      <c r="A1546" s="3" t="s">
        <v>3112</v>
      </c>
      <c r="B1546" s="4" t="s">
        <v>3113</v>
      </c>
      <c r="C1546" s="5">
        <v>286613</v>
      </c>
      <c r="D1546" s="17" t="s">
        <v>11</v>
      </c>
      <c r="E1546" s="17" t="s">
        <v>12</v>
      </c>
      <c r="F1546" s="15">
        <v>44691</v>
      </c>
      <c r="G1546" s="8">
        <f t="shared" si="24"/>
        <v>44691</v>
      </c>
      <c r="H1546" s="8" t="s">
        <v>39</v>
      </c>
      <c r="I1546" s="9">
        <v>37467.397371885905</v>
      </c>
      <c r="J1546" s="62">
        <v>392.38251602417699</v>
      </c>
      <c r="K1546" s="17">
        <v>1</v>
      </c>
    </row>
    <row r="1547" spans="1:11" x14ac:dyDescent="0.25">
      <c r="A1547" s="3" t="s">
        <v>3114</v>
      </c>
      <c r="B1547" s="4" t="s">
        <v>3115</v>
      </c>
      <c r="C1547" s="54">
        <v>286948</v>
      </c>
      <c r="D1547" s="17" t="s">
        <v>3116</v>
      </c>
      <c r="E1547" s="17" t="s">
        <v>17</v>
      </c>
      <c r="F1547" s="15">
        <v>44713</v>
      </c>
      <c r="G1547" s="8">
        <f t="shared" si="24"/>
        <v>44713</v>
      </c>
      <c r="H1547" s="8" t="s">
        <v>13</v>
      </c>
      <c r="I1547" s="9">
        <v>9633.1426096555806</v>
      </c>
      <c r="J1547" s="62">
        <v>197.689339839372</v>
      </c>
      <c r="K1547" s="17">
        <v>1</v>
      </c>
    </row>
    <row r="1548" spans="1:11" x14ac:dyDescent="0.25">
      <c r="A1548" s="3" t="s">
        <v>3117</v>
      </c>
      <c r="B1548" s="4" t="s">
        <v>3118</v>
      </c>
      <c r="C1548" s="54">
        <v>286949</v>
      </c>
      <c r="D1548" s="17" t="s">
        <v>3119</v>
      </c>
      <c r="E1548" s="17" t="s">
        <v>17</v>
      </c>
      <c r="F1548" s="15">
        <v>44714</v>
      </c>
      <c r="G1548" s="8">
        <f t="shared" si="24"/>
        <v>44714</v>
      </c>
      <c r="H1548" s="8" t="s">
        <v>13</v>
      </c>
      <c r="I1548" s="9">
        <v>11812.8716408125</v>
      </c>
      <c r="J1548" s="62">
        <v>264.05531110501801</v>
      </c>
      <c r="K1548" s="17">
        <v>1</v>
      </c>
    </row>
    <row r="1549" spans="1:11" x14ac:dyDescent="0.25">
      <c r="A1549" s="3" t="s">
        <v>3120</v>
      </c>
      <c r="B1549" s="4" t="s">
        <v>3121</v>
      </c>
      <c r="C1549" s="5">
        <v>288980</v>
      </c>
      <c r="D1549" s="17" t="s">
        <v>3119</v>
      </c>
      <c r="E1549" s="17" t="s">
        <v>17</v>
      </c>
      <c r="F1549" s="15">
        <v>44715</v>
      </c>
      <c r="G1549" s="8">
        <f t="shared" si="24"/>
        <v>44715</v>
      </c>
      <c r="H1549" s="8" t="s">
        <v>13</v>
      </c>
      <c r="I1549" s="9">
        <v>10330.044351632299</v>
      </c>
      <c r="J1549" s="62">
        <v>169.32597798107699</v>
      </c>
      <c r="K1549" s="17">
        <v>1</v>
      </c>
    </row>
    <row r="1550" spans="1:11" x14ac:dyDescent="0.25">
      <c r="A1550" s="3" t="s">
        <v>3122</v>
      </c>
      <c r="B1550" s="4" t="s">
        <v>3123</v>
      </c>
      <c r="C1550" s="5">
        <v>287252</v>
      </c>
      <c r="D1550" s="17" t="s">
        <v>3124</v>
      </c>
      <c r="E1550" s="17" t="s">
        <v>12</v>
      </c>
      <c r="F1550" s="15">
        <v>44716</v>
      </c>
      <c r="G1550" s="8">
        <f t="shared" si="24"/>
        <v>44716</v>
      </c>
      <c r="H1550" s="8" t="s">
        <v>39</v>
      </c>
      <c r="I1550" s="9">
        <v>23411.663835694799</v>
      </c>
      <c r="J1550" s="62">
        <v>362.45159506135701</v>
      </c>
      <c r="K1550" s="17">
        <v>1</v>
      </c>
    </row>
    <row r="1551" spans="1:11" x14ac:dyDescent="0.25">
      <c r="A1551" s="3" t="s">
        <v>3125</v>
      </c>
      <c r="B1551" s="4" t="s">
        <v>3126</v>
      </c>
      <c r="C1551" s="54">
        <v>287268</v>
      </c>
      <c r="D1551" s="17" t="s">
        <v>3116</v>
      </c>
      <c r="E1551" s="17" t="s">
        <v>17</v>
      </c>
      <c r="F1551" s="15">
        <v>44717</v>
      </c>
      <c r="G1551" s="8">
        <f t="shared" si="24"/>
        <v>44717</v>
      </c>
      <c r="H1551" s="8" t="s">
        <v>13</v>
      </c>
      <c r="I1551" s="9">
        <v>41112.448666988297</v>
      </c>
      <c r="J1551" s="62">
        <v>538.31941714899995</v>
      </c>
      <c r="K1551" s="17">
        <v>2</v>
      </c>
    </row>
    <row r="1552" spans="1:11" x14ac:dyDescent="0.25">
      <c r="A1552" s="3" t="s">
        <v>3127</v>
      </c>
      <c r="B1552" s="4" t="s">
        <v>3128</v>
      </c>
      <c r="C1552" s="54">
        <v>287572</v>
      </c>
      <c r="D1552" s="17" t="s">
        <v>3129</v>
      </c>
      <c r="E1552" s="17" t="s">
        <v>38</v>
      </c>
      <c r="F1552" s="15">
        <v>44718</v>
      </c>
      <c r="G1552" s="8">
        <f t="shared" si="24"/>
        <v>44718</v>
      </c>
      <c r="H1552" s="8" t="s">
        <v>39</v>
      </c>
      <c r="I1552" s="9">
        <v>14862.607262347399</v>
      </c>
      <c r="J1552" s="62">
        <v>168.86815815134</v>
      </c>
      <c r="K1552" s="17">
        <v>1</v>
      </c>
    </row>
    <row r="1553" spans="1:11" x14ac:dyDescent="0.25">
      <c r="A1553" s="3" t="s">
        <v>3130</v>
      </c>
      <c r="B1553" s="4" t="s">
        <v>3131</v>
      </c>
      <c r="C1553" s="54">
        <v>288212</v>
      </c>
      <c r="D1553" s="17" t="s">
        <v>11</v>
      </c>
      <c r="E1553" s="17" t="s">
        <v>12</v>
      </c>
      <c r="F1553" s="15">
        <v>44719</v>
      </c>
      <c r="G1553" s="8">
        <f t="shared" si="24"/>
        <v>44719</v>
      </c>
      <c r="H1553" s="8" t="s">
        <v>39</v>
      </c>
      <c r="I1553" s="9">
        <v>67511.722133474701</v>
      </c>
      <c r="J1553" s="62">
        <v>611.505537094381</v>
      </c>
      <c r="K1553" s="17">
        <v>2</v>
      </c>
    </row>
    <row r="1554" spans="1:11" x14ac:dyDescent="0.25">
      <c r="A1554" s="3" t="s">
        <v>3132</v>
      </c>
      <c r="B1554" s="4" t="s">
        <v>3133</v>
      </c>
      <c r="C1554" s="54">
        <v>288852</v>
      </c>
      <c r="D1554" s="17" t="s">
        <v>11</v>
      </c>
      <c r="E1554" s="17" t="s">
        <v>12</v>
      </c>
      <c r="F1554" s="15">
        <v>44720</v>
      </c>
      <c r="G1554" s="8">
        <f t="shared" si="24"/>
        <v>44720</v>
      </c>
      <c r="H1554" s="8" t="s">
        <v>39</v>
      </c>
      <c r="I1554" s="9">
        <v>10137.271320669899</v>
      </c>
      <c r="J1554" s="62">
        <v>447.63569457807699</v>
      </c>
      <c r="K1554" s="17">
        <v>1</v>
      </c>
    </row>
    <row r="1555" spans="1:11" x14ac:dyDescent="0.25">
      <c r="A1555" s="3" t="s">
        <v>3134</v>
      </c>
      <c r="B1555" s="4" t="s">
        <v>3135</v>
      </c>
      <c r="C1555" s="5">
        <v>288853</v>
      </c>
      <c r="D1555" s="17" t="s">
        <v>31</v>
      </c>
      <c r="E1555" s="17" t="s">
        <v>17</v>
      </c>
      <c r="F1555" s="15">
        <v>44721</v>
      </c>
      <c r="G1555" s="8">
        <f t="shared" si="24"/>
        <v>44721</v>
      </c>
      <c r="H1555" s="8" t="s">
        <v>13</v>
      </c>
      <c r="I1555" s="9">
        <v>135335.555306836</v>
      </c>
      <c r="J1555" s="62">
        <v>588.05869267153196</v>
      </c>
      <c r="K1555" s="17">
        <v>2</v>
      </c>
    </row>
    <row r="1556" spans="1:11" x14ac:dyDescent="0.25">
      <c r="A1556" s="3" t="s">
        <v>3136</v>
      </c>
      <c r="B1556" s="4" t="s">
        <v>3137</v>
      </c>
      <c r="C1556" s="54">
        <v>288916</v>
      </c>
      <c r="D1556" s="17" t="s">
        <v>11</v>
      </c>
      <c r="E1556" s="17" t="s">
        <v>12</v>
      </c>
      <c r="F1556" s="15">
        <v>44722</v>
      </c>
      <c r="G1556" s="8">
        <f t="shared" si="24"/>
        <v>44722</v>
      </c>
      <c r="H1556" s="8" t="s">
        <v>39</v>
      </c>
      <c r="I1556" s="9">
        <v>3737.75694062199</v>
      </c>
      <c r="J1556" s="62">
        <v>90.608444154902202</v>
      </c>
      <c r="K1556" s="17">
        <v>1</v>
      </c>
    </row>
    <row r="1557" spans="1:11" x14ac:dyDescent="0.25">
      <c r="A1557" s="3" t="s">
        <v>3138</v>
      </c>
      <c r="B1557" s="4" t="s">
        <v>3139</v>
      </c>
      <c r="C1557" s="5">
        <v>288932</v>
      </c>
      <c r="D1557" s="17" t="s">
        <v>34</v>
      </c>
      <c r="E1557" s="17" t="s">
        <v>17</v>
      </c>
      <c r="F1557" s="15">
        <v>44723</v>
      </c>
      <c r="G1557" s="8">
        <f t="shared" si="24"/>
        <v>44723</v>
      </c>
      <c r="H1557" s="8" t="s">
        <v>13</v>
      </c>
      <c r="I1557" s="9">
        <v>9159.3005077983398</v>
      </c>
      <c r="J1557" s="62">
        <v>118.237826337188</v>
      </c>
      <c r="K1557" s="17">
        <v>1</v>
      </c>
    </row>
    <row r="1558" spans="1:11" x14ac:dyDescent="0.25">
      <c r="A1558" s="3" t="s">
        <v>3140</v>
      </c>
      <c r="B1558" s="4" t="s">
        <v>3141</v>
      </c>
      <c r="C1558" s="54">
        <v>288933</v>
      </c>
      <c r="D1558" s="17" t="s">
        <v>34</v>
      </c>
      <c r="E1558" s="17" t="s">
        <v>17</v>
      </c>
      <c r="F1558" s="15">
        <v>44724</v>
      </c>
      <c r="G1558" s="8">
        <f t="shared" si="24"/>
        <v>44724</v>
      </c>
      <c r="H1558" s="8" t="s">
        <v>13</v>
      </c>
      <c r="I1558" s="9">
        <v>12180.88346273</v>
      </c>
      <c r="J1558" s="62">
        <v>284.492540974012</v>
      </c>
      <c r="K1558" s="17">
        <v>2</v>
      </c>
    </row>
    <row r="1559" spans="1:11" x14ac:dyDescent="0.25">
      <c r="A1559" s="3" t="s">
        <v>3142</v>
      </c>
      <c r="B1559" s="4" t="s">
        <v>3143</v>
      </c>
      <c r="C1559" s="54">
        <v>288884</v>
      </c>
      <c r="D1559" s="17" t="s">
        <v>16</v>
      </c>
      <c r="E1559" s="17" t="s">
        <v>17</v>
      </c>
      <c r="F1559" s="15">
        <v>44725</v>
      </c>
      <c r="G1559" s="8">
        <f t="shared" si="24"/>
        <v>44725</v>
      </c>
      <c r="H1559" s="8" t="s">
        <v>13</v>
      </c>
      <c r="I1559" s="9">
        <v>37873.679953897401</v>
      </c>
      <c r="J1559" s="62">
        <v>392.90121510622299</v>
      </c>
      <c r="K1559" s="17">
        <v>2</v>
      </c>
    </row>
    <row r="1560" spans="1:11" x14ac:dyDescent="0.25">
      <c r="A1560" s="3" t="s">
        <v>3144</v>
      </c>
      <c r="B1560" s="4" t="s">
        <v>3145</v>
      </c>
      <c r="C1560" s="54">
        <v>289188</v>
      </c>
      <c r="D1560" s="17" t="s">
        <v>11</v>
      </c>
      <c r="E1560" s="17" t="s">
        <v>12</v>
      </c>
      <c r="F1560" s="15">
        <v>44726</v>
      </c>
      <c r="G1560" s="8">
        <f t="shared" si="24"/>
        <v>44726</v>
      </c>
      <c r="H1560" s="8" t="s">
        <v>39</v>
      </c>
      <c r="I1560" s="9">
        <v>18196.725121580399</v>
      </c>
      <c r="J1560" s="62">
        <v>197.55897258835299</v>
      </c>
      <c r="K1560" s="17">
        <v>1</v>
      </c>
    </row>
    <row r="1561" spans="1:11" x14ac:dyDescent="0.25">
      <c r="A1561" s="3" t="s">
        <v>3146</v>
      </c>
      <c r="B1561" s="4" t="s">
        <v>3147</v>
      </c>
      <c r="C1561" s="5">
        <v>289204</v>
      </c>
      <c r="D1561" s="17" t="s">
        <v>31</v>
      </c>
      <c r="E1561" s="17" t="s">
        <v>17</v>
      </c>
      <c r="F1561" s="15">
        <v>44797</v>
      </c>
      <c r="G1561" s="8">
        <f t="shared" si="24"/>
        <v>44797</v>
      </c>
      <c r="H1561" s="8" t="s">
        <v>13</v>
      </c>
      <c r="I1561" s="9">
        <v>22708.891457172002</v>
      </c>
      <c r="J1561" s="62">
        <v>404.33988343289201</v>
      </c>
      <c r="K1561" s="17">
        <v>2</v>
      </c>
    </row>
    <row r="1562" spans="1:11" x14ac:dyDescent="0.25">
      <c r="A1562" s="3" t="s">
        <v>3148</v>
      </c>
      <c r="B1562" s="4" t="s">
        <v>3149</v>
      </c>
      <c r="C1562" s="54">
        <v>289622</v>
      </c>
      <c r="D1562" s="17" t="s">
        <v>11</v>
      </c>
      <c r="E1562" s="17" t="s">
        <v>12</v>
      </c>
      <c r="F1562" s="15">
        <v>44802</v>
      </c>
      <c r="G1562" s="8">
        <f t="shared" si="24"/>
        <v>44802</v>
      </c>
      <c r="H1562" s="8" t="s">
        <v>39</v>
      </c>
      <c r="I1562" s="9">
        <v>22376.005822629901</v>
      </c>
      <c r="J1562" s="62">
        <v>372.49148141687999</v>
      </c>
      <c r="K1562" s="17">
        <v>1</v>
      </c>
    </row>
    <row r="1563" spans="1:11" x14ac:dyDescent="0.25">
      <c r="A1563" s="3" t="s">
        <v>3150</v>
      </c>
      <c r="B1563" s="4" t="s">
        <v>3151</v>
      </c>
      <c r="C1563" s="54">
        <v>289631</v>
      </c>
      <c r="D1563" s="17" t="s">
        <v>34</v>
      </c>
      <c r="E1563" s="17" t="s">
        <v>17</v>
      </c>
      <c r="F1563" s="15">
        <v>44805</v>
      </c>
      <c r="G1563" s="8">
        <f t="shared" si="24"/>
        <v>44805</v>
      </c>
      <c r="H1563" s="8" t="s">
        <v>13</v>
      </c>
      <c r="I1563" s="9">
        <v>6293.8660230195101</v>
      </c>
      <c r="J1563" s="62">
        <v>151.562453060574</v>
      </c>
      <c r="K1563" s="17">
        <v>1</v>
      </c>
    </row>
    <row r="1564" spans="1:11" x14ac:dyDescent="0.25">
      <c r="A1564" s="3" t="s">
        <v>3152</v>
      </c>
      <c r="B1564" s="4" t="s">
        <v>3153</v>
      </c>
      <c r="C1564" s="54">
        <v>293231</v>
      </c>
      <c r="D1564" s="17" t="s">
        <v>3129</v>
      </c>
      <c r="E1564" s="17" t="s">
        <v>38</v>
      </c>
      <c r="F1564" s="15">
        <v>44868</v>
      </c>
      <c r="G1564" s="8">
        <f t="shared" si="24"/>
        <v>44868</v>
      </c>
      <c r="H1564" s="8" t="s">
        <v>39</v>
      </c>
      <c r="I1564" s="9" t="s">
        <v>3380</v>
      </c>
      <c r="J1564" s="62" t="s">
        <v>3380</v>
      </c>
      <c r="K1564" s="17"/>
    </row>
    <row r="1565" spans="1:11" x14ac:dyDescent="0.25">
      <c r="A1565" s="3" t="s">
        <v>3154</v>
      </c>
      <c r="B1565" s="4" t="s">
        <v>3155</v>
      </c>
      <c r="C1565" s="5">
        <v>296432</v>
      </c>
      <c r="D1565" s="17" t="s">
        <v>28</v>
      </c>
      <c r="E1565" s="17" t="s">
        <v>17</v>
      </c>
      <c r="F1565" s="15">
        <v>44916</v>
      </c>
      <c r="G1565" s="8">
        <f t="shared" si="24"/>
        <v>44916</v>
      </c>
      <c r="H1565" s="8" t="s">
        <v>13</v>
      </c>
      <c r="I1565" s="9" t="s">
        <v>3380</v>
      </c>
      <c r="J1565" s="62" t="s">
        <v>3380</v>
      </c>
      <c r="K1565" s="17">
        <v>1</v>
      </c>
    </row>
    <row r="1566" spans="1:11" x14ac:dyDescent="0.25">
      <c r="A1566" s="3" t="s">
        <v>3156</v>
      </c>
      <c r="B1566" s="4" t="s">
        <v>3157</v>
      </c>
      <c r="C1566" s="54">
        <v>298433</v>
      </c>
      <c r="D1566" s="17" t="s">
        <v>11</v>
      </c>
      <c r="E1566" s="17" t="s">
        <v>12</v>
      </c>
      <c r="F1566" s="15">
        <v>44924</v>
      </c>
      <c r="G1566" s="8">
        <f t="shared" si="24"/>
        <v>44924</v>
      </c>
      <c r="H1566" s="8" t="s">
        <v>39</v>
      </c>
      <c r="I1566" s="9" t="s">
        <v>3380</v>
      </c>
      <c r="J1566" s="62" t="s">
        <v>3380</v>
      </c>
      <c r="K1566" s="17">
        <v>1</v>
      </c>
    </row>
    <row r="1567" spans="1:11" x14ac:dyDescent="0.25">
      <c r="A1567" s="3" t="s">
        <v>3158</v>
      </c>
      <c r="B1567" s="4" t="s">
        <v>3159</v>
      </c>
      <c r="C1567" s="5">
        <v>298434</v>
      </c>
      <c r="D1567" s="17" t="s">
        <v>16</v>
      </c>
      <c r="E1567" s="17" t="s">
        <v>17</v>
      </c>
      <c r="F1567" s="15">
        <v>44945</v>
      </c>
      <c r="G1567" s="8">
        <f t="shared" si="24"/>
        <v>44945</v>
      </c>
      <c r="H1567" s="8" t="s">
        <v>13</v>
      </c>
      <c r="I1567" s="9" t="s">
        <v>3380</v>
      </c>
      <c r="J1567" s="62" t="s">
        <v>3380</v>
      </c>
      <c r="K1567" s="17">
        <v>2</v>
      </c>
    </row>
    <row r="1568" spans="1:11" x14ac:dyDescent="0.25">
      <c r="A1568" s="3" t="s">
        <v>3160</v>
      </c>
      <c r="B1568" s="4" t="s">
        <v>3161</v>
      </c>
      <c r="C1568" s="54">
        <v>301633</v>
      </c>
      <c r="D1568" s="17" t="s">
        <v>11</v>
      </c>
      <c r="E1568" s="17" t="s">
        <v>12</v>
      </c>
      <c r="F1568" s="15">
        <v>44946</v>
      </c>
      <c r="G1568" s="8">
        <f t="shared" si="24"/>
        <v>44946</v>
      </c>
      <c r="H1568" s="8" t="s">
        <v>39</v>
      </c>
      <c r="I1568" s="9">
        <v>26540.595504373003</v>
      </c>
      <c r="J1568" s="62">
        <v>389.81696106332902</v>
      </c>
      <c r="K1568" s="17">
        <v>1</v>
      </c>
    </row>
    <row r="1569" spans="1:11" x14ac:dyDescent="0.25">
      <c r="A1569" s="3" t="s">
        <v>3162</v>
      </c>
      <c r="B1569" s="4" t="s">
        <v>3163</v>
      </c>
      <c r="C1569" s="54">
        <v>301635</v>
      </c>
      <c r="D1569" s="17" t="s">
        <v>11</v>
      </c>
      <c r="E1569" s="17" t="s">
        <v>12</v>
      </c>
      <c r="F1569" s="15">
        <v>44958</v>
      </c>
      <c r="G1569" s="8">
        <f t="shared" si="24"/>
        <v>44958</v>
      </c>
      <c r="H1569" s="8" t="s">
        <v>39</v>
      </c>
      <c r="I1569" s="9" t="s">
        <v>3380</v>
      </c>
      <c r="J1569" s="62" t="s">
        <v>3380</v>
      </c>
      <c r="K1569" s="17">
        <v>1</v>
      </c>
    </row>
    <row r="1570" spans="1:11" x14ac:dyDescent="0.25">
      <c r="A1570" s="3" t="s">
        <v>3164</v>
      </c>
      <c r="B1570" s="4" t="s">
        <v>3165</v>
      </c>
      <c r="C1570" s="54">
        <v>301634</v>
      </c>
      <c r="D1570" s="17" t="s">
        <v>11</v>
      </c>
      <c r="E1570" s="17" t="s">
        <v>12</v>
      </c>
      <c r="F1570" s="15">
        <v>44946</v>
      </c>
      <c r="G1570" s="8">
        <f t="shared" si="24"/>
        <v>44946</v>
      </c>
      <c r="H1570" s="8" t="s">
        <v>39</v>
      </c>
      <c r="I1570" s="9" t="s">
        <v>3380</v>
      </c>
      <c r="J1570" s="62" t="s">
        <v>3380</v>
      </c>
      <c r="K1570" s="17">
        <v>1</v>
      </c>
    </row>
    <row r="1571" spans="1:11" x14ac:dyDescent="0.25">
      <c r="A1571" s="3" t="s">
        <v>3166</v>
      </c>
      <c r="B1571" s="4" t="s">
        <v>3167</v>
      </c>
      <c r="C1571" s="54">
        <v>302433</v>
      </c>
      <c r="D1571" s="17" t="s">
        <v>34</v>
      </c>
      <c r="E1571" s="17" t="s">
        <v>17</v>
      </c>
      <c r="F1571" s="15">
        <v>44951</v>
      </c>
      <c r="G1571" s="8">
        <f t="shared" si="24"/>
        <v>44951</v>
      </c>
      <c r="H1571" s="8" t="s">
        <v>13</v>
      </c>
      <c r="I1571" s="9" t="s">
        <v>3380</v>
      </c>
      <c r="J1571" s="62" t="s">
        <v>3380</v>
      </c>
      <c r="K1571" s="17">
        <v>1</v>
      </c>
    </row>
    <row r="1572" spans="1:11" x14ac:dyDescent="0.25">
      <c r="A1572" s="3" t="s">
        <v>3168</v>
      </c>
      <c r="B1572" s="4" t="s">
        <v>3169</v>
      </c>
      <c r="C1572" s="5">
        <v>304433</v>
      </c>
      <c r="D1572" s="17" t="s">
        <v>34</v>
      </c>
      <c r="E1572" s="17" t="s">
        <v>17</v>
      </c>
      <c r="F1572" s="15">
        <v>44970</v>
      </c>
      <c r="G1572" s="8">
        <f t="shared" si="24"/>
        <v>44970</v>
      </c>
      <c r="H1572" s="8" t="s">
        <v>13</v>
      </c>
      <c r="I1572" s="9" t="s">
        <v>3380</v>
      </c>
      <c r="J1572" s="62" t="s">
        <v>3380</v>
      </c>
      <c r="K1572" s="17">
        <v>1</v>
      </c>
    </row>
    <row r="1573" spans="1:11" x14ac:dyDescent="0.25">
      <c r="A1573" s="3" t="s">
        <v>3170</v>
      </c>
      <c r="B1573" s="4" t="s">
        <v>3171</v>
      </c>
      <c r="C1573" s="54">
        <v>304833</v>
      </c>
      <c r="D1573" s="17" t="s">
        <v>28</v>
      </c>
      <c r="E1573" s="17" t="s">
        <v>17</v>
      </c>
      <c r="F1573" s="15">
        <v>44971</v>
      </c>
      <c r="G1573" s="8">
        <f t="shared" si="24"/>
        <v>44971</v>
      </c>
      <c r="H1573" s="8" t="s">
        <v>13</v>
      </c>
      <c r="I1573" s="9" t="s">
        <v>3380</v>
      </c>
      <c r="J1573" s="62" t="s">
        <v>3380</v>
      </c>
      <c r="K1573" s="17"/>
    </row>
    <row r="1574" spans="1:11" x14ac:dyDescent="0.25">
      <c r="A1574" s="3" t="s">
        <v>3172</v>
      </c>
      <c r="B1574" s="4" t="s">
        <v>3173</v>
      </c>
      <c r="C1574" s="54">
        <v>305233</v>
      </c>
      <c r="D1574" s="17" t="s">
        <v>11</v>
      </c>
      <c r="E1574" s="17" t="s">
        <v>12</v>
      </c>
      <c r="F1574" s="15">
        <v>44972</v>
      </c>
      <c r="G1574" s="8">
        <f t="shared" si="24"/>
        <v>44972</v>
      </c>
      <c r="H1574" s="8" t="s">
        <v>39</v>
      </c>
      <c r="I1574" s="9" t="s">
        <v>3380</v>
      </c>
      <c r="J1574" s="62" t="s">
        <v>3380</v>
      </c>
      <c r="K1574" s="17">
        <v>1</v>
      </c>
    </row>
    <row r="1575" spans="1:11" x14ac:dyDescent="0.25">
      <c r="A1575" s="3" t="s">
        <v>3174</v>
      </c>
      <c r="B1575" s="4" t="s">
        <v>3175</v>
      </c>
      <c r="C1575" s="5">
        <v>304033</v>
      </c>
      <c r="D1575" s="17" t="s">
        <v>11</v>
      </c>
      <c r="E1575" s="17" t="s">
        <v>12</v>
      </c>
      <c r="F1575" s="15">
        <v>44837</v>
      </c>
      <c r="G1575" s="8">
        <f t="shared" si="24"/>
        <v>44837</v>
      </c>
      <c r="H1575" s="8" t="s">
        <v>39</v>
      </c>
      <c r="I1575" s="9" t="s">
        <v>3380</v>
      </c>
      <c r="J1575" s="62" t="s">
        <v>3380</v>
      </c>
      <c r="K1575" s="17">
        <v>3</v>
      </c>
    </row>
    <row r="1576" spans="1:11" x14ac:dyDescent="0.25">
      <c r="A1576" s="3" t="s">
        <v>3176</v>
      </c>
      <c r="B1576" s="4" t="s">
        <v>3177</v>
      </c>
      <c r="C1576" s="54">
        <v>306833</v>
      </c>
      <c r="D1576" s="17" t="s">
        <v>28</v>
      </c>
      <c r="E1576" s="17" t="s">
        <v>17</v>
      </c>
      <c r="F1576" s="15">
        <v>44981</v>
      </c>
      <c r="G1576" s="8">
        <f t="shared" si="24"/>
        <v>44981</v>
      </c>
      <c r="H1576" s="8" t="s">
        <v>13</v>
      </c>
      <c r="I1576" s="9" t="s">
        <v>3380</v>
      </c>
      <c r="J1576" s="62" t="s">
        <v>3380</v>
      </c>
      <c r="K1576" s="17">
        <v>1</v>
      </c>
    </row>
    <row r="1577" spans="1:11" x14ac:dyDescent="0.25">
      <c r="A1577" s="3" t="s">
        <v>3178</v>
      </c>
      <c r="B1577" s="4" t="s">
        <v>3179</v>
      </c>
      <c r="C1577" s="5">
        <v>309633</v>
      </c>
      <c r="D1577" s="17" t="s">
        <v>11</v>
      </c>
      <c r="E1577" s="17" t="s">
        <v>12</v>
      </c>
      <c r="F1577" s="15">
        <v>45031</v>
      </c>
      <c r="G1577" s="8">
        <f t="shared" si="24"/>
        <v>45031</v>
      </c>
      <c r="H1577" s="8" t="s">
        <v>13</v>
      </c>
      <c r="I1577" s="9">
        <v>4770.0421390947695</v>
      </c>
      <c r="J1577" s="62">
        <v>643.52378340886401</v>
      </c>
      <c r="K1577" s="17">
        <v>2</v>
      </c>
    </row>
    <row r="1578" spans="1:11" x14ac:dyDescent="0.25">
      <c r="A1578" s="3" t="s">
        <v>3180</v>
      </c>
      <c r="B1578" s="4" t="s">
        <v>3181</v>
      </c>
      <c r="C1578" s="54">
        <v>309634</v>
      </c>
      <c r="D1578" s="17" t="s">
        <v>34</v>
      </c>
      <c r="E1578" s="17" t="s">
        <v>17</v>
      </c>
      <c r="F1578" s="15">
        <v>45031</v>
      </c>
      <c r="G1578" s="8">
        <f t="shared" si="24"/>
        <v>45031</v>
      </c>
      <c r="H1578" s="8" t="s">
        <v>13</v>
      </c>
      <c r="I1578" s="9" t="s">
        <v>3380</v>
      </c>
      <c r="J1578" s="62" t="s">
        <v>3380</v>
      </c>
      <c r="K1578" s="17">
        <v>2</v>
      </c>
    </row>
    <row r="1579" spans="1:11" x14ac:dyDescent="0.25">
      <c r="A1579" s="3" t="s">
        <v>3182</v>
      </c>
      <c r="B1579" s="4" t="s">
        <v>3183</v>
      </c>
      <c r="C1579" s="54">
        <v>310433</v>
      </c>
      <c r="D1579" s="17" t="s">
        <v>11</v>
      </c>
      <c r="E1579" s="17" t="s">
        <v>12</v>
      </c>
      <c r="F1579" s="15">
        <v>45031</v>
      </c>
      <c r="G1579" s="8">
        <f t="shared" si="24"/>
        <v>45031</v>
      </c>
      <c r="H1579" s="8" t="s">
        <v>39</v>
      </c>
      <c r="I1579" s="9">
        <v>19492.592667848301</v>
      </c>
      <c r="J1579" s="62">
        <v>191.64104966858901</v>
      </c>
      <c r="K1579" s="17">
        <v>1</v>
      </c>
    </row>
    <row r="1580" spans="1:11" x14ac:dyDescent="0.25">
      <c r="A1580" s="3" t="s">
        <v>3184</v>
      </c>
      <c r="B1580" s="4" t="s">
        <v>3185</v>
      </c>
      <c r="C1580" s="5">
        <v>311233</v>
      </c>
      <c r="D1580" s="17" t="s">
        <v>28</v>
      </c>
      <c r="E1580" s="17" t="s">
        <v>17</v>
      </c>
      <c r="F1580" s="15">
        <v>45031</v>
      </c>
      <c r="G1580" s="8">
        <f t="shared" si="24"/>
        <v>45031</v>
      </c>
      <c r="H1580" s="8" t="s">
        <v>13</v>
      </c>
      <c r="I1580" s="9" t="s">
        <v>3380</v>
      </c>
      <c r="J1580" s="62" t="s">
        <v>3380</v>
      </c>
      <c r="K1580" s="17">
        <v>2</v>
      </c>
    </row>
    <row r="1581" spans="1:11" x14ac:dyDescent="0.25">
      <c r="A1581" s="3" t="s">
        <v>3186</v>
      </c>
      <c r="B1581" s="4" t="s">
        <v>3187</v>
      </c>
      <c r="C1581" s="54">
        <v>312433</v>
      </c>
      <c r="D1581" s="17" t="s">
        <v>28</v>
      </c>
      <c r="E1581" s="17" t="s">
        <v>17</v>
      </c>
      <c r="F1581" s="15">
        <v>45034</v>
      </c>
      <c r="G1581" s="8">
        <f t="shared" si="24"/>
        <v>45034</v>
      </c>
      <c r="H1581" s="8" t="s">
        <v>13</v>
      </c>
      <c r="I1581" s="9" t="s">
        <v>3380</v>
      </c>
      <c r="J1581" s="62" t="s">
        <v>3380</v>
      </c>
      <c r="K1581" s="17">
        <v>1</v>
      </c>
    </row>
    <row r="1582" spans="1:11" x14ac:dyDescent="0.25">
      <c r="A1582" s="3" t="s">
        <v>3188</v>
      </c>
      <c r="B1582" s="4" t="s">
        <v>3189</v>
      </c>
      <c r="C1582" s="5">
        <v>312434</v>
      </c>
      <c r="D1582" s="17" t="s">
        <v>37</v>
      </c>
      <c r="E1582" s="17" t="s">
        <v>38</v>
      </c>
      <c r="F1582" s="15">
        <v>45031</v>
      </c>
      <c r="G1582" s="8">
        <f t="shared" si="24"/>
        <v>45031</v>
      </c>
      <c r="H1582" s="8" t="s">
        <v>39</v>
      </c>
      <c r="I1582" s="9" t="s">
        <v>3380</v>
      </c>
      <c r="J1582" s="62" t="s">
        <v>3380</v>
      </c>
      <c r="K1582" s="17"/>
    </row>
    <row r="1583" spans="1:11" x14ac:dyDescent="0.25">
      <c r="A1583" s="3" t="s">
        <v>3190</v>
      </c>
      <c r="B1583" s="4" t="s">
        <v>3191</v>
      </c>
      <c r="C1583" s="54">
        <v>312834</v>
      </c>
      <c r="D1583" s="17" t="s">
        <v>37</v>
      </c>
      <c r="E1583" s="17" t="s">
        <v>38</v>
      </c>
      <c r="F1583" s="15">
        <v>45078</v>
      </c>
      <c r="G1583" s="8">
        <f t="shared" si="24"/>
        <v>45078</v>
      </c>
      <c r="H1583" s="8" t="s">
        <v>39</v>
      </c>
      <c r="I1583" s="9" t="s">
        <v>3380</v>
      </c>
      <c r="J1583" s="62" t="s">
        <v>3380</v>
      </c>
      <c r="K1583" s="17">
        <v>1</v>
      </c>
    </row>
    <row r="1584" spans="1:11" x14ac:dyDescent="0.25">
      <c r="A1584" s="3" t="s">
        <v>3192</v>
      </c>
      <c r="B1584" s="4" t="s">
        <v>3193</v>
      </c>
      <c r="C1584" s="54">
        <v>312033</v>
      </c>
      <c r="D1584" s="17" t="s">
        <v>16</v>
      </c>
      <c r="E1584" s="17" t="s">
        <v>17</v>
      </c>
      <c r="F1584" s="15">
        <v>45078</v>
      </c>
      <c r="G1584" s="8">
        <f t="shared" si="24"/>
        <v>45078</v>
      </c>
      <c r="H1584" s="8" t="s">
        <v>13</v>
      </c>
      <c r="I1584" s="9" t="s">
        <v>3380</v>
      </c>
      <c r="J1584" s="62" t="s">
        <v>3380</v>
      </c>
      <c r="K1584" s="17">
        <v>1</v>
      </c>
    </row>
    <row r="1585" spans="1:11" x14ac:dyDescent="0.25">
      <c r="A1585" s="3" t="s">
        <v>3194</v>
      </c>
      <c r="B1585" s="4" t="s">
        <v>3195</v>
      </c>
      <c r="C1585" s="5">
        <v>313233</v>
      </c>
      <c r="D1585" s="17" t="s">
        <v>28</v>
      </c>
      <c r="E1585" s="17" t="s">
        <v>17</v>
      </c>
      <c r="F1585" s="15">
        <v>45078</v>
      </c>
      <c r="G1585" s="8">
        <f t="shared" si="24"/>
        <v>45078</v>
      </c>
      <c r="H1585" s="8" t="s">
        <v>13</v>
      </c>
      <c r="I1585" s="9">
        <v>8986.95622813312</v>
      </c>
      <c r="J1585" s="62">
        <v>323.21745946209899</v>
      </c>
      <c r="K1585" s="17">
        <v>1</v>
      </c>
    </row>
    <row r="1586" spans="1:11" x14ac:dyDescent="0.25">
      <c r="A1586" s="3" t="s">
        <v>3196</v>
      </c>
      <c r="B1586" s="4" t="s">
        <v>3197</v>
      </c>
      <c r="C1586" s="5">
        <v>314433</v>
      </c>
      <c r="D1586" s="17" t="s">
        <v>28</v>
      </c>
      <c r="E1586" s="17" t="s">
        <v>17</v>
      </c>
      <c r="F1586" s="15">
        <v>45050</v>
      </c>
      <c r="G1586" s="8">
        <f t="shared" si="24"/>
        <v>45050</v>
      </c>
      <c r="H1586" s="8" t="s">
        <v>13</v>
      </c>
      <c r="I1586" s="9" t="s">
        <v>3380</v>
      </c>
      <c r="J1586" s="62" t="s">
        <v>3380</v>
      </c>
      <c r="K1586" s="17">
        <v>2</v>
      </c>
    </row>
    <row r="1587" spans="1:11" x14ac:dyDescent="0.25">
      <c r="A1587" s="3" t="s">
        <v>3198</v>
      </c>
      <c r="B1587" s="4" t="s">
        <v>3199</v>
      </c>
      <c r="C1587" s="54">
        <v>315633</v>
      </c>
      <c r="D1587" s="17" t="s">
        <v>31</v>
      </c>
      <c r="E1587" s="17" t="s">
        <v>17</v>
      </c>
      <c r="F1587" s="15">
        <v>45078</v>
      </c>
      <c r="G1587" s="8">
        <f t="shared" si="24"/>
        <v>45078</v>
      </c>
      <c r="H1587" s="8" t="s">
        <v>13</v>
      </c>
      <c r="I1587" s="9" t="s">
        <v>3380</v>
      </c>
      <c r="J1587" s="62" t="s">
        <v>3380</v>
      </c>
      <c r="K1587" s="17">
        <v>1</v>
      </c>
    </row>
    <row r="1588" spans="1:11" x14ac:dyDescent="0.25">
      <c r="A1588" s="3" t="s">
        <v>3200</v>
      </c>
      <c r="B1588" s="4" t="s">
        <v>3201</v>
      </c>
      <c r="C1588" s="54">
        <v>316833</v>
      </c>
      <c r="D1588" s="17" t="s">
        <v>11</v>
      </c>
      <c r="E1588" s="17" t="s">
        <v>12</v>
      </c>
      <c r="F1588" s="15">
        <v>45078</v>
      </c>
      <c r="G1588" s="8">
        <f t="shared" si="24"/>
        <v>45078</v>
      </c>
      <c r="H1588" s="8" t="s">
        <v>39</v>
      </c>
      <c r="I1588" s="9">
        <v>33275.335031202405</v>
      </c>
      <c r="J1588" s="62">
        <v>412.08036937477698</v>
      </c>
      <c r="K1588" s="17">
        <v>1</v>
      </c>
    </row>
    <row r="1589" spans="1:11" x14ac:dyDescent="0.25">
      <c r="A1589" s="3" t="s">
        <v>3202</v>
      </c>
      <c r="B1589" s="4" t="s">
        <v>3203</v>
      </c>
      <c r="C1589" s="54">
        <v>319633</v>
      </c>
      <c r="D1589" s="17" t="s">
        <v>11</v>
      </c>
      <c r="E1589" s="17" t="s">
        <v>12</v>
      </c>
      <c r="F1589" s="15">
        <v>45086</v>
      </c>
      <c r="G1589" s="8">
        <f t="shared" si="24"/>
        <v>45086</v>
      </c>
      <c r="H1589" s="8" t="s">
        <v>13</v>
      </c>
      <c r="I1589" s="9" t="s">
        <v>3380</v>
      </c>
      <c r="J1589" s="62" t="s">
        <v>3380</v>
      </c>
      <c r="K1589" s="17">
        <v>1</v>
      </c>
    </row>
    <row r="1590" spans="1:11" x14ac:dyDescent="0.25">
      <c r="A1590" s="3" t="s">
        <v>3204</v>
      </c>
      <c r="B1590" s="4" t="s">
        <v>3205</v>
      </c>
      <c r="C1590" s="54">
        <v>321233</v>
      </c>
      <c r="D1590" s="17" t="s">
        <v>34</v>
      </c>
      <c r="E1590" s="17" t="s">
        <v>17</v>
      </c>
      <c r="F1590" s="15">
        <v>45098</v>
      </c>
      <c r="G1590" s="8">
        <f t="shared" si="24"/>
        <v>45098</v>
      </c>
      <c r="H1590" s="8" t="s">
        <v>13</v>
      </c>
      <c r="I1590" s="9" t="s">
        <v>3380</v>
      </c>
      <c r="J1590" s="62" t="s">
        <v>3380</v>
      </c>
      <c r="K1590" s="17">
        <v>1</v>
      </c>
    </row>
    <row r="1591" spans="1:11" x14ac:dyDescent="0.25">
      <c r="A1591" s="3" t="s">
        <v>3206</v>
      </c>
      <c r="B1591" s="4" t="s">
        <v>3207</v>
      </c>
      <c r="C1591" s="54">
        <v>321234</v>
      </c>
      <c r="D1591" s="17" t="s">
        <v>28</v>
      </c>
      <c r="E1591" s="17" t="s">
        <v>17</v>
      </c>
      <c r="F1591" s="15">
        <v>45098</v>
      </c>
      <c r="G1591" s="8">
        <f t="shared" si="24"/>
        <v>45098</v>
      </c>
      <c r="H1591" s="8" t="s">
        <v>13</v>
      </c>
      <c r="I1591" s="9" t="s">
        <v>3380</v>
      </c>
      <c r="J1591" s="62" t="s">
        <v>3380</v>
      </c>
      <c r="K1591" s="17">
        <v>1</v>
      </c>
    </row>
    <row r="1592" spans="1:11" x14ac:dyDescent="0.25">
      <c r="A1592" s="3" t="s">
        <v>3208</v>
      </c>
      <c r="B1592" s="4" t="s">
        <v>3209</v>
      </c>
      <c r="C1592" s="54">
        <v>323233</v>
      </c>
      <c r="D1592" s="17" t="s">
        <v>37</v>
      </c>
      <c r="E1592" s="17" t="s">
        <v>3047</v>
      </c>
      <c r="F1592" s="15">
        <v>45103</v>
      </c>
      <c r="G1592" s="8">
        <f t="shared" si="24"/>
        <v>45103</v>
      </c>
      <c r="H1592" s="8" t="s">
        <v>39</v>
      </c>
      <c r="I1592" s="9" t="s">
        <v>3380</v>
      </c>
      <c r="J1592" s="62" t="s">
        <v>3380</v>
      </c>
      <c r="K1592" s="17">
        <v>1</v>
      </c>
    </row>
    <row r="1593" spans="1:11" x14ac:dyDescent="0.25">
      <c r="A1593" s="3" t="s">
        <v>3210</v>
      </c>
      <c r="B1593" s="4" t="s">
        <v>3211</v>
      </c>
      <c r="C1593" s="5">
        <v>325633</v>
      </c>
      <c r="D1593" s="17" t="s">
        <v>11</v>
      </c>
      <c r="E1593" s="17" t="s">
        <v>12</v>
      </c>
      <c r="F1593" s="15">
        <v>45125</v>
      </c>
      <c r="G1593" s="8">
        <f t="shared" si="24"/>
        <v>45125</v>
      </c>
      <c r="H1593" s="8" t="s">
        <v>39</v>
      </c>
      <c r="I1593" s="9">
        <v>18913.377974118797</v>
      </c>
      <c r="J1593" s="62">
        <v>314.30941379893898</v>
      </c>
      <c r="K1593" s="17">
        <v>2</v>
      </c>
    </row>
    <row r="1594" spans="1:11" x14ac:dyDescent="0.25">
      <c r="A1594" s="3" t="s">
        <v>3212</v>
      </c>
      <c r="B1594" s="4" t="s">
        <v>3213</v>
      </c>
      <c r="C1594" s="5">
        <v>325233</v>
      </c>
      <c r="D1594" s="17" t="s">
        <v>38</v>
      </c>
      <c r="E1594" s="17" t="s">
        <v>3047</v>
      </c>
      <c r="F1594" s="15">
        <v>45126</v>
      </c>
      <c r="G1594" s="8">
        <f t="shared" si="24"/>
        <v>45126</v>
      </c>
      <c r="H1594" s="8" t="s">
        <v>39</v>
      </c>
      <c r="I1594" s="9" t="s">
        <v>3380</v>
      </c>
      <c r="J1594" s="62" t="s">
        <v>3380</v>
      </c>
      <c r="K1594" s="17"/>
    </row>
    <row r="1595" spans="1:11" x14ac:dyDescent="0.25">
      <c r="A1595" s="3" t="s">
        <v>3214</v>
      </c>
      <c r="B1595" s="4" t="s">
        <v>3215</v>
      </c>
      <c r="C1595" s="5">
        <v>323633</v>
      </c>
      <c r="D1595" s="17" t="s">
        <v>31</v>
      </c>
      <c r="E1595" s="17" t="s">
        <v>17</v>
      </c>
      <c r="F1595" s="15">
        <v>45127</v>
      </c>
      <c r="G1595" s="8">
        <f t="shared" si="24"/>
        <v>45127</v>
      </c>
      <c r="H1595" s="8" t="s">
        <v>13</v>
      </c>
      <c r="I1595" s="9" t="s">
        <v>3380</v>
      </c>
      <c r="J1595" s="62" t="s">
        <v>3380</v>
      </c>
      <c r="K1595" s="17">
        <v>1</v>
      </c>
    </row>
    <row r="1596" spans="1:11" x14ac:dyDescent="0.25">
      <c r="A1596" s="3" t="s">
        <v>3216</v>
      </c>
      <c r="B1596" s="4" t="s">
        <v>3217</v>
      </c>
      <c r="C1596" s="54">
        <v>326003</v>
      </c>
      <c r="D1596" s="17" t="s">
        <v>11</v>
      </c>
      <c r="E1596" s="17" t="s">
        <v>12</v>
      </c>
      <c r="F1596" s="15">
        <v>45139</v>
      </c>
      <c r="G1596" s="8">
        <f t="shared" si="24"/>
        <v>45139</v>
      </c>
      <c r="H1596" s="8" t="s">
        <v>39</v>
      </c>
      <c r="I1596" s="9">
        <v>23767.819531238802</v>
      </c>
      <c r="J1596" s="62">
        <v>152.744936983927</v>
      </c>
      <c r="K1596" s="17"/>
    </row>
    <row r="1597" spans="1:11" x14ac:dyDescent="0.25">
      <c r="A1597" s="3" t="s">
        <v>3218</v>
      </c>
      <c r="B1597" s="4" t="s">
        <v>3219</v>
      </c>
      <c r="C1597" s="54">
        <v>326034</v>
      </c>
      <c r="D1597" s="17" t="s">
        <v>34</v>
      </c>
      <c r="E1597" s="17" t="s">
        <v>17</v>
      </c>
      <c r="F1597" s="15">
        <v>45133</v>
      </c>
      <c r="G1597" s="8">
        <f t="shared" si="24"/>
        <v>45133</v>
      </c>
      <c r="H1597" s="8" t="s">
        <v>13</v>
      </c>
      <c r="I1597" s="9" t="s">
        <v>3380</v>
      </c>
      <c r="J1597" s="62" t="s">
        <v>3380</v>
      </c>
      <c r="K1597" s="17">
        <v>1</v>
      </c>
    </row>
    <row r="1598" spans="1:11" x14ac:dyDescent="0.25">
      <c r="A1598" s="3" t="s">
        <v>3220</v>
      </c>
      <c r="B1598" s="4" t="s">
        <v>3221</v>
      </c>
      <c r="C1598" s="54">
        <v>327233</v>
      </c>
      <c r="D1598" s="17" t="s">
        <v>16</v>
      </c>
      <c r="E1598" s="17" t="s">
        <v>17</v>
      </c>
      <c r="F1598" s="15">
        <v>45142</v>
      </c>
      <c r="G1598" s="8">
        <f t="shared" si="24"/>
        <v>45142</v>
      </c>
      <c r="H1598" s="8" t="s">
        <v>13</v>
      </c>
      <c r="I1598" s="9" t="s">
        <v>3380</v>
      </c>
      <c r="J1598" s="62" t="s">
        <v>3380</v>
      </c>
      <c r="K1598" s="17">
        <v>1</v>
      </c>
    </row>
    <row r="1599" spans="1:11" x14ac:dyDescent="0.25">
      <c r="A1599" s="3" t="s">
        <v>3222</v>
      </c>
      <c r="B1599" s="4" t="s">
        <v>3223</v>
      </c>
      <c r="C1599" s="54">
        <v>316576</v>
      </c>
      <c r="D1599" s="17" t="s">
        <v>11</v>
      </c>
      <c r="E1599" s="17" t="s">
        <v>12</v>
      </c>
      <c r="F1599" s="15">
        <v>45152</v>
      </c>
      <c r="G1599" s="8">
        <f t="shared" si="24"/>
        <v>45152</v>
      </c>
      <c r="H1599" s="8" t="s">
        <v>39</v>
      </c>
      <c r="I1599" s="9">
        <v>10418.9614833832</v>
      </c>
      <c r="J1599" s="62">
        <v>193.21205264556701</v>
      </c>
      <c r="K1599" s="17">
        <v>1</v>
      </c>
    </row>
    <row r="1600" spans="1:11" x14ac:dyDescent="0.25">
      <c r="A1600" s="3" t="s">
        <v>3224</v>
      </c>
      <c r="B1600" s="4" t="s">
        <v>3225</v>
      </c>
      <c r="C1600" s="5">
        <v>316552</v>
      </c>
      <c r="D1600" s="17" t="s">
        <v>34</v>
      </c>
      <c r="E1600" s="17" t="s">
        <v>17</v>
      </c>
      <c r="F1600" s="15">
        <v>45156</v>
      </c>
      <c r="G1600" s="8">
        <f t="shared" si="24"/>
        <v>45156</v>
      </c>
      <c r="H1600" s="8" t="s">
        <v>13</v>
      </c>
      <c r="I1600" s="9" t="s">
        <v>3380</v>
      </c>
      <c r="J1600" s="62" t="s">
        <v>3380</v>
      </c>
      <c r="K1600" s="17">
        <v>2</v>
      </c>
    </row>
    <row r="1601" spans="1:11" x14ac:dyDescent="0.25">
      <c r="A1601" s="3" t="s">
        <v>3226</v>
      </c>
      <c r="B1601" s="4" t="s">
        <v>3227</v>
      </c>
      <c r="C1601" s="5">
        <v>331233</v>
      </c>
      <c r="D1601" s="17" t="s">
        <v>31</v>
      </c>
      <c r="E1601" s="17" t="s">
        <v>17</v>
      </c>
      <c r="F1601" s="15">
        <v>45155</v>
      </c>
      <c r="G1601" s="8">
        <f t="shared" si="24"/>
        <v>45155</v>
      </c>
      <c r="H1601" s="8" t="s">
        <v>13</v>
      </c>
      <c r="I1601" s="9" t="s">
        <v>3380</v>
      </c>
      <c r="J1601" s="62" t="s">
        <v>3380</v>
      </c>
      <c r="K1601" s="17">
        <v>2</v>
      </c>
    </row>
    <row r="1602" spans="1:11" x14ac:dyDescent="0.25">
      <c r="A1602" s="3" t="s">
        <v>3228</v>
      </c>
      <c r="B1602" s="4" t="s">
        <v>3229</v>
      </c>
      <c r="C1602" s="5">
        <v>316575</v>
      </c>
      <c r="D1602" s="17" t="s">
        <v>28</v>
      </c>
      <c r="E1602" s="17" t="s">
        <v>17</v>
      </c>
      <c r="F1602" s="15">
        <v>45160</v>
      </c>
      <c r="G1602" s="8">
        <f t="shared" ref="G1602:G1665" si="25">F1602</f>
        <v>45160</v>
      </c>
      <c r="H1602" s="8" t="s">
        <v>13</v>
      </c>
      <c r="I1602" s="9" t="s">
        <v>3380</v>
      </c>
      <c r="J1602" s="62" t="s">
        <v>3380</v>
      </c>
      <c r="K1602" s="17">
        <v>2</v>
      </c>
    </row>
    <row r="1603" spans="1:11" x14ac:dyDescent="0.25">
      <c r="A1603" s="3" t="s">
        <v>3230</v>
      </c>
      <c r="B1603" s="4" t="s">
        <v>3231</v>
      </c>
      <c r="C1603" s="5">
        <v>316565</v>
      </c>
      <c r="D1603" s="17" t="s">
        <v>11</v>
      </c>
      <c r="E1603" s="17" t="s">
        <v>17</v>
      </c>
      <c r="F1603" s="15">
        <v>45181</v>
      </c>
      <c r="G1603" s="8">
        <f t="shared" si="25"/>
        <v>45181</v>
      </c>
      <c r="H1603" s="8" t="s">
        <v>13</v>
      </c>
      <c r="I1603" s="9">
        <v>15653.308963406402</v>
      </c>
      <c r="J1603" s="62">
        <v>298.09240428239701</v>
      </c>
      <c r="K1603" s="17">
        <v>1</v>
      </c>
    </row>
    <row r="1604" spans="1:11" x14ac:dyDescent="0.25">
      <c r="A1604" s="3" t="s">
        <v>3232</v>
      </c>
      <c r="B1604" s="4" t="s">
        <v>3233</v>
      </c>
      <c r="C1604" s="5">
        <v>316479</v>
      </c>
      <c r="D1604" s="17" t="s">
        <v>28</v>
      </c>
      <c r="E1604" s="17" t="s">
        <v>17</v>
      </c>
      <c r="F1604" s="15">
        <v>45161</v>
      </c>
      <c r="G1604" s="8">
        <f t="shared" si="25"/>
        <v>45161</v>
      </c>
      <c r="H1604" s="8" t="s">
        <v>13</v>
      </c>
      <c r="I1604" s="9" t="s">
        <v>3380</v>
      </c>
      <c r="J1604" s="62" t="s">
        <v>3380</v>
      </c>
      <c r="K1604" s="17">
        <v>1</v>
      </c>
    </row>
    <row r="1605" spans="1:11" x14ac:dyDescent="0.25">
      <c r="A1605" s="3" t="s">
        <v>3234</v>
      </c>
      <c r="B1605" s="4" t="s">
        <v>3235</v>
      </c>
      <c r="C1605" s="54">
        <v>336833</v>
      </c>
      <c r="D1605" s="17" t="s">
        <v>11</v>
      </c>
      <c r="E1605" s="17" t="s">
        <v>12</v>
      </c>
      <c r="F1605" s="15">
        <v>45181</v>
      </c>
      <c r="G1605" s="8">
        <f t="shared" si="25"/>
        <v>45181</v>
      </c>
      <c r="H1605" s="8" t="s">
        <v>39</v>
      </c>
      <c r="I1605" s="9">
        <v>15579.0079644747</v>
      </c>
      <c r="J1605" s="62">
        <v>356.42622341680999</v>
      </c>
      <c r="K1605" s="17"/>
    </row>
    <row r="1606" spans="1:11" x14ac:dyDescent="0.25">
      <c r="A1606" s="3" t="s">
        <v>3236</v>
      </c>
      <c r="B1606" s="4" t="s">
        <v>3237</v>
      </c>
      <c r="C1606" s="5">
        <v>336033</v>
      </c>
      <c r="D1606" s="17" t="s">
        <v>28</v>
      </c>
      <c r="E1606" s="17" t="s">
        <v>17</v>
      </c>
      <c r="F1606" s="15">
        <v>45210</v>
      </c>
      <c r="G1606" s="8">
        <f t="shared" si="25"/>
        <v>45210</v>
      </c>
      <c r="H1606" s="8" t="s">
        <v>13</v>
      </c>
      <c r="I1606" s="9" t="s">
        <v>3380</v>
      </c>
      <c r="J1606" s="62" t="s">
        <v>3380</v>
      </c>
      <c r="K1606" s="17">
        <v>1</v>
      </c>
    </row>
    <row r="1607" spans="1:11" x14ac:dyDescent="0.25">
      <c r="A1607" s="3" t="s">
        <v>3238</v>
      </c>
      <c r="B1607" s="4" t="s">
        <v>3239</v>
      </c>
      <c r="C1607" s="5">
        <v>337633</v>
      </c>
      <c r="D1607" s="17" t="s">
        <v>16</v>
      </c>
      <c r="E1607" s="17" t="s">
        <v>17</v>
      </c>
      <c r="F1607" s="15">
        <v>45183</v>
      </c>
      <c r="G1607" s="8">
        <f t="shared" si="25"/>
        <v>45183</v>
      </c>
      <c r="H1607" s="8" t="s">
        <v>13</v>
      </c>
      <c r="I1607" s="9" t="s">
        <v>3380</v>
      </c>
      <c r="J1607" s="62" t="s">
        <v>3380</v>
      </c>
      <c r="K1607" s="17"/>
    </row>
    <row r="1608" spans="1:11" x14ac:dyDescent="0.25">
      <c r="A1608" s="3" t="s">
        <v>3240</v>
      </c>
      <c r="B1608" s="4" t="s">
        <v>3241</v>
      </c>
      <c r="C1608" s="54">
        <v>337638</v>
      </c>
      <c r="D1608" s="17" t="s">
        <v>34</v>
      </c>
      <c r="E1608" s="17" t="s">
        <v>17</v>
      </c>
      <c r="F1608" s="15">
        <v>45184</v>
      </c>
      <c r="G1608" s="8">
        <f t="shared" si="25"/>
        <v>45184</v>
      </c>
      <c r="H1608" s="8" t="s">
        <v>13</v>
      </c>
      <c r="I1608" s="9" t="s">
        <v>3380</v>
      </c>
      <c r="J1608" s="62" t="s">
        <v>3380</v>
      </c>
      <c r="K1608" s="17">
        <v>1</v>
      </c>
    </row>
    <row r="1609" spans="1:11" x14ac:dyDescent="0.25">
      <c r="A1609" s="3" t="s">
        <v>3242</v>
      </c>
      <c r="B1609" s="4" t="s">
        <v>3243</v>
      </c>
      <c r="C1609" s="54">
        <v>338033</v>
      </c>
      <c r="D1609" s="17" t="s">
        <v>34</v>
      </c>
      <c r="E1609" s="17" t="s">
        <v>17</v>
      </c>
      <c r="F1609" s="15">
        <v>45186</v>
      </c>
      <c r="G1609" s="8">
        <f t="shared" si="25"/>
        <v>45186</v>
      </c>
      <c r="H1609" s="8" t="s">
        <v>13</v>
      </c>
      <c r="I1609" s="9" t="s">
        <v>3380</v>
      </c>
      <c r="J1609" s="62" t="s">
        <v>3380</v>
      </c>
      <c r="K1609" s="17"/>
    </row>
    <row r="1610" spans="1:11" x14ac:dyDescent="0.25">
      <c r="A1610" s="3" t="s">
        <v>3244</v>
      </c>
      <c r="B1610" s="4" t="s">
        <v>3245</v>
      </c>
      <c r="C1610" s="54">
        <v>338433</v>
      </c>
      <c r="D1610" s="17" t="s">
        <v>11</v>
      </c>
      <c r="E1610" s="17"/>
      <c r="F1610" s="15">
        <v>45200</v>
      </c>
      <c r="G1610" s="8">
        <f t="shared" si="25"/>
        <v>45200</v>
      </c>
      <c r="H1610" s="8" t="s">
        <v>39</v>
      </c>
      <c r="I1610" s="9">
        <v>863.76842891255205</v>
      </c>
      <c r="J1610" s="62">
        <v>249.89377524560101</v>
      </c>
      <c r="K1610" s="17"/>
    </row>
    <row r="1611" spans="1:11" x14ac:dyDescent="0.25">
      <c r="A1611" s="3" t="s">
        <v>3246</v>
      </c>
      <c r="B1611" s="4" t="s">
        <v>3247</v>
      </c>
      <c r="C1611" s="54">
        <v>340433</v>
      </c>
      <c r="D1611" s="17" t="s">
        <v>16</v>
      </c>
      <c r="E1611" s="17" t="s">
        <v>17</v>
      </c>
      <c r="F1611" s="15">
        <v>45202</v>
      </c>
      <c r="G1611" s="8">
        <f t="shared" si="25"/>
        <v>45202</v>
      </c>
      <c r="H1611" s="8" t="s">
        <v>13</v>
      </c>
      <c r="I1611" s="9" t="s">
        <v>3380</v>
      </c>
      <c r="J1611" s="62" t="s">
        <v>3380</v>
      </c>
      <c r="K1611" s="17">
        <v>1</v>
      </c>
    </row>
    <row r="1612" spans="1:11" x14ac:dyDescent="0.25">
      <c r="A1612" s="3" t="s">
        <v>3248</v>
      </c>
      <c r="B1612" s="4" t="s">
        <v>3249</v>
      </c>
      <c r="C1612" s="54" t="s">
        <v>3250</v>
      </c>
      <c r="D1612" s="17" t="s">
        <v>11</v>
      </c>
      <c r="E1612" s="17" t="s">
        <v>12</v>
      </c>
      <c r="F1612" s="15">
        <v>45108</v>
      </c>
      <c r="G1612" s="8">
        <f t="shared" si="25"/>
        <v>45108</v>
      </c>
      <c r="H1612" s="8" t="s">
        <v>13</v>
      </c>
      <c r="I1612" s="9">
        <v>1474.8917998083</v>
      </c>
      <c r="J1612" s="62">
        <v>185.875911296434</v>
      </c>
      <c r="K1612" s="17">
        <v>1</v>
      </c>
    </row>
    <row r="1613" spans="1:11" x14ac:dyDescent="0.25">
      <c r="A1613" s="3" t="s">
        <v>3251</v>
      </c>
      <c r="B1613" s="4" t="s">
        <v>3252</v>
      </c>
      <c r="C1613" s="54">
        <v>342833</v>
      </c>
      <c r="D1613" s="17" t="s">
        <v>34</v>
      </c>
      <c r="E1613" s="17" t="s">
        <v>17</v>
      </c>
      <c r="F1613" s="15">
        <v>45230</v>
      </c>
      <c r="G1613" s="8">
        <f t="shared" si="25"/>
        <v>45230</v>
      </c>
      <c r="H1613" s="8" t="s">
        <v>13</v>
      </c>
      <c r="I1613" s="9" t="s">
        <v>3380</v>
      </c>
      <c r="J1613" s="62" t="s">
        <v>3380</v>
      </c>
      <c r="K1613" s="17"/>
    </row>
    <row r="1614" spans="1:11" x14ac:dyDescent="0.25">
      <c r="A1614" s="3" t="s">
        <v>3253</v>
      </c>
      <c r="B1614" s="4" t="s">
        <v>3254</v>
      </c>
      <c r="C1614" s="54">
        <v>343233</v>
      </c>
      <c r="D1614" s="17" t="s">
        <v>34</v>
      </c>
      <c r="E1614" s="17" t="s">
        <v>17</v>
      </c>
      <c r="F1614" s="15">
        <v>45230</v>
      </c>
      <c r="G1614" s="8">
        <f t="shared" si="25"/>
        <v>45230</v>
      </c>
      <c r="H1614" s="8" t="s">
        <v>13</v>
      </c>
      <c r="I1614" s="9" t="s">
        <v>3380</v>
      </c>
      <c r="J1614" s="62" t="s">
        <v>3380</v>
      </c>
      <c r="K1614" s="17">
        <v>1</v>
      </c>
    </row>
    <row r="1615" spans="1:11" x14ac:dyDescent="0.25">
      <c r="A1615" s="3" t="s">
        <v>3255</v>
      </c>
      <c r="B1615" s="4" t="s">
        <v>3256</v>
      </c>
      <c r="C1615" s="54">
        <v>322833</v>
      </c>
      <c r="D1615" s="17" t="s">
        <v>28</v>
      </c>
      <c r="E1615" s="17" t="s">
        <v>17</v>
      </c>
      <c r="F1615" s="15">
        <v>45231</v>
      </c>
      <c r="G1615" s="8">
        <f t="shared" si="25"/>
        <v>45231</v>
      </c>
      <c r="H1615" s="8" t="s">
        <v>13</v>
      </c>
      <c r="I1615" s="9" t="s">
        <v>3380</v>
      </c>
      <c r="J1615" s="62" t="s">
        <v>3380</v>
      </c>
      <c r="K1615" s="17"/>
    </row>
    <row r="1616" spans="1:11" x14ac:dyDescent="0.25">
      <c r="A1616" s="3" t="s">
        <v>3257</v>
      </c>
      <c r="B1616" s="4" t="s">
        <v>3258</v>
      </c>
      <c r="C1616" s="54"/>
      <c r="D1616" s="17" t="s">
        <v>31</v>
      </c>
      <c r="E1616" s="17" t="s">
        <v>17</v>
      </c>
      <c r="F1616" s="15">
        <v>45266</v>
      </c>
      <c r="G1616" s="8">
        <f t="shared" si="25"/>
        <v>45266</v>
      </c>
      <c r="H1616" s="8" t="s">
        <v>13</v>
      </c>
      <c r="I1616" s="9" t="s">
        <v>3380</v>
      </c>
      <c r="J1616" s="62" t="s">
        <v>3380</v>
      </c>
      <c r="K1616" s="17">
        <v>1</v>
      </c>
    </row>
    <row r="1617" spans="1:11" x14ac:dyDescent="0.25">
      <c r="A1617" s="3" t="s">
        <v>3259</v>
      </c>
      <c r="B1617" s="4" t="s">
        <v>3260</v>
      </c>
      <c r="C1617" s="54">
        <v>345634</v>
      </c>
      <c r="D1617" s="17" t="s">
        <v>11</v>
      </c>
      <c r="E1617" s="17" t="s">
        <v>12</v>
      </c>
      <c r="F1617" s="15">
        <v>45258</v>
      </c>
      <c r="G1617" s="8">
        <f t="shared" si="25"/>
        <v>45258</v>
      </c>
      <c r="H1617" s="8" t="s">
        <v>39</v>
      </c>
      <c r="I1617" s="9" t="s">
        <v>3380</v>
      </c>
      <c r="J1617" s="62" t="s">
        <v>3380</v>
      </c>
      <c r="K1617" s="17">
        <v>2</v>
      </c>
    </row>
    <row r="1618" spans="1:11" x14ac:dyDescent="0.25">
      <c r="A1618" s="3" t="s">
        <v>3261</v>
      </c>
      <c r="B1618" s="4" t="s">
        <v>3262</v>
      </c>
      <c r="C1618" s="54">
        <v>345234</v>
      </c>
      <c r="D1618" s="17" t="s">
        <v>34</v>
      </c>
      <c r="E1618" s="17" t="s">
        <v>17</v>
      </c>
      <c r="F1618" s="15">
        <v>45279</v>
      </c>
      <c r="G1618" s="8">
        <f t="shared" si="25"/>
        <v>45279</v>
      </c>
      <c r="H1618" s="8" t="s">
        <v>13</v>
      </c>
      <c r="I1618" s="9" t="s">
        <v>3380</v>
      </c>
      <c r="J1618" s="62" t="s">
        <v>3380</v>
      </c>
      <c r="K1618" s="17">
        <v>1</v>
      </c>
    </row>
    <row r="1619" spans="1:11" x14ac:dyDescent="0.25">
      <c r="A1619" s="3" t="s">
        <v>3263</v>
      </c>
      <c r="B1619" s="4" t="s">
        <v>3264</v>
      </c>
      <c r="C1619" s="5">
        <v>346835</v>
      </c>
      <c r="D1619" s="17" t="s">
        <v>11</v>
      </c>
      <c r="E1619" s="17" t="s">
        <v>17</v>
      </c>
      <c r="F1619" s="15">
        <v>45372</v>
      </c>
      <c r="G1619" s="8">
        <f t="shared" si="25"/>
        <v>45372</v>
      </c>
      <c r="H1619" s="8" t="s">
        <v>13</v>
      </c>
      <c r="I1619" s="9" t="s">
        <v>3380</v>
      </c>
      <c r="J1619" s="62" t="s">
        <v>3380</v>
      </c>
      <c r="K1619" s="17">
        <v>2</v>
      </c>
    </row>
    <row r="1620" spans="1:11" x14ac:dyDescent="0.25">
      <c r="A1620" s="3" t="s">
        <v>3265</v>
      </c>
      <c r="B1620" s="4" t="s">
        <v>3266</v>
      </c>
      <c r="C1620" s="54">
        <v>347634</v>
      </c>
      <c r="D1620" s="17" t="s">
        <v>28</v>
      </c>
      <c r="E1620" s="17" t="s">
        <v>17</v>
      </c>
      <c r="F1620" s="15">
        <v>45275</v>
      </c>
      <c r="G1620" s="8">
        <f t="shared" si="25"/>
        <v>45275</v>
      </c>
      <c r="H1620" s="8" t="s">
        <v>13</v>
      </c>
      <c r="I1620" s="9" t="s">
        <v>3380</v>
      </c>
      <c r="J1620" s="62" t="s">
        <v>3380</v>
      </c>
      <c r="K1620" s="17">
        <v>1</v>
      </c>
    </row>
    <row r="1621" spans="1:11" x14ac:dyDescent="0.25">
      <c r="A1621" s="3" t="s">
        <v>3267</v>
      </c>
      <c r="B1621" s="4" t="s">
        <v>3268</v>
      </c>
      <c r="C1621" s="5">
        <v>347635</v>
      </c>
      <c r="D1621" s="17" t="s">
        <v>16</v>
      </c>
      <c r="E1621" s="17" t="s">
        <v>17</v>
      </c>
      <c r="F1621" s="15">
        <v>44913</v>
      </c>
      <c r="G1621" s="8">
        <f t="shared" si="25"/>
        <v>44913</v>
      </c>
      <c r="H1621" s="8" t="s">
        <v>13</v>
      </c>
      <c r="I1621" s="9" t="s">
        <v>3380</v>
      </c>
      <c r="J1621" s="62" t="s">
        <v>3380</v>
      </c>
      <c r="K1621" s="17">
        <v>2</v>
      </c>
    </row>
    <row r="1622" spans="1:11" x14ac:dyDescent="0.25">
      <c r="A1622" s="3" t="s">
        <v>3269</v>
      </c>
      <c r="B1622" s="4" t="s">
        <v>3270</v>
      </c>
      <c r="C1622" s="54">
        <v>348434</v>
      </c>
      <c r="D1622" s="17" t="s">
        <v>34</v>
      </c>
      <c r="E1622" s="17" t="s">
        <v>17</v>
      </c>
      <c r="F1622" s="15">
        <v>45302</v>
      </c>
      <c r="G1622" s="8">
        <f t="shared" si="25"/>
        <v>45302</v>
      </c>
      <c r="H1622" s="8" t="s">
        <v>13</v>
      </c>
      <c r="I1622" s="9" t="s">
        <v>3380</v>
      </c>
      <c r="J1622" s="62" t="s">
        <v>3380</v>
      </c>
      <c r="K1622" s="17">
        <v>1</v>
      </c>
    </row>
    <row r="1623" spans="1:11" x14ac:dyDescent="0.25">
      <c r="A1623" s="3" t="s">
        <v>3271</v>
      </c>
      <c r="B1623" s="4" t="s">
        <v>3272</v>
      </c>
      <c r="C1623" s="54">
        <v>351235</v>
      </c>
      <c r="D1623" s="17" t="s">
        <v>11</v>
      </c>
      <c r="E1623" s="17" t="s">
        <v>12</v>
      </c>
      <c r="F1623" s="15">
        <v>45300</v>
      </c>
      <c r="G1623" s="8">
        <f t="shared" si="25"/>
        <v>45300</v>
      </c>
      <c r="H1623" s="8" t="s">
        <v>39</v>
      </c>
      <c r="I1623" s="9" t="s">
        <v>3380</v>
      </c>
      <c r="J1623" s="62" t="s">
        <v>3380</v>
      </c>
      <c r="K1623" s="17">
        <v>1</v>
      </c>
    </row>
    <row r="1624" spans="1:11" x14ac:dyDescent="0.25">
      <c r="A1624" s="3" t="s">
        <v>3273</v>
      </c>
      <c r="B1624" s="4" t="s">
        <v>3274</v>
      </c>
      <c r="C1624" s="5">
        <v>349234</v>
      </c>
      <c r="D1624" s="17" t="s">
        <v>11</v>
      </c>
      <c r="E1624" s="17" t="s">
        <v>17</v>
      </c>
      <c r="F1624" s="15">
        <v>45300</v>
      </c>
      <c r="G1624" s="8">
        <f t="shared" si="25"/>
        <v>45300</v>
      </c>
      <c r="H1624" s="8" t="s">
        <v>13</v>
      </c>
      <c r="I1624" s="9" t="s">
        <v>3380</v>
      </c>
      <c r="J1624" s="62" t="s">
        <v>3380</v>
      </c>
      <c r="K1624" s="17">
        <v>2</v>
      </c>
    </row>
    <row r="1625" spans="1:11" x14ac:dyDescent="0.25">
      <c r="A1625" s="3" t="s">
        <v>3275</v>
      </c>
      <c r="B1625" s="4" t="s">
        <v>3276</v>
      </c>
      <c r="C1625" s="5">
        <v>349235</v>
      </c>
      <c r="D1625" s="17" t="s">
        <v>11</v>
      </c>
      <c r="E1625" s="17" t="s">
        <v>12</v>
      </c>
      <c r="F1625" s="15">
        <v>45293</v>
      </c>
      <c r="G1625" s="8">
        <f t="shared" si="25"/>
        <v>45293</v>
      </c>
      <c r="H1625" s="8" t="s">
        <v>13</v>
      </c>
      <c r="I1625" s="9">
        <v>28658.524308387801</v>
      </c>
      <c r="J1625" s="62">
        <v>265.58975499783901</v>
      </c>
      <c r="K1625" s="17">
        <v>2</v>
      </c>
    </row>
    <row r="1626" spans="1:11" x14ac:dyDescent="0.25">
      <c r="A1626" s="3" t="s">
        <v>3277</v>
      </c>
      <c r="B1626" s="4" t="s">
        <v>3278</v>
      </c>
      <c r="C1626" s="54">
        <v>354435</v>
      </c>
      <c r="D1626" s="17" t="s">
        <v>28</v>
      </c>
      <c r="E1626" s="17" t="s">
        <v>17</v>
      </c>
      <c r="F1626" s="15">
        <v>45303</v>
      </c>
      <c r="G1626" s="8">
        <f t="shared" si="25"/>
        <v>45303</v>
      </c>
      <c r="H1626" s="8" t="s">
        <v>13</v>
      </c>
      <c r="I1626" s="9" t="s">
        <v>3380</v>
      </c>
      <c r="J1626" s="62" t="s">
        <v>3380</v>
      </c>
      <c r="K1626" s="17"/>
    </row>
    <row r="1627" spans="1:11" x14ac:dyDescent="0.25">
      <c r="A1627" s="3" t="s">
        <v>3279</v>
      </c>
      <c r="B1627" s="4" t="s">
        <v>3280</v>
      </c>
      <c r="C1627" s="54">
        <v>351234</v>
      </c>
      <c r="D1627" s="17" t="s">
        <v>11</v>
      </c>
      <c r="E1627" s="17" t="s">
        <v>12</v>
      </c>
      <c r="F1627" s="15">
        <v>45308</v>
      </c>
      <c r="G1627" s="8">
        <f t="shared" si="25"/>
        <v>45308</v>
      </c>
      <c r="H1627" s="8" t="s">
        <v>39</v>
      </c>
      <c r="I1627" s="9" t="s">
        <v>3380</v>
      </c>
      <c r="J1627" s="62" t="s">
        <v>3380</v>
      </c>
      <c r="K1627" s="17">
        <v>1</v>
      </c>
    </row>
    <row r="1628" spans="1:11" x14ac:dyDescent="0.25">
      <c r="A1628" s="3" t="s">
        <v>3281</v>
      </c>
      <c r="B1628" s="4" t="s">
        <v>3282</v>
      </c>
      <c r="C1628" s="54">
        <v>350834</v>
      </c>
      <c r="D1628" s="17" t="s">
        <v>28</v>
      </c>
      <c r="E1628" s="17" t="s">
        <v>17</v>
      </c>
      <c r="F1628" s="15">
        <v>45317</v>
      </c>
      <c r="G1628" s="8">
        <f t="shared" si="25"/>
        <v>45317</v>
      </c>
      <c r="H1628" s="8" t="s">
        <v>13</v>
      </c>
      <c r="I1628" s="9" t="s">
        <v>3380</v>
      </c>
      <c r="J1628" s="62" t="s">
        <v>3380</v>
      </c>
      <c r="K1628" s="17">
        <v>2</v>
      </c>
    </row>
    <row r="1629" spans="1:11" x14ac:dyDescent="0.25">
      <c r="A1629" s="3" t="s">
        <v>3283</v>
      </c>
      <c r="B1629" s="4" t="s">
        <v>3284</v>
      </c>
      <c r="C1629" s="5">
        <v>352434</v>
      </c>
      <c r="D1629" s="17" t="s">
        <v>37</v>
      </c>
      <c r="E1629" s="17" t="s">
        <v>38</v>
      </c>
      <c r="F1629" s="15">
        <v>45343</v>
      </c>
      <c r="G1629" s="8">
        <f t="shared" si="25"/>
        <v>45343</v>
      </c>
      <c r="H1629" s="8" t="s">
        <v>39</v>
      </c>
      <c r="I1629" s="9" t="s">
        <v>3380</v>
      </c>
      <c r="J1629" s="62" t="s">
        <v>3380</v>
      </c>
      <c r="K1629" s="17">
        <v>2</v>
      </c>
    </row>
    <row r="1630" spans="1:11" x14ac:dyDescent="0.25">
      <c r="A1630" s="3" t="s">
        <v>3285</v>
      </c>
      <c r="B1630" s="4" t="s">
        <v>3286</v>
      </c>
      <c r="C1630" s="54">
        <v>346835</v>
      </c>
      <c r="D1630" s="17" t="s">
        <v>11</v>
      </c>
      <c r="E1630" s="17" t="s">
        <v>17</v>
      </c>
      <c r="F1630" s="15">
        <v>45371</v>
      </c>
      <c r="G1630" s="8">
        <f t="shared" si="25"/>
        <v>45371</v>
      </c>
      <c r="H1630" s="8" t="s">
        <v>13</v>
      </c>
      <c r="I1630" s="9" t="s">
        <v>3380</v>
      </c>
      <c r="J1630" s="62" t="s">
        <v>3380</v>
      </c>
      <c r="K1630" s="17">
        <v>1</v>
      </c>
    </row>
    <row r="1631" spans="1:11" x14ac:dyDescent="0.25">
      <c r="A1631" s="3" t="s">
        <v>3287</v>
      </c>
      <c r="B1631" s="4" t="s">
        <v>3288</v>
      </c>
      <c r="C1631" s="5">
        <v>359244</v>
      </c>
      <c r="D1631" s="17" t="s">
        <v>34</v>
      </c>
      <c r="E1631" s="17" t="s">
        <v>17</v>
      </c>
      <c r="F1631" s="15">
        <v>45385</v>
      </c>
      <c r="G1631" s="8">
        <f t="shared" si="25"/>
        <v>45385</v>
      </c>
      <c r="H1631" s="8" t="s">
        <v>13</v>
      </c>
      <c r="I1631" s="9" t="s">
        <v>3380</v>
      </c>
      <c r="J1631" s="62" t="s">
        <v>3380</v>
      </c>
      <c r="K1631" s="17">
        <v>3</v>
      </c>
    </row>
    <row r="1632" spans="1:11" x14ac:dyDescent="0.25">
      <c r="A1632" s="3" t="s">
        <v>3289</v>
      </c>
      <c r="B1632" s="4" t="s">
        <v>3290</v>
      </c>
      <c r="C1632" s="54">
        <v>360844</v>
      </c>
      <c r="D1632" s="17" t="s">
        <v>11</v>
      </c>
      <c r="E1632" s="17" t="s">
        <v>12</v>
      </c>
      <c r="F1632" s="15">
        <v>45385</v>
      </c>
      <c r="G1632" s="8">
        <f t="shared" si="25"/>
        <v>45385</v>
      </c>
      <c r="H1632" s="8" t="s">
        <v>39</v>
      </c>
      <c r="I1632" s="9" t="s">
        <v>3380</v>
      </c>
      <c r="J1632" s="62" t="s">
        <v>3380</v>
      </c>
      <c r="K1632" s="17">
        <v>1</v>
      </c>
    </row>
    <row r="1633" spans="1:11" x14ac:dyDescent="0.25">
      <c r="A1633" s="3" t="s">
        <v>3291</v>
      </c>
      <c r="B1633" s="4" t="s">
        <v>3292</v>
      </c>
      <c r="C1633" s="54">
        <v>360444</v>
      </c>
      <c r="D1633" s="17" t="s">
        <v>28</v>
      </c>
      <c r="E1633" s="17" t="s">
        <v>17</v>
      </c>
      <c r="F1633" s="15">
        <v>45394.558969907404</v>
      </c>
      <c r="G1633" s="8">
        <f t="shared" si="25"/>
        <v>45394.558969907404</v>
      </c>
      <c r="H1633" s="8" t="s">
        <v>13</v>
      </c>
      <c r="I1633" s="9" t="s">
        <v>3380</v>
      </c>
      <c r="J1633" s="62" t="s">
        <v>3380</v>
      </c>
      <c r="K1633" s="17">
        <v>1</v>
      </c>
    </row>
    <row r="1634" spans="1:11" x14ac:dyDescent="0.25">
      <c r="A1634" s="3" t="s">
        <v>3293</v>
      </c>
      <c r="B1634" s="4" t="s">
        <v>3294</v>
      </c>
      <c r="C1634" s="54">
        <v>361644</v>
      </c>
      <c r="D1634" s="17" t="s">
        <v>34</v>
      </c>
      <c r="E1634" s="17" t="s">
        <v>17</v>
      </c>
      <c r="F1634" s="15">
        <v>45399.317418981482</v>
      </c>
      <c r="G1634" s="8">
        <f t="shared" si="25"/>
        <v>45399.317418981482</v>
      </c>
      <c r="H1634" s="8" t="s">
        <v>13</v>
      </c>
      <c r="I1634" s="9" t="s">
        <v>3380</v>
      </c>
      <c r="J1634" s="62" t="s">
        <v>3380</v>
      </c>
      <c r="K1634" s="17">
        <v>1</v>
      </c>
    </row>
    <row r="1635" spans="1:11" x14ac:dyDescent="0.25">
      <c r="A1635" s="3" t="s">
        <v>3295</v>
      </c>
      <c r="B1635" s="4" t="s">
        <v>3296</v>
      </c>
      <c r="C1635" s="5">
        <v>362044</v>
      </c>
      <c r="D1635" s="17" t="s">
        <v>16</v>
      </c>
      <c r="E1635" s="17" t="s">
        <v>17</v>
      </c>
      <c r="F1635" s="15">
        <v>45404.310439814813</v>
      </c>
      <c r="G1635" s="8">
        <f t="shared" si="25"/>
        <v>45404.310439814813</v>
      </c>
      <c r="H1635" s="8" t="s">
        <v>13</v>
      </c>
      <c r="I1635" s="9" t="s">
        <v>3380</v>
      </c>
      <c r="J1635" s="62" t="s">
        <v>3380</v>
      </c>
      <c r="K1635" s="17"/>
    </row>
    <row r="1636" spans="1:11" x14ac:dyDescent="0.25">
      <c r="A1636" s="3" t="s">
        <v>3297</v>
      </c>
      <c r="B1636" s="4" t="s">
        <v>3298</v>
      </c>
      <c r="C1636" s="54">
        <v>362444</v>
      </c>
      <c r="D1636" s="17" t="s">
        <v>31</v>
      </c>
      <c r="E1636" s="17" t="s">
        <v>17</v>
      </c>
      <c r="F1636" s="15">
        <v>45404.610613425924</v>
      </c>
      <c r="G1636" s="8">
        <f t="shared" si="25"/>
        <v>45404.610613425924</v>
      </c>
      <c r="H1636" s="8" t="s">
        <v>13</v>
      </c>
      <c r="I1636" s="9" t="s">
        <v>3380</v>
      </c>
      <c r="J1636" s="62" t="s">
        <v>3380</v>
      </c>
      <c r="K1636" s="17">
        <v>1</v>
      </c>
    </row>
    <row r="1637" spans="1:11" x14ac:dyDescent="0.25">
      <c r="A1637" s="3" t="s">
        <v>3299</v>
      </c>
      <c r="B1637" s="4" t="s">
        <v>3300</v>
      </c>
      <c r="C1637" s="5">
        <v>363244</v>
      </c>
      <c r="D1637" s="17" t="s">
        <v>37</v>
      </c>
      <c r="E1637" s="17" t="s">
        <v>38</v>
      </c>
      <c r="F1637" s="15">
        <v>45413.411770833336</v>
      </c>
      <c r="G1637" s="8">
        <f t="shared" si="25"/>
        <v>45413.411770833336</v>
      </c>
      <c r="H1637" s="8" t="s">
        <v>39</v>
      </c>
      <c r="I1637" s="9" t="s">
        <v>3380</v>
      </c>
      <c r="J1637" s="62" t="s">
        <v>3380</v>
      </c>
      <c r="K1637" s="17">
        <v>1</v>
      </c>
    </row>
    <row r="1638" spans="1:11" x14ac:dyDescent="0.25">
      <c r="A1638" s="3" t="s">
        <v>3301</v>
      </c>
      <c r="B1638" s="4" t="s">
        <v>3302</v>
      </c>
      <c r="C1638" s="54">
        <v>364044</v>
      </c>
      <c r="D1638" s="17" t="s">
        <v>16</v>
      </c>
      <c r="E1638" s="17" t="s">
        <v>17</v>
      </c>
      <c r="F1638" s="15">
        <v>45433.624699074076</v>
      </c>
      <c r="G1638" s="8">
        <f t="shared" si="25"/>
        <v>45433.624699074076</v>
      </c>
      <c r="H1638" s="8" t="s">
        <v>13</v>
      </c>
      <c r="I1638" s="9" t="s">
        <v>3380</v>
      </c>
      <c r="J1638" s="62" t="s">
        <v>3380</v>
      </c>
      <c r="K1638" s="17">
        <v>1</v>
      </c>
    </row>
    <row r="1639" spans="1:11" x14ac:dyDescent="0.25">
      <c r="A1639" s="3" t="s">
        <v>3303</v>
      </c>
      <c r="B1639" s="4" t="s">
        <v>3304</v>
      </c>
      <c r="C1639" s="54">
        <v>637645</v>
      </c>
      <c r="D1639" s="17" t="s">
        <v>28</v>
      </c>
      <c r="E1639" s="17" t="s">
        <v>17</v>
      </c>
      <c r="F1639" s="15">
        <v>45450.630833333336</v>
      </c>
      <c r="G1639" s="8">
        <f t="shared" si="25"/>
        <v>45450.630833333336</v>
      </c>
      <c r="H1639" s="8" t="s">
        <v>13</v>
      </c>
      <c r="I1639" s="9" t="s">
        <v>3380</v>
      </c>
      <c r="J1639" s="62" t="s">
        <v>3380</v>
      </c>
      <c r="K1639" s="17"/>
    </row>
    <row r="1640" spans="1:11" x14ac:dyDescent="0.25">
      <c r="A1640" s="3" t="s">
        <v>3305</v>
      </c>
      <c r="B1640" s="4" t="s">
        <v>3306</v>
      </c>
      <c r="C1640" s="54">
        <v>366444</v>
      </c>
      <c r="D1640" s="17" t="s">
        <v>34</v>
      </c>
      <c r="E1640" s="17" t="s">
        <v>17</v>
      </c>
      <c r="F1640" s="15">
        <v>45453.325358796297</v>
      </c>
      <c r="G1640" s="8">
        <f t="shared" si="25"/>
        <v>45453.325358796297</v>
      </c>
      <c r="H1640" s="8" t="s">
        <v>13</v>
      </c>
      <c r="I1640" s="9" t="s">
        <v>3380</v>
      </c>
      <c r="J1640" s="62" t="s">
        <v>3380</v>
      </c>
      <c r="K1640" s="17">
        <v>1</v>
      </c>
    </row>
    <row r="1641" spans="1:11" x14ac:dyDescent="0.25">
      <c r="A1641" s="3" t="s">
        <v>3307</v>
      </c>
      <c r="B1641" s="4" t="s">
        <v>3308</v>
      </c>
      <c r="C1641" s="5">
        <v>367644</v>
      </c>
      <c r="D1641" s="17" t="s">
        <v>31</v>
      </c>
      <c r="E1641" s="17" t="s">
        <v>17</v>
      </c>
      <c r="F1641" s="15">
        <v>45455.321006944447</v>
      </c>
      <c r="G1641" s="8">
        <f t="shared" si="25"/>
        <v>45455.321006944447</v>
      </c>
      <c r="H1641" s="8" t="s">
        <v>13</v>
      </c>
      <c r="I1641" s="9" t="s">
        <v>3380</v>
      </c>
      <c r="J1641" s="62" t="s">
        <v>3380</v>
      </c>
      <c r="K1641" s="17">
        <v>2</v>
      </c>
    </row>
    <row r="1642" spans="1:11" x14ac:dyDescent="0.25">
      <c r="A1642" s="3" t="s">
        <v>3309</v>
      </c>
      <c r="B1642" s="4" t="s">
        <v>3310</v>
      </c>
      <c r="C1642" s="5">
        <v>368444</v>
      </c>
      <c r="D1642" s="17" t="s">
        <v>34</v>
      </c>
      <c r="E1642" s="17" t="s">
        <v>17</v>
      </c>
      <c r="F1642" s="15">
        <v>45460.311909722222</v>
      </c>
      <c r="G1642" s="8">
        <f t="shared" si="25"/>
        <v>45460.311909722222</v>
      </c>
      <c r="H1642" s="8" t="s">
        <v>13</v>
      </c>
      <c r="I1642" s="9" t="s">
        <v>3380</v>
      </c>
      <c r="J1642" s="62" t="s">
        <v>3380</v>
      </c>
      <c r="K1642" s="17"/>
    </row>
    <row r="1643" spans="1:11" x14ac:dyDescent="0.25">
      <c r="A1643" s="3" t="s">
        <v>3311</v>
      </c>
      <c r="B1643" s="4" t="s">
        <v>3312</v>
      </c>
      <c r="C1643" s="54">
        <v>369644</v>
      </c>
      <c r="D1643" s="17" t="s">
        <v>37</v>
      </c>
      <c r="E1643" s="17" t="s">
        <v>38</v>
      </c>
      <c r="F1643" s="15">
        <v>45467.485335648147</v>
      </c>
      <c r="G1643" s="8">
        <f t="shared" si="25"/>
        <v>45467.485335648147</v>
      </c>
      <c r="H1643" s="8" t="s">
        <v>39</v>
      </c>
      <c r="I1643" s="9" t="s">
        <v>3380</v>
      </c>
      <c r="J1643" s="62" t="s">
        <v>3380</v>
      </c>
      <c r="K1643" s="17"/>
    </row>
    <row r="1644" spans="1:11" x14ac:dyDescent="0.25">
      <c r="A1644" s="3" t="s">
        <v>3313</v>
      </c>
      <c r="B1644" s="4" t="s">
        <v>3314</v>
      </c>
      <c r="C1644" s="54">
        <v>370044</v>
      </c>
      <c r="D1644" s="17" t="s">
        <v>28</v>
      </c>
      <c r="E1644" s="17" t="s">
        <v>17</v>
      </c>
      <c r="F1644" s="15">
        <v>45474.317303240743</v>
      </c>
      <c r="G1644" s="8">
        <f t="shared" si="25"/>
        <v>45474.317303240743</v>
      </c>
      <c r="H1644" s="8" t="s">
        <v>13</v>
      </c>
      <c r="I1644" s="9" t="s">
        <v>3380</v>
      </c>
      <c r="J1644" s="62" t="s">
        <v>3380</v>
      </c>
      <c r="K1644" s="17">
        <v>1</v>
      </c>
    </row>
    <row r="1645" spans="1:11" x14ac:dyDescent="0.25">
      <c r="A1645" s="3" t="s">
        <v>3315</v>
      </c>
      <c r="B1645" s="4" t="s">
        <v>3316</v>
      </c>
      <c r="C1645" s="54">
        <v>370844</v>
      </c>
      <c r="D1645" s="17" t="s">
        <v>34</v>
      </c>
      <c r="E1645" s="17" t="s">
        <v>17</v>
      </c>
      <c r="F1645" s="15">
        <v>45489.580995370372</v>
      </c>
      <c r="G1645" s="8">
        <f t="shared" si="25"/>
        <v>45489.580995370372</v>
      </c>
      <c r="H1645" s="8" t="s">
        <v>13</v>
      </c>
      <c r="I1645" s="9" t="s">
        <v>3380</v>
      </c>
      <c r="J1645" s="62" t="s">
        <v>3380</v>
      </c>
      <c r="K1645" s="17">
        <v>1</v>
      </c>
    </row>
    <row r="1646" spans="1:11" x14ac:dyDescent="0.25">
      <c r="A1646" s="3" t="s">
        <v>3317</v>
      </c>
      <c r="B1646" s="4" t="s">
        <v>3318</v>
      </c>
      <c r="C1646" s="54">
        <v>371244</v>
      </c>
      <c r="D1646" s="17" t="s">
        <v>11</v>
      </c>
      <c r="E1646" s="17" t="s">
        <v>12</v>
      </c>
      <c r="F1646" s="15">
        <v>45491.576226851852</v>
      </c>
      <c r="G1646" s="8">
        <f t="shared" si="25"/>
        <v>45491.576226851852</v>
      </c>
      <c r="H1646" s="8" t="s">
        <v>39</v>
      </c>
      <c r="I1646" s="9" t="s">
        <v>3380</v>
      </c>
      <c r="J1646" s="62" t="s">
        <v>3380</v>
      </c>
      <c r="K1646" s="17"/>
    </row>
    <row r="1647" spans="1:11" x14ac:dyDescent="0.25">
      <c r="A1647" s="3" t="s">
        <v>3319</v>
      </c>
      <c r="B1647" s="4" t="s">
        <v>3320</v>
      </c>
      <c r="C1647" s="54">
        <v>372844</v>
      </c>
      <c r="D1647" s="17" t="s">
        <v>37</v>
      </c>
      <c r="E1647" s="17" t="s">
        <v>38</v>
      </c>
      <c r="F1647" s="15">
        <v>45505.406180555554</v>
      </c>
      <c r="G1647" s="8">
        <f t="shared" si="25"/>
        <v>45505.406180555554</v>
      </c>
      <c r="H1647" s="8" t="s">
        <v>39</v>
      </c>
      <c r="I1647" s="9" t="s">
        <v>3380</v>
      </c>
      <c r="J1647" s="62" t="s">
        <v>3380</v>
      </c>
      <c r="K1647" s="17">
        <v>1</v>
      </c>
    </row>
    <row r="1648" spans="1:11" x14ac:dyDescent="0.25">
      <c r="A1648" s="3" t="s">
        <v>3321</v>
      </c>
      <c r="B1648" s="4" t="s">
        <v>3322</v>
      </c>
      <c r="C1648" s="5">
        <v>373644</v>
      </c>
      <c r="D1648" s="17" t="s">
        <v>34</v>
      </c>
      <c r="E1648" s="17" t="s">
        <v>17</v>
      </c>
      <c r="F1648" s="15">
        <v>45510.605717592596</v>
      </c>
      <c r="G1648" s="8">
        <f t="shared" si="25"/>
        <v>45510.605717592596</v>
      </c>
      <c r="H1648" s="8" t="s">
        <v>13</v>
      </c>
      <c r="I1648" s="9" t="s">
        <v>3380</v>
      </c>
      <c r="J1648" s="62" t="s">
        <v>3380</v>
      </c>
      <c r="K1648" s="17">
        <v>1</v>
      </c>
    </row>
    <row r="1649" spans="1:11" x14ac:dyDescent="0.25">
      <c r="A1649" s="3" t="s">
        <v>3323</v>
      </c>
      <c r="B1649" s="4" t="s">
        <v>3324</v>
      </c>
      <c r="C1649" s="54">
        <v>374044</v>
      </c>
      <c r="D1649" s="17" t="s">
        <v>34</v>
      </c>
      <c r="E1649" s="17" t="s">
        <v>17</v>
      </c>
      <c r="F1649" s="15">
        <v>45519</v>
      </c>
      <c r="G1649" s="8">
        <f t="shared" si="25"/>
        <v>45519</v>
      </c>
      <c r="H1649" s="8" t="s">
        <v>13</v>
      </c>
      <c r="I1649" s="9" t="s">
        <v>3380</v>
      </c>
      <c r="J1649" s="62" t="s">
        <v>3380</v>
      </c>
      <c r="K1649" s="17">
        <v>1</v>
      </c>
    </row>
    <row r="1650" spans="1:11" x14ac:dyDescent="0.25">
      <c r="A1650" s="3" t="s">
        <v>3325</v>
      </c>
      <c r="B1650" s="4" t="s">
        <v>3326</v>
      </c>
      <c r="C1650" s="5">
        <v>374444</v>
      </c>
      <c r="D1650" s="17" t="s">
        <v>34</v>
      </c>
      <c r="E1650" s="17" t="s">
        <v>17</v>
      </c>
      <c r="F1650" s="15">
        <v>45480</v>
      </c>
      <c r="G1650" s="8">
        <f t="shared" si="25"/>
        <v>45480</v>
      </c>
      <c r="H1650" s="8" t="s">
        <v>13</v>
      </c>
      <c r="I1650" s="9" t="s">
        <v>3380</v>
      </c>
      <c r="J1650" s="62" t="s">
        <v>3380</v>
      </c>
      <c r="K1650" s="17"/>
    </row>
    <row r="1651" spans="1:11" x14ac:dyDescent="0.25">
      <c r="A1651" s="3" t="s">
        <v>3327</v>
      </c>
      <c r="B1651" s="4" t="s">
        <v>3328</v>
      </c>
      <c r="C1651" s="5">
        <v>380444</v>
      </c>
      <c r="D1651" s="17" t="s">
        <v>11</v>
      </c>
      <c r="E1651" s="17" t="s">
        <v>12</v>
      </c>
      <c r="F1651" s="15">
        <v>45585</v>
      </c>
      <c r="G1651" s="8">
        <f t="shared" si="25"/>
        <v>45585</v>
      </c>
      <c r="H1651" s="8" t="s">
        <v>39</v>
      </c>
      <c r="I1651" s="9" t="s">
        <v>3380</v>
      </c>
      <c r="J1651" s="62" t="s">
        <v>3380</v>
      </c>
      <c r="K1651" s="17"/>
    </row>
    <row r="1652" spans="1:11" x14ac:dyDescent="0.25">
      <c r="A1652" s="3" t="s">
        <v>3329</v>
      </c>
      <c r="B1652" s="4" t="s">
        <v>3330</v>
      </c>
      <c r="C1652" s="54">
        <v>381244</v>
      </c>
      <c r="D1652" s="17" t="s">
        <v>28</v>
      </c>
      <c r="E1652" s="17" t="s">
        <v>17</v>
      </c>
      <c r="F1652" s="15">
        <v>45593</v>
      </c>
      <c r="G1652" s="8">
        <f t="shared" si="25"/>
        <v>45593</v>
      </c>
      <c r="H1652" s="8" t="s">
        <v>13</v>
      </c>
      <c r="I1652" s="9" t="s">
        <v>3380</v>
      </c>
      <c r="J1652" s="62" t="s">
        <v>3380</v>
      </c>
      <c r="K1652" s="17">
        <v>1</v>
      </c>
    </row>
    <row r="1653" spans="1:11" x14ac:dyDescent="0.25">
      <c r="A1653" s="3" t="s">
        <v>3331</v>
      </c>
      <c r="B1653" s="4" t="s">
        <v>3332</v>
      </c>
      <c r="C1653" s="54">
        <v>382444</v>
      </c>
      <c r="D1653" s="17" t="s">
        <v>11</v>
      </c>
      <c r="E1653" s="17" t="s">
        <v>12</v>
      </c>
      <c r="F1653" s="15">
        <v>45594</v>
      </c>
      <c r="G1653" s="8">
        <f t="shared" si="25"/>
        <v>45594</v>
      </c>
      <c r="H1653" s="8" t="s">
        <v>39</v>
      </c>
      <c r="I1653" s="9" t="s">
        <v>3380</v>
      </c>
      <c r="J1653" s="62" t="s">
        <v>3380</v>
      </c>
      <c r="K1653" s="17"/>
    </row>
    <row r="1654" spans="1:11" x14ac:dyDescent="0.25">
      <c r="A1654" s="3" t="s">
        <v>3333</v>
      </c>
      <c r="B1654" s="4" t="s">
        <v>3334</v>
      </c>
      <c r="C1654" s="54">
        <v>383244</v>
      </c>
      <c r="D1654" s="17" t="s">
        <v>28</v>
      </c>
      <c r="E1654" s="17" t="s">
        <v>17</v>
      </c>
      <c r="F1654" s="15">
        <v>45602.454293981478</v>
      </c>
      <c r="G1654" s="8">
        <f t="shared" si="25"/>
        <v>45602.454293981478</v>
      </c>
      <c r="H1654" s="8" t="s">
        <v>13</v>
      </c>
      <c r="I1654" s="9" t="s">
        <v>3380</v>
      </c>
      <c r="J1654" s="62" t="s">
        <v>3380</v>
      </c>
      <c r="K1654" s="17">
        <v>1</v>
      </c>
    </row>
    <row r="1655" spans="1:11" x14ac:dyDescent="0.25">
      <c r="A1655" s="3" t="s">
        <v>3335</v>
      </c>
      <c r="B1655" s="4" t="s">
        <v>3336</v>
      </c>
      <c r="C1655" s="5">
        <v>383644</v>
      </c>
      <c r="D1655" s="17" t="s">
        <v>11</v>
      </c>
      <c r="E1655" s="17" t="s">
        <v>12</v>
      </c>
      <c r="F1655" s="15">
        <v>45602.529074074075</v>
      </c>
      <c r="G1655" s="8">
        <f t="shared" si="25"/>
        <v>45602.529074074075</v>
      </c>
      <c r="H1655" s="8" t="s">
        <v>39</v>
      </c>
      <c r="I1655" s="9" t="s">
        <v>3380</v>
      </c>
      <c r="J1655" s="62" t="s">
        <v>3380</v>
      </c>
      <c r="K1655" s="17">
        <v>1</v>
      </c>
    </row>
    <row r="1656" spans="1:11" x14ac:dyDescent="0.25">
      <c r="A1656" s="3" t="s">
        <v>3337</v>
      </c>
      <c r="B1656" s="4" t="s">
        <v>3338</v>
      </c>
      <c r="C1656" s="54">
        <v>386444</v>
      </c>
      <c r="D1656" s="17" t="s">
        <v>11</v>
      </c>
      <c r="E1656" s="17" t="s">
        <v>12</v>
      </c>
      <c r="F1656" s="15">
        <v>45631.659236111111</v>
      </c>
      <c r="G1656" s="8">
        <f t="shared" si="25"/>
        <v>45631.659236111111</v>
      </c>
      <c r="H1656" s="8" t="s">
        <v>39</v>
      </c>
      <c r="I1656" s="9" t="s">
        <v>3380</v>
      </c>
      <c r="J1656" s="62" t="s">
        <v>3380</v>
      </c>
      <c r="K1656" s="17">
        <v>1</v>
      </c>
    </row>
    <row r="1657" spans="1:11" x14ac:dyDescent="0.25">
      <c r="A1657" s="3" t="s">
        <v>3339</v>
      </c>
      <c r="B1657" s="4" t="s">
        <v>3340</v>
      </c>
      <c r="C1657" s="5">
        <v>386445</v>
      </c>
      <c r="D1657" s="17" t="s">
        <v>11</v>
      </c>
      <c r="E1657" s="17" t="s">
        <v>12</v>
      </c>
      <c r="F1657" s="15">
        <v>45635.571898148148</v>
      </c>
      <c r="G1657" s="8">
        <f t="shared" si="25"/>
        <v>45635.571898148148</v>
      </c>
      <c r="H1657" s="8" t="s">
        <v>39</v>
      </c>
      <c r="I1657" s="9" t="s">
        <v>3380</v>
      </c>
      <c r="J1657" s="62" t="s">
        <v>3380</v>
      </c>
      <c r="K1657" s="17">
        <v>1</v>
      </c>
    </row>
    <row r="1658" spans="1:11" x14ac:dyDescent="0.25">
      <c r="A1658" s="3" t="s">
        <v>3341</v>
      </c>
      <c r="B1658" s="4" t="s">
        <v>3342</v>
      </c>
      <c r="C1658" s="54">
        <v>389644</v>
      </c>
      <c r="D1658" s="17" t="s">
        <v>11</v>
      </c>
      <c r="E1658" s="17" t="s">
        <v>12</v>
      </c>
      <c r="F1658" s="15">
        <v>45664.616249999999</v>
      </c>
      <c r="G1658" s="8">
        <f t="shared" si="25"/>
        <v>45664.616249999999</v>
      </c>
      <c r="H1658" s="8" t="s">
        <v>39</v>
      </c>
      <c r="I1658" s="9" t="s">
        <v>3380</v>
      </c>
      <c r="J1658" s="62" t="s">
        <v>3380</v>
      </c>
      <c r="K1658" s="17">
        <v>1</v>
      </c>
    </row>
    <row r="1659" spans="1:11" x14ac:dyDescent="0.25">
      <c r="A1659" s="3" t="s">
        <v>3343</v>
      </c>
      <c r="B1659" s="4" t="s">
        <v>3344</v>
      </c>
      <c r="C1659" s="54">
        <v>392445</v>
      </c>
      <c r="D1659" s="17" t="s">
        <v>28</v>
      </c>
      <c r="E1659" s="17" t="s">
        <v>17</v>
      </c>
      <c r="F1659" s="15">
        <v>45670.620532407411</v>
      </c>
      <c r="G1659" s="8">
        <f t="shared" si="25"/>
        <v>45670.620532407411</v>
      </c>
      <c r="H1659" s="8" t="s">
        <v>13</v>
      </c>
      <c r="I1659" s="9" t="s">
        <v>3380</v>
      </c>
      <c r="J1659" s="62" t="s">
        <v>3380</v>
      </c>
      <c r="K1659" s="17">
        <v>1</v>
      </c>
    </row>
    <row r="1660" spans="1:11" x14ac:dyDescent="0.25">
      <c r="A1660" s="3" t="s">
        <v>3345</v>
      </c>
      <c r="B1660" s="4" t="s">
        <v>3346</v>
      </c>
      <c r="C1660" s="54">
        <v>395645</v>
      </c>
      <c r="D1660" s="17" t="s">
        <v>28</v>
      </c>
      <c r="E1660" s="17" t="s">
        <v>17</v>
      </c>
      <c r="F1660" s="15">
        <v>45687.652094907404</v>
      </c>
      <c r="G1660" s="8">
        <f t="shared" si="25"/>
        <v>45687.652094907404</v>
      </c>
      <c r="H1660" s="8" t="s">
        <v>13</v>
      </c>
      <c r="I1660" s="9" t="s">
        <v>3380</v>
      </c>
      <c r="J1660" s="62" t="s">
        <v>3380</v>
      </c>
      <c r="K1660" s="17"/>
    </row>
    <row r="1661" spans="1:11" x14ac:dyDescent="0.25">
      <c r="A1661" s="3" t="s">
        <v>3347</v>
      </c>
      <c r="B1661" s="4" t="s">
        <v>3348</v>
      </c>
      <c r="C1661" s="5">
        <v>396045</v>
      </c>
      <c r="D1661" s="17" t="s">
        <v>37</v>
      </c>
      <c r="E1661" s="17" t="s">
        <v>38</v>
      </c>
      <c r="F1661" s="15">
        <v>45692.650185185186</v>
      </c>
      <c r="G1661" s="8">
        <f t="shared" si="25"/>
        <v>45692.650185185186</v>
      </c>
      <c r="H1661" s="8" t="s">
        <v>39</v>
      </c>
      <c r="I1661" s="9" t="s">
        <v>3380</v>
      </c>
      <c r="J1661" s="62" t="s">
        <v>3380</v>
      </c>
      <c r="K1661" s="17">
        <v>1</v>
      </c>
    </row>
    <row r="1662" spans="1:11" x14ac:dyDescent="0.25">
      <c r="A1662" s="3" t="s">
        <v>3349</v>
      </c>
      <c r="B1662" s="4" t="s">
        <v>3350</v>
      </c>
      <c r="C1662" s="54">
        <v>396845</v>
      </c>
      <c r="D1662" s="17" t="s">
        <v>28</v>
      </c>
      <c r="E1662" s="17" t="s">
        <v>17</v>
      </c>
      <c r="F1662" s="15">
        <v>45698.660474537035</v>
      </c>
      <c r="G1662" s="8">
        <f t="shared" si="25"/>
        <v>45698.660474537035</v>
      </c>
      <c r="H1662" s="8" t="s">
        <v>13</v>
      </c>
      <c r="I1662" s="9" t="s">
        <v>3380</v>
      </c>
      <c r="J1662" s="62" t="s">
        <v>3380</v>
      </c>
      <c r="K1662" s="17">
        <v>1</v>
      </c>
    </row>
    <row r="1663" spans="1:11" x14ac:dyDescent="0.25">
      <c r="A1663" s="3" t="s">
        <v>3351</v>
      </c>
      <c r="B1663" s="4" t="s">
        <v>3352</v>
      </c>
      <c r="C1663" s="54">
        <v>398845</v>
      </c>
      <c r="D1663" s="17" t="s">
        <v>11</v>
      </c>
      <c r="E1663" s="17" t="s">
        <v>12</v>
      </c>
      <c r="F1663" s="15">
        <v>45720.631527777776</v>
      </c>
      <c r="G1663" s="8">
        <f t="shared" si="25"/>
        <v>45720.631527777776</v>
      </c>
      <c r="H1663" s="8" t="s">
        <v>39</v>
      </c>
      <c r="I1663" s="9" t="s">
        <v>3380</v>
      </c>
      <c r="J1663" s="62" t="s">
        <v>3380</v>
      </c>
      <c r="K1663" s="17">
        <v>1</v>
      </c>
    </row>
    <row r="1664" spans="1:11" x14ac:dyDescent="0.25">
      <c r="A1664" s="3" t="s">
        <v>3353</v>
      </c>
      <c r="B1664" s="4" t="s">
        <v>3354</v>
      </c>
      <c r="C1664" s="5">
        <v>404045</v>
      </c>
      <c r="D1664" s="17" t="s">
        <v>34</v>
      </c>
      <c r="E1664" s="17" t="s">
        <v>17</v>
      </c>
      <c r="F1664" s="15">
        <v>45782.585601851853</v>
      </c>
      <c r="G1664" s="8">
        <f t="shared" si="25"/>
        <v>45782.585601851853</v>
      </c>
      <c r="H1664" s="8" t="s">
        <v>13</v>
      </c>
      <c r="I1664" s="9" t="s">
        <v>3380</v>
      </c>
      <c r="J1664" s="62" t="s">
        <v>3380</v>
      </c>
      <c r="K1664" s="17"/>
    </row>
    <row r="1665" spans="1:11" x14ac:dyDescent="0.25">
      <c r="A1665" s="3" t="s">
        <v>3355</v>
      </c>
      <c r="B1665" s="4" t="s">
        <v>3356</v>
      </c>
      <c r="C1665" s="5">
        <v>403646</v>
      </c>
      <c r="D1665" s="17" t="s">
        <v>28</v>
      </c>
      <c r="E1665" s="17" t="s">
        <v>17</v>
      </c>
      <c r="F1665" s="15">
        <v>45775.307164351849</v>
      </c>
      <c r="G1665" s="8">
        <f t="shared" si="25"/>
        <v>45775.307164351849</v>
      </c>
      <c r="H1665" s="8" t="s">
        <v>13</v>
      </c>
      <c r="I1665" s="9" t="s">
        <v>3380</v>
      </c>
      <c r="J1665" s="62" t="s">
        <v>3380</v>
      </c>
      <c r="K1665" s="17">
        <v>1</v>
      </c>
    </row>
    <row r="1666" spans="1:11" x14ac:dyDescent="0.25">
      <c r="A1666" s="3" t="s">
        <v>3357</v>
      </c>
      <c r="B1666" s="4" t="s">
        <v>3358</v>
      </c>
      <c r="C1666" s="54">
        <v>403647</v>
      </c>
      <c r="D1666" s="17" t="s">
        <v>28</v>
      </c>
      <c r="E1666" s="17" t="s">
        <v>17</v>
      </c>
      <c r="F1666" s="15">
        <v>45775.615393518521</v>
      </c>
      <c r="G1666" s="8">
        <f t="shared" ref="G1666:G1674" si="26">F1666</f>
        <v>45775.615393518521</v>
      </c>
      <c r="H1666" s="8" t="s">
        <v>13</v>
      </c>
      <c r="I1666" s="9" t="s">
        <v>3380</v>
      </c>
      <c r="J1666" s="62" t="s">
        <v>3380</v>
      </c>
      <c r="K1666" s="17">
        <v>1</v>
      </c>
    </row>
    <row r="1667" spans="1:11" x14ac:dyDescent="0.25">
      <c r="A1667" s="3" t="s">
        <v>3359</v>
      </c>
      <c r="B1667" s="4" t="s">
        <v>3360</v>
      </c>
      <c r="C1667" s="5">
        <v>404445</v>
      </c>
      <c r="D1667" s="17" t="s">
        <v>37</v>
      </c>
      <c r="E1667" s="17" t="s">
        <v>38</v>
      </c>
      <c r="F1667" s="15">
        <v>45776.395254629628</v>
      </c>
      <c r="G1667" s="8">
        <f t="shared" si="26"/>
        <v>45776.395254629628</v>
      </c>
      <c r="H1667" s="8" t="s">
        <v>39</v>
      </c>
      <c r="I1667" s="9" t="s">
        <v>3380</v>
      </c>
      <c r="J1667" s="62" t="s">
        <v>3380</v>
      </c>
      <c r="K1667" s="17"/>
    </row>
    <row r="1668" spans="1:11" ht="37.5" customHeight="1" x14ac:dyDescent="0.25">
      <c r="A1668" s="3" t="s">
        <v>3361</v>
      </c>
      <c r="B1668" s="4" t="s">
        <v>3362</v>
      </c>
      <c r="C1668" s="54">
        <v>405245</v>
      </c>
      <c r="D1668" s="17" t="s">
        <v>28</v>
      </c>
      <c r="E1668" s="17" t="s">
        <v>17</v>
      </c>
      <c r="F1668" s="15">
        <v>45782.641030092593</v>
      </c>
      <c r="G1668" s="8">
        <f t="shared" si="26"/>
        <v>45782.641030092593</v>
      </c>
      <c r="H1668" s="8" t="s">
        <v>13</v>
      </c>
      <c r="I1668" s="9" t="s">
        <v>3380</v>
      </c>
      <c r="J1668" s="62" t="s">
        <v>3380</v>
      </c>
      <c r="K1668" s="17"/>
    </row>
    <row r="1669" spans="1:11" ht="36" customHeight="1" x14ac:dyDescent="0.25">
      <c r="A1669" s="3" t="s">
        <v>3363</v>
      </c>
      <c r="B1669" s="4" t="s">
        <v>3364</v>
      </c>
      <c r="C1669" s="54">
        <v>406045</v>
      </c>
      <c r="D1669" s="17" t="s">
        <v>34</v>
      </c>
      <c r="E1669" s="17" t="s">
        <v>17</v>
      </c>
      <c r="F1669" s="15">
        <v>45784</v>
      </c>
      <c r="G1669" s="8">
        <f t="shared" si="26"/>
        <v>45784</v>
      </c>
      <c r="H1669" s="8" t="s">
        <v>13</v>
      </c>
      <c r="I1669" s="9" t="s">
        <v>3380</v>
      </c>
      <c r="J1669" s="62" t="s">
        <v>3380</v>
      </c>
      <c r="K1669" s="17"/>
    </row>
    <row r="1670" spans="1:11" ht="30" x14ac:dyDescent="0.25">
      <c r="A1670" s="3" t="s">
        <v>3365</v>
      </c>
      <c r="B1670" s="4" t="s">
        <v>3366</v>
      </c>
      <c r="C1670" s="54">
        <v>80418</v>
      </c>
      <c r="D1670" s="17" t="s">
        <v>16</v>
      </c>
      <c r="E1670" s="17" t="s">
        <v>17</v>
      </c>
      <c r="F1670" s="15">
        <v>39727</v>
      </c>
      <c r="G1670" s="8">
        <f t="shared" si="26"/>
        <v>39727</v>
      </c>
      <c r="H1670" s="8" t="s">
        <v>13</v>
      </c>
      <c r="I1670" s="9" t="s">
        <v>3380</v>
      </c>
      <c r="J1670" s="62" t="s">
        <v>3380</v>
      </c>
      <c r="K1670" s="17">
        <v>4</v>
      </c>
    </row>
    <row r="1671" spans="1:11" ht="30" x14ac:dyDescent="0.25">
      <c r="A1671" s="3" t="s">
        <v>3367</v>
      </c>
      <c r="B1671" s="4" t="s">
        <v>3368</v>
      </c>
      <c r="C1671" s="54">
        <v>111156</v>
      </c>
      <c r="D1671" s="17" t="s">
        <v>34</v>
      </c>
      <c r="E1671" s="17" t="s">
        <v>17</v>
      </c>
      <c r="F1671" s="15">
        <v>39756</v>
      </c>
      <c r="G1671" s="8">
        <f t="shared" si="26"/>
        <v>39756</v>
      </c>
      <c r="H1671" s="8" t="s">
        <v>13</v>
      </c>
      <c r="I1671" s="9" t="s">
        <v>3380</v>
      </c>
      <c r="J1671" s="62" t="s">
        <v>3380</v>
      </c>
      <c r="K1671" s="17">
        <v>4</v>
      </c>
    </row>
    <row r="1672" spans="1:11" ht="30" x14ac:dyDescent="0.25">
      <c r="A1672" s="3" t="s">
        <v>3369</v>
      </c>
      <c r="B1672" s="4" t="s">
        <v>3370</v>
      </c>
      <c r="C1672" s="54">
        <v>54801</v>
      </c>
      <c r="D1672" s="17" t="s">
        <v>11</v>
      </c>
      <c r="E1672" s="17" t="s">
        <v>17</v>
      </c>
      <c r="F1672" s="15">
        <v>38210</v>
      </c>
      <c r="G1672" s="8">
        <f t="shared" si="26"/>
        <v>38210</v>
      </c>
      <c r="H1672" s="8" t="s">
        <v>39</v>
      </c>
      <c r="I1672" s="9" t="s">
        <v>3380</v>
      </c>
      <c r="J1672" s="62" t="s">
        <v>3380</v>
      </c>
      <c r="K1672" s="17">
        <v>4</v>
      </c>
    </row>
    <row r="1673" spans="1:11" ht="30" x14ac:dyDescent="0.25">
      <c r="A1673" s="3" t="s">
        <v>3371</v>
      </c>
      <c r="B1673" s="4" t="s">
        <v>3372</v>
      </c>
      <c r="C1673" s="54">
        <v>110838</v>
      </c>
      <c r="D1673" s="17" t="s">
        <v>31</v>
      </c>
      <c r="E1673" s="17" t="s">
        <v>17</v>
      </c>
      <c r="F1673" s="15">
        <v>40094</v>
      </c>
      <c r="G1673" s="8">
        <f t="shared" si="26"/>
        <v>40094</v>
      </c>
      <c r="H1673" s="8" t="s">
        <v>13</v>
      </c>
      <c r="I1673" s="9" t="s">
        <v>3380</v>
      </c>
      <c r="J1673" s="62" t="s">
        <v>3380</v>
      </c>
      <c r="K1673" s="17">
        <v>4</v>
      </c>
    </row>
    <row r="1674" spans="1:11" ht="30" x14ac:dyDescent="0.25">
      <c r="A1674" s="3" t="s">
        <v>3373</v>
      </c>
      <c r="B1674" s="4" t="s">
        <v>3374</v>
      </c>
      <c r="C1674" s="54">
        <v>72143</v>
      </c>
      <c r="D1674" s="17" t="s">
        <v>37</v>
      </c>
      <c r="E1674" s="17" t="s">
        <v>38</v>
      </c>
      <c r="F1674" s="15">
        <v>38931</v>
      </c>
      <c r="G1674" s="8">
        <f t="shared" si="26"/>
        <v>38931</v>
      </c>
      <c r="H1674" s="8" t="s">
        <v>39</v>
      </c>
      <c r="I1674" s="9" t="s">
        <v>3380</v>
      </c>
      <c r="J1674" s="62" t="s">
        <v>3380</v>
      </c>
      <c r="K1674" s="17">
        <v>4</v>
      </c>
    </row>
  </sheetData>
  <conditionalFormatting sqref="A3">
    <cfRule type="duplicateValues" dxfId="168" priority="29"/>
    <cfRule type="duplicateValues" dxfId="169" priority="30"/>
  </conditionalFormatting>
  <conditionalFormatting sqref="A34:A42">
    <cfRule type="duplicateValues" dxfId="167" priority="45"/>
  </conditionalFormatting>
  <conditionalFormatting sqref="A43:A46">
    <cfRule type="duplicateValues" dxfId="166" priority="35"/>
  </conditionalFormatting>
  <conditionalFormatting sqref="A260">
    <cfRule type="duplicateValues" dxfId="165" priority="33"/>
  </conditionalFormatting>
  <conditionalFormatting sqref="A1313">
    <cfRule type="duplicateValues" dxfId="164" priority="31"/>
  </conditionalFormatting>
  <conditionalFormatting sqref="A1392">
    <cfRule type="duplicateValues" dxfId="163" priority="37"/>
  </conditionalFormatting>
  <conditionalFormatting sqref="A1393 A57:A189 A1 A261:A1312 A1314:A1391 A191:A259">
    <cfRule type="duplicateValues" dxfId="162" priority="38"/>
  </conditionalFormatting>
  <conditionalFormatting sqref="A1394:A1396 A1412:A1416">
    <cfRule type="duplicateValues" dxfId="161" priority="36"/>
  </conditionalFormatting>
  <conditionalFormatting sqref="A1417:A1419">
    <cfRule type="duplicateValues" dxfId="160" priority="34"/>
  </conditionalFormatting>
  <conditionalFormatting sqref="A1420">
    <cfRule type="duplicateValues" dxfId="159" priority="32"/>
  </conditionalFormatting>
  <conditionalFormatting sqref="A1468:A1474">
    <cfRule type="duplicateValues" dxfId="158" priority="42"/>
  </conditionalFormatting>
  <conditionalFormatting sqref="A1475">
    <cfRule type="duplicateValues" dxfId="157" priority="43"/>
  </conditionalFormatting>
  <conditionalFormatting sqref="A1476:A1482">
    <cfRule type="duplicateValues" dxfId="156" priority="50"/>
  </conditionalFormatting>
  <conditionalFormatting sqref="A1483">
    <cfRule type="duplicateValues" dxfId="155" priority="28"/>
  </conditionalFormatting>
  <conditionalFormatting sqref="A1484:A1491">
    <cfRule type="duplicateValues" dxfId="154" priority="44"/>
  </conditionalFormatting>
  <conditionalFormatting sqref="A1492:A1516">
    <cfRule type="duplicateValues" dxfId="153" priority="47"/>
  </conditionalFormatting>
  <conditionalFormatting sqref="A1517:A1522">
    <cfRule type="duplicateValues" dxfId="152" priority="48"/>
  </conditionalFormatting>
  <conditionalFormatting sqref="A1523:A1526">
    <cfRule type="duplicateValues" dxfId="151" priority="27"/>
  </conditionalFormatting>
  <conditionalFormatting sqref="A1527:A1532">
    <cfRule type="duplicateValues" dxfId="150" priority="26"/>
  </conditionalFormatting>
  <conditionalFormatting sqref="A1533:A1537">
    <cfRule type="duplicateValues" dxfId="149" priority="25"/>
  </conditionalFormatting>
  <conditionalFormatting sqref="A1538">
    <cfRule type="duplicateValues" dxfId="148" priority="24"/>
  </conditionalFormatting>
  <conditionalFormatting sqref="A1539">
    <cfRule type="duplicateValues" dxfId="147" priority="20"/>
  </conditionalFormatting>
  <conditionalFormatting sqref="A1540:A1542">
    <cfRule type="duplicateValues" dxfId="146" priority="19"/>
  </conditionalFormatting>
  <conditionalFormatting sqref="A1543">
    <cfRule type="duplicateValues" dxfId="145" priority="17"/>
  </conditionalFormatting>
  <conditionalFormatting sqref="A1544:A1545">
    <cfRule type="duplicateValues" dxfId="144" priority="18"/>
  </conditionalFormatting>
  <conditionalFormatting sqref="A1546:A1582">
    <cfRule type="duplicateValues" dxfId="143" priority="15"/>
  </conditionalFormatting>
  <conditionalFormatting sqref="A1583:A1588">
    <cfRule type="duplicateValues" dxfId="142" priority="52"/>
  </conditionalFormatting>
  <conditionalFormatting sqref="A1589">
    <cfRule type="duplicateValues" dxfId="141" priority="9"/>
  </conditionalFormatting>
  <conditionalFormatting sqref="A1590:A1591">
    <cfRule type="duplicateValues" dxfId="140" priority="11"/>
  </conditionalFormatting>
  <conditionalFormatting sqref="A1592">
    <cfRule type="duplicateValues" dxfId="139" priority="3"/>
  </conditionalFormatting>
  <conditionalFormatting sqref="A1593">
    <cfRule type="duplicateValues" dxfId="138" priority="5"/>
  </conditionalFormatting>
  <conditionalFormatting sqref="A1597:A1669">
    <cfRule type="duplicateValues" dxfId="137" priority="54"/>
  </conditionalFormatting>
  <conditionalFormatting sqref="A1670:A1673 A1594:A1596">
    <cfRule type="duplicateValues" dxfId="136" priority="7"/>
  </conditionalFormatting>
  <conditionalFormatting sqref="A1674">
    <cfRule type="duplicateValues" dxfId="135" priority="1"/>
  </conditionalFormatting>
  <conditionalFormatting sqref="B1:B9 B12:B1545">
    <cfRule type="duplicateValues" dxfId="134" priority="16"/>
  </conditionalFormatting>
  <conditionalFormatting sqref="B10:B11">
    <cfRule type="duplicateValues" dxfId="133" priority="56"/>
  </conditionalFormatting>
  <conditionalFormatting sqref="B1546:B1582">
    <cfRule type="duplicateValues" dxfId="132" priority="14"/>
  </conditionalFormatting>
  <conditionalFormatting sqref="B1583:B1588">
    <cfRule type="duplicateValues" dxfId="131" priority="53"/>
  </conditionalFormatting>
  <conditionalFormatting sqref="B1589">
    <cfRule type="duplicateValues" dxfId="130" priority="10"/>
  </conditionalFormatting>
  <conditionalFormatting sqref="B1590:B1591">
    <cfRule type="duplicateValues" dxfId="129" priority="12"/>
  </conditionalFormatting>
  <conditionalFormatting sqref="B1592">
    <cfRule type="duplicateValues" dxfId="128" priority="4"/>
  </conditionalFormatting>
  <conditionalFormatting sqref="B1593">
    <cfRule type="duplicateValues" dxfId="127" priority="6"/>
  </conditionalFormatting>
  <conditionalFormatting sqref="B1597:B1669">
    <cfRule type="duplicateValues" dxfId="126" priority="55"/>
  </conditionalFormatting>
  <conditionalFormatting sqref="B1670:B1673 B1594:B1596">
    <cfRule type="duplicateValues" dxfId="125" priority="8"/>
  </conditionalFormatting>
  <conditionalFormatting sqref="B1674">
    <cfRule type="duplicateValues" dxfId="124" priority="2"/>
  </conditionalFormatting>
  <conditionalFormatting sqref="C5:C6">
    <cfRule type="duplicateValues" dxfId="123" priority="49"/>
  </conditionalFormatting>
  <conditionalFormatting sqref="C7">
    <cfRule type="duplicateValues" dxfId="122" priority="22"/>
  </conditionalFormatting>
  <conditionalFormatting sqref="C8">
    <cfRule type="duplicateValues" dxfId="121" priority="21"/>
  </conditionalFormatting>
  <conditionalFormatting sqref="C10:C11">
    <cfRule type="duplicateValues" dxfId="120" priority="13"/>
  </conditionalFormatting>
  <conditionalFormatting sqref="C15">
    <cfRule type="duplicateValues" dxfId="119" priority="23"/>
  </conditionalFormatting>
  <conditionalFormatting sqref="C16:C30 C9 C12:C14">
    <cfRule type="duplicateValues" dxfId="118" priority="51"/>
  </conditionalFormatting>
  <conditionalFormatting sqref="C31:C115">
    <cfRule type="duplicateValues" dxfId="117" priority="46"/>
  </conditionalFormatting>
  <conditionalFormatting sqref="C1387">
    <cfRule type="duplicateValues" dxfId="116" priority="40"/>
  </conditionalFormatting>
  <conditionalFormatting sqref="C1388:C1394 C1:C4 C1412:C1415 C116:C1303 C1305:C1386">
    <cfRule type="duplicateValues" dxfId="115" priority="39"/>
  </conditionalFormatting>
  <conditionalFormatting sqref="C1395:C1411">
    <cfRule type="duplicateValues" dxfId="114" priority="4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444C9-A8F4-4607-99A0-BA80C147AAB9}">
  <sheetPr>
    <tabColor rgb="FF0070C0"/>
  </sheetPr>
  <dimension ref="A1:O1674"/>
  <sheetViews>
    <sheetView workbookViewId="0">
      <pane ySplit="1" topLeftCell="A2" activePane="bottomLeft" state="frozen"/>
      <selection activeCell="N247" sqref="N247"/>
      <selection pane="bottomLeft" activeCell="N247" sqref="N247"/>
    </sheetView>
  </sheetViews>
  <sheetFormatPr defaultColWidth="9.7109375" defaultRowHeight="15" x14ac:dyDescent="0.25"/>
  <cols>
    <col min="1" max="1" width="11" style="55" bestFit="1" customWidth="1"/>
    <col min="2" max="2" width="37" style="55" bestFit="1" customWidth="1"/>
    <col min="3" max="3" width="9.42578125" style="55" bestFit="1" customWidth="1"/>
    <col min="4" max="4" width="12.28515625" style="55" bestFit="1" customWidth="1"/>
    <col min="5" max="5" width="10" style="55" customWidth="1"/>
    <col min="6" max="6" width="9" style="55" bestFit="1" customWidth="1"/>
    <col min="7" max="7" width="7.28515625" style="55" bestFit="1" customWidth="1"/>
    <col min="8" max="8" width="9.42578125" style="55" bestFit="1" customWidth="1"/>
    <col min="9" max="9" width="13.5703125" style="55" customWidth="1"/>
    <col min="10" max="10" width="12.140625" style="55" customWidth="1"/>
    <col min="11" max="11" width="10.7109375" style="55" customWidth="1"/>
    <col min="12" max="16384" width="9.7109375" style="1"/>
  </cols>
  <sheetData>
    <row r="1" spans="1:15" ht="75" x14ac:dyDescent="0.25">
      <c r="A1" s="56" t="s">
        <v>0</v>
      </c>
      <c r="B1" s="56" t="s">
        <v>1</v>
      </c>
      <c r="C1" s="57" t="s">
        <v>2</v>
      </c>
      <c r="D1" s="58" t="s">
        <v>3</v>
      </c>
      <c r="E1" s="58" t="s">
        <v>4</v>
      </c>
      <c r="F1" s="59" t="s">
        <v>5</v>
      </c>
      <c r="G1" s="60" t="s">
        <v>6</v>
      </c>
      <c r="H1" s="58" t="s">
        <v>7</v>
      </c>
      <c r="I1" s="61" t="s">
        <v>3375</v>
      </c>
      <c r="J1" s="61" t="s">
        <v>3376</v>
      </c>
      <c r="K1" s="61" t="s">
        <v>8</v>
      </c>
    </row>
    <row r="2" spans="1:15" x14ac:dyDescent="0.25">
      <c r="A2" s="3" t="s">
        <v>9</v>
      </c>
      <c r="B2" s="4" t="s">
        <v>10</v>
      </c>
      <c r="C2" s="5">
        <v>205269</v>
      </c>
      <c r="D2" s="6" t="s">
        <v>11</v>
      </c>
      <c r="E2" s="6" t="s">
        <v>12</v>
      </c>
      <c r="F2" s="7">
        <v>42676</v>
      </c>
      <c r="G2" s="8">
        <f t="shared" ref="G2:G65" si="0">F2</f>
        <v>42676</v>
      </c>
      <c r="H2" s="6" t="s">
        <v>13</v>
      </c>
      <c r="I2" s="9">
        <v>2861084.4856553101</v>
      </c>
      <c r="J2" s="10">
        <v>7000</v>
      </c>
      <c r="K2" s="11"/>
      <c r="M2"/>
      <c r="N2" s="63"/>
      <c r="O2" s="63"/>
    </row>
    <row r="3" spans="1:15" x14ac:dyDescent="0.25">
      <c r="A3" s="12" t="s">
        <v>14</v>
      </c>
      <c r="B3" s="4" t="s">
        <v>15</v>
      </c>
      <c r="C3" s="5">
        <v>1729</v>
      </c>
      <c r="D3" s="6" t="s">
        <v>16</v>
      </c>
      <c r="E3" s="6" t="s">
        <v>17</v>
      </c>
      <c r="F3" s="7">
        <v>42755</v>
      </c>
      <c r="G3" s="8">
        <f t="shared" si="0"/>
        <v>42755</v>
      </c>
      <c r="H3" s="6" t="s">
        <v>13</v>
      </c>
      <c r="I3" s="9">
        <v>2714538.48363026</v>
      </c>
      <c r="J3" s="10">
        <v>9370</v>
      </c>
      <c r="K3" s="11"/>
      <c r="M3"/>
      <c r="N3" s="63"/>
      <c r="O3" s="63"/>
    </row>
    <row r="4" spans="1:15" x14ac:dyDescent="0.25">
      <c r="A4" s="13" t="s">
        <v>18</v>
      </c>
      <c r="B4" s="4" t="s">
        <v>19</v>
      </c>
      <c r="C4" s="5">
        <v>16966</v>
      </c>
      <c r="D4" s="6" t="s">
        <v>16</v>
      </c>
      <c r="E4" s="6" t="s">
        <v>17</v>
      </c>
      <c r="F4" s="7">
        <v>41143</v>
      </c>
      <c r="G4" s="8">
        <f t="shared" si="0"/>
        <v>41143</v>
      </c>
      <c r="H4" s="6" t="s">
        <v>13</v>
      </c>
      <c r="I4" s="9">
        <v>932000</v>
      </c>
      <c r="J4" s="10">
        <v>3040</v>
      </c>
      <c r="K4" s="11"/>
      <c r="M4"/>
      <c r="N4" s="63"/>
      <c r="O4" s="63"/>
    </row>
    <row r="5" spans="1:15" x14ac:dyDescent="0.25">
      <c r="A5" s="3" t="s">
        <v>20</v>
      </c>
      <c r="B5" s="4" t="s">
        <v>21</v>
      </c>
      <c r="C5" s="5">
        <v>204646</v>
      </c>
      <c r="D5" s="6" t="s">
        <v>16</v>
      </c>
      <c r="E5" s="6" t="s">
        <v>17</v>
      </c>
      <c r="F5" s="7">
        <v>38533</v>
      </c>
      <c r="G5" s="8">
        <f t="shared" si="0"/>
        <v>38533</v>
      </c>
      <c r="H5" s="6" t="s">
        <v>13</v>
      </c>
      <c r="I5" s="9">
        <v>2827540.5312834</v>
      </c>
      <c r="J5" s="10">
        <v>5000</v>
      </c>
      <c r="K5" s="11"/>
      <c r="M5"/>
      <c r="N5" s="63"/>
      <c r="O5" s="63"/>
    </row>
    <row r="6" spans="1:15" x14ac:dyDescent="0.25">
      <c r="A6" s="3" t="s">
        <v>22</v>
      </c>
      <c r="B6" s="4" t="s">
        <v>23</v>
      </c>
      <c r="C6" s="5">
        <v>55153</v>
      </c>
      <c r="D6" s="6" t="s">
        <v>11</v>
      </c>
      <c r="E6" s="6" t="s">
        <v>17</v>
      </c>
      <c r="F6" s="7">
        <v>39420</v>
      </c>
      <c r="G6" s="8">
        <f t="shared" si="0"/>
        <v>39420</v>
      </c>
      <c r="H6" s="6" t="s">
        <v>13</v>
      </c>
      <c r="I6" s="9">
        <v>2481327.61</v>
      </c>
      <c r="J6" s="10">
        <v>4400</v>
      </c>
      <c r="K6" s="11"/>
      <c r="M6"/>
      <c r="N6" s="63"/>
      <c r="O6" s="63"/>
    </row>
    <row r="7" spans="1:15" x14ac:dyDescent="0.25">
      <c r="A7" s="4" t="s">
        <v>24</v>
      </c>
      <c r="B7" s="4" t="s">
        <v>25</v>
      </c>
      <c r="C7" s="14">
        <v>256468</v>
      </c>
      <c r="D7" s="6" t="s">
        <v>16</v>
      </c>
      <c r="E7" s="6" t="s">
        <v>17</v>
      </c>
      <c r="F7" s="15">
        <v>43635</v>
      </c>
      <c r="G7" s="8">
        <f t="shared" si="0"/>
        <v>43635</v>
      </c>
      <c r="H7" s="16" t="s">
        <v>13</v>
      </c>
      <c r="I7" s="9">
        <v>166464</v>
      </c>
      <c r="J7" s="10">
        <v>1200</v>
      </c>
      <c r="K7" s="17"/>
      <c r="M7"/>
      <c r="N7" s="63"/>
      <c r="O7" s="63"/>
    </row>
    <row r="8" spans="1:15" x14ac:dyDescent="0.25">
      <c r="A8" s="3" t="s">
        <v>26</v>
      </c>
      <c r="B8" s="4" t="s">
        <v>27</v>
      </c>
      <c r="C8" s="5">
        <v>277052</v>
      </c>
      <c r="D8" s="6" t="s">
        <v>28</v>
      </c>
      <c r="E8" s="6" t="s">
        <v>17</v>
      </c>
      <c r="F8" s="7">
        <v>44197</v>
      </c>
      <c r="G8" s="8">
        <f t="shared" si="0"/>
        <v>44197</v>
      </c>
      <c r="H8" s="6" t="s">
        <v>13</v>
      </c>
      <c r="I8" s="9">
        <v>2297937.6</v>
      </c>
      <c r="J8" s="10">
        <v>5000</v>
      </c>
      <c r="K8" s="17"/>
      <c r="M8"/>
      <c r="N8" s="63"/>
      <c r="O8" s="63"/>
    </row>
    <row r="9" spans="1:15" x14ac:dyDescent="0.25">
      <c r="A9" s="3" t="s">
        <v>29</v>
      </c>
      <c r="B9" s="4" t="s">
        <v>30</v>
      </c>
      <c r="C9" s="5">
        <v>1329</v>
      </c>
      <c r="D9" s="16" t="s">
        <v>31</v>
      </c>
      <c r="E9" s="16" t="s">
        <v>17</v>
      </c>
      <c r="F9" s="15">
        <v>44319</v>
      </c>
      <c r="G9" s="8">
        <f t="shared" si="0"/>
        <v>44319</v>
      </c>
      <c r="H9" s="16" t="s">
        <v>13</v>
      </c>
      <c r="I9" s="9">
        <v>12497058.67</v>
      </c>
      <c r="J9" s="10">
        <v>19500</v>
      </c>
      <c r="K9" s="17"/>
      <c r="M9"/>
      <c r="N9" s="63"/>
      <c r="O9" s="63"/>
    </row>
    <row r="10" spans="1:15" x14ac:dyDescent="0.25">
      <c r="A10" s="3" t="s">
        <v>32</v>
      </c>
      <c r="B10" s="4" t="s">
        <v>33</v>
      </c>
      <c r="C10" s="14">
        <v>315233</v>
      </c>
      <c r="D10" s="16" t="s">
        <v>34</v>
      </c>
      <c r="E10" s="16" t="s">
        <v>17</v>
      </c>
      <c r="F10" s="15">
        <v>45078</v>
      </c>
      <c r="G10" s="8">
        <f t="shared" si="0"/>
        <v>45078</v>
      </c>
      <c r="H10" s="16" t="s">
        <v>13</v>
      </c>
      <c r="I10" s="9" t="s">
        <v>3380</v>
      </c>
      <c r="J10" s="10" t="s">
        <v>3380</v>
      </c>
      <c r="K10" s="17"/>
      <c r="M10"/>
      <c r="N10" s="63"/>
      <c r="O10" s="63"/>
    </row>
    <row r="11" spans="1:15" x14ac:dyDescent="0.25">
      <c r="A11" s="3" t="s">
        <v>35</v>
      </c>
      <c r="B11" s="4" t="s">
        <v>36</v>
      </c>
      <c r="C11" s="14">
        <v>354434</v>
      </c>
      <c r="D11" s="16" t="s">
        <v>37</v>
      </c>
      <c r="E11" s="16" t="s">
        <v>38</v>
      </c>
      <c r="F11" s="15">
        <v>45350</v>
      </c>
      <c r="G11" s="8">
        <f t="shared" si="0"/>
        <v>45350</v>
      </c>
      <c r="H11" s="16" t="s">
        <v>39</v>
      </c>
      <c r="I11" s="9" t="s">
        <v>3380</v>
      </c>
      <c r="J11" s="10" t="s">
        <v>3380</v>
      </c>
      <c r="K11" s="17"/>
      <c r="M11"/>
      <c r="N11" s="63"/>
      <c r="O11" s="63"/>
    </row>
    <row r="12" spans="1:15" x14ac:dyDescent="0.25">
      <c r="A12" s="3" t="s">
        <v>40</v>
      </c>
      <c r="B12" s="4" t="s">
        <v>41</v>
      </c>
      <c r="C12" s="14">
        <v>1907</v>
      </c>
      <c r="D12" s="6" t="s">
        <v>34</v>
      </c>
      <c r="E12" s="6" t="s">
        <v>17</v>
      </c>
      <c r="F12" s="7">
        <v>25569</v>
      </c>
      <c r="G12" s="8">
        <f t="shared" si="0"/>
        <v>25569</v>
      </c>
      <c r="H12" s="6" t="s">
        <v>13</v>
      </c>
      <c r="I12" s="9" t="s">
        <v>3380</v>
      </c>
      <c r="J12" s="10" t="s">
        <v>3380</v>
      </c>
      <c r="K12" s="17"/>
      <c r="M12"/>
      <c r="N12" s="63"/>
      <c r="O12" s="63"/>
    </row>
    <row r="13" spans="1:15" x14ac:dyDescent="0.25">
      <c r="A13" s="3" t="s">
        <v>42</v>
      </c>
      <c r="B13" s="4" t="s">
        <v>43</v>
      </c>
      <c r="C13" s="5">
        <v>54481</v>
      </c>
      <c r="D13" s="6" t="s">
        <v>34</v>
      </c>
      <c r="E13" s="6" t="s">
        <v>17</v>
      </c>
      <c r="F13" s="7">
        <v>18264</v>
      </c>
      <c r="G13" s="8">
        <f t="shared" si="0"/>
        <v>18264</v>
      </c>
      <c r="H13" s="6" t="s">
        <v>13</v>
      </c>
      <c r="I13" s="9" t="s">
        <v>3380</v>
      </c>
      <c r="J13" s="10" t="s">
        <v>3380</v>
      </c>
      <c r="K13" s="17"/>
      <c r="M13"/>
      <c r="N13" s="63"/>
      <c r="O13" s="63"/>
    </row>
    <row r="14" spans="1:15" x14ac:dyDescent="0.25">
      <c r="A14" s="3" t="s">
        <v>44</v>
      </c>
      <c r="B14" s="4" t="s">
        <v>45</v>
      </c>
      <c r="C14" s="5">
        <v>1983</v>
      </c>
      <c r="D14" s="6" t="s">
        <v>34</v>
      </c>
      <c r="E14" s="6" t="s">
        <v>17</v>
      </c>
      <c r="F14" s="7">
        <v>35431</v>
      </c>
      <c r="G14" s="8">
        <f t="shared" si="0"/>
        <v>35431</v>
      </c>
      <c r="H14" s="6" t="s">
        <v>13</v>
      </c>
      <c r="I14" s="9" t="s">
        <v>3380</v>
      </c>
      <c r="J14" s="10" t="s">
        <v>3380</v>
      </c>
      <c r="K14" s="17"/>
      <c r="M14"/>
      <c r="N14" s="63"/>
      <c r="O14" s="63"/>
    </row>
    <row r="15" spans="1:15" x14ac:dyDescent="0.25">
      <c r="A15" s="3" t="s">
        <v>46</v>
      </c>
      <c r="B15" s="4" t="s">
        <v>47</v>
      </c>
      <c r="C15" s="5">
        <v>1298</v>
      </c>
      <c r="D15" s="6" t="s">
        <v>34</v>
      </c>
      <c r="E15" s="6" t="s">
        <v>17</v>
      </c>
      <c r="F15" s="7">
        <v>34700</v>
      </c>
      <c r="G15" s="8">
        <f t="shared" si="0"/>
        <v>34700</v>
      </c>
      <c r="H15" s="6" t="s">
        <v>13</v>
      </c>
      <c r="I15" s="9">
        <v>1014995.49</v>
      </c>
      <c r="J15" s="10">
        <v>2500</v>
      </c>
      <c r="K15" s="17"/>
      <c r="M15"/>
      <c r="N15" s="63"/>
      <c r="O15" s="63"/>
    </row>
    <row r="16" spans="1:15" x14ac:dyDescent="0.25">
      <c r="A16" s="3" t="s">
        <v>48</v>
      </c>
      <c r="B16" s="4" t="s">
        <v>49</v>
      </c>
      <c r="C16" s="14">
        <v>1804</v>
      </c>
      <c r="D16" s="6" t="s">
        <v>34</v>
      </c>
      <c r="E16" s="6" t="s">
        <v>17</v>
      </c>
      <c r="F16" s="7">
        <v>32143</v>
      </c>
      <c r="G16" s="8">
        <f t="shared" si="0"/>
        <v>32143</v>
      </c>
      <c r="H16" s="6" t="s">
        <v>13</v>
      </c>
      <c r="I16" s="9">
        <v>94847.048976280697</v>
      </c>
      <c r="J16" s="10">
        <v>1500</v>
      </c>
      <c r="K16" s="17"/>
      <c r="M16"/>
      <c r="N16" s="63"/>
      <c r="O16" s="63"/>
    </row>
    <row r="17" spans="1:15" x14ac:dyDescent="0.25">
      <c r="A17" s="3" t="s">
        <v>50</v>
      </c>
      <c r="B17" s="4" t="s">
        <v>51</v>
      </c>
      <c r="C17" s="14">
        <v>54482</v>
      </c>
      <c r="D17" s="6" t="s">
        <v>34</v>
      </c>
      <c r="E17" s="6" t="s">
        <v>17</v>
      </c>
      <c r="F17" s="7">
        <v>21916</v>
      </c>
      <c r="G17" s="8">
        <f t="shared" si="0"/>
        <v>21916</v>
      </c>
      <c r="H17" s="6" t="s">
        <v>13</v>
      </c>
      <c r="I17" s="9" t="s">
        <v>3380</v>
      </c>
      <c r="J17" s="10" t="s">
        <v>3380</v>
      </c>
      <c r="K17" s="17"/>
      <c r="M17"/>
      <c r="N17" s="63"/>
      <c r="O17" s="63"/>
    </row>
    <row r="18" spans="1:15" x14ac:dyDescent="0.25">
      <c r="A18" s="12" t="s">
        <v>52</v>
      </c>
      <c r="B18" s="4" t="s">
        <v>53</v>
      </c>
      <c r="C18" s="5">
        <v>1941</v>
      </c>
      <c r="D18" s="6" t="s">
        <v>34</v>
      </c>
      <c r="E18" s="6" t="s">
        <v>17</v>
      </c>
      <c r="F18" s="7">
        <v>21186</v>
      </c>
      <c r="G18" s="8">
        <f t="shared" si="0"/>
        <v>21186</v>
      </c>
      <c r="H18" s="6" t="s">
        <v>13</v>
      </c>
      <c r="I18" s="9">
        <v>1852554.14</v>
      </c>
      <c r="J18" s="10">
        <v>10000</v>
      </c>
      <c r="K18" s="11"/>
      <c r="M18"/>
      <c r="N18" s="63"/>
      <c r="O18" s="63"/>
    </row>
    <row r="19" spans="1:15" x14ac:dyDescent="0.25">
      <c r="A19" s="18" t="s">
        <v>54</v>
      </c>
      <c r="B19" s="19" t="s">
        <v>55</v>
      </c>
      <c r="C19" s="20">
        <v>1940</v>
      </c>
      <c r="D19" s="21" t="s">
        <v>28</v>
      </c>
      <c r="E19" s="21" t="s">
        <v>17</v>
      </c>
      <c r="F19" s="22">
        <v>19725</v>
      </c>
      <c r="G19" s="23">
        <f t="shared" si="0"/>
        <v>19725</v>
      </c>
      <c r="H19" s="21" t="s">
        <v>13</v>
      </c>
      <c r="I19" s="9">
        <v>510479.35000000003</v>
      </c>
      <c r="J19" s="10">
        <v>1250</v>
      </c>
      <c r="K19" s="25"/>
      <c r="M19"/>
      <c r="N19" s="63"/>
      <c r="O19" s="63"/>
    </row>
    <row r="20" spans="1:15" x14ac:dyDescent="0.25">
      <c r="A20" s="3" t="s">
        <v>56</v>
      </c>
      <c r="B20" s="4" t="s">
        <v>57</v>
      </c>
      <c r="C20" s="5">
        <v>1534</v>
      </c>
      <c r="D20" s="6" t="s">
        <v>34</v>
      </c>
      <c r="E20" s="6" t="s">
        <v>17</v>
      </c>
      <c r="F20" s="7">
        <v>29221</v>
      </c>
      <c r="G20" s="8">
        <f t="shared" si="0"/>
        <v>29221</v>
      </c>
      <c r="H20" s="6" t="s">
        <v>13</v>
      </c>
      <c r="I20" s="9" t="s">
        <v>3380</v>
      </c>
      <c r="J20" s="10" t="s">
        <v>3380</v>
      </c>
      <c r="K20" s="17"/>
      <c r="M20"/>
      <c r="N20" s="63"/>
      <c r="O20" s="63"/>
    </row>
    <row r="21" spans="1:15" x14ac:dyDescent="0.25">
      <c r="A21" s="3" t="s">
        <v>58</v>
      </c>
      <c r="B21" s="4" t="s">
        <v>59</v>
      </c>
      <c r="C21" s="5">
        <v>1710</v>
      </c>
      <c r="D21" s="6" t="s">
        <v>16</v>
      </c>
      <c r="E21" s="6" t="s">
        <v>17</v>
      </c>
      <c r="F21" s="7">
        <v>30317</v>
      </c>
      <c r="G21" s="8">
        <f t="shared" si="0"/>
        <v>30317</v>
      </c>
      <c r="H21" s="6" t="s">
        <v>13</v>
      </c>
      <c r="I21" s="9">
        <v>1224444.44</v>
      </c>
      <c r="J21" s="10">
        <v>3770</v>
      </c>
      <c r="K21" s="17"/>
      <c r="M21"/>
      <c r="N21" s="63"/>
      <c r="O21" s="63"/>
    </row>
    <row r="22" spans="1:15" x14ac:dyDescent="0.25">
      <c r="A22" s="26" t="s">
        <v>60</v>
      </c>
      <c r="B22" s="27" t="s">
        <v>61</v>
      </c>
      <c r="C22" s="5">
        <v>1252</v>
      </c>
      <c r="D22" s="28" t="s">
        <v>28</v>
      </c>
      <c r="E22" s="28" t="s">
        <v>17</v>
      </c>
      <c r="F22" s="29">
        <v>18264</v>
      </c>
      <c r="G22" s="30">
        <f t="shared" si="0"/>
        <v>18264</v>
      </c>
      <c r="H22" s="28" t="s">
        <v>13</v>
      </c>
      <c r="I22" s="9" t="s">
        <v>3380</v>
      </c>
      <c r="J22" s="10" t="s">
        <v>3380</v>
      </c>
      <c r="K22" s="33"/>
      <c r="M22"/>
      <c r="N22" s="63"/>
      <c r="O22" s="63"/>
    </row>
    <row r="23" spans="1:15" x14ac:dyDescent="0.25">
      <c r="A23" s="3" t="s">
        <v>62</v>
      </c>
      <c r="B23" s="4" t="s">
        <v>63</v>
      </c>
      <c r="C23" s="5">
        <v>85617</v>
      </c>
      <c r="D23" s="6" t="s">
        <v>28</v>
      </c>
      <c r="E23" s="6" t="s">
        <v>17</v>
      </c>
      <c r="F23" s="7">
        <v>40162</v>
      </c>
      <c r="G23" s="8">
        <f t="shared" si="0"/>
        <v>40162</v>
      </c>
      <c r="H23" s="6" t="s">
        <v>13</v>
      </c>
      <c r="I23" s="9" t="s">
        <v>3380</v>
      </c>
      <c r="J23" s="10" t="s">
        <v>3380</v>
      </c>
      <c r="K23" s="17"/>
      <c r="M23"/>
      <c r="N23" s="63"/>
      <c r="O23" s="63"/>
    </row>
    <row r="24" spans="1:15" x14ac:dyDescent="0.25">
      <c r="A24" s="3" t="s">
        <v>64</v>
      </c>
      <c r="B24" s="4" t="s">
        <v>65</v>
      </c>
      <c r="C24" s="5">
        <v>26881</v>
      </c>
      <c r="D24" s="6" t="s">
        <v>28</v>
      </c>
      <c r="E24" s="6" t="s">
        <v>17</v>
      </c>
      <c r="F24" s="7">
        <v>32927</v>
      </c>
      <c r="G24" s="8">
        <f t="shared" si="0"/>
        <v>32927</v>
      </c>
      <c r="H24" s="6" t="s">
        <v>13</v>
      </c>
      <c r="I24" s="9" t="s">
        <v>3380</v>
      </c>
      <c r="J24" s="10" t="s">
        <v>3380</v>
      </c>
      <c r="K24" s="17"/>
      <c r="M24"/>
      <c r="N24" s="63"/>
      <c r="O24" s="63"/>
    </row>
    <row r="25" spans="1:15" x14ac:dyDescent="0.25">
      <c r="A25" s="3" t="s">
        <v>66</v>
      </c>
      <c r="B25" s="4" t="s">
        <v>67</v>
      </c>
      <c r="C25" s="5">
        <v>1286</v>
      </c>
      <c r="D25" s="6" t="s">
        <v>28</v>
      </c>
      <c r="E25" s="6" t="s">
        <v>17</v>
      </c>
      <c r="F25" s="7">
        <v>31778</v>
      </c>
      <c r="G25" s="8">
        <f t="shared" si="0"/>
        <v>31778</v>
      </c>
      <c r="H25" s="6" t="s">
        <v>13</v>
      </c>
      <c r="I25" s="9" t="s">
        <v>3380</v>
      </c>
      <c r="J25" s="10" t="s">
        <v>3380</v>
      </c>
      <c r="K25" s="17"/>
      <c r="M25"/>
      <c r="N25" s="63"/>
      <c r="O25" s="63"/>
    </row>
    <row r="26" spans="1:15" x14ac:dyDescent="0.25">
      <c r="A26" s="3" t="s">
        <v>68</v>
      </c>
      <c r="B26" s="4" t="s">
        <v>69</v>
      </c>
      <c r="C26" s="5">
        <v>1656</v>
      </c>
      <c r="D26" s="6" t="s">
        <v>28</v>
      </c>
      <c r="E26" s="6" t="s">
        <v>17</v>
      </c>
      <c r="F26" s="7">
        <v>36892</v>
      </c>
      <c r="G26" s="8">
        <f t="shared" si="0"/>
        <v>36892</v>
      </c>
      <c r="H26" s="6" t="s">
        <v>13</v>
      </c>
      <c r="I26" s="9" t="s">
        <v>3380</v>
      </c>
      <c r="J26" s="10" t="s">
        <v>3380</v>
      </c>
      <c r="K26" s="17"/>
      <c r="M26"/>
      <c r="N26" s="63"/>
      <c r="O26" s="63"/>
    </row>
    <row r="27" spans="1:15" x14ac:dyDescent="0.25">
      <c r="A27" s="26" t="s">
        <v>70</v>
      </c>
      <c r="B27" s="27" t="s">
        <v>71</v>
      </c>
      <c r="C27" s="34">
        <v>1655</v>
      </c>
      <c r="D27" s="28" t="s">
        <v>28</v>
      </c>
      <c r="E27" s="28" t="s">
        <v>17</v>
      </c>
      <c r="F27" s="29">
        <v>34335</v>
      </c>
      <c r="G27" s="30">
        <f t="shared" si="0"/>
        <v>34335</v>
      </c>
      <c r="H27" s="28" t="s">
        <v>13</v>
      </c>
      <c r="I27" s="9" t="s">
        <v>3380</v>
      </c>
      <c r="J27" s="10" t="s">
        <v>3380</v>
      </c>
      <c r="K27" s="33"/>
      <c r="M27"/>
      <c r="N27" s="63"/>
      <c r="O27" s="63"/>
    </row>
    <row r="28" spans="1:15" x14ac:dyDescent="0.25">
      <c r="A28" s="35" t="s">
        <v>72</v>
      </c>
      <c r="B28" s="19" t="s">
        <v>73</v>
      </c>
      <c r="C28" s="5">
        <v>1256</v>
      </c>
      <c r="D28" s="21" t="s">
        <v>28</v>
      </c>
      <c r="E28" s="21" t="s">
        <v>17</v>
      </c>
      <c r="F28" s="22">
        <v>26299</v>
      </c>
      <c r="G28" s="23">
        <f t="shared" si="0"/>
        <v>26299</v>
      </c>
      <c r="H28" s="21" t="s">
        <v>13</v>
      </c>
      <c r="I28" s="9">
        <v>3940175.98</v>
      </c>
      <c r="J28" s="10">
        <v>15000</v>
      </c>
      <c r="K28" s="25"/>
      <c r="M28"/>
      <c r="N28" s="63"/>
      <c r="O28" s="63"/>
    </row>
    <row r="29" spans="1:15" x14ac:dyDescent="0.25">
      <c r="A29" s="18" t="s">
        <v>74</v>
      </c>
      <c r="B29" s="19" t="s">
        <v>75</v>
      </c>
      <c r="C29" s="5">
        <v>12161</v>
      </c>
      <c r="D29" s="21" t="s">
        <v>28</v>
      </c>
      <c r="E29" s="21" t="s">
        <v>17</v>
      </c>
      <c r="F29" s="22">
        <v>37846</v>
      </c>
      <c r="G29" s="23">
        <f t="shared" si="0"/>
        <v>37846</v>
      </c>
      <c r="H29" s="21" t="s">
        <v>13</v>
      </c>
      <c r="I29" s="9" t="s">
        <v>3380</v>
      </c>
      <c r="J29" s="10" t="s">
        <v>3380</v>
      </c>
      <c r="K29" s="25"/>
      <c r="M29"/>
      <c r="N29" s="63"/>
      <c r="O29" s="63"/>
    </row>
    <row r="30" spans="1:15" x14ac:dyDescent="0.25">
      <c r="A30" s="3" t="s">
        <v>76</v>
      </c>
      <c r="B30" s="4" t="s">
        <v>77</v>
      </c>
      <c r="C30" s="5">
        <v>1562</v>
      </c>
      <c r="D30" s="6" t="s">
        <v>28</v>
      </c>
      <c r="E30" s="6" t="s">
        <v>17</v>
      </c>
      <c r="F30" s="7">
        <v>36441</v>
      </c>
      <c r="G30" s="8">
        <f t="shared" si="0"/>
        <v>36441</v>
      </c>
      <c r="H30" s="6" t="s">
        <v>13</v>
      </c>
      <c r="I30" s="9" t="s">
        <v>3380</v>
      </c>
      <c r="J30" s="10" t="s">
        <v>3380</v>
      </c>
      <c r="K30" s="17"/>
      <c r="M30"/>
      <c r="N30" s="63"/>
      <c r="O30" s="63"/>
    </row>
    <row r="31" spans="1:15" x14ac:dyDescent="0.25">
      <c r="A31" s="3" t="s">
        <v>78</v>
      </c>
      <c r="B31" s="4" t="s">
        <v>79</v>
      </c>
      <c r="C31" s="5">
        <v>1139</v>
      </c>
      <c r="D31" s="6" t="s">
        <v>31</v>
      </c>
      <c r="E31" s="6" t="s">
        <v>17</v>
      </c>
      <c r="F31" s="7">
        <v>29221</v>
      </c>
      <c r="G31" s="8">
        <f t="shared" si="0"/>
        <v>29221</v>
      </c>
      <c r="H31" s="6" t="s">
        <v>13</v>
      </c>
      <c r="I31" s="9" t="s">
        <v>3380</v>
      </c>
      <c r="J31" s="10" t="s">
        <v>3380</v>
      </c>
      <c r="K31" s="17"/>
      <c r="M31"/>
      <c r="N31" s="63"/>
      <c r="O31" s="63"/>
    </row>
    <row r="32" spans="1:15" x14ac:dyDescent="0.25">
      <c r="A32" s="3" t="s">
        <v>80</v>
      </c>
      <c r="B32" s="4" t="s">
        <v>81</v>
      </c>
      <c r="C32" s="14">
        <v>1490</v>
      </c>
      <c r="D32" s="6" t="s">
        <v>28</v>
      </c>
      <c r="E32" s="6" t="s">
        <v>17</v>
      </c>
      <c r="F32" s="7">
        <v>26753</v>
      </c>
      <c r="G32" s="8">
        <f t="shared" si="0"/>
        <v>26753</v>
      </c>
      <c r="H32" s="6" t="s">
        <v>13</v>
      </c>
      <c r="I32" s="9" t="s">
        <v>3380</v>
      </c>
      <c r="J32" s="10" t="s">
        <v>3380</v>
      </c>
      <c r="K32" s="17"/>
      <c r="M32"/>
      <c r="N32" s="63"/>
      <c r="O32" s="63"/>
    </row>
    <row r="33" spans="1:15" x14ac:dyDescent="0.25">
      <c r="A33" s="37" t="s">
        <v>82</v>
      </c>
      <c r="B33" s="4" t="s">
        <v>83</v>
      </c>
      <c r="C33" s="5">
        <v>1826</v>
      </c>
      <c r="D33" s="6" t="s">
        <v>31</v>
      </c>
      <c r="E33" s="6" t="s">
        <v>17</v>
      </c>
      <c r="F33" s="7">
        <v>31778</v>
      </c>
      <c r="G33" s="8">
        <f t="shared" si="0"/>
        <v>31778</v>
      </c>
      <c r="H33" s="6" t="s">
        <v>13</v>
      </c>
      <c r="I33" s="9">
        <v>2713621.2990654497</v>
      </c>
      <c r="J33" s="10">
        <v>8000</v>
      </c>
      <c r="K33" s="17"/>
      <c r="M33"/>
      <c r="N33" s="63"/>
      <c r="O33" s="63"/>
    </row>
    <row r="34" spans="1:15" x14ac:dyDescent="0.25">
      <c r="A34" s="3" t="s">
        <v>84</v>
      </c>
      <c r="B34" s="4" t="s">
        <v>85</v>
      </c>
      <c r="C34" s="5">
        <v>1564</v>
      </c>
      <c r="D34" s="6" t="s">
        <v>28</v>
      </c>
      <c r="E34" s="6" t="s">
        <v>17</v>
      </c>
      <c r="F34" s="7">
        <v>25569</v>
      </c>
      <c r="G34" s="8">
        <f t="shared" si="0"/>
        <v>25569</v>
      </c>
      <c r="H34" s="6" t="s">
        <v>13</v>
      </c>
      <c r="I34" s="9">
        <v>264041.88685144699</v>
      </c>
      <c r="J34" s="10">
        <v>800</v>
      </c>
      <c r="K34" s="17"/>
      <c r="M34"/>
      <c r="N34" s="63"/>
      <c r="O34" s="63"/>
    </row>
    <row r="35" spans="1:15" x14ac:dyDescent="0.25">
      <c r="A35" s="3" t="s">
        <v>86</v>
      </c>
      <c r="B35" s="4" t="s">
        <v>87</v>
      </c>
      <c r="C35" s="5">
        <v>1968</v>
      </c>
      <c r="D35" s="6" t="s">
        <v>16</v>
      </c>
      <c r="E35" s="6" t="s">
        <v>17</v>
      </c>
      <c r="F35" s="7">
        <v>29221</v>
      </c>
      <c r="G35" s="8">
        <f t="shared" si="0"/>
        <v>29221</v>
      </c>
      <c r="H35" s="6" t="s">
        <v>13</v>
      </c>
      <c r="I35" s="9" t="s">
        <v>3380</v>
      </c>
      <c r="J35" s="10" t="s">
        <v>3380</v>
      </c>
      <c r="K35" s="17"/>
      <c r="M35"/>
      <c r="N35" s="63"/>
      <c r="O35" s="63"/>
    </row>
    <row r="36" spans="1:15" x14ac:dyDescent="0.25">
      <c r="A36" s="3" t="s">
        <v>88</v>
      </c>
      <c r="B36" s="4" t="s">
        <v>89</v>
      </c>
      <c r="C36" s="5">
        <v>1369</v>
      </c>
      <c r="D36" s="6" t="s">
        <v>28</v>
      </c>
      <c r="E36" s="6" t="s">
        <v>17</v>
      </c>
      <c r="F36" s="7">
        <v>33813</v>
      </c>
      <c r="G36" s="8">
        <f t="shared" si="0"/>
        <v>33813</v>
      </c>
      <c r="H36" s="6" t="s">
        <v>13</v>
      </c>
      <c r="I36" s="9" t="s">
        <v>3380</v>
      </c>
      <c r="J36" s="10" t="s">
        <v>3380</v>
      </c>
      <c r="K36" s="17"/>
      <c r="M36"/>
      <c r="N36" s="63"/>
      <c r="O36" s="63"/>
    </row>
    <row r="37" spans="1:15" x14ac:dyDescent="0.25">
      <c r="A37" s="3" t="s">
        <v>90</v>
      </c>
      <c r="B37" s="4" t="s">
        <v>91</v>
      </c>
      <c r="C37" s="5">
        <v>2241</v>
      </c>
      <c r="D37" s="6" t="s">
        <v>28</v>
      </c>
      <c r="E37" s="6" t="s">
        <v>17</v>
      </c>
      <c r="F37" s="7">
        <v>37117</v>
      </c>
      <c r="G37" s="8">
        <f t="shared" si="0"/>
        <v>37117</v>
      </c>
      <c r="H37" s="6" t="s">
        <v>13</v>
      </c>
      <c r="I37" s="9" t="s">
        <v>3380</v>
      </c>
      <c r="J37" s="10" t="s">
        <v>3380</v>
      </c>
      <c r="K37" s="17"/>
      <c r="M37"/>
      <c r="N37" s="63"/>
      <c r="O37" s="63"/>
    </row>
    <row r="38" spans="1:15" x14ac:dyDescent="0.25">
      <c r="A38" s="3" t="s">
        <v>92</v>
      </c>
      <c r="B38" s="4" t="s">
        <v>93</v>
      </c>
      <c r="C38" s="5">
        <v>2012</v>
      </c>
      <c r="D38" s="6" t="s">
        <v>16</v>
      </c>
      <c r="E38" s="6" t="s">
        <v>17</v>
      </c>
      <c r="F38" s="7">
        <v>29221</v>
      </c>
      <c r="G38" s="8">
        <f t="shared" si="0"/>
        <v>29221</v>
      </c>
      <c r="H38" s="6" t="s">
        <v>13</v>
      </c>
      <c r="I38" s="9" t="s">
        <v>3380</v>
      </c>
      <c r="J38" s="10" t="s">
        <v>3380</v>
      </c>
      <c r="K38" s="17"/>
      <c r="M38"/>
      <c r="N38" s="63"/>
      <c r="O38" s="63"/>
    </row>
    <row r="39" spans="1:15" x14ac:dyDescent="0.25">
      <c r="A39" s="3" t="s">
        <v>94</v>
      </c>
      <c r="B39" s="4" t="s">
        <v>95</v>
      </c>
      <c r="C39" s="5">
        <v>89458</v>
      </c>
      <c r="D39" s="6" t="s">
        <v>28</v>
      </c>
      <c r="E39" s="6" t="s">
        <v>17</v>
      </c>
      <c r="F39" s="7">
        <v>31048</v>
      </c>
      <c r="G39" s="8">
        <f t="shared" si="0"/>
        <v>31048</v>
      </c>
      <c r="H39" s="6" t="s">
        <v>13</v>
      </c>
      <c r="I39" s="9" t="s">
        <v>3380</v>
      </c>
      <c r="J39" s="10" t="s">
        <v>3380</v>
      </c>
      <c r="K39" s="17"/>
      <c r="M39"/>
      <c r="N39" s="63"/>
      <c r="O39" s="63"/>
    </row>
    <row r="40" spans="1:15" x14ac:dyDescent="0.25">
      <c r="A40" s="3" t="s">
        <v>96</v>
      </c>
      <c r="B40" s="4" t="s">
        <v>97</v>
      </c>
      <c r="C40" s="5">
        <v>1963</v>
      </c>
      <c r="D40" s="6" t="s">
        <v>11</v>
      </c>
      <c r="E40" s="6" t="s">
        <v>17</v>
      </c>
      <c r="F40" s="7">
        <v>36039</v>
      </c>
      <c r="G40" s="8">
        <f t="shared" si="0"/>
        <v>36039</v>
      </c>
      <c r="H40" s="6" t="s">
        <v>13</v>
      </c>
      <c r="I40" s="9" t="s">
        <v>3380</v>
      </c>
      <c r="J40" s="10" t="s">
        <v>3380</v>
      </c>
      <c r="K40" s="17"/>
      <c r="M40"/>
      <c r="N40" s="63"/>
      <c r="O40" s="63"/>
    </row>
    <row r="41" spans="1:15" x14ac:dyDescent="0.25">
      <c r="A41" s="3" t="s">
        <v>98</v>
      </c>
      <c r="B41" s="4" t="s">
        <v>99</v>
      </c>
      <c r="C41" s="14">
        <v>1631</v>
      </c>
      <c r="D41" s="6" t="s">
        <v>31</v>
      </c>
      <c r="E41" s="6" t="s">
        <v>17</v>
      </c>
      <c r="F41" s="7">
        <v>29221</v>
      </c>
      <c r="G41" s="8">
        <f t="shared" si="0"/>
        <v>29221</v>
      </c>
      <c r="H41" s="6" t="s">
        <v>13</v>
      </c>
      <c r="I41" s="9" t="s">
        <v>3380</v>
      </c>
      <c r="J41" s="10" t="s">
        <v>3380</v>
      </c>
      <c r="K41" s="17"/>
      <c r="M41"/>
      <c r="N41" s="63"/>
      <c r="O41" s="63"/>
    </row>
    <row r="42" spans="1:15" x14ac:dyDescent="0.25">
      <c r="A42" s="3" t="s">
        <v>100</v>
      </c>
      <c r="B42" s="4" t="s">
        <v>101</v>
      </c>
      <c r="C42" s="5">
        <v>1741</v>
      </c>
      <c r="D42" s="6" t="s">
        <v>31</v>
      </c>
      <c r="E42" s="6" t="s">
        <v>17</v>
      </c>
      <c r="F42" s="7">
        <v>25569</v>
      </c>
      <c r="G42" s="8">
        <f t="shared" si="0"/>
        <v>25569</v>
      </c>
      <c r="H42" s="6" t="s">
        <v>13</v>
      </c>
      <c r="I42" s="9" t="s">
        <v>3380</v>
      </c>
      <c r="J42" s="10" t="s">
        <v>3380</v>
      </c>
      <c r="K42" s="17"/>
      <c r="M42"/>
      <c r="N42" s="63"/>
      <c r="O42" s="63"/>
    </row>
    <row r="43" spans="1:15" x14ac:dyDescent="0.25">
      <c r="A43" s="3" t="s">
        <v>102</v>
      </c>
      <c r="B43" s="4" t="s">
        <v>103</v>
      </c>
      <c r="C43" s="5">
        <v>29846</v>
      </c>
      <c r="D43" s="6" t="s">
        <v>34</v>
      </c>
      <c r="E43" s="6" t="s">
        <v>17</v>
      </c>
      <c r="F43" s="7">
        <v>39029</v>
      </c>
      <c r="G43" s="8">
        <f t="shared" si="0"/>
        <v>39029</v>
      </c>
      <c r="H43" s="6" t="s">
        <v>13</v>
      </c>
      <c r="I43" s="9" t="s">
        <v>3380</v>
      </c>
      <c r="J43" s="10" t="s">
        <v>3380</v>
      </c>
      <c r="K43" s="11"/>
      <c r="M43"/>
      <c r="N43" s="63"/>
      <c r="O43" s="63"/>
    </row>
    <row r="44" spans="1:15" x14ac:dyDescent="0.25">
      <c r="A44" s="18" t="s">
        <v>104</v>
      </c>
      <c r="B44" s="19" t="s">
        <v>105</v>
      </c>
      <c r="C44" s="5">
        <v>1986</v>
      </c>
      <c r="D44" s="21" t="s">
        <v>28</v>
      </c>
      <c r="E44" s="21" t="s">
        <v>17</v>
      </c>
      <c r="F44" s="22">
        <v>29587</v>
      </c>
      <c r="G44" s="23">
        <f t="shared" si="0"/>
        <v>29587</v>
      </c>
      <c r="H44" s="21" t="s">
        <v>13</v>
      </c>
      <c r="I44" s="9">
        <v>1799391.1974615701</v>
      </c>
      <c r="J44" s="10">
        <v>6500</v>
      </c>
      <c r="K44" s="25"/>
      <c r="M44"/>
      <c r="N44" s="63"/>
      <c r="O44" s="63"/>
    </row>
    <row r="45" spans="1:15" x14ac:dyDescent="0.25">
      <c r="A45" s="3" t="s">
        <v>106</v>
      </c>
      <c r="B45" s="4" t="s">
        <v>107</v>
      </c>
      <c r="C45" s="5">
        <v>1344</v>
      </c>
      <c r="D45" s="6" t="s">
        <v>31</v>
      </c>
      <c r="E45" s="6" t="s">
        <v>17</v>
      </c>
      <c r="F45" s="7">
        <v>39213</v>
      </c>
      <c r="G45" s="8">
        <f t="shared" si="0"/>
        <v>39213</v>
      </c>
      <c r="H45" s="6" t="s">
        <v>13</v>
      </c>
      <c r="I45" s="9" t="s">
        <v>3380</v>
      </c>
      <c r="J45" s="10" t="s">
        <v>3380</v>
      </c>
      <c r="K45" s="17"/>
      <c r="M45"/>
      <c r="N45" s="63"/>
      <c r="O45" s="63"/>
    </row>
    <row r="46" spans="1:15" x14ac:dyDescent="0.25">
      <c r="A46" s="3" t="s">
        <v>108</v>
      </c>
      <c r="B46" s="4" t="s">
        <v>109</v>
      </c>
      <c r="C46" s="5">
        <v>1158</v>
      </c>
      <c r="D46" s="6" t="s">
        <v>31</v>
      </c>
      <c r="E46" s="6" t="s">
        <v>17</v>
      </c>
      <c r="F46" s="7">
        <v>25569</v>
      </c>
      <c r="G46" s="8">
        <f t="shared" si="0"/>
        <v>25569</v>
      </c>
      <c r="H46" s="6" t="s">
        <v>13</v>
      </c>
      <c r="I46" s="9" t="s">
        <v>3380</v>
      </c>
      <c r="J46" s="10" t="s">
        <v>3380</v>
      </c>
      <c r="K46" s="17"/>
      <c r="M46"/>
      <c r="N46" s="63"/>
      <c r="O46" s="63"/>
    </row>
    <row r="47" spans="1:15" x14ac:dyDescent="0.25">
      <c r="A47" s="3" t="s">
        <v>110</v>
      </c>
      <c r="B47" s="4" t="s">
        <v>111</v>
      </c>
      <c r="C47" s="5">
        <v>19856</v>
      </c>
      <c r="D47" s="6" t="s">
        <v>34</v>
      </c>
      <c r="E47" s="6" t="s">
        <v>17</v>
      </c>
      <c r="F47" s="7">
        <v>38512</v>
      </c>
      <c r="G47" s="8">
        <f t="shared" si="0"/>
        <v>38512</v>
      </c>
      <c r="H47" s="6" t="s">
        <v>13</v>
      </c>
      <c r="I47" s="9" t="s">
        <v>3380</v>
      </c>
      <c r="J47" s="10" t="s">
        <v>3380</v>
      </c>
      <c r="K47" s="17"/>
      <c r="M47"/>
      <c r="N47" s="63"/>
      <c r="O47" s="63"/>
    </row>
    <row r="48" spans="1:15" x14ac:dyDescent="0.25">
      <c r="A48" s="3" t="s">
        <v>112</v>
      </c>
      <c r="B48" s="4" t="s">
        <v>113</v>
      </c>
      <c r="C48" s="5">
        <v>1624</v>
      </c>
      <c r="D48" s="6" t="s">
        <v>16</v>
      </c>
      <c r="E48" s="6" t="s">
        <v>17</v>
      </c>
      <c r="F48" s="7">
        <v>32874</v>
      </c>
      <c r="G48" s="8">
        <f t="shared" si="0"/>
        <v>32874</v>
      </c>
      <c r="H48" s="6" t="s">
        <v>13</v>
      </c>
      <c r="I48" s="9" t="s">
        <v>3380</v>
      </c>
      <c r="J48" s="10" t="s">
        <v>3380</v>
      </c>
      <c r="K48" s="17"/>
      <c r="M48"/>
      <c r="N48" s="63"/>
      <c r="O48" s="63"/>
    </row>
    <row r="49" spans="1:15" x14ac:dyDescent="0.25">
      <c r="A49" s="3" t="s">
        <v>114</v>
      </c>
      <c r="B49" s="4" t="s">
        <v>115</v>
      </c>
      <c r="C49" s="14">
        <v>28897</v>
      </c>
      <c r="D49" s="6" t="s">
        <v>11</v>
      </c>
      <c r="E49" s="6" t="s">
        <v>17</v>
      </c>
      <c r="F49" s="7">
        <v>36639</v>
      </c>
      <c r="G49" s="8">
        <f t="shared" si="0"/>
        <v>36639</v>
      </c>
      <c r="H49" s="6" t="s">
        <v>13</v>
      </c>
      <c r="I49" s="9" t="s">
        <v>3380</v>
      </c>
      <c r="J49" s="10" t="s">
        <v>3380</v>
      </c>
      <c r="K49" s="17"/>
      <c r="M49"/>
      <c r="N49" s="63"/>
      <c r="O49" s="63"/>
    </row>
    <row r="50" spans="1:15" x14ac:dyDescent="0.25">
      <c r="A50" s="3" t="s">
        <v>116</v>
      </c>
      <c r="B50" s="4" t="s">
        <v>117</v>
      </c>
      <c r="C50" s="5">
        <v>2881</v>
      </c>
      <c r="D50" s="6" t="s">
        <v>34</v>
      </c>
      <c r="E50" s="6" t="s">
        <v>17</v>
      </c>
      <c r="F50" s="7">
        <v>37099</v>
      </c>
      <c r="G50" s="8">
        <f t="shared" si="0"/>
        <v>37099</v>
      </c>
      <c r="H50" s="6" t="s">
        <v>13</v>
      </c>
      <c r="I50" s="9" t="s">
        <v>3380</v>
      </c>
      <c r="J50" s="10" t="s">
        <v>3380</v>
      </c>
      <c r="K50" s="17"/>
      <c r="M50"/>
      <c r="N50" s="63"/>
      <c r="O50" s="63"/>
    </row>
    <row r="51" spans="1:15" x14ac:dyDescent="0.25">
      <c r="A51" s="3" t="s">
        <v>118</v>
      </c>
      <c r="B51" s="4" t="s">
        <v>119</v>
      </c>
      <c r="C51" s="14">
        <v>2034</v>
      </c>
      <c r="D51" s="6" t="s">
        <v>16</v>
      </c>
      <c r="E51" s="6" t="s">
        <v>17</v>
      </c>
      <c r="F51" s="7">
        <v>29221</v>
      </c>
      <c r="G51" s="8">
        <f t="shared" si="0"/>
        <v>29221</v>
      </c>
      <c r="H51" s="6" t="s">
        <v>13</v>
      </c>
      <c r="I51" s="9" t="s">
        <v>3380</v>
      </c>
      <c r="J51" s="10" t="s">
        <v>3380</v>
      </c>
      <c r="K51" s="17"/>
      <c r="M51"/>
      <c r="N51" s="63"/>
      <c r="O51" s="63"/>
    </row>
    <row r="52" spans="1:15" x14ac:dyDescent="0.25">
      <c r="A52" s="3" t="s">
        <v>120</v>
      </c>
      <c r="B52" s="4" t="s">
        <v>121</v>
      </c>
      <c r="C52" s="14">
        <v>1069</v>
      </c>
      <c r="D52" s="6" t="s">
        <v>16</v>
      </c>
      <c r="E52" s="6" t="s">
        <v>17</v>
      </c>
      <c r="F52" s="7">
        <v>29221</v>
      </c>
      <c r="G52" s="8">
        <f t="shared" si="0"/>
        <v>29221</v>
      </c>
      <c r="H52" s="6" t="s">
        <v>13</v>
      </c>
      <c r="I52" s="9">
        <v>170800</v>
      </c>
      <c r="J52" s="10">
        <v>533.66602291713798</v>
      </c>
      <c r="K52" s="17"/>
      <c r="M52"/>
      <c r="N52" s="63"/>
      <c r="O52" s="63"/>
    </row>
    <row r="53" spans="1:15" x14ac:dyDescent="0.25">
      <c r="A53" s="3" t="s">
        <v>122</v>
      </c>
      <c r="B53" s="38" t="s">
        <v>123</v>
      </c>
      <c r="C53" s="14">
        <v>30660</v>
      </c>
      <c r="D53" s="6" t="s">
        <v>31</v>
      </c>
      <c r="E53" s="6" t="s">
        <v>17</v>
      </c>
      <c r="F53" s="7">
        <v>38373</v>
      </c>
      <c r="G53" s="8">
        <f t="shared" si="0"/>
        <v>38373</v>
      </c>
      <c r="H53" s="6" t="s">
        <v>13</v>
      </c>
      <c r="I53" s="9">
        <v>23000</v>
      </c>
      <c r="J53" s="10">
        <v>1700</v>
      </c>
      <c r="K53" s="17"/>
      <c r="M53"/>
      <c r="N53" s="63"/>
      <c r="O53" s="63"/>
    </row>
    <row r="54" spans="1:15" x14ac:dyDescent="0.25">
      <c r="A54" s="3" t="s">
        <v>124</v>
      </c>
      <c r="B54" s="4" t="s">
        <v>125</v>
      </c>
      <c r="C54" s="5">
        <v>48721</v>
      </c>
      <c r="D54" s="6" t="s">
        <v>37</v>
      </c>
      <c r="E54" s="6" t="s">
        <v>38</v>
      </c>
      <c r="F54" s="7">
        <v>39323</v>
      </c>
      <c r="G54" s="8">
        <f t="shared" si="0"/>
        <v>39323</v>
      </c>
      <c r="H54" s="6" t="s">
        <v>39</v>
      </c>
      <c r="I54" s="9" t="s">
        <v>3380</v>
      </c>
      <c r="J54" s="10" t="s">
        <v>3380</v>
      </c>
      <c r="K54" s="17"/>
      <c r="M54"/>
      <c r="N54" s="63"/>
      <c r="O54" s="63"/>
    </row>
    <row r="55" spans="1:15" x14ac:dyDescent="0.25">
      <c r="A55" s="3" t="s">
        <v>126</v>
      </c>
      <c r="B55" s="4" t="s">
        <v>127</v>
      </c>
      <c r="C55" s="5">
        <v>52257</v>
      </c>
      <c r="D55" s="6" t="s">
        <v>37</v>
      </c>
      <c r="E55" s="6" t="s">
        <v>38</v>
      </c>
      <c r="F55" s="7">
        <v>38568</v>
      </c>
      <c r="G55" s="8">
        <f t="shared" si="0"/>
        <v>38568</v>
      </c>
      <c r="H55" s="6" t="s">
        <v>39</v>
      </c>
      <c r="I55" s="9" t="s">
        <v>3380</v>
      </c>
      <c r="J55" s="10" t="s">
        <v>3380</v>
      </c>
      <c r="K55" s="17"/>
      <c r="M55"/>
      <c r="N55" s="63"/>
      <c r="O55" s="63"/>
    </row>
    <row r="56" spans="1:15" x14ac:dyDescent="0.25">
      <c r="A56" s="3" t="s">
        <v>128</v>
      </c>
      <c r="B56" s="4" t="s">
        <v>129</v>
      </c>
      <c r="C56" s="5">
        <v>21776</v>
      </c>
      <c r="D56" s="6" t="s">
        <v>34</v>
      </c>
      <c r="E56" s="6" t="s">
        <v>17</v>
      </c>
      <c r="F56" s="7">
        <v>38686</v>
      </c>
      <c r="G56" s="8">
        <f t="shared" si="0"/>
        <v>38686</v>
      </c>
      <c r="H56" s="6" t="s">
        <v>13</v>
      </c>
      <c r="I56" s="9" t="s">
        <v>3380</v>
      </c>
      <c r="J56" s="10" t="s">
        <v>3380</v>
      </c>
      <c r="K56" s="17"/>
      <c r="M56"/>
      <c r="N56" s="63"/>
      <c r="O56" s="63"/>
    </row>
    <row r="57" spans="1:15" x14ac:dyDescent="0.25">
      <c r="A57" s="3" t="s">
        <v>130</v>
      </c>
      <c r="B57" s="4" t="s">
        <v>131</v>
      </c>
      <c r="C57" s="5">
        <v>11844</v>
      </c>
      <c r="D57" s="6" t="s">
        <v>34</v>
      </c>
      <c r="E57" s="6" t="s">
        <v>17</v>
      </c>
      <c r="F57" s="7">
        <v>37985</v>
      </c>
      <c r="G57" s="8">
        <f t="shared" si="0"/>
        <v>37985</v>
      </c>
      <c r="H57" s="6" t="s">
        <v>13</v>
      </c>
      <c r="I57" s="9" t="s">
        <v>3380</v>
      </c>
      <c r="J57" s="10" t="s">
        <v>3380</v>
      </c>
      <c r="K57" s="17"/>
      <c r="M57"/>
      <c r="N57" s="63"/>
      <c r="O57" s="63"/>
    </row>
    <row r="58" spans="1:15" x14ac:dyDescent="0.25">
      <c r="A58" s="26" t="s">
        <v>132</v>
      </c>
      <c r="B58" s="27" t="s">
        <v>133</v>
      </c>
      <c r="C58" s="34">
        <v>52944</v>
      </c>
      <c r="D58" s="28" t="s">
        <v>28</v>
      </c>
      <c r="E58" s="28" t="s">
        <v>17</v>
      </c>
      <c r="F58" s="29">
        <v>39114</v>
      </c>
      <c r="G58" s="30">
        <f t="shared" si="0"/>
        <v>39114</v>
      </c>
      <c r="H58" s="28" t="s">
        <v>13</v>
      </c>
      <c r="I58" s="9" t="s">
        <v>3380</v>
      </c>
      <c r="J58" s="10" t="s">
        <v>3380</v>
      </c>
      <c r="K58" s="33"/>
      <c r="M58"/>
      <c r="N58" s="63"/>
      <c r="O58" s="63"/>
    </row>
    <row r="59" spans="1:15" x14ac:dyDescent="0.25">
      <c r="A59" s="3" t="s">
        <v>134</v>
      </c>
      <c r="B59" s="4" t="s">
        <v>135</v>
      </c>
      <c r="C59" s="5">
        <v>31330</v>
      </c>
      <c r="D59" s="6" t="s">
        <v>31</v>
      </c>
      <c r="E59" s="6" t="s">
        <v>17</v>
      </c>
      <c r="F59" s="7">
        <v>30947</v>
      </c>
      <c r="G59" s="8">
        <f t="shared" si="0"/>
        <v>30947</v>
      </c>
      <c r="H59" s="6" t="s">
        <v>13</v>
      </c>
      <c r="I59" s="9" t="s">
        <v>3380</v>
      </c>
      <c r="J59" s="10" t="s">
        <v>3380</v>
      </c>
      <c r="K59" s="17"/>
      <c r="M59"/>
      <c r="N59" s="63"/>
      <c r="O59" s="63"/>
    </row>
    <row r="60" spans="1:15" x14ac:dyDescent="0.25">
      <c r="A60" s="3" t="s">
        <v>136</v>
      </c>
      <c r="B60" s="4" t="s">
        <v>137</v>
      </c>
      <c r="C60" s="5">
        <v>31297</v>
      </c>
      <c r="D60" s="6" t="s">
        <v>31</v>
      </c>
      <c r="E60" s="6" t="s">
        <v>17</v>
      </c>
      <c r="F60" s="7">
        <v>30855</v>
      </c>
      <c r="G60" s="8">
        <f t="shared" si="0"/>
        <v>30855</v>
      </c>
      <c r="H60" s="6" t="s">
        <v>13</v>
      </c>
      <c r="I60" s="9" t="s">
        <v>3380</v>
      </c>
      <c r="J60" s="10" t="s">
        <v>3380</v>
      </c>
      <c r="K60" s="17"/>
      <c r="M60"/>
      <c r="N60" s="63"/>
      <c r="O60" s="63"/>
    </row>
    <row r="61" spans="1:15" x14ac:dyDescent="0.25">
      <c r="A61" s="3" t="s">
        <v>138</v>
      </c>
      <c r="B61" s="4" t="s">
        <v>139</v>
      </c>
      <c r="C61" s="5">
        <v>54487</v>
      </c>
      <c r="D61" s="6" t="s">
        <v>31</v>
      </c>
      <c r="E61" s="6" t="s">
        <v>17</v>
      </c>
      <c r="F61" s="7">
        <v>38411</v>
      </c>
      <c r="G61" s="8">
        <f t="shared" si="0"/>
        <v>38411</v>
      </c>
      <c r="H61" s="6" t="s">
        <v>13</v>
      </c>
      <c r="I61" s="9" t="s">
        <v>3380</v>
      </c>
      <c r="J61" s="10" t="s">
        <v>3380</v>
      </c>
      <c r="K61" s="17"/>
      <c r="M61"/>
      <c r="N61" s="63"/>
      <c r="O61" s="63"/>
    </row>
    <row r="62" spans="1:15" x14ac:dyDescent="0.25">
      <c r="A62" s="3" t="s">
        <v>140</v>
      </c>
      <c r="B62" s="4" t="s">
        <v>141</v>
      </c>
      <c r="C62" s="5">
        <v>72173</v>
      </c>
      <c r="D62" s="6" t="s">
        <v>34</v>
      </c>
      <c r="E62" s="6" t="s">
        <v>17</v>
      </c>
      <c r="F62" s="7">
        <v>38580</v>
      </c>
      <c r="G62" s="8">
        <f t="shared" si="0"/>
        <v>38580</v>
      </c>
      <c r="H62" s="6" t="s">
        <v>13</v>
      </c>
      <c r="I62" s="9" t="s">
        <v>3380</v>
      </c>
      <c r="J62" s="10" t="s">
        <v>3380</v>
      </c>
      <c r="K62" s="17"/>
      <c r="M62"/>
      <c r="N62" s="63"/>
      <c r="O62" s="63"/>
    </row>
    <row r="63" spans="1:15" x14ac:dyDescent="0.25">
      <c r="A63" s="3" t="s">
        <v>142</v>
      </c>
      <c r="B63" s="4" t="s">
        <v>143</v>
      </c>
      <c r="C63" s="5">
        <v>1118</v>
      </c>
      <c r="D63" s="6" t="s">
        <v>28</v>
      </c>
      <c r="E63" s="6" t="s">
        <v>17</v>
      </c>
      <c r="F63" s="7">
        <v>29221</v>
      </c>
      <c r="G63" s="8">
        <f t="shared" si="0"/>
        <v>29221</v>
      </c>
      <c r="H63" s="6" t="s">
        <v>13</v>
      </c>
      <c r="I63" s="9" t="s">
        <v>3380</v>
      </c>
      <c r="J63" s="10" t="s">
        <v>3380</v>
      </c>
      <c r="K63" s="17"/>
      <c r="M63"/>
      <c r="N63" s="63"/>
      <c r="O63" s="63"/>
    </row>
    <row r="64" spans="1:15" x14ac:dyDescent="0.25">
      <c r="A64" s="3" t="s">
        <v>144</v>
      </c>
      <c r="B64" s="4" t="s">
        <v>145</v>
      </c>
      <c r="C64" s="5">
        <v>1792</v>
      </c>
      <c r="D64" s="6" t="s">
        <v>28</v>
      </c>
      <c r="E64" s="6" t="s">
        <v>17</v>
      </c>
      <c r="F64" s="7">
        <v>32143</v>
      </c>
      <c r="G64" s="8">
        <f t="shared" si="0"/>
        <v>32143</v>
      </c>
      <c r="H64" s="6" t="s">
        <v>13</v>
      </c>
      <c r="I64" s="9" t="s">
        <v>3380</v>
      </c>
      <c r="J64" s="10" t="s">
        <v>3380</v>
      </c>
      <c r="K64" s="17"/>
      <c r="M64"/>
      <c r="N64" s="63"/>
      <c r="O64" s="63"/>
    </row>
    <row r="65" spans="1:15" x14ac:dyDescent="0.25">
      <c r="A65" s="26" t="s">
        <v>146</v>
      </c>
      <c r="B65" s="27" t="s">
        <v>147</v>
      </c>
      <c r="C65" s="5">
        <v>1514</v>
      </c>
      <c r="D65" s="28" t="s">
        <v>28</v>
      </c>
      <c r="E65" s="28" t="s">
        <v>17</v>
      </c>
      <c r="F65" s="29">
        <v>25569</v>
      </c>
      <c r="G65" s="30">
        <f t="shared" si="0"/>
        <v>25569</v>
      </c>
      <c r="H65" s="28" t="s">
        <v>13</v>
      </c>
      <c r="I65" s="9">
        <v>114000</v>
      </c>
      <c r="J65" s="10">
        <v>800</v>
      </c>
      <c r="K65" s="33"/>
      <c r="M65"/>
      <c r="N65" s="63"/>
      <c r="O65" s="63"/>
    </row>
    <row r="66" spans="1:15" x14ac:dyDescent="0.25">
      <c r="A66" s="3" t="s">
        <v>148</v>
      </c>
      <c r="B66" s="4" t="s">
        <v>149</v>
      </c>
      <c r="C66" s="5">
        <v>41697</v>
      </c>
      <c r="D66" s="6" t="s">
        <v>28</v>
      </c>
      <c r="E66" s="6" t="s">
        <v>17</v>
      </c>
      <c r="F66" s="7">
        <v>37901</v>
      </c>
      <c r="G66" s="8">
        <f t="shared" ref="G66:G129" si="1">F66</f>
        <v>37901</v>
      </c>
      <c r="H66" s="6" t="s">
        <v>13</v>
      </c>
      <c r="I66" s="9" t="s">
        <v>3380</v>
      </c>
      <c r="J66" s="10" t="s">
        <v>3380</v>
      </c>
      <c r="K66" s="17"/>
      <c r="M66"/>
      <c r="N66" s="63"/>
      <c r="O66" s="63"/>
    </row>
    <row r="67" spans="1:15" x14ac:dyDescent="0.25">
      <c r="A67" s="3" t="s">
        <v>150</v>
      </c>
      <c r="B67" s="4" t="s">
        <v>151</v>
      </c>
      <c r="C67" s="5">
        <v>27953</v>
      </c>
      <c r="D67" s="6" t="s">
        <v>31</v>
      </c>
      <c r="E67" s="6" t="s">
        <v>17</v>
      </c>
      <c r="F67" s="7">
        <v>21438</v>
      </c>
      <c r="G67" s="8">
        <f t="shared" si="1"/>
        <v>21438</v>
      </c>
      <c r="H67" s="6" t="s">
        <v>13</v>
      </c>
      <c r="I67" s="9" t="s">
        <v>3380</v>
      </c>
      <c r="J67" s="10" t="s">
        <v>3380</v>
      </c>
      <c r="K67" s="17"/>
      <c r="M67"/>
      <c r="N67" s="63"/>
      <c r="O67" s="63"/>
    </row>
    <row r="68" spans="1:15" x14ac:dyDescent="0.25">
      <c r="A68" s="3" t="s">
        <v>152</v>
      </c>
      <c r="B68" s="4" t="s">
        <v>153</v>
      </c>
      <c r="C68" s="5">
        <v>39090</v>
      </c>
      <c r="D68" s="6" t="s">
        <v>31</v>
      </c>
      <c r="E68" s="6" t="s">
        <v>17</v>
      </c>
      <c r="F68" s="7">
        <v>28374</v>
      </c>
      <c r="G68" s="8">
        <f t="shared" si="1"/>
        <v>28374</v>
      </c>
      <c r="H68" s="6" t="s">
        <v>13</v>
      </c>
      <c r="I68" s="9" t="s">
        <v>3380</v>
      </c>
      <c r="J68" s="10" t="s">
        <v>3380</v>
      </c>
      <c r="K68" s="17"/>
      <c r="M68"/>
      <c r="N68" s="63"/>
      <c r="O68" s="63"/>
    </row>
    <row r="69" spans="1:15" x14ac:dyDescent="0.25">
      <c r="A69" s="3" t="s">
        <v>154</v>
      </c>
      <c r="B69" s="4" t="s">
        <v>155</v>
      </c>
      <c r="C69" s="5">
        <v>36881</v>
      </c>
      <c r="D69" s="6" t="s">
        <v>31</v>
      </c>
      <c r="E69" s="6" t="s">
        <v>17</v>
      </c>
      <c r="F69" s="7">
        <v>26151</v>
      </c>
      <c r="G69" s="8">
        <f t="shared" si="1"/>
        <v>26151</v>
      </c>
      <c r="H69" s="6" t="s">
        <v>13</v>
      </c>
      <c r="I69" s="9" t="s">
        <v>3380</v>
      </c>
      <c r="J69" s="10" t="s">
        <v>3380</v>
      </c>
      <c r="K69" s="17"/>
      <c r="M69"/>
      <c r="N69" s="63"/>
      <c r="O69" s="63"/>
    </row>
    <row r="70" spans="1:15" x14ac:dyDescent="0.25">
      <c r="A70" s="3" t="s">
        <v>156</v>
      </c>
      <c r="B70" s="4" t="s">
        <v>157</v>
      </c>
      <c r="C70" s="5">
        <v>39121</v>
      </c>
      <c r="D70" s="6" t="s">
        <v>31</v>
      </c>
      <c r="E70" s="6" t="s">
        <v>17</v>
      </c>
      <c r="F70" s="7">
        <v>32751</v>
      </c>
      <c r="G70" s="8">
        <f t="shared" si="1"/>
        <v>32751</v>
      </c>
      <c r="H70" s="6" t="s">
        <v>13</v>
      </c>
      <c r="I70" s="9" t="s">
        <v>3380</v>
      </c>
      <c r="J70" s="10" t="s">
        <v>3380</v>
      </c>
      <c r="K70" s="17"/>
      <c r="M70"/>
      <c r="N70" s="63"/>
      <c r="O70" s="63"/>
    </row>
    <row r="71" spans="1:15" x14ac:dyDescent="0.25">
      <c r="A71" s="3" t="s">
        <v>158</v>
      </c>
      <c r="B71" s="4" t="s">
        <v>159</v>
      </c>
      <c r="C71" s="5">
        <v>34817</v>
      </c>
      <c r="D71" s="6" t="s">
        <v>31</v>
      </c>
      <c r="E71" s="6" t="s">
        <v>17</v>
      </c>
      <c r="F71" s="7">
        <v>24777</v>
      </c>
      <c r="G71" s="8">
        <f t="shared" si="1"/>
        <v>24777</v>
      </c>
      <c r="H71" s="6" t="s">
        <v>13</v>
      </c>
      <c r="I71" s="9" t="s">
        <v>3380</v>
      </c>
      <c r="J71" s="10" t="s">
        <v>3380</v>
      </c>
      <c r="K71" s="17"/>
      <c r="M71"/>
      <c r="N71" s="63"/>
      <c r="O71" s="63"/>
    </row>
    <row r="72" spans="1:15" x14ac:dyDescent="0.25">
      <c r="A72" s="26" t="s">
        <v>160</v>
      </c>
      <c r="B72" s="27" t="s">
        <v>161</v>
      </c>
      <c r="C72" s="5">
        <v>36785</v>
      </c>
      <c r="D72" s="28" t="s">
        <v>31</v>
      </c>
      <c r="E72" s="28" t="s">
        <v>17</v>
      </c>
      <c r="F72" s="29">
        <v>26402</v>
      </c>
      <c r="G72" s="30">
        <f t="shared" si="1"/>
        <v>26402</v>
      </c>
      <c r="H72" s="28" t="s">
        <v>13</v>
      </c>
      <c r="I72" s="9" t="s">
        <v>3380</v>
      </c>
      <c r="J72" s="10" t="s">
        <v>3380</v>
      </c>
      <c r="K72" s="33"/>
      <c r="M72"/>
      <c r="N72" s="63"/>
      <c r="O72" s="63"/>
    </row>
    <row r="73" spans="1:15" x14ac:dyDescent="0.25">
      <c r="A73" s="3" t="s">
        <v>162</v>
      </c>
      <c r="B73" s="4" t="s">
        <v>163</v>
      </c>
      <c r="C73" s="5">
        <v>8004</v>
      </c>
      <c r="D73" s="6" t="s">
        <v>34</v>
      </c>
      <c r="E73" s="6" t="s">
        <v>17</v>
      </c>
      <c r="F73" s="7">
        <v>37518</v>
      </c>
      <c r="G73" s="8">
        <f t="shared" si="1"/>
        <v>37518</v>
      </c>
      <c r="H73" s="6" t="s">
        <v>13</v>
      </c>
      <c r="I73" s="9" t="s">
        <v>3380</v>
      </c>
      <c r="J73" s="10" t="s">
        <v>3380</v>
      </c>
      <c r="K73" s="17"/>
      <c r="M73"/>
      <c r="N73" s="63"/>
      <c r="O73" s="63"/>
    </row>
    <row r="74" spans="1:15" x14ac:dyDescent="0.25">
      <c r="A74" s="3" t="s">
        <v>164</v>
      </c>
      <c r="B74" s="4" t="s">
        <v>165</v>
      </c>
      <c r="C74" s="5">
        <v>1793</v>
      </c>
      <c r="D74" s="6" t="s">
        <v>28</v>
      </c>
      <c r="E74" s="6" t="s">
        <v>17</v>
      </c>
      <c r="F74" s="7">
        <v>25569</v>
      </c>
      <c r="G74" s="8">
        <f t="shared" si="1"/>
        <v>25569</v>
      </c>
      <c r="H74" s="6" t="s">
        <v>13</v>
      </c>
      <c r="I74" s="9" t="s">
        <v>3380</v>
      </c>
      <c r="J74" s="10" t="s">
        <v>3380</v>
      </c>
      <c r="K74" s="17"/>
      <c r="M74"/>
      <c r="N74" s="63"/>
      <c r="O74" s="63"/>
    </row>
    <row r="75" spans="1:15" x14ac:dyDescent="0.25">
      <c r="A75" s="3" t="s">
        <v>166</v>
      </c>
      <c r="B75" s="4" t="s">
        <v>167</v>
      </c>
      <c r="C75" s="14">
        <v>1182</v>
      </c>
      <c r="D75" s="6" t="s">
        <v>16</v>
      </c>
      <c r="E75" s="6" t="s">
        <v>17</v>
      </c>
      <c r="F75" s="7">
        <v>29221</v>
      </c>
      <c r="G75" s="8">
        <f t="shared" si="1"/>
        <v>29221</v>
      </c>
      <c r="H75" s="6" t="s">
        <v>13</v>
      </c>
      <c r="I75" s="9" t="s">
        <v>3380</v>
      </c>
      <c r="J75" s="10" t="s">
        <v>3380</v>
      </c>
      <c r="K75" s="11"/>
      <c r="M75"/>
      <c r="N75" s="63"/>
      <c r="O75" s="63"/>
    </row>
    <row r="76" spans="1:15" x14ac:dyDescent="0.25">
      <c r="A76" s="3" t="s">
        <v>168</v>
      </c>
      <c r="B76" s="4" t="s">
        <v>169</v>
      </c>
      <c r="C76" s="5">
        <v>1191</v>
      </c>
      <c r="D76" s="6" t="s">
        <v>16</v>
      </c>
      <c r="E76" s="6" t="s">
        <v>17</v>
      </c>
      <c r="F76" s="7">
        <v>29221</v>
      </c>
      <c r="G76" s="8">
        <f t="shared" si="1"/>
        <v>29221</v>
      </c>
      <c r="H76" s="6" t="s">
        <v>13</v>
      </c>
      <c r="I76" s="9" t="s">
        <v>3380</v>
      </c>
      <c r="J76" s="10" t="s">
        <v>3380</v>
      </c>
      <c r="K76" s="17"/>
      <c r="M76"/>
      <c r="N76" s="63"/>
      <c r="O76" s="63"/>
    </row>
    <row r="77" spans="1:15" x14ac:dyDescent="0.25">
      <c r="A77" s="3" t="s">
        <v>170</v>
      </c>
      <c r="B77" s="4" t="s">
        <v>171</v>
      </c>
      <c r="C77" s="5">
        <v>14731</v>
      </c>
      <c r="D77" s="6" t="s">
        <v>31</v>
      </c>
      <c r="E77" s="6" t="s">
        <v>17</v>
      </c>
      <c r="F77" s="7">
        <v>32806</v>
      </c>
      <c r="G77" s="8">
        <f t="shared" si="1"/>
        <v>32806</v>
      </c>
      <c r="H77" s="6" t="s">
        <v>13</v>
      </c>
      <c r="I77" s="9" t="s">
        <v>3380</v>
      </c>
      <c r="J77" s="10" t="s">
        <v>3380</v>
      </c>
      <c r="K77" s="17"/>
      <c r="M77"/>
      <c r="N77" s="63"/>
      <c r="O77" s="63"/>
    </row>
    <row r="78" spans="1:15" x14ac:dyDescent="0.25">
      <c r="A78" s="3" t="s">
        <v>172</v>
      </c>
      <c r="B78" s="39" t="s">
        <v>173</v>
      </c>
      <c r="C78" s="5">
        <v>1871</v>
      </c>
      <c r="D78" s="6" t="s">
        <v>31</v>
      </c>
      <c r="E78" s="6" t="s">
        <v>17</v>
      </c>
      <c r="F78" s="7">
        <v>36951</v>
      </c>
      <c r="G78" s="8">
        <f t="shared" si="1"/>
        <v>36951</v>
      </c>
      <c r="H78" s="6" t="s">
        <v>13</v>
      </c>
      <c r="I78" s="9" t="s">
        <v>3380</v>
      </c>
      <c r="J78" s="10" t="s">
        <v>3380</v>
      </c>
      <c r="K78" s="17"/>
      <c r="M78"/>
      <c r="N78" s="63"/>
      <c r="O78" s="63"/>
    </row>
    <row r="79" spans="1:15" x14ac:dyDescent="0.25">
      <c r="A79" s="3" t="s">
        <v>174</v>
      </c>
      <c r="B79" s="4" t="s">
        <v>175</v>
      </c>
      <c r="C79" s="5">
        <v>1032</v>
      </c>
      <c r="D79" s="6" t="s">
        <v>31</v>
      </c>
      <c r="E79" s="6" t="s">
        <v>17</v>
      </c>
      <c r="F79" s="7">
        <v>29221</v>
      </c>
      <c r="G79" s="8">
        <f t="shared" si="1"/>
        <v>29221</v>
      </c>
      <c r="H79" s="6" t="s">
        <v>13</v>
      </c>
      <c r="I79" s="9" t="s">
        <v>3380</v>
      </c>
      <c r="J79" s="10" t="s">
        <v>3380</v>
      </c>
      <c r="K79" s="17"/>
      <c r="M79"/>
      <c r="N79" s="63"/>
      <c r="O79" s="63"/>
    </row>
    <row r="80" spans="1:15" x14ac:dyDescent="0.25">
      <c r="A80" s="3" t="s">
        <v>176</v>
      </c>
      <c r="B80" s="4" t="s">
        <v>177</v>
      </c>
      <c r="C80" s="14">
        <v>2055</v>
      </c>
      <c r="D80" s="6" t="s">
        <v>31</v>
      </c>
      <c r="E80" s="6" t="s">
        <v>17</v>
      </c>
      <c r="F80" s="7">
        <v>29952</v>
      </c>
      <c r="G80" s="8">
        <f t="shared" si="1"/>
        <v>29952</v>
      </c>
      <c r="H80" s="6" t="s">
        <v>13</v>
      </c>
      <c r="I80" s="9" t="s">
        <v>3380</v>
      </c>
      <c r="J80" s="10" t="s">
        <v>3380</v>
      </c>
      <c r="K80" s="17"/>
      <c r="M80"/>
      <c r="N80" s="63"/>
      <c r="O80" s="63"/>
    </row>
    <row r="81" spans="1:15" x14ac:dyDescent="0.25">
      <c r="A81" s="3" t="s">
        <v>178</v>
      </c>
      <c r="B81" s="4" t="s">
        <v>179</v>
      </c>
      <c r="C81" s="5">
        <v>1868</v>
      </c>
      <c r="D81" s="6" t="s">
        <v>31</v>
      </c>
      <c r="E81" s="6" t="s">
        <v>17</v>
      </c>
      <c r="F81" s="7">
        <v>25569</v>
      </c>
      <c r="G81" s="8">
        <f t="shared" si="1"/>
        <v>25569</v>
      </c>
      <c r="H81" s="6" t="s">
        <v>13</v>
      </c>
      <c r="I81" s="9" t="s">
        <v>3380</v>
      </c>
      <c r="J81" s="10" t="s">
        <v>3380</v>
      </c>
      <c r="K81" s="17"/>
      <c r="M81"/>
      <c r="N81" s="63"/>
      <c r="O81" s="63"/>
    </row>
    <row r="82" spans="1:15" x14ac:dyDescent="0.25">
      <c r="A82" s="3" t="s">
        <v>180</v>
      </c>
      <c r="B82" s="4" t="s">
        <v>181</v>
      </c>
      <c r="C82" s="14">
        <v>1292</v>
      </c>
      <c r="D82" s="6" t="s">
        <v>28</v>
      </c>
      <c r="E82" s="6" t="s">
        <v>17</v>
      </c>
      <c r="F82" s="7">
        <v>32143</v>
      </c>
      <c r="G82" s="8">
        <f t="shared" si="1"/>
        <v>32143</v>
      </c>
      <c r="H82" s="6" t="s">
        <v>13</v>
      </c>
      <c r="I82" s="9" t="s">
        <v>3380</v>
      </c>
      <c r="J82" s="10" t="s">
        <v>3380</v>
      </c>
      <c r="K82" s="11"/>
      <c r="M82"/>
      <c r="N82" s="63"/>
      <c r="O82" s="63"/>
    </row>
    <row r="83" spans="1:15" x14ac:dyDescent="0.25">
      <c r="A83" s="3" t="s">
        <v>182</v>
      </c>
      <c r="B83" s="4" t="s">
        <v>183</v>
      </c>
      <c r="C83" s="5">
        <v>30550</v>
      </c>
      <c r="D83" s="6" t="s">
        <v>34</v>
      </c>
      <c r="E83" s="6" t="s">
        <v>17</v>
      </c>
      <c r="F83" s="7">
        <v>38357</v>
      </c>
      <c r="G83" s="8">
        <f t="shared" si="1"/>
        <v>38357</v>
      </c>
      <c r="H83" s="6" t="s">
        <v>13</v>
      </c>
      <c r="I83" s="9" t="s">
        <v>3380</v>
      </c>
      <c r="J83" s="10" t="s">
        <v>3380</v>
      </c>
      <c r="K83" s="17"/>
      <c r="M83"/>
      <c r="N83" s="63"/>
      <c r="O83" s="63"/>
    </row>
    <row r="84" spans="1:15" x14ac:dyDescent="0.25">
      <c r="A84" s="3" t="s">
        <v>184</v>
      </c>
      <c r="B84" s="4" t="s">
        <v>185</v>
      </c>
      <c r="C84" s="5">
        <v>52936</v>
      </c>
      <c r="D84" s="6" t="s">
        <v>28</v>
      </c>
      <c r="E84" s="6" t="s">
        <v>17</v>
      </c>
      <c r="F84" s="7">
        <v>39154</v>
      </c>
      <c r="G84" s="8">
        <f t="shared" si="1"/>
        <v>39154</v>
      </c>
      <c r="H84" s="6" t="s">
        <v>13</v>
      </c>
      <c r="I84" s="9" t="s">
        <v>3380</v>
      </c>
      <c r="J84" s="10" t="s">
        <v>3380</v>
      </c>
      <c r="K84" s="17"/>
      <c r="M84"/>
      <c r="N84" s="63"/>
      <c r="O84" s="63"/>
    </row>
    <row r="85" spans="1:15" x14ac:dyDescent="0.25">
      <c r="A85" s="3" t="s">
        <v>186</v>
      </c>
      <c r="B85" s="4" t="s">
        <v>187</v>
      </c>
      <c r="C85" s="5">
        <v>72107</v>
      </c>
      <c r="D85" s="6" t="s">
        <v>31</v>
      </c>
      <c r="E85" s="6" t="s">
        <v>17</v>
      </c>
      <c r="F85" s="7">
        <v>36294</v>
      </c>
      <c r="G85" s="8">
        <f t="shared" si="1"/>
        <v>36294</v>
      </c>
      <c r="H85" s="6" t="s">
        <v>13</v>
      </c>
      <c r="I85" s="9" t="s">
        <v>3380</v>
      </c>
      <c r="J85" s="10" t="s">
        <v>3380</v>
      </c>
      <c r="K85" s="17"/>
      <c r="M85"/>
      <c r="N85" s="63"/>
      <c r="O85" s="63"/>
    </row>
    <row r="86" spans="1:15" x14ac:dyDescent="0.25">
      <c r="A86" s="3" t="s">
        <v>188</v>
      </c>
      <c r="B86" s="4" t="s">
        <v>189</v>
      </c>
      <c r="C86" s="5">
        <v>28865</v>
      </c>
      <c r="D86" s="6" t="s">
        <v>34</v>
      </c>
      <c r="E86" s="6" t="s">
        <v>17</v>
      </c>
      <c r="F86" s="7">
        <v>38275</v>
      </c>
      <c r="G86" s="8">
        <f t="shared" si="1"/>
        <v>38275</v>
      </c>
      <c r="H86" s="6" t="s">
        <v>13</v>
      </c>
      <c r="I86" s="9" t="s">
        <v>3380</v>
      </c>
      <c r="J86" s="10" t="s">
        <v>3380</v>
      </c>
      <c r="K86" s="17"/>
      <c r="M86"/>
      <c r="N86" s="63"/>
      <c r="O86" s="63"/>
    </row>
    <row r="87" spans="1:15" x14ac:dyDescent="0.25">
      <c r="A87" s="3" t="s">
        <v>190</v>
      </c>
      <c r="B87" s="4" t="s">
        <v>191</v>
      </c>
      <c r="C87" s="5">
        <v>52938</v>
      </c>
      <c r="D87" s="6" t="s">
        <v>34</v>
      </c>
      <c r="E87" s="6" t="s">
        <v>17</v>
      </c>
      <c r="F87" s="7">
        <v>39029</v>
      </c>
      <c r="G87" s="8">
        <f t="shared" si="1"/>
        <v>39029</v>
      </c>
      <c r="H87" s="6" t="s">
        <v>13</v>
      </c>
      <c r="I87" s="9" t="s">
        <v>3380</v>
      </c>
      <c r="J87" s="10" t="s">
        <v>3380</v>
      </c>
      <c r="K87" s="17"/>
      <c r="M87"/>
      <c r="N87" s="63"/>
      <c r="O87" s="63"/>
    </row>
    <row r="88" spans="1:15" x14ac:dyDescent="0.25">
      <c r="A88" s="26" t="s">
        <v>192</v>
      </c>
      <c r="B88" s="27" t="s">
        <v>193</v>
      </c>
      <c r="C88" s="34">
        <v>52939</v>
      </c>
      <c r="D88" s="28" t="s">
        <v>34</v>
      </c>
      <c r="E88" s="28" t="s">
        <v>17</v>
      </c>
      <c r="F88" s="29">
        <v>39029</v>
      </c>
      <c r="G88" s="30">
        <f t="shared" si="1"/>
        <v>39029</v>
      </c>
      <c r="H88" s="28" t="s">
        <v>13</v>
      </c>
      <c r="I88" s="9" t="s">
        <v>3380</v>
      </c>
      <c r="J88" s="10" t="s">
        <v>3380</v>
      </c>
      <c r="K88" s="33"/>
      <c r="M88"/>
      <c r="N88" s="63"/>
      <c r="O88" s="63"/>
    </row>
    <row r="89" spans="1:15" x14ac:dyDescent="0.25">
      <c r="A89" s="26" t="s">
        <v>194</v>
      </c>
      <c r="B89" s="27" t="s">
        <v>195</v>
      </c>
      <c r="C89" s="5">
        <v>1081</v>
      </c>
      <c r="D89" s="28" t="s">
        <v>34</v>
      </c>
      <c r="E89" s="28" t="s">
        <v>17</v>
      </c>
      <c r="F89" s="29">
        <v>19725</v>
      </c>
      <c r="G89" s="30">
        <f t="shared" si="1"/>
        <v>19725</v>
      </c>
      <c r="H89" s="28" t="s">
        <v>13</v>
      </c>
      <c r="I89" s="9" t="s">
        <v>3380</v>
      </c>
      <c r="J89" s="10" t="s">
        <v>3380</v>
      </c>
      <c r="K89" s="33"/>
      <c r="M89"/>
      <c r="N89" s="63"/>
      <c r="O89" s="63"/>
    </row>
    <row r="90" spans="1:15" x14ac:dyDescent="0.25">
      <c r="A90" s="3" t="s">
        <v>196</v>
      </c>
      <c r="B90" s="4" t="s">
        <v>197</v>
      </c>
      <c r="C90" s="5">
        <v>1462</v>
      </c>
      <c r="D90" s="6" t="s">
        <v>34</v>
      </c>
      <c r="E90" s="6" t="s">
        <v>17</v>
      </c>
      <c r="F90" s="7">
        <v>29221</v>
      </c>
      <c r="G90" s="8">
        <f t="shared" si="1"/>
        <v>29221</v>
      </c>
      <c r="H90" s="6" t="s">
        <v>13</v>
      </c>
      <c r="I90" s="9" t="s">
        <v>3380</v>
      </c>
      <c r="J90" s="10" t="s">
        <v>3380</v>
      </c>
      <c r="K90" s="17"/>
      <c r="M90"/>
      <c r="N90" s="63"/>
      <c r="O90" s="63"/>
    </row>
    <row r="91" spans="1:15" x14ac:dyDescent="0.25">
      <c r="A91" s="3" t="s">
        <v>198</v>
      </c>
      <c r="B91" s="4" t="s">
        <v>199</v>
      </c>
      <c r="C91" s="5">
        <v>1445</v>
      </c>
      <c r="D91" s="6" t="s">
        <v>16</v>
      </c>
      <c r="E91" s="6" t="s">
        <v>17</v>
      </c>
      <c r="F91" s="7">
        <v>31048</v>
      </c>
      <c r="G91" s="8">
        <f t="shared" si="1"/>
        <v>31048</v>
      </c>
      <c r="H91" s="6" t="s">
        <v>13</v>
      </c>
      <c r="I91" s="9" t="s">
        <v>3380</v>
      </c>
      <c r="J91" s="10" t="s">
        <v>3380</v>
      </c>
      <c r="K91" s="17"/>
      <c r="M91"/>
      <c r="N91" s="63"/>
      <c r="O91" s="63"/>
    </row>
    <row r="92" spans="1:15" x14ac:dyDescent="0.25">
      <c r="A92" s="3" t="s">
        <v>200</v>
      </c>
      <c r="B92" s="4" t="s">
        <v>201</v>
      </c>
      <c r="C92" s="5">
        <v>1901</v>
      </c>
      <c r="D92" s="6" t="s">
        <v>31</v>
      </c>
      <c r="E92" s="6" t="s">
        <v>17</v>
      </c>
      <c r="F92" s="7">
        <v>37950</v>
      </c>
      <c r="G92" s="8">
        <f t="shared" si="1"/>
        <v>37950</v>
      </c>
      <c r="H92" s="6" t="s">
        <v>13</v>
      </c>
      <c r="I92" s="9">
        <v>652418.36</v>
      </c>
      <c r="J92" s="10">
        <v>2000</v>
      </c>
      <c r="K92" s="17"/>
      <c r="M92"/>
      <c r="N92" s="63"/>
      <c r="O92" s="63"/>
    </row>
    <row r="93" spans="1:15" x14ac:dyDescent="0.25">
      <c r="A93" s="3" t="s">
        <v>202</v>
      </c>
      <c r="B93" s="4" t="s">
        <v>203</v>
      </c>
      <c r="C93" s="5">
        <v>52946</v>
      </c>
      <c r="D93" s="6" t="s">
        <v>34</v>
      </c>
      <c r="E93" s="6" t="s">
        <v>17</v>
      </c>
      <c r="F93" s="7">
        <v>35065</v>
      </c>
      <c r="G93" s="8">
        <f t="shared" si="1"/>
        <v>35065</v>
      </c>
      <c r="H93" s="6" t="s">
        <v>13</v>
      </c>
      <c r="I93" s="9" t="s">
        <v>3380</v>
      </c>
      <c r="J93" s="10" t="s">
        <v>3380</v>
      </c>
      <c r="K93" s="11"/>
      <c r="M93"/>
      <c r="N93" s="63"/>
      <c r="O93" s="63"/>
    </row>
    <row r="94" spans="1:15" x14ac:dyDescent="0.25">
      <c r="A94" s="3" t="s">
        <v>204</v>
      </c>
      <c r="B94" s="4" t="s">
        <v>205</v>
      </c>
      <c r="C94" s="5">
        <v>1557</v>
      </c>
      <c r="D94" s="6" t="s">
        <v>28</v>
      </c>
      <c r="E94" s="6" t="s">
        <v>17</v>
      </c>
      <c r="F94" s="7">
        <v>18264</v>
      </c>
      <c r="G94" s="8">
        <f t="shared" si="1"/>
        <v>18264</v>
      </c>
      <c r="H94" s="6" t="s">
        <v>13</v>
      </c>
      <c r="I94" s="9" t="s">
        <v>3380</v>
      </c>
      <c r="J94" s="10" t="s">
        <v>3380</v>
      </c>
      <c r="K94" s="17"/>
      <c r="M94"/>
      <c r="N94" s="63"/>
      <c r="O94" s="63"/>
    </row>
    <row r="95" spans="1:15" x14ac:dyDescent="0.25">
      <c r="A95" s="3" t="s">
        <v>206</v>
      </c>
      <c r="B95" s="4" t="s">
        <v>207</v>
      </c>
      <c r="C95" s="14">
        <v>14085</v>
      </c>
      <c r="D95" s="6" t="s">
        <v>11</v>
      </c>
      <c r="E95" s="6" t="s">
        <v>17</v>
      </c>
      <c r="F95" s="7">
        <v>38037</v>
      </c>
      <c r="G95" s="8">
        <f t="shared" si="1"/>
        <v>38037</v>
      </c>
      <c r="H95" s="6" t="s">
        <v>13</v>
      </c>
      <c r="I95" s="9">
        <v>352236.29</v>
      </c>
      <c r="J95" s="10">
        <v>2120</v>
      </c>
      <c r="K95" s="17"/>
      <c r="M95"/>
      <c r="N95" s="63"/>
      <c r="O95" s="63"/>
    </row>
    <row r="96" spans="1:15" x14ac:dyDescent="0.25">
      <c r="A96" s="3" t="s">
        <v>208</v>
      </c>
      <c r="B96" s="4" t="s">
        <v>209</v>
      </c>
      <c r="C96" s="5">
        <v>72134</v>
      </c>
      <c r="D96" s="6" t="s">
        <v>11</v>
      </c>
      <c r="E96" s="6" t="s">
        <v>17</v>
      </c>
      <c r="F96" s="7">
        <v>38832</v>
      </c>
      <c r="G96" s="8">
        <f t="shared" si="1"/>
        <v>38832</v>
      </c>
      <c r="H96" s="6" t="s">
        <v>13</v>
      </c>
      <c r="I96" s="9" t="s">
        <v>3380</v>
      </c>
      <c r="J96" s="10" t="s">
        <v>3380</v>
      </c>
      <c r="K96" s="17"/>
      <c r="M96"/>
      <c r="N96" s="63"/>
      <c r="O96" s="63"/>
    </row>
    <row r="97" spans="1:15" x14ac:dyDescent="0.25">
      <c r="A97" s="3" t="s">
        <v>210</v>
      </c>
      <c r="B97" s="4" t="s">
        <v>211</v>
      </c>
      <c r="C97" s="14">
        <v>72108</v>
      </c>
      <c r="D97" s="6" t="s">
        <v>11</v>
      </c>
      <c r="E97" s="6" t="s">
        <v>17</v>
      </c>
      <c r="F97" s="7">
        <v>39091</v>
      </c>
      <c r="G97" s="8">
        <f t="shared" si="1"/>
        <v>39091</v>
      </c>
      <c r="H97" s="6" t="s">
        <v>13</v>
      </c>
      <c r="I97" s="9">
        <v>103000</v>
      </c>
      <c r="J97" s="10">
        <v>1040</v>
      </c>
      <c r="K97" s="17"/>
      <c r="M97"/>
      <c r="N97" s="63"/>
      <c r="O97" s="63"/>
    </row>
    <row r="98" spans="1:15" x14ac:dyDescent="0.25">
      <c r="A98" s="3" t="s">
        <v>212</v>
      </c>
      <c r="B98" s="4" t="s">
        <v>213</v>
      </c>
      <c r="C98" s="5">
        <v>54491</v>
      </c>
      <c r="D98" s="6" t="s">
        <v>11</v>
      </c>
      <c r="E98" s="6" t="s">
        <v>17</v>
      </c>
      <c r="F98" s="7">
        <v>38950</v>
      </c>
      <c r="G98" s="8">
        <f t="shared" si="1"/>
        <v>38950</v>
      </c>
      <c r="H98" s="6" t="s">
        <v>13</v>
      </c>
      <c r="I98" s="9" t="s">
        <v>3380</v>
      </c>
      <c r="J98" s="10" t="s">
        <v>3380</v>
      </c>
      <c r="K98" s="17"/>
      <c r="M98"/>
      <c r="N98" s="63"/>
      <c r="O98" s="63"/>
    </row>
    <row r="99" spans="1:15" x14ac:dyDescent="0.25">
      <c r="A99" s="3" t="s">
        <v>214</v>
      </c>
      <c r="B99" s="4" t="s">
        <v>215</v>
      </c>
      <c r="C99" s="14">
        <v>30537</v>
      </c>
      <c r="D99" s="6" t="s">
        <v>16</v>
      </c>
      <c r="E99" s="6" t="s">
        <v>17</v>
      </c>
      <c r="F99" s="7">
        <v>38540</v>
      </c>
      <c r="G99" s="8">
        <f t="shared" si="1"/>
        <v>38540</v>
      </c>
      <c r="H99" s="6" t="s">
        <v>13</v>
      </c>
      <c r="I99" s="9" t="s">
        <v>3380</v>
      </c>
      <c r="J99" s="10" t="s">
        <v>3380</v>
      </c>
      <c r="K99" s="17"/>
      <c r="M99"/>
      <c r="N99" s="63"/>
      <c r="O99" s="63"/>
    </row>
    <row r="100" spans="1:15" x14ac:dyDescent="0.25">
      <c r="A100" s="3" t="s">
        <v>216</v>
      </c>
      <c r="B100" s="4" t="s">
        <v>217</v>
      </c>
      <c r="C100" s="14">
        <v>14732</v>
      </c>
      <c r="D100" s="6" t="s">
        <v>31</v>
      </c>
      <c r="E100" s="6" t="s">
        <v>17</v>
      </c>
      <c r="F100" s="7">
        <v>31373</v>
      </c>
      <c r="G100" s="8">
        <f t="shared" si="1"/>
        <v>31373</v>
      </c>
      <c r="H100" s="6" t="s">
        <v>13</v>
      </c>
      <c r="I100" s="9">
        <v>585015.31000000006</v>
      </c>
      <c r="J100" s="10">
        <v>2400</v>
      </c>
      <c r="K100" s="17"/>
      <c r="M100"/>
      <c r="N100" s="63"/>
      <c r="O100" s="63"/>
    </row>
    <row r="101" spans="1:15" x14ac:dyDescent="0.25">
      <c r="A101" s="3" t="s">
        <v>218</v>
      </c>
      <c r="B101" s="4" t="s">
        <v>219</v>
      </c>
      <c r="C101" s="5">
        <v>54492</v>
      </c>
      <c r="D101" s="6" t="s">
        <v>34</v>
      </c>
      <c r="E101" s="6" t="s">
        <v>17</v>
      </c>
      <c r="F101" s="7">
        <v>37911</v>
      </c>
      <c r="G101" s="8">
        <f t="shared" si="1"/>
        <v>37911</v>
      </c>
      <c r="H101" s="6" t="s">
        <v>13</v>
      </c>
      <c r="I101" s="9" t="s">
        <v>3380</v>
      </c>
      <c r="J101" s="10" t="s">
        <v>3380</v>
      </c>
      <c r="K101" s="6"/>
      <c r="M101"/>
      <c r="N101" s="63"/>
      <c r="O101" s="63"/>
    </row>
    <row r="102" spans="1:15" x14ac:dyDescent="0.25">
      <c r="A102" s="12" t="s">
        <v>220</v>
      </c>
      <c r="B102" s="4" t="s">
        <v>221</v>
      </c>
      <c r="C102" s="14">
        <v>1902</v>
      </c>
      <c r="D102" s="6" t="s">
        <v>34</v>
      </c>
      <c r="E102" s="6" t="s">
        <v>17</v>
      </c>
      <c r="F102" s="7">
        <v>24108</v>
      </c>
      <c r="G102" s="8">
        <f t="shared" si="1"/>
        <v>24108</v>
      </c>
      <c r="H102" s="6" t="s">
        <v>13</v>
      </c>
      <c r="I102" s="9">
        <v>3443586.1300000004</v>
      </c>
      <c r="J102" s="10">
        <v>19250</v>
      </c>
      <c r="K102" s="17"/>
      <c r="M102"/>
      <c r="N102" s="63"/>
      <c r="O102" s="63"/>
    </row>
    <row r="103" spans="1:15" x14ac:dyDescent="0.25">
      <c r="A103" s="3" t="s">
        <v>222</v>
      </c>
      <c r="B103" s="4" t="s">
        <v>223</v>
      </c>
      <c r="C103" s="5">
        <v>17601</v>
      </c>
      <c r="D103" s="6" t="s">
        <v>16</v>
      </c>
      <c r="E103" s="6" t="s">
        <v>17</v>
      </c>
      <c r="F103" s="7">
        <v>27485</v>
      </c>
      <c r="G103" s="8">
        <f t="shared" si="1"/>
        <v>27485</v>
      </c>
      <c r="H103" s="6" t="s">
        <v>13</v>
      </c>
      <c r="I103" s="9" t="s">
        <v>3380</v>
      </c>
      <c r="J103" s="10" t="s">
        <v>3380</v>
      </c>
      <c r="K103" s="17"/>
      <c r="M103"/>
      <c r="N103" s="63"/>
      <c r="O103" s="63"/>
    </row>
    <row r="104" spans="1:15" x14ac:dyDescent="0.25">
      <c r="A104" s="3" t="s">
        <v>224</v>
      </c>
      <c r="B104" s="4" t="s">
        <v>225</v>
      </c>
      <c r="C104" s="5">
        <v>1373</v>
      </c>
      <c r="D104" s="6" t="s">
        <v>28</v>
      </c>
      <c r="E104" s="6" t="s">
        <v>17</v>
      </c>
      <c r="F104" s="7">
        <v>25934</v>
      </c>
      <c r="G104" s="8">
        <f t="shared" si="1"/>
        <v>25934</v>
      </c>
      <c r="H104" s="6" t="s">
        <v>13</v>
      </c>
      <c r="I104" s="9" t="s">
        <v>3380</v>
      </c>
      <c r="J104" s="10" t="s">
        <v>3380</v>
      </c>
      <c r="K104" s="17"/>
      <c r="M104"/>
      <c r="N104" s="63"/>
      <c r="O104" s="63"/>
    </row>
    <row r="105" spans="1:15" x14ac:dyDescent="0.25">
      <c r="A105" s="3" t="s">
        <v>226</v>
      </c>
      <c r="B105" s="4" t="s">
        <v>227</v>
      </c>
      <c r="C105" s="14">
        <v>17282</v>
      </c>
      <c r="D105" s="6" t="s">
        <v>16</v>
      </c>
      <c r="E105" s="6" t="s">
        <v>17</v>
      </c>
      <c r="F105" s="7">
        <v>26257</v>
      </c>
      <c r="G105" s="8">
        <f t="shared" si="1"/>
        <v>26257</v>
      </c>
      <c r="H105" s="6" t="s">
        <v>13</v>
      </c>
      <c r="I105" s="9">
        <v>300837.89999999997</v>
      </c>
      <c r="J105" s="10">
        <v>800</v>
      </c>
      <c r="K105" s="17"/>
      <c r="M105"/>
      <c r="N105" s="63"/>
      <c r="O105" s="63"/>
    </row>
    <row r="106" spans="1:15" x14ac:dyDescent="0.25">
      <c r="A106" s="3" t="s">
        <v>228</v>
      </c>
      <c r="B106" s="4" t="s">
        <v>229</v>
      </c>
      <c r="C106" s="5">
        <v>16646</v>
      </c>
      <c r="D106" s="6" t="s">
        <v>16</v>
      </c>
      <c r="E106" s="6" t="s">
        <v>17</v>
      </c>
      <c r="F106" s="7">
        <v>30748</v>
      </c>
      <c r="G106" s="8">
        <f t="shared" si="1"/>
        <v>30748</v>
      </c>
      <c r="H106" s="6" t="s">
        <v>13</v>
      </c>
      <c r="I106" s="9" t="s">
        <v>3380</v>
      </c>
      <c r="J106" s="10" t="s">
        <v>3380</v>
      </c>
      <c r="K106" s="17"/>
      <c r="M106"/>
      <c r="N106" s="63"/>
      <c r="O106" s="63"/>
    </row>
    <row r="107" spans="1:15" x14ac:dyDescent="0.25">
      <c r="A107" s="3" t="s">
        <v>230</v>
      </c>
      <c r="B107" s="4" t="s">
        <v>231</v>
      </c>
      <c r="C107" s="5">
        <v>16652</v>
      </c>
      <c r="D107" s="6" t="s">
        <v>16</v>
      </c>
      <c r="E107" s="6" t="s">
        <v>17</v>
      </c>
      <c r="F107" s="7">
        <v>26746</v>
      </c>
      <c r="G107" s="8">
        <f t="shared" si="1"/>
        <v>26746</v>
      </c>
      <c r="H107" s="6" t="s">
        <v>13</v>
      </c>
      <c r="I107" s="9" t="s">
        <v>3380</v>
      </c>
      <c r="J107" s="10" t="s">
        <v>3380</v>
      </c>
      <c r="K107" s="17"/>
      <c r="M107"/>
      <c r="N107" s="63"/>
      <c r="O107" s="63"/>
    </row>
    <row r="108" spans="1:15" x14ac:dyDescent="0.25">
      <c r="A108" s="3" t="s">
        <v>232</v>
      </c>
      <c r="B108" s="4" t="s">
        <v>233</v>
      </c>
      <c r="C108" s="14">
        <v>1193</v>
      </c>
      <c r="D108" s="6" t="s">
        <v>16</v>
      </c>
      <c r="E108" s="6" t="s">
        <v>17</v>
      </c>
      <c r="F108" s="7">
        <v>29221</v>
      </c>
      <c r="G108" s="8">
        <f t="shared" si="1"/>
        <v>29221</v>
      </c>
      <c r="H108" s="6" t="s">
        <v>13</v>
      </c>
      <c r="I108" s="9">
        <v>357750.32</v>
      </c>
      <c r="J108" s="10">
        <v>900</v>
      </c>
      <c r="K108" s="17"/>
      <c r="M108"/>
      <c r="N108" s="63"/>
      <c r="O108" s="63"/>
    </row>
    <row r="109" spans="1:15" x14ac:dyDescent="0.25">
      <c r="A109" s="3" t="s">
        <v>234</v>
      </c>
      <c r="B109" s="4" t="s">
        <v>235</v>
      </c>
      <c r="C109" s="5">
        <v>15375</v>
      </c>
      <c r="D109" s="6" t="s">
        <v>16</v>
      </c>
      <c r="E109" s="6" t="s">
        <v>17</v>
      </c>
      <c r="F109" s="7">
        <v>26046</v>
      </c>
      <c r="G109" s="8">
        <f t="shared" si="1"/>
        <v>26046</v>
      </c>
      <c r="H109" s="6" t="s">
        <v>13</v>
      </c>
      <c r="I109" s="9" t="s">
        <v>3380</v>
      </c>
      <c r="J109" s="10" t="s">
        <v>3380</v>
      </c>
      <c r="K109" s="17"/>
      <c r="M109"/>
      <c r="N109" s="63"/>
      <c r="O109" s="63"/>
    </row>
    <row r="110" spans="1:15" x14ac:dyDescent="0.25">
      <c r="A110" s="3" t="s">
        <v>236</v>
      </c>
      <c r="B110" s="4" t="s">
        <v>237</v>
      </c>
      <c r="C110" s="5">
        <v>382844</v>
      </c>
      <c r="D110" s="6" t="s">
        <v>16</v>
      </c>
      <c r="E110" s="6" t="s">
        <v>17</v>
      </c>
      <c r="F110" s="7">
        <v>45600</v>
      </c>
      <c r="G110" s="8">
        <f t="shared" si="1"/>
        <v>45600</v>
      </c>
      <c r="H110" s="6" t="s">
        <v>13</v>
      </c>
      <c r="I110" s="9">
        <v>359664.75</v>
      </c>
      <c r="J110" s="10">
        <v>700</v>
      </c>
      <c r="K110" s="17"/>
      <c r="M110"/>
      <c r="N110" s="63"/>
      <c r="O110" s="63"/>
    </row>
    <row r="111" spans="1:15" x14ac:dyDescent="0.25">
      <c r="A111" s="3" t="s">
        <v>238</v>
      </c>
      <c r="B111" s="4" t="s">
        <v>239</v>
      </c>
      <c r="C111" s="14">
        <v>1614</v>
      </c>
      <c r="D111" s="6" t="s">
        <v>16</v>
      </c>
      <c r="E111" s="6" t="s">
        <v>17</v>
      </c>
      <c r="F111" s="7">
        <v>36972</v>
      </c>
      <c r="G111" s="8">
        <f t="shared" si="1"/>
        <v>36972</v>
      </c>
      <c r="H111" s="6" t="s">
        <v>13</v>
      </c>
      <c r="I111" s="9" t="s">
        <v>3380</v>
      </c>
      <c r="J111" s="10" t="s">
        <v>3380</v>
      </c>
      <c r="K111" s="17"/>
      <c r="M111"/>
      <c r="N111" s="63"/>
      <c r="O111" s="63"/>
    </row>
    <row r="112" spans="1:15" x14ac:dyDescent="0.25">
      <c r="A112" s="3" t="s">
        <v>240</v>
      </c>
      <c r="B112" s="4" t="s">
        <v>241</v>
      </c>
      <c r="C112" s="14">
        <v>11845</v>
      </c>
      <c r="D112" s="6" t="s">
        <v>16</v>
      </c>
      <c r="E112" s="6" t="s">
        <v>17</v>
      </c>
      <c r="F112" s="7">
        <v>37812</v>
      </c>
      <c r="G112" s="8">
        <f t="shared" si="1"/>
        <v>37812</v>
      </c>
      <c r="H112" s="6" t="s">
        <v>13</v>
      </c>
      <c r="I112" s="9">
        <v>312798.53000000003</v>
      </c>
      <c r="J112" s="10">
        <v>1458.69338692406</v>
      </c>
      <c r="K112" s="17"/>
      <c r="M112"/>
      <c r="N112" s="63"/>
      <c r="O112" s="63"/>
    </row>
    <row r="113" spans="1:15" x14ac:dyDescent="0.25">
      <c r="A113" s="3" t="s">
        <v>242</v>
      </c>
      <c r="B113" s="4" t="s">
        <v>243</v>
      </c>
      <c r="C113" s="5">
        <v>2010</v>
      </c>
      <c r="D113" s="6" t="s">
        <v>16</v>
      </c>
      <c r="E113" s="6" t="s">
        <v>17</v>
      </c>
      <c r="F113" s="7">
        <v>36416</v>
      </c>
      <c r="G113" s="8">
        <f t="shared" si="1"/>
        <v>36416</v>
      </c>
      <c r="H113" s="6" t="s">
        <v>13</v>
      </c>
      <c r="I113" s="9" t="s">
        <v>3380</v>
      </c>
      <c r="J113" s="10" t="s">
        <v>3380</v>
      </c>
      <c r="K113" s="17"/>
      <c r="M113"/>
      <c r="N113" s="63"/>
      <c r="O113" s="63"/>
    </row>
    <row r="114" spans="1:15" x14ac:dyDescent="0.25">
      <c r="A114" s="3" t="s">
        <v>244</v>
      </c>
      <c r="B114" s="4" t="s">
        <v>245</v>
      </c>
      <c r="C114" s="5">
        <v>18886</v>
      </c>
      <c r="D114" s="6" t="s">
        <v>16</v>
      </c>
      <c r="E114" s="6" t="s">
        <v>17</v>
      </c>
      <c r="F114" s="7">
        <v>29575</v>
      </c>
      <c r="G114" s="8">
        <f t="shared" si="1"/>
        <v>29575</v>
      </c>
      <c r="H114" s="6" t="s">
        <v>13</v>
      </c>
      <c r="I114" s="9" t="s">
        <v>3380</v>
      </c>
      <c r="J114" s="10" t="s">
        <v>3380</v>
      </c>
      <c r="K114" s="17"/>
      <c r="M114"/>
      <c r="N114" s="63"/>
      <c r="O114" s="63"/>
    </row>
    <row r="115" spans="1:15" x14ac:dyDescent="0.25">
      <c r="A115" s="3" t="s">
        <v>246</v>
      </c>
      <c r="B115" s="4" t="s">
        <v>247</v>
      </c>
      <c r="C115" s="5">
        <v>15693</v>
      </c>
      <c r="D115" s="6" t="s">
        <v>16</v>
      </c>
      <c r="E115" s="6" t="s">
        <v>17</v>
      </c>
      <c r="F115" s="7">
        <v>29929</v>
      </c>
      <c r="G115" s="8">
        <f t="shared" si="1"/>
        <v>29929</v>
      </c>
      <c r="H115" s="6" t="s">
        <v>13</v>
      </c>
      <c r="I115" s="9" t="s">
        <v>3380</v>
      </c>
      <c r="J115" s="10" t="s">
        <v>3380</v>
      </c>
      <c r="K115" s="17"/>
      <c r="M115"/>
      <c r="N115" s="63"/>
      <c r="O115" s="63"/>
    </row>
    <row r="116" spans="1:15" x14ac:dyDescent="0.25">
      <c r="A116" s="3" t="s">
        <v>248</v>
      </c>
      <c r="B116" s="4" t="s">
        <v>249</v>
      </c>
      <c r="C116" s="14">
        <v>2017</v>
      </c>
      <c r="D116" s="6" t="s">
        <v>16</v>
      </c>
      <c r="E116" s="6" t="s">
        <v>17</v>
      </c>
      <c r="F116" s="7">
        <v>31048</v>
      </c>
      <c r="G116" s="8">
        <f t="shared" si="1"/>
        <v>31048</v>
      </c>
      <c r="H116" s="6" t="s">
        <v>13</v>
      </c>
      <c r="I116" s="9">
        <v>578953.63</v>
      </c>
      <c r="J116" s="10">
        <v>1760</v>
      </c>
      <c r="K116" s="17"/>
      <c r="M116"/>
      <c r="N116" s="63"/>
      <c r="O116" s="63"/>
    </row>
    <row r="117" spans="1:15" x14ac:dyDescent="0.25">
      <c r="A117" s="3" t="s">
        <v>250</v>
      </c>
      <c r="B117" s="4" t="s">
        <v>251</v>
      </c>
      <c r="C117" s="5">
        <v>2037</v>
      </c>
      <c r="D117" s="6" t="s">
        <v>16</v>
      </c>
      <c r="E117" s="6" t="s">
        <v>17</v>
      </c>
      <c r="F117" s="7">
        <v>36526</v>
      </c>
      <c r="G117" s="8">
        <f t="shared" si="1"/>
        <v>36526</v>
      </c>
      <c r="H117" s="6" t="s">
        <v>13</v>
      </c>
      <c r="I117" s="9" t="s">
        <v>3380</v>
      </c>
      <c r="J117" s="10" t="s">
        <v>3380</v>
      </c>
      <c r="K117" s="17"/>
      <c r="M117"/>
      <c r="N117" s="63"/>
      <c r="O117" s="63"/>
    </row>
    <row r="118" spans="1:15" x14ac:dyDescent="0.25">
      <c r="A118" s="3" t="s">
        <v>252</v>
      </c>
      <c r="B118" s="4" t="s">
        <v>253</v>
      </c>
      <c r="C118" s="14">
        <v>1455</v>
      </c>
      <c r="D118" s="6" t="s">
        <v>31</v>
      </c>
      <c r="E118" s="6" t="s">
        <v>17</v>
      </c>
      <c r="F118" s="7">
        <v>32051</v>
      </c>
      <c r="G118" s="8">
        <f t="shared" si="1"/>
        <v>32051</v>
      </c>
      <c r="H118" s="6" t="s">
        <v>13</v>
      </c>
      <c r="I118" s="9" t="s">
        <v>3380</v>
      </c>
      <c r="J118" s="10" t="s">
        <v>3380</v>
      </c>
      <c r="K118" s="17"/>
      <c r="M118"/>
      <c r="N118" s="63"/>
      <c r="O118" s="63"/>
    </row>
    <row r="119" spans="1:15" x14ac:dyDescent="0.25">
      <c r="A119" s="3" t="s">
        <v>254</v>
      </c>
      <c r="B119" s="4" t="s">
        <v>255</v>
      </c>
      <c r="C119" s="5">
        <v>1472</v>
      </c>
      <c r="D119" s="6" t="s">
        <v>31</v>
      </c>
      <c r="E119" s="6" t="s">
        <v>17</v>
      </c>
      <c r="F119" s="7">
        <v>36774</v>
      </c>
      <c r="G119" s="8">
        <f t="shared" si="1"/>
        <v>36774</v>
      </c>
      <c r="H119" s="6" t="s">
        <v>13</v>
      </c>
      <c r="I119" s="9" t="s">
        <v>3380</v>
      </c>
      <c r="J119" s="10" t="s">
        <v>3380</v>
      </c>
      <c r="K119" s="17"/>
      <c r="M119"/>
      <c r="N119" s="63"/>
      <c r="O119" s="63"/>
    </row>
    <row r="120" spans="1:15" x14ac:dyDescent="0.25">
      <c r="A120" s="3" t="s">
        <v>256</v>
      </c>
      <c r="B120" s="4" t="s">
        <v>257</v>
      </c>
      <c r="C120" s="5">
        <v>60577</v>
      </c>
      <c r="D120" s="6" t="s">
        <v>31</v>
      </c>
      <c r="E120" s="6" t="s">
        <v>17</v>
      </c>
      <c r="F120" s="7">
        <v>38959</v>
      </c>
      <c r="G120" s="8">
        <f t="shared" si="1"/>
        <v>38959</v>
      </c>
      <c r="H120" s="6" t="s">
        <v>13</v>
      </c>
      <c r="I120" s="9" t="s">
        <v>3380</v>
      </c>
      <c r="J120" s="10" t="s">
        <v>3380</v>
      </c>
      <c r="K120" s="17"/>
      <c r="M120"/>
      <c r="N120" s="63"/>
      <c r="O120" s="63"/>
    </row>
    <row r="121" spans="1:15" x14ac:dyDescent="0.25">
      <c r="A121" s="3" t="s">
        <v>258</v>
      </c>
      <c r="B121" s="4" t="s">
        <v>259</v>
      </c>
      <c r="C121" s="14">
        <v>1352</v>
      </c>
      <c r="D121" s="6" t="s">
        <v>31</v>
      </c>
      <c r="E121" s="6" t="s">
        <v>17</v>
      </c>
      <c r="F121" s="7">
        <v>29221</v>
      </c>
      <c r="G121" s="8">
        <f t="shared" si="1"/>
        <v>29221</v>
      </c>
      <c r="H121" s="6" t="s">
        <v>13</v>
      </c>
      <c r="I121" s="9" t="s">
        <v>3380</v>
      </c>
      <c r="J121" s="10" t="s">
        <v>3380</v>
      </c>
      <c r="K121" s="11"/>
      <c r="M121"/>
      <c r="N121" s="63"/>
      <c r="O121" s="63"/>
    </row>
    <row r="122" spans="1:15" x14ac:dyDescent="0.25">
      <c r="A122" s="3" t="s">
        <v>260</v>
      </c>
      <c r="B122" s="4" t="s">
        <v>261</v>
      </c>
      <c r="C122" s="5">
        <v>21122</v>
      </c>
      <c r="D122" s="6" t="s">
        <v>31</v>
      </c>
      <c r="E122" s="6" t="s">
        <v>17</v>
      </c>
      <c r="F122" s="7">
        <v>35576</v>
      </c>
      <c r="G122" s="8">
        <f t="shared" si="1"/>
        <v>35576</v>
      </c>
      <c r="H122" s="6" t="s">
        <v>13</v>
      </c>
      <c r="I122" s="9" t="s">
        <v>3380</v>
      </c>
      <c r="J122" s="10" t="s">
        <v>3380</v>
      </c>
      <c r="K122" s="17"/>
      <c r="M122"/>
      <c r="N122" s="63"/>
      <c r="O122" s="63"/>
    </row>
    <row r="123" spans="1:15" x14ac:dyDescent="0.25">
      <c r="A123" s="3" t="s">
        <v>262</v>
      </c>
      <c r="B123" s="4" t="s">
        <v>263</v>
      </c>
      <c r="C123" s="5">
        <v>21444</v>
      </c>
      <c r="D123" s="6" t="s">
        <v>31</v>
      </c>
      <c r="E123" s="6" t="s">
        <v>17</v>
      </c>
      <c r="F123" s="7">
        <v>32273</v>
      </c>
      <c r="G123" s="8">
        <f t="shared" si="1"/>
        <v>32273</v>
      </c>
      <c r="H123" s="6" t="s">
        <v>13</v>
      </c>
      <c r="I123" s="9" t="s">
        <v>3380</v>
      </c>
      <c r="J123" s="10" t="s">
        <v>3380</v>
      </c>
      <c r="K123" s="17"/>
      <c r="M123"/>
      <c r="N123" s="63"/>
      <c r="O123" s="63"/>
    </row>
    <row r="124" spans="1:15" x14ac:dyDescent="0.25">
      <c r="A124" s="3" t="s">
        <v>264</v>
      </c>
      <c r="B124" s="4" t="s">
        <v>265</v>
      </c>
      <c r="C124" s="5">
        <v>1766</v>
      </c>
      <c r="D124" s="6" t="s">
        <v>31</v>
      </c>
      <c r="E124" s="6" t="s">
        <v>17</v>
      </c>
      <c r="F124" s="7">
        <v>36637</v>
      </c>
      <c r="G124" s="8">
        <f t="shared" si="1"/>
        <v>36637</v>
      </c>
      <c r="H124" s="6" t="s">
        <v>13</v>
      </c>
      <c r="I124" s="9" t="s">
        <v>3380</v>
      </c>
      <c r="J124" s="10" t="s">
        <v>3380</v>
      </c>
      <c r="K124" s="17"/>
      <c r="M124"/>
      <c r="N124" s="63"/>
      <c r="O124" s="63"/>
    </row>
    <row r="125" spans="1:15" x14ac:dyDescent="0.25">
      <c r="A125" s="3" t="s">
        <v>266</v>
      </c>
      <c r="B125" s="4" t="s">
        <v>267</v>
      </c>
      <c r="C125" s="5">
        <v>54499</v>
      </c>
      <c r="D125" s="6" t="s">
        <v>31</v>
      </c>
      <c r="E125" s="6" t="s">
        <v>17</v>
      </c>
      <c r="F125" s="7">
        <v>29768</v>
      </c>
      <c r="G125" s="8">
        <f t="shared" si="1"/>
        <v>29768</v>
      </c>
      <c r="H125" s="6" t="s">
        <v>13</v>
      </c>
      <c r="I125" s="9" t="s">
        <v>3380</v>
      </c>
      <c r="J125" s="10" t="s">
        <v>3380</v>
      </c>
      <c r="K125" s="17"/>
      <c r="M125"/>
      <c r="N125" s="63"/>
      <c r="O125" s="63"/>
    </row>
    <row r="126" spans="1:15" x14ac:dyDescent="0.25">
      <c r="A126" s="26" t="s">
        <v>268</v>
      </c>
      <c r="B126" s="27" t="s">
        <v>269</v>
      </c>
      <c r="C126" s="5">
        <v>14722</v>
      </c>
      <c r="D126" s="28" t="s">
        <v>31</v>
      </c>
      <c r="E126" s="28" t="s">
        <v>17</v>
      </c>
      <c r="F126" s="29">
        <v>27474</v>
      </c>
      <c r="G126" s="30">
        <f t="shared" si="1"/>
        <v>27474</v>
      </c>
      <c r="H126" s="28" t="s">
        <v>13</v>
      </c>
      <c r="I126" s="9" t="s">
        <v>3380</v>
      </c>
      <c r="J126" s="10" t="s">
        <v>3380</v>
      </c>
      <c r="K126" s="33"/>
      <c r="M126"/>
      <c r="N126" s="63"/>
      <c r="O126" s="63"/>
    </row>
    <row r="127" spans="1:15" x14ac:dyDescent="0.25">
      <c r="A127" s="26" t="s">
        <v>270</v>
      </c>
      <c r="B127" s="27" t="s">
        <v>271</v>
      </c>
      <c r="C127" s="5">
        <v>1719</v>
      </c>
      <c r="D127" s="28" t="s">
        <v>16</v>
      </c>
      <c r="E127" s="28" t="s">
        <v>17</v>
      </c>
      <c r="F127" s="29">
        <v>25569</v>
      </c>
      <c r="G127" s="30">
        <f t="shared" si="1"/>
        <v>25569</v>
      </c>
      <c r="H127" s="28" t="s">
        <v>13</v>
      </c>
      <c r="I127" s="9" t="s">
        <v>3380</v>
      </c>
      <c r="J127" s="10" t="s">
        <v>3380</v>
      </c>
      <c r="K127" s="33"/>
      <c r="M127"/>
      <c r="N127" s="63"/>
      <c r="O127" s="63"/>
    </row>
    <row r="128" spans="1:15" x14ac:dyDescent="0.25">
      <c r="A128" s="3" t="s">
        <v>272</v>
      </c>
      <c r="B128" s="4" t="s">
        <v>273</v>
      </c>
      <c r="C128" s="5">
        <v>1310</v>
      </c>
      <c r="D128" s="6" t="s">
        <v>16</v>
      </c>
      <c r="E128" s="6" t="s">
        <v>17</v>
      </c>
      <c r="F128" s="7">
        <v>25569</v>
      </c>
      <c r="G128" s="8">
        <f t="shared" si="1"/>
        <v>25569</v>
      </c>
      <c r="H128" s="6" t="s">
        <v>13</v>
      </c>
      <c r="I128" s="9" t="s">
        <v>3380</v>
      </c>
      <c r="J128" s="10" t="s">
        <v>3380</v>
      </c>
      <c r="K128" s="17"/>
      <c r="M128"/>
      <c r="N128" s="63"/>
      <c r="O128" s="63"/>
    </row>
    <row r="129" spans="1:15" x14ac:dyDescent="0.25">
      <c r="A129" s="3" t="s">
        <v>274</v>
      </c>
      <c r="B129" s="4" t="s">
        <v>275</v>
      </c>
      <c r="C129" s="5">
        <v>1058</v>
      </c>
      <c r="D129" s="6" t="s">
        <v>16</v>
      </c>
      <c r="E129" s="6" t="s">
        <v>17</v>
      </c>
      <c r="F129" s="7">
        <v>29221</v>
      </c>
      <c r="G129" s="8">
        <f t="shared" si="1"/>
        <v>29221</v>
      </c>
      <c r="H129" s="6" t="s">
        <v>13</v>
      </c>
      <c r="I129" s="9" t="s">
        <v>3380</v>
      </c>
      <c r="J129" s="10" t="s">
        <v>3380</v>
      </c>
      <c r="K129" s="17"/>
      <c r="M129"/>
      <c r="N129" s="63"/>
      <c r="O129" s="63"/>
    </row>
    <row r="130" spans="1:15" ht="15.75" thickBot="1" x14ac:dyDescent="0.3">
      <c r="A130" s="3" t="s">
        <v>276</v>
      </c>
      <c r="B130" s="4" t="s">
        <v>277</v>
      </c>
      <c r="C130" s="5">
        <v>1851</v>
      </c>
      <c r="D130" s="6" t="s">
        <v>16</v>
      </c>
      <c r="E130" s="6" t="s">
        <v>17</v>
      </c>
      <c r="F130" s="7">
        <v>35795</v>
      </c>
      <c r="G130" s="8">
        <f t="shared" ref="G130:G193" si="2">F130</f>
        <v>35795</v>
      </c>
      <c r="H130" s="6" t="s">
        <v>13</v>
      </c>
      <c r="I130" s="9" t="s">
        <v>3380</v>
      </c>
      <c r="J130" s="10" t="s">
        <v>3380</v>
      </c>
      <c r="K130" s="17"/>
      <c r="M130" s="64"/>
      <c r="N130" s="65"/>
      <c r="O130" s="65"/>
    </row>
    <row r="131" spans="1:15" ht="15.75" thickTop="1" x14ac:dyDescent="0.25">
      <c r="A131" s="3" t="s">
        <v>278</v>
      </c>
      <c r="B131" s="4" t="s">
        <v>279</v>
      </c>
      <c r="C131" s="14">
        <v>54498</v>
      </c>
      <c r="D131" s="6" t="s">
        <v>28</v>
      </c>
      <c r="E131" s="6" t="s">
        <v>17</v>
      </c>
      <c r="F131" s="7">
        <v>38121</v>
      </c>
      <c r="G131" s="8">
        <f t="shared" si="2"/>
        <v>38121</v>
      </c>
      <c r="H131" s="6" t="s">
        <v>13</v>
      </c>
      <c r="I131" s="9" t="s">
        <v>3380</v>
      </c>
      <c r="J131" s="10" t="s">
        <v>3380</v>
      </c>
      <c r="K131" s="11"/>
    </row>
    <row r="132" spans="1:15" ht="30" x14ac:dyDescent="0.25">
      <c r="A132" s="3" t="s">
        <v>280</v>
      </c>
      <c r="B132" s="4" t="s">
        <v>281</v>
      </c>
      <c r="C132" s="5">
        <v>2067</v>
      </c>
      <c r="D132" s="6" t="s">
        <v>34</v>
      </c>
      <c r="E132" s="6" t="s">
        <v>17</v>
      </c>
      <c r="F132" s="7">
        <v>19725</v>
      </c>
      <c r="G132" s="8">
        <f t="shared" si="2"/>
        <v>19725</v>
      </c>
      <c r="H132" s="6" t="s">
        <v>13</v>
      </c>
      <c r="I132" s="9" t="s">
        <v>3380</v>
      </c>
      <c r="J132" s="10" t="s">
        <v>3380</v>
      </c>
      <c r="K132" s="17"/>
    </row>
    <row r="133" spans="1:15" ht="30" x14ac:dyDescent="0.25">
      <c r="A133" s="3" t="s">
        <v>282</v>
      </c>
      <c r="B133" s="4" t="s">
        <v>283</v>
      </c>
      <c r="C133" s="14">
        <v>1538</v>
      </c>
      <c r="D133" s="6" t="s">
        <v>28</v>
      </c>
      <c r="E133" s="6" t="s">
        <v>17</v>
      </c>
      <c r="F133" s="7">
        <v>33239</v>
      </c>
      <c r="G133" s="8">
        <f t="shared" si="2"/>
        <v>33239</v>
      </c>
      <c r="H133" s="6" t="s">
        <v>13</v>
      </c>
      <c r="I133" s="9">
        <v>140000</v>
      </c>
      <c r="J133" s="10">
        <v>928.66749321792997</v>
      </c>
      <c r="K133" s="17"/>
    </row>
    <row r="134" spans="1:15" ht="30" x14ac:dyDescent="0.25">
      <c r="A134" s="3" t="s">
        <v>284</v>
      </c>
      <c r="B134" s="4" t="s">
        <v>285</v>
      </c>
      <c r="C134" s="14">
        <v>1454</v>
      </c>
      <c r="D134" s="6" t="s">
        <v>16</v>
      </c>
      <c r="E134" s="6" t="s">
        <v>17</v>
      </c>
      <c r="F134" s="7">
        <v>29952</v>
      </c>
      <c r="G134" s="8">
        <f t="shared" si="2"/>
        <v>29952</v>
      </c>
      <c r="H134" s="6" t="s">
        <v>13</v>
      </c>
      <c r="I134" s="9" t="s">
        <v>3380</v>
      </c>
      <c r="J134" s="10" t="s">
        <v>3380</v>
      </c>
      <c r="K134" s="17"/>
    </row>
    <row r="135" spans="1:15" ht="30" x14ac:dyDescent="0.25">
      <c r="A135" s="3" t="s">
        <v>286</v>
      </c>
      <c r="B135" s="4" t="s">
        <v>287</v>
      </c>
      <c r="C135" s="14">
        <v>52904</v>
      </c>
      <c r="D135" s="6" t="s">
        <v>11</v>
      </c>
      <c r="E135" s="6" t="s">
        <v>12</v>
      </c>
      <c r="F135" s="7">
        <v>39094</v>
      </c>
      <c r="G135" s="8">
        <f t="shared" si="2"/>
        <v>39094</v>
      </c>
      <c r="H135" s="6" t="s">
        <v>39</v>
      </c>
      <c r="I135" s="9" t="s">
        <v>3380</v>
      </c>
      <c r="J135" s="10" t="s">
        <v>3380</v>
      </c>
      <c r="K135" s="17"/>
    </row>
    <row r="136" spans="1:15" ht="30" x14ac:dyDescent="0.25">
      <c r="A136" s="3" t="s">
        <v>288</v>
      </c>
      <c r="B136" s="4" t="s">
        <v>289</v>
      </c>
      <c r="C136" s="5">
        <v>1117</v>
      </c>
      <c r="D136" s="6" t="s">
        <v>28</v>
      </c>
      <c r="E136" s="6" t="s">
        <v>17</v>
      </c>
      <c r="F136" s="7">
        <v>18264</v>
      </c>
      <c r="G136" s="8">
        <f t="shared" si="2"/>
        <v>18264</v>
      </c>
      <c r="H136" s="6" t="s">
        <v>13</v>
      </c>
      <c r="I136" s="9" t="s">
        <v>3380</v>
      </c>
      <c r="J136" s="10" t="s">
        <v>3380</v>
      </c>
      <c r="K136" s="17"/>
    </row>
    <row r="137" spans="1:15" ht="30" x14ac:dyDescent="0.25">
      <c r="A137" s="3" t="s">
        <v>290</v>
      </c>
      <c r="B137" s="4" t="s">
        <v>291</v>
      </c>
      <c r="C137" s="5">
        <v>39105</v>
      </c>
      <c r="D137" s="6" t="s">
        <v>31</v>
      </c>
      <c r="E137" s="6" t="s">
        <v>17</v>
      </c>
      <c r="F137" s="7">
        <v>37377</v>
      </c>
      <c r="G137" s="8">
        <f t="shared" si="2"/>
        <v>37377</v>
      </c>
      <c r="H137" s="6" t="s">
        <v>13</v>
      </c>
      <c r="I137" s="9" t="s">
        <v>3380</v>
      </c>
      <c r="J137" s="10" t="s">
        <v>3380</v>
      </c>
      <c r="K137" s="17"/>
    </row>
    <row r="138" spans="1:15" ht="30" x14ac:dyDescent="0.25">
      <c r="A138" s="12" t="s">
        <v>292</v>
      </c>
      <c r="B138" s="4" t="s">
        <v>293</v>
      </c>
      <c r="C138" s="14">
        <v>1714</v>
      </c>
      <c r="D138" s="6" t="s">
        <v>16</v>
      </c>
      <c r="E138" s="6" t="s">
        <v>17</v>
      </c>
      <c r="F138" s="7">
        <v>29221</v>
      </c>
      <c r="G138" s="8">
        <f t="shared" si="2"/>
        <v>29221</v>
      </c>
      <c r="H138" s="6" t="s">
        <v>13</v>
      </c>
      <c r="I138" s="9">
        <v>233000</v>
      </c>
      <c r="J138" s="10">
        <v>1000</v>
      </c>
      <c r="K138" s="17"/>
    </row>
    <row r="139" spans="1:15" ht="30" x14ac:dyDescent="0.25">
      <c r="A139" s="3" t="s">
        <v>294</v>
      </c>
      <c r="B139" s="4" t="s">
        <v>295</v>
      </c>
      <c r="C139" s="5">
        <v>1176</v>
      </c>
      <c r="D139" s="6" t="s">
        <v>16</v>
      </c>
      <c r="E139" s="6" t="s">
        <v>17</v>
      </c>
      <c r="F139" s="7">
        <v>29221</v>
      </c>
      <c r="G139" s="8">
        <f t="shared" si="2"/>
        <v>29221</v>
      </c>
      <c r="H139" s="6" t="s">
        <v>13</v>
      </c>
      <c r="I139" s="9" t="s">
        <v>3380</v>
      </c>
      <c r="J139" s="10" t="s">
        <v>3380</v>
      </c>
      <c r="K139" s="17"/>
    </row>
    <row r="140" spans="1:15" ht="30" x14ac:dyDescent="0.25">
      <c r="A140" s="3" t="s">
        <v>296</v>
      </c>
      <c r="B140" s="4" t="s">
        <v>297</v>
      </c>
      <c r="C140" s="5">
        <v>1049</v>
      </c>
      <c r="D140" s="6" t="s">
        <v>16</v>
      </c>
      <c r="E140" s="6" t="s">
        <v>17</v>
      </c>
      <c r="F140" s="7">
        <v>29221</v>
      </c>
      <c r="G140" s="8">
        <f t="shared" si="2"/>
        <v>29221</v>
      </c>
      <c r="H140" s="6" t="s">
        <v>13</v>
      </c>
      <c r="I140" s="9" t="s">
        <v>3380</v>
      </c>
      <c r="J140" s="10" t="s">
        <v>3380</v>
      </c>
      <c r="K140" s="17"/>
    </row>
    <row r="141" spans="1:15" x14ac:dyDescent="0.25">
      <c r="A141" s="3" t="s">
        <v>298</v>
      </c>
      <c r="B141" s="4" t="s">
        <v>299</v>
      </c>
      <c r="C141" s="5">
        <v>1194</v>
      </c>
      <c r="D141" s="6" t="s">
        <v>16</v>
      </c>
      <c r="E141" s="6" t="s">
        <v>17</v>
      </c>
      <c r="F141" s="7">
        <v>31048</v>
      </c>
      <c r="G141" s="8">
        <f t="shared" si="2"/>
        <v>31048</v>
      </c>
      <c r="H141" s="6" t="s">
        <v>13</v>
      </c>
      <c r="I141" s="9" t="s">
        <v>3380</v>
      </c>
      <c r="J141" s="10" t="s">
        <v>3380</v>
      </c>
      <c r="K141" s="11"/>
    </row>
    <row r="142" spans="1:15" ht="30" x14ac:dyDescent="0.25">
      <c r="A142" s="3" t="s">
        <v>300</v>
      </c>
      <c r="B142" s="4" t="s">
        <v>301</v>
      </c>
      <c r="C142" s="14">
        <v>1757</v>
      </c>
      <c r="D142" s="6" t="s">
        <v>31</v>
      </c>
      <c r="E142" s="6" t="s">
        <v>17</v>
      </c>
      <c r="F142" s="7">
        <v>31048</v>
      </c>
      <c r="G142" s="8">
        <f t="shared" si="2"/>
        <v>31048</v>
      </c>
      <c r="H142" s="6" t="s">
        <v>13</v>
      </c>
      <c r="I142" s="9" t="s">
        <v>3380</v>
      </c>
      <c r="J142" s="10" t="s">
        <v>3380</v>
      </c>
      <c r="K142" s="17"/>
    </row>
    <row r="143" spans="1:15" ht="30" x14ac:dyDescent="0.25">
      <c r="A143" s="3" t="s">
        <v>302</v>
      </c>
      <c r="B143" s="4" t="s">
        <v>303</v>
      </c>
      <c r="C143" s="14">
        <v>1723</v>
      </c>
      <c r="D143" s="6" t="s">
        <v>16</v>
      </c>
      <c r="E143" s="6" t="s">
        <v>17</v>
      </c>
      <c r="F143" s="7">
        <v>31048</v>
      </c>
      <c r="G143" s="8">
        <f t="shared" si="2"/>
        <v>31048</v>
      </c>
      <c r="H143" s="6" t="s">
        <v>13</v>
      </c>
      <c r="I143" s="9" t="s">
        <v>3380</v>
      </c>
      <c r="J143" s="10" t="s">
        <v>3380</v>
      </c>
      <c r="K143" s="17"/>
    </row>
    <row r="144" spans="1:15" ht="30" x14ac:dyDescent="0.25">
      <c r="A144" s="3" t="s">
        <v>304</v>
      </c>
      <c r="B144" s="4" t="s">
        <v>305</v>
      </c>
      <c r="C144" s="5">
        <v>25282</v>
      </c>
      <c r="D144" s="6" t="s">
        <v>31</v>
      </c>
      <c r="E144" s="6" t="s">
        <v>17</v>
      </c>
      <c r="F144" s="7">
        <v>24153</v>
      </c>
      <c r="G144" s="8">
        <f t="shared" si="2"/>
        <v>24153</v>
      </c>
      <c r="H144" s="6" t="s">
        <v>13</v>
      </c>
      <c r="I144" s="9" t="s">
        <v>3380</v>
      </c>
      <c r="J144" s="10" t="s">
        <v>3380</v>
      </c>
      <c r="K144" s="17"/>
    </row>
    <row r="145" spans="1:11" ht="30" x14ac:dyDescent="0.25">
      <c r="A145" s="3" t="s">
        <v>306</v>
      </c>
      <c r="B145" s="4" t="s">
        <v>307</v>
      </c>
      <c r="C145" s="14">
        <v>37505</v>
      </c>
      <c r="D145" s="6" t="s">
        <v>31</v>
      </c>
      <c r="E145" s="6" t="s">
        <v>17</v>
      </c>
      <c r="F145" s="7">
        <v>24590</v>
      </c>
      <c r="G145" s="8">
        <f t="shared" si="2"/>
        <v>24590</v>
      </c>
      <c r="H145" s="6" t="s">
        <v>13</v>
      </c>
      <c r="I145" s="9" t="s">
        <v>3380</v>
      </c>
      <c r="J145" s="10" t="s">
        <v>3380</v>
      </c>
      <c r="K145" s="17"/>
    </row>
    <row r="146" spans="1:11" ht="30" x14ac:dyDescent="0.25">
      <c r="A146" s="3" t="s">
        <v>308</v>
      </c>
      <c r="B146" s="4" t="s">
        <v>309</v>
      </c>
      <c r="C146" s="5">
        <v>12810</v>
      </c>
      <c r="D146" s="6" t="s">
        <v>31</v>
      </c>
      <c r="E146" s="6" t="s">
        <v>17</v>
      </c>
      <c r="F146" s="7">
        <v>37816</v>
      </c>
      <c r="G146" s="8">
        <f t="shared" si="2"/>
        <v>37816</v>
      </c>
      <c r="H146" s="6" t="s">
        <v>13</v>
      </c>
      <c r="I146" s="9" t="s">
        <v>3380</v>
      </c>
      <c r="J146" s="10" t="s">
        <v>3380</v>
      </c>
      <c r="K146" s="17"/>
    </row>
    <row r="147" spans="1:11" ht="30" x14ac:dyDescent="0.25">
      <c r="A147" s="3" t="s">
        <v>310</v>
      </c>
      <c r="B147" s="4" t="s">
        <v>311</v>
      </c>
      <c r="C147" s="14">
        <v>1219</v>
      </c>
      <c r="D147" s="6" t="s">
        <v>31</v>
      </c>
      <c r="E147" s="6" t="s">
        <v>17</v>
      </c>
      <c r="F147" s="7">
        <v>29952</v>
      </c>
      <c r="G147" s="8">
        <f t="shared" si="2"/>
        <v>29952</v>
      </c>
      <c r="H147" s="6" t="s">
        <v>13</v>
      </c>
      <c r="I147" s="9" t="s">
        <v>3380</v>
      </c>
      <c r="J147" s="10" t="s">
        <v>3380</v>
      </c>
      <c r="K147" s="17"/>
    </row>
    <row r="148" spans="1:11" ht="30" x14ac:dyDescent="0.25">
      <c r="A148" s="3" t="s">
        <v>312</v>
      </c>
      <c r="B148" s="4" t="s">
        <v>313</v>
      </c>
      <c r="C148" s="5">
        <v>1087</v>
      </c>
      <c r="D148" s="6" t="s">
        <v>31</v>
      </c>
      <c r="E148" s="6" t="s">
        <v>17</v>
      </c>
      <c r="F148" s="7">
        <v>29952</v>
      </c>
      <c r="G148" s="8">
        <f t="shared" si="2"/>
        <v>29952</v>
      </c>
      <c r="H148" s="6" t="s">
        <v>13</v>
      </c>
      <c r="I148" s="9" t="s">
        <v>3380</v>
      </c>
      <c r="J148" s="10" t="s">
        <v>3380</v>
      </c>
      <c r="K148" s="17"/>
    </row>
    <row r="149" spans="1:11" ht="30" x14ac:dyDescent="0.25">
      <c r="A149" s="3" t="s">
        <v>314</v>
      </c>
      <c r="B149" s="4" t="s">
        <v>315</v>
      </c>
      <c r="C149" s="5">
        <v>54500</v>
      </c>
      <c r="D149" s="6" t="s">
        <v>28</v>
      </c>
      <c r="E149" s="6" t="s">
        <v>17</v>
      </c>
      <c r="F149" s="7">
        <v>39929</v>
      </c>
      <c r="G149" s="8">
        <f t="shared" si="2"/>
        <v>39929</v>
      </c>
      <c r="H149" s="6" t="s">
        <v>13</v>
      </c>
      <c r="I149" s="9" t="s">
        <v>3380</v>
      </c>
      <c r="J149" s="10" t="s">
        <v>3380</v>
      </c>
      <c r="K149" s="17"/>
    </row>
    <row r="150" spans="1:11" ht="30" x14ac:dyDescent="0.25">
      <c r="A150" s="3" t="s">
        <v>316</v>
      </c>
      <c r="B150" s="4" t="s">
        <v>317</v>
      </c>
      <c r="C150" s="5">
        <v>1912</v>
      </c>
      <c r="D150" s="6" t="s">
        <v>34</v>
      </c>
      <c r="E150" s="6" t="s">
        <v>17</v>
      </c>
      <c r="F150" s="7">
        <v>29952</v>
      </c>
      <c r="G150" s="8">
        <f t="shared" si="2"/>
        <v>29952</v>
      </c>
      <c r="H150" s="6" t="s">
        <v>13</v>
      </c>
      <c r="I150" s="9" t="s">
        <v>3380</v>
      </c>
      <c r="J150" s="10" t="s">
        <v>3380</v>
      </c>
      <c r="K150" s="17"/>
    </row>
    <row r="151" spans="1:11" ht="30" x14ac:dyDescent="0.25">
      <c r="A151" s="3" t="s">
        <v>318</v>
      </c>
      <c r="B151" s="4" t="s">
        <v>319</v>
      </c>
      <c r="C151" s="5">
        <v>12493</v>
      </c>
      <c r="D151" s="6" t="s">
        <v>34</v>
      </c>
      <c r="E151" s="6" t="s">
        <v>17</v>
      </c>
      <c r="F151" s="7">
        <v>37606</v>
      </c>
      <c r="G151" s="8">
        <f t="shared" si="2"/>
        <v>37606</v>
      </c>
      <c r="H151" s="6" t="s">
        <v>13</v>
      </c>
      <c r="I151" s="9" t="s">
        <v>3380</v>
      </c>
      <c r="J151" s="10" t="s">
        <v>3380</v>
      </c>
      <c r="K151" s="17"/>
    </row>
    <row r="152" spans="1:11" ht="30" x14ac:dyDescent="0.25">
      <c r="A152" s="3" t="s">
        <v>320</v>
      </c>
      <c r="B152" s="4" t="s">
        <v>321</v>
      </c>
      <c r="C152" s="5">
        <v>9921</v>
      </c>
      <c r="D152" s="6" t="s">
        <v>11</v>
      </c>
      <c r="E152" s="6" t="s">
        <v>17</v>
      </c>
      <c r="F152" s="7">
        <v>37344</v>
      </c>
      <c r="G152" s="8">
        <f t="shared" si="2"/>
        <v>37344</v>
      </c>
      <c r="H152" s="6" t="s">
        <v>13</v>
      </c>
      <c r="I152" s="9" t="s">
        <v>3380</v>
      </c>
      <c r="J152" s="10" t="s">
        <v>3380</v>
      </c>
      <c r="K152" s="17"/>
    </row>
    <row r="153" spans="1:11" ht="30" x14ac:dyDescent="0.25">
      <c r="A153" s="3" t="s">
        <v>322</v>
      </c>
      <c r="B153" s="4" t="s">
        <v>323</v>
      </c>
      <c r="C153" s="5">
        <v>3201</v>
      </c>
      <c r="D153" s="6" t="s">
        <v>11</v>
      </c>
      <c r="E153" s="6" t="s">
        <v>17</v>
      </c>
      <c r="F153" s="7">
        <v>36098</v>
      </c>
      <c r="G153" s="8">
        <f t="shared" si="2"/>
        <v>36098</v>
      </c>
      <c r="H153" s="6" t="s">
        <v>13</v>
      </c>
      <c r="I153" s="9" t="s">
        <v>3380</v>
      </c>
      <c r="J153" s="10" t="s">
        <v>3380</v>
      </c>
      <c r="K153" s="17"/>
    </row>
    <row r="154" spans="1:11" ht="30" x14ac:dyDescent="0.25">
      <c r="A154" s="3" t="s">
        <v>324</v>
      </c>
      <c r="B154" s="4" t="s">
        <v>325</v>
      </c>
      <c r="C154" s="5">
        <v>10566</v>
      </c>
      <c r="D154" s="6" t="s">
        <v>11</v>
      </c>
      <c r="E154" s="6" t="s">
        <v>17</v>
      </c>
      <c r="F154" s="7">
        <v>37503</v>
      </c>
      <c r="G154" s="8">
        <f t="shared" si="2"/>
        <v>37503</v>
      </c>
      <c r="H154" s="6" t="s">
        <v>13</v>
      </c>
      <c r="I154" s="9" t="s">
        <v>3380</v>
      </c>
      <c r="J154" s="10" t="s">
        <v>3380</v>
      </c>
      <c r="K154" s="17"/>
    </row>
    <row r="155" spans="1:11" ht="30" x14ac:dyDescent="0.25">
      <c r="A155" s="3" t="s">
        <v>326</v>
      </c>
      <c r="B155" s="4" t="s">
        <v>327</v>
      </c>
      <c r="C155" s="5">
        <v>1586</v>
      </c>
      <c r="D155" s="6" t="s">
        <v>34</v>
      </c>
      <c r="E155" s="6" t="s">
        <v>17</v>
      </c>
      <c r="F155" s="7">
        <v>18264</v>
      </c>
      <c r="G155" s="8">
        <f t="shared" si="2"/>
        <v>18264</v>
      </c>
      <c r="H155" s="6" t="s">
        <v>13</v>
      </c>
      <c r="I155" s="9" t="s">
        <v>3380</v>
      </c>
      <c r="J155" s="10" t="s">
        <v>3380</v>
      </c>
      <c r="K155" s="17"/>
    </row>
    <row r="156" spans="1:11" ht="30" x14ac:dyDescent="0.25">
      <c r="A156" s="3" t="s">
        <v>328</v>
      </c>
      <c r="B156" s="4" t="s">
        <v>329</v>
      </c>
      <c r="C156" s="14">
        <v>72106</v>
      </c>
      <c r="D156" s="6" t="s">
        <v>11</v>
      </c>
      <c r="E156" s="6" t="s">
        <v>17</v>
      </c>
      <c r="F156" s="7">
        <v>38854</v>
      </c>
      <c r="G156" s="8">
        <f t="shared" si="2"/>
        <v>38854</v>
      </c>
      <c r="H156" s="6" t="s">
        <v>13</v>
      </c>
      <c r="I156" s="9" t="s">
        <v>3380</v>
      </c>
      <c r="J156" s="10" t="s">
        <v>3380</v>
      </c>
      <c r="K156" s="17"/>
    </row>
    <row r="157" spans="1:11" ht="30" x14ac:dyDescent="0.25">
      <c r="A157" s="3" t="s">
        <v>330</v>
      </c>
      <c r="B157" s="4" t="s">
        <v>331</v>
      </c>
      <c r="C157" s="5">
        <v>52883</v>
      </c>
      <c r="D157" s="6" t="s">
        <v>34</v>
      </c>
      <c r="E157" s="6" t="s">
        <v>17</v>
      </c>
      <c r="F157" s="7">
        <v>39115</v>
      </c>
      <c r="G157" s="8">
        <f t="shared" si="2"/>
        <v>39115</v>
      </c>
      <c r="H157" s="6" t="s">
        <v>13</v>
      </c>
      <c r="I157" s="9" t="s">
        <v>3380</v>
      </c>
      <c r="J157" s="10" t="s">
        <v>3380</v>
      </c>
      <c r="K157" s="17"/>
    </row>
    <row r="158" spans="1:11" ht="30" x14ac:dyDescent="0.25">
      <c r="A158" s="3" t="s">
        <v>332</v>
      </c>
      <c r="B158" s="4" t="s">
        <v>333</v>
      </c>
      <c r="C158" s="5">
        <v>1201</v>
      </c>
      <c r="D158" s="6" t="s">
        <v>11</v>
      </c>
      <c r="E158" s="6" t="s">
        <v>17</v>
      </c>
      <c r="F158" s="7">
        <v>34700</v>
      </c>
      <c r="G158" s="8">
        <f t="shared" si="2"/>
        <v>34700</v>
      </c>
      <c r="H158" s="6" t="s">
        <v>13</v>
      </c>
      <c r="I158" s="9" t="s">
        <v>3380</v>
      </c>
      <c r="J158" s="10" t="s">
        <v>3380</v>
      </c>
      <c r="K158" s="17"/>
    </row>
    <row r="159" spans="1:11" x14ac:dyDescent="0.25">
      <c r="A159" s="3" t="s">
        <v>334</v>
      </c>
      <c r="B159" s="4" t="s">
        <v>335</v>
      </c>
      <c r="C159" s="5">
        <v>13761</v>
      </c>
      <c r="D159" s="6" t="s">
        <v>11</v>
      </c>
      <c r="E159" s="6" t="s">
        <v>17</v>
      </c>
      <c r="F159" s="7">
        <v>37922</v>
      </c>
      <c r="G159" s="8">
        <f t="shared" si="2"/>
        <v>37922</v>
      </c>
      <c r="H159" s="6" t="s">
        <v>13</v>
      </c>
      <c r="I159" s="9" t="s">
        <v>3380</v>
      </c>
      <c r="J159" s="10" t="s">
        <v>3380</v>
      </c>
      <c r="K159" s="11"/>
    </row>
    <row r="160" spans="1:11" ht="30" x14ac:dyDescent="0.25">
      <c r="A160" s="3" t="s">
        <v>336</v>
      </c>
      <c r="B160" s="4" t="s">
        <v>337</v>
      </c>
      <c r="C160" s="5">
        <v>1166</v>
      </c>
      <c r="D160" s="6" t="s">
        <v>31</v>
      </c>
      <c r="E160" s="6" t="s">
        <v>17</v>
      </c>
      <c r="F160" s="7">
        <v>36619</v>
      </c>
      <c r="G160" s="8">
        <f t="shared" si="2"/>
        <v>36619</v>
      </c>
      <c r="H160" s="6" t="s">
        <v>13</v>
      </c>
      <c r="I160" s="9" t="s">
        <v>3380</v>
      </c>
      <c r="J160" s="10" t="s">
        <v>3380</v>
      </c>
      <c r="K160" s="17"/>
    </row>
    <row r="161" spans="1:11" ht="30" x14ac:dyDescent="0.25">
      <c r="A161" s="3" t="s">
        <v>338</v>
      </c>
      <c r="B161" s="4" t="s">
        <v>339</v>
      </c>
      <c r="C161" s="5">
        <v>15041</v>
      </c>
      <c r="D161" s="6" t="s">
        <v>28</v>
      </c>
      <c r="E161" s="6" t="s">
        <v>17</v>
      </c>
      <c r="F161" s="7">
        <v>38274</v>
      </c>
      <c r="G161" s="8">
        <f t="shared" si="2"/>
        <v>38274</v>
      </c>
      <c r="H161" s="6" t="s">
        <v>13</v>
      </c>
      <c r="I161" s="9" t="s">
        <v>3380</v>
      </c>
      <c r="J161" s="10" t="s">
        <v>3380</v>
      </c>
      <c r="K161" s="17"/>
    </row>
    <row r="162" spans="1:11" ht="30" x14ac:dyDescent="0.25">
      <c r="A162" s="3" t="s">
        <v>340</v>
      </c>
      <c r="B162" s="4" t="s">
        <v>341</v>
      </c>
      <c r="C162" s="14">
        <v>12491</v>
      </c>
      <c r="D162" s="6" t="s">
        <v>28</v>
      </c>
      <c r="E162" s="6" t="s">
        <v>17</v>
      </c>
      <c r="F162" s="7">
        <v>36620</v>
      </c>
      <c r="G162" s="8">
        <f t="shared" si="2"/>
        <v>36620</v>
      </c>
      <c r="H162" s="6" t="s">
        <v>13</v>
      </c>
      <c r="I162" s="9">
        <v>906664.07000000007</v>
      </c>
      <c r="J162" s="10">
        <v>1650</v>
      </c>
      <c r="K162" s="17"/>
    </row>
    <row r="163" spans="1:11" ht="30" x14ac:dyDescent="0.25">
      <c r="A163" s="3" t="s">
        <v>342</v>
      </c>
      <c r="B163" s="4" t="s">
        <v>343</v>
      </c>
      <c r="C163" s="5">
        <v>8336</v>
      </c>
      <c r="D163" s="6" t="s">
        <v>28</v>
      </c>
      <c r="E163" s="6" t="s">
        <v>17</v>
      </c>
      <c r="F163" s="7">
        <v>31293</v>
      </c>
      <c r="G163" s="8">
        <f t="shared" si="2"/>
        <v>31293</v>
      </c>
      <c r="H163" s="6" t="s">
        <v>13</v>
      </c>
      <c r="I163" s="9" t="s">
        <v>3380</v>
      </c>
      <c r="J163" s="10" t="s">
        <v>3380</v>
      </c>
      <c r="K163" s="17"/>
    </row>
    <row r="164" spans="1:11" ht="30" x14ac:dyDescent="0.25">
      <c r="A164" s="3" t="s">
        <v>344</v>
      </c>
      <c r="B164" s="4" t="s">
        <v>345</v>
      </c>
      <c r="C164" s="14">
        <v>1393</v>
      </c>
      <c r="D164" s="6" t="s">
        <v>16</v>
      </c>
      <c r="E164" s="6" t="s">
        <v>17</v>
      </c>
      <c r="F164" s="7">
        <v>27227</v>
      </c>
      <c r="G164" s="8">
        <f t="shared" si="2"/>
        <v>27227</v>
      </c>
      <c r="H164" s="6" t="s">
        <v>13</v>
      </c>
      <c r="I164" s="9" t="s">
        <v>3380</v>
      </c>
      <c r="J164" s="10" t="s">
        <v>3380</v>
      </c>
      <c r="K164" s="17"/>
    </row>
    <row r="165" spans="1:11" ht="30" x14ac:dyDescent="0.25">
      <c r="A165" s="3" t="s">
        <v>346</v>
      </c>
      <c r="B165" s="4" t="s">
        <v>347</v>
      </c>
      <c r="C165" s="14">
        <v>2042</v>
      </c>
      <c r="D165" s="6" t="s">
        <v>34</v>
      </c>
      <c r="E165" s="6" t="s">
        <v>17</v>
      </c>
      <c r="F165" s="7">
        <v>25569</v>
      </c>
      <c r="G165" s="8">
        <f t="shared" si="2"/>
        <v>25569</v>
      </c>
      <c r="H165" s="6" t="s">
        <v>13</v>
      </c>
      <c r="I165" s="9" t="s">
        <v>3380</v>
      </c>
      <c r="J165" s="10" t="s">
        <v>3380</v>
      </c>
      <c r="K165" s="17"/>
    </row>
    <row r="166" spans="1:11" ht="30" x14ac:dyDescent="0.25">
      <c r="A166" s="3" t="s">
        <v>348</v>
      </c>
      <c r="B166" s="4" t="s">
        <v>349</v>
      </c>
      <c r="C166" s="5">
        <v>15687</v>
      </c>
      <c r="D166" s="6" t="s">
        <v>34</v>
      </c>
      <c r="E166" s="6" t="s">
        <v>17</v>
      </c>
      <c r="F166" s="7">
        <v>37196</v>
      </c>
      <c r="G166" s="8">
        <f t="shared" si="2"/>
        <v>37196</v>
      </c>
      <c r="H166" s="6" t="s">
        <v>13</v>
      </c>
      <c r="I166" s="9" t="s">
        <v>3380</v>
      </c>
      <c r="J166" s="10" t="s">
        <v>3380</v>
      </c>
      <c r="K166" s="17"/>
    </row>
    <row r="167" spans="1:11" ht="30" x14ac:dyDescent="0.25">
      <c r="A167" s="3" t="s">
        <v>350</v>
      </c>
      <c r="B167" s="4" t="s">
        <v>351</v>
      </c>
      <c r="C167" s="14">
        <v>13446</v>
      </c>
      <c r="D167" s="6" t="s">
        <v>34</v>
      </c>
      <c r="E167" s="6" t="s">
        <v>17</v>
      </c>
      <c r="F167" s="7">
        <v>36942</v>
      </c>
      <c r="G167" s="8">
        <f t="shared" si="2"/>
        <v>36942</v>
      </c>
      <c r="H167" s="6" t="s">
        <v>13</v>
      </c>
      <c r="I167" s="9" t="s">
        <v>3380</v>
      </c>
      <c r="J167" s="10" t="s">
        <v>3380</v>
      </c>
      <c r="K167" s="17"/>
    </row>
    <row r="168" spans="1:11" ht="30" x14ac:dyDescent="0.25">
      <c r="A168" s="3" t="s">
        <v>352</v>
      </c>
      <c r="B168" s="4" t="s">
        <v>353</v>
      </c>
      <c r="C168" s="5">
        <v>15688</v>
      </c>
      <c r="D168" s="6" t="s">
        <v>34</v>
      </c>
      <c r="E168" s="6" t="s">
        <v>17</v>
      </c>
      <c r="F168" s="7">
        <v>37196</v>
      </c>
      <c r="G168" s="8">
        <f t="shared" si="2"/>
        <v>37196</v>
      </c>
      <c r="H168" s="6" t="s">
        <v>13</v>
      </c>
      <c r="I168" s="9" t="s">
        <v>3380</v>
      </c>
      <c r="J168" s="10" t="s">
        <v>3380</v>
      </c>
      <c r="K168" s="17"/>
    </row>
    <row r="169" spans="1:11" ht="30" x14ac:dyDescent="0.25">
      <c r="A169" s="3" t="s">
        <v>354</v>
      </c>
      <c r="B169" s="4" t="s">
        <v>355</v>
      </c>
      <c r="C169" s="5">
        <v>15689</v>
      </c>
      <c r="D169" s="6" t="s">
        <v>34</v>
      </c>
      <c r="E169" s="6" t="s">
        <v>17</v>
      </c>
      <c r="F169" s="7">
        <v>36161</v>
      </c>
      <c r="G169" s="8">
        <f t="shared" si="2"/>
        <v>36161</v>
      </c>
      <c r="H169" s="6" t="s">
        <v>13</v>
      </c>
      <c r="I169" s="9" t="s">
        <v>3380</v>
      </c>
      <c r="J169" s="10" t="s">
        <v>3380</v>
      </c>
      <c r="K169" s="17"/>
    </row>
    <row r="170" spans="1:11" ht="30" x14ac:dyDescent="0.25">
      <c r="A170" s="3" t="s">
        <v>356</v>
      </c>
      <c r="B170" s="4" t="s">
        <v>357</v>
      </c>
      <c r="C170" s="5">
        <v>1266</v>
      </c>
      <c r="D170" s="6" t="s">
        <v>34</v>
      </c>
      <c r="E170" s="6" t="s">
        <v>17</v>
      </c>
      <c r="F170" s="7">
        <v>36539</v>
      </c>
      <c r="G170" s="8">
        <f t="shared" si="2"/>
        <v>36539</v>
      </c>
      <c r="H170" s="6" t="s">
        <v>13</v>
      </c>
      <c r="I170" s="9" t="s">
        <v>3380</v>
      </c>
      <c r="J170" s="10" t="s">
        <v>3380</v>
      </c>
      <c r="K170" s="17"/>
    </row>
    <row r="171" spans="1:11" ht="30" x14ac:dyDescent="0.25">
      <c r="A171" s="3" t="s">
        <v>358</v>
      </c>
      <c r="B171" s="4" t="s">
        <v>359</v>
      </c>
      <c r="C171" s="5">
        <v>1036</v>
      </c>
      <c r="D171" s="6" t="s">
        <v>31</v>
      </c>
      <c r="E171" s="6" t="s">
        <v>17</v>
      </c>
      <c r="F171" s="7">
        <v>29221</v>
      </c>
      <c r="G171" s="8">
        <f t="shared" si="2"/>
        <v>29221</v>
      </c>
      <c r="H171" s="6" t="s">
        <v>13</v>
      </c>
      <c r="I171" s="9" t="s">
        <v>3380</v>
      </c>
      <c r="J171" s="10" t="s">
        <v>3380</v>
      </c>
      <c r="K171" s="17"/>
    </row>
    <row r="172" spans="1:11" x14ac:dyDescent="0.25">
      <c r="A172" s="18" t="s">
        <v>360</v>
      </c>
      <c r="B172" s="19" t="s">
        <v>361</v>
      </c>
      <c r="C172" s="5">
        <v>2020</v>
      </c>
      <c r="D172" s="21" t="s">
        <v>16</v>
      </c>
      <c r="E172" s="21" t="s">
        <v>17</v>
      </c>
      <c r="F172" s="22">
        <v>29221</v>
      </c>
      <c r="G172" s="23">
        <f t="shared" si="2"/>
        <v>29221</v>
      </c>
      <c r="H172" s="21" t="s">
        <v>13</v>
      </c>
      <c r="I172" s="9" t="s">
        <v>3380</v>
      </c>
      <c r="J172" s="10" t="s">
        <v>3380</v>
      </c>
      <c r="K172" s="25"/>
    </row>
    <row r="173" spans="1:11" ht="30" x14ac:dyDescent="0.25">
      <c r="A173" s="3" t="s">
        <v>362</v>
      </c>
      <c r="B173" s="4" t="s">
        <v>363</v>
      </c>
      <c r="C173" s="14">
        <v>72105</v>
      </c>
      <c r="D173" s="6" t="s">
        <v>11</v>
      </c>
      <c r="E173" s="6" t="s">
        <v>12</v>
      </c>
      <c r="F173" s="7">
        <v>39234</v>
      </c>
      <c r="G173" s="8">
        <f t="shared" si="2"/>
        <v>39234</v>
      </c>
      <c r="H173" s="6" t="s">
        <v>39</v>
      </c>
      <c r="I173" s="9" t="s">
        <v>3380</v>
      </c>
      <c r="J173" s="10" t="s">
        <v>3380</v>
      </c>
      <c r="K173" s="17"/>
    </row>
    <row r="174" spans="1:11" ht="30" x14ac:dyDescent="0.25">
      <c r="A174" s="3" t="s">
        <v>364</v>
      </c>
      <c r="B174" s="4" t="s">
        <v>365</v>
      </c>
      <c r="C174" s="5">
        <v>72104</v>
      </c>
      <c r="D174" s="6" t="s">
        <v>11</v>
      </c>
      <c r="E174" s="6" t="s">
        <v>12</v>
      </c>
      <c r="F174" s="7">
        <v>39234</v>
      </c>
      <c r="G174" s="8">
        <f t="shared" si="2"/>
        <v>39234</v>
      </c>
      <c r="H174" s="6" t="s">
        <v>39</v>
      </c>
      <c r="I174" s="9" t="s">
        <v>3380</v>
      </c>
      <c r="J174" s="10" t="s">
        <v>3380</v>
      </c>
      <c r="K174" s="17"/>
    </row>
    <row r="175" spans="1:11" ht="30" x14ac:dyDescent="0.25">
      <c r="A175" s="3" t="s">
        <v>366</v>
      </c>
      <c r="B175" s="4" t="s">
        <v>367</v>
      </c>
      <c r="C175" s="5">
        <v>72103</v>
      </c>
      <c r="D175" s="6" t="s">
        <v>11</v>
      </c>
      <c r="E175" s="6" t="s">
        <v>12</v>
      </c>
      <c r="F175" s="7">
        <v>39234</v>
      </c>
      <c r="G175" s="8">
        <f t="shared" si="2"/>
        <v>39234</v>
      </c>
      <c r="H175" s="6" t="s">
        <v>39</v>
      </c>
      <c r="I175" s="9" t="s">
        <v>3380</v>
      </c>
      <c r="J175" s="10" t="s">
        <v>3380</v>
      </c>
      <c r="K175" s="17"/>
    </row>
    <row r="176" spans="1:11" ht="30" x14ac:dyDescent="0.25">
      <c r="A176" s="3" t="s">
        <v>368</v>
      </c>
      <c r="B176" s="4" t="s">
        <v>369</v>
      </c>
      <c r="C176" s="5">
        <v>1483</v>
      </c>
      <c r="D176" s="6" t="s">
        <v>34</v>
      </c>
      <c r="E176" s="6" t="s">
        <v>17</v>
      </c>
      <c r="F176" s="7">
        <v>31778</v>
      </c>
      <c r="G176" s="8">
        <f t="shared" si="2"/>
        <v>31778</v>
      </c>
      <c r="H176" s="6" t="s">
        <v>13</v>
      </c>
      <c r="I176" s="9" t="s">
        <v>3380</v>
      </c>
      <c r="J176" s="10" t="s">
        <v>3380</v>
      </c>
      <c r="K176" s="17"/>
    </row>
    <row r="177" spans="1:11" x14ac:dyDescent="0.25">
      <c r="A177" s="3" t="s">
        <v>370</v>
      </c>
      <c r="B177" s="4" t="s">
        <v>371</v>
      </c>
      <c r="C177" s="5">
        <v>1173</v>
      </c>
      <c r="D177" s="6" t="s">
        <v>16</v>
      </c>
      <c r="E177" s="6" t="s">
        <v>17</v>
      </c>
      <c r="F177" s="7">
        <v>29221</v>
      </c>
      <c r="G177" s="8">
        <f t="shared" si="2"/>
        <v>29221</v>
      </c>
      <c r="H177" s="6" t="s">
        <v>13</v>
      </c>
      <c r="I177" s="9" t="s">
        <v>3380</v>
      </c>
      <c r="J177" s="10" t="s">
        <v>3380</v>
      </c>
      <c r="K177" s="11"/>
    </row>
    <row r="178" spans="1:11" ht="30" x14ac:dyDescent="0.25">
      <c r="A178" s="3" t="s">
        <v>372</v>
      </c>
      <c r="B178" s="4" t="s">
        <v>373</v>
      </c>
      <c r="C178" s="5">
        <v>1174</v>
      </c>
      <c r="D178" s="6" t="s">
        <v>16</v>
      </c>
      <c r="E178" s="6" t="s">
        <v>17</v>
      </c>
      <c r="F178" s="7">
        <v>32874</v>
      </c>
      <c r="G178" s="8">
        <f t="shared" si="2"/>
        <v>32874</v>
      </c>
      <c r="H178" s="6" t="s">
        <v>13</v>
      </c>
      <c r="I178" s="9" t="s">
        <v>3380</v>
      </c>
      <c r="J178" s="10" t="s">
        <v>3380</v>
      </c>
      <c r="K178" s="17"/>
    </row>
    <row r="179" spans="1:11" ht="30" x14ac:dyDescent="0.25">
      <c r="A179" s="3" t="s">
        <v>374</v>
      </c>
      <c r="B179" s="4" t="s">
        <v>375</v>
      </c>
      <c r="C179" s="5">
        <v>14403</v>
      </c>
      <c r="D179" s="6" t="s">
        <v>37</v>
      </c>
      <c r="E179" s="6" t="s">
        <v>38</v>
      </c>
      <c r="F179" s="7">
        <v>37125</v>
      </c>
      <c r="G179" s="8">
        <f t="shared" si="2"/>
        <v>37125</v>
      </c>
      <c r="H179" s="6" t="s">
        <v>39</v>
      </c>
      <c r="I179" s="9" t="s">
        <v>3380</v>
      </c>
      <c r="J179" s="10" t="s">
        <v>3380</v>
      </c>
      <c r="K179" s="17"/>
    </row>
    <row r="180" spans="1:11" ht="30" x14ac:dyDescent="0.25">
      <c r="A180" s="3" t="s">
        <v>376</v>
      </c>
      <c r="B180" s="4" t="s">
        <v>377</v>
      </c>
      <c r="C180" s="14">
        <v>1778</v>
      </c>
      <c r="D180" s="6" t="s">
        <v>34</v>
      </c>
      <c r="E180" s="6" t="s">
        <v>17</v>
      </c>
      <c r="F180" s="7">
        <v>24108</v>
      </c>
      <c r="G180" s="8">
        <f t="shared" si="2"/>
        <v>24108</v>
      </c>
      <c r="H180" s="6" t="s">
        <v>13</v>
      </c>
      <c r="I180" s="9">
        <v>357219.04</v>
      </c>
      <c r="J180" s="10">
        <v>1700</v>
      </c>
      <c r="K180" s="17"/>
    </row>
    <row r="181" spans="1:11" ht="30" x14ac:dyDescent="0.25">
      <c r="A181" s="3" t="s">
        <v>378</v>
      </c>
      <c r="B181" s="4" t="s">
        <v>379</v>
      </c>
      <c r="C181" s="14">
        <v>1357</v>
      </c>
      <c r="D181" s="6" t="s">
        <v>31</v>
      </c>
      <c r="E181" s="6" t="s">
        <v>17</v>
      </c>
      <c r="F181" s="7">
        <v>29221</v>
      </c>
      <c r="G181" s="8">
        <f t="shared" si="2"/>
        <v>29221</v>
      </c>
      <c r="H181" s="6" t="s">
        <v>13</v>
      </c>
      <c r="I181" s="9" t="s">
        <v>3380</v>
      </c>
      <c r="J181" s="10" t="s">
        <v>3380</v>
      </c>
      <c r="K181" s="17"/>
    </row>
    <row r="182" spans="1:11" ht="30" x14ac:dyDescent="0.25">
      <c r="A182" s="3" t="s">
        <v>380</v>
      </c>
      <c r="B182" s="4" t="s">
        <v>381</v>
      </c>
      <c r="C182" s="14">
        <v>24002</v>
      </c>
      <c r="D182" s="6" t="s">
        <v>16</v>
      </c>
      <c r="E182" s="6" t="s">
        <v>17</v>
      </c>
      <c r="F182" s="7">
        <v>38506</v>
      </c>
      <c r="G182" s="8">
        <f t="shared" si="2"/>
        <v>38506</v>
      </c>
      <c r="H182" s="6" t="s">
        <v>13</v>
      </c>
      <c r="I182" s="9" t="s">
        <v>3380</v>
      </c>
      <c r="J182" s="10" t="s">
        <v>3380</v>
      </c>
      <c r="K182" s="17"/>
    </row>
    <row r="183" spans="1:11" ht="30" x14ac:dyDescent="0.25">
      <c r="A183" s="3" t="s">
        <v>382</v>
      </c>
      <c r="B183" s="4" t="s">
        <v>383</v>
      </c>
      <c r="C183" s="14">
        <v>1466</v>
      </c>
      <c r="D183" s="6" t="s">
        <v>31</v>
      </c>
      <c r="E183" s="6" t="s">
        <v>17</v>
      </c>
      <c r="F183" s="7">
        <v>39680</v>
      </c>
      <c r="G183" s="8">
        <f t="shared" si="2"/>
        <v>39680</v>
      </c>
      <c r="H183" s="6" t="s">
        <v>13</v>
      </c>
      <c r="I183" s="9">
        <v>295088.14</v>
      </c>
      <c r="J183" s="10">
        <v>1200</v>
      </c>
      <c r="K183" s="17"/>
    </row>
    <row r="184" spans="1:11" x14ac:dyDescent="0.25">
      <c r="A184" s="18" t="s">
        <v>384</v>
      </c>
      <c r="B184" s="19" t="s">
        <v>385</v>
      </c>
      <c r="C184" s="5">
        <v>2031</v>
      </c>
      <c r="D184" s="21" t="s">
        <v>31</v>
      </c>
      <c r="E184" s="21" t="s">
        <v>17</v>
      </c>
      <c r="F184" s="22">
        <v>29221</v>
      </c>
      <c r="G184" s="23">
        <f t="shared" si="2"/>
        <v>29221</v>
      </c>
      <c r="H184" s="21" t="s">
        <v>13</v>
      </c>
      <c r="I184" s="9" t="s">
        <v>3380</v>
      </c>
      <c r="J184" s="10" t="s">
        <v>3380</v>
      </c>
      <c r="K184" s="25"/>
    </row>
    <row r="185" spans="1:11" ht="30" x14ac:dyDescent="0.25">
      <c r="A185" s="3" t="s">
        <v>386</v>
      </c>
      <c r="B185" s="4" t="s">
        <v>387</v>
      </c>
      <c r="C185" s="14">
        <v>1383</v>
      </c>
      <c r="D185" s="6" t="s">
        <v>16</v>
      </c>
      <c r="E185" s="6" t="s">
        <v>17</v>
      </c>
      <c r="F185" s="7">
        <v>29221</v>
      </c>
      <c r="G185" s="8">
        <f t="shared" si="2"/>
        <v>29221</v>
      </c>
      <c r="H185" s="6" t="s">
        <v>13</v>
      </c>
      <c r="I185" s="9" t="s">
        <v>3380</v>
      </c>
      <c r="J185" s="10" t="s">
        <v>3380</v>
      </c>
      <c r="K185" s="17"/>
    </row>
    <row r="186" spans="1:11" ht="30" x14ac:dyDescent="0.25">
      <c r="A186" s="3" t="s">
        <v>388</v>
      </c>
      <c r="B186" s="4" t="s">
        <v>389</v>
      </c>
      <c r="C186" s="5">
        <v>52274</v>
      </c>
      <c r="D186" s="6" t="s">
        <v>37</v>
      </c>
      <c r="E186" s="6" t="s">
        <v>38</v>
      </c>
      <c r="F186" s="7">
        <v>38624</v>
      </c>
      <c r="G186" s="8">
        <f t="shared" si="2"/>
        <v>38624</v>
      </c>
      <c r="H186" s="6" t="s">
        <v>39</v>
      </c>
      <c r="I186" s="9" t="s">
        <v>3380</v>
      </c>
      <c r="J186" s="10" t="s">
        <v>3380</v>
      </c>
      <c r="K186" s="17"/>
    </row>
    <row r="187" spans="1:11" x14ac:dyDescent="0.25">
      <c r="A187" s="18" t="s">
        <v>390</v>
      </c>
      <c r="B187" s="19" t="s">
        <v>391</v>
      </c>
      <c r="C187" s="20">
        <v>1392</v>
      </c>
      <c r="D187" s="21" t="s">
        <v>16</v>
      </c>
      <c r="E187" s="21" t="s">
        <v>17</v>
      </c>
      <c r="F187" s="22">
        <v>29221</v>
      </c>
      <c r="G187" s="23">
        <f t="shared" si="2"/>
        <v>29221</v>
      </c>
      <c r="H187" s="21" t="s">
        <v>13</v>
      </c>
      <c r="I187" s="9" t="s">
        <v>3380</v>
      </c>
      <c r="J187" s="10" t="s">
        <v>3380</v>
      </c>
      <c r="K187" s="25"/>
    </row>
    <row r="188" spans="1:11" ht="30" x14ac:dyDescent="0.25">
      <c r="A188" s="3" t="s">
        <v>392</v>
      </c>
      <c r="B188" s="4" t="s">
        <v>393</v>
      </c>
      <c r="C188" s="5">
        <v>1676</v>
      </c>
      <c r="D188" s="6" t="s">
        <v>34</v>
      </c>
      <c r="E188" s="6" t="s">
        <v>17</v>
      </c>
      <c r="F188" s="7">
        <v>36427</v>
      </c>
      <c r="G188" s="8">
        <f t="shared" si="2"/>
        <v>36427</v>
      </c>
      <c r="H188" s="6" t="s">
        <v>13</v>
      </c>
      <c r="I188" s="9" t="s">
        <v>3380</v>
      </c>
      <c r="J188" s="10" t="s">
        <v>3380</v>
      </c>
      <c r="K188" s="17"/>
    </row>
    <row r="189" spans="1:11" x14ac:dyDescent="0.25">
      <c r="A189" s="26" t="s">
        <v>394</v>
      </c>
      <c r="B189" s="27" t="s">
        <v>395</v>
      </c>
      <c r="C189" s="34">
        <v>35169</v>
      </c>
      <c r="D189" s="28" t="s">
        <v>11</v>
      </c>
      <c r="E189" s="28" t="s">
        <v>12</v>
      </c>
      <c r="F189" s="29">
        <v>37097</v>
      </c>
      <c r="G189" s="30">
        <f t="shared" si="2"/>
        <v>37097</v>
      </c>
      <c r="H189" s="28" t="s">
        <v>39</v>
      </c>
      <c r="I189" s="9" t="s">
        <v>3380</v>
      </c>
      <c r="J189" s="10" t="s">
        <v>3380</v>
      </c>
      <c r="K189" s="33"/>
    </row>
    <row r="190" spans="1:11" ht="30" x14ac:dyDescent="0.25">
      <c r="A190" s="3" t="s">
        <v>396</v>
      </c>
      <c r="B190" s="4" t="s">
        <v>397</v>
      </c>
      <c r="C190" s="5">
        <v>1961</v>
      </c>
      <c r="D190" s="6" t="s">
        <v>28</v>
      </c>
      <c r="E190" s="6" t="s">
        <v>17</v>
      </c>
      <c r="F190" s="7">
        <v>34335</v>
      </c>
      <c r="G190" s="8">
        <f t="shared" si="2"/>
        <v>34335</v>
      </c>
      <c r="H190" s="6" t="s">
        <v>13</v>
      </c>
      <c r="I190" s="9" t="s">
        <v>3380</v>
      </c>
      <c r="J190" s="10" t="s">
        <v>3380</v>
      </c>
      <c r="K190" s="17"/>
    </row>
    <row r="191" spans="1:11" ht="30" x14ac:dyDescent="0.25">
      <c r="A191" s="3" t="s">
        <v>398</v>
      </c>
      <c r="B191" s="4" t="s">
        <v>399</v>
      </c>
      <c r="C191" s="14">
        <v>1303</v>
      </c>
      <c r="D191" s="6" t="s">
        <v>16</v>
      </c>
      <c r="E191" s="6" t="s">
        <v>17</v>
      </c>
      <c r="F191" s="7">
        <v>35247</v>
      </c>
      <c r="G191" s="8">
        <f t="shared" si="2"/>
        <v>35247</v>
      </c>
      <c r="H191" s="6" t="s">
        <v>13</v>
      </c>
      <c r="I191" s="9">
        <v>258710.35</v>
      </c>
      <c r="J191" s="10">
        <v>870</v>
      </c>
      <c r="K191" s="17"/>
    </row>
    <row r="192" spans="1:11" ht="30" x14ac:dyDescent="0.25">
      <c r="A192" s="3" t="s">
        <v>400</v>
      </c>
      <c r="B192" s="4" t="s">
        <v>401</v>
      </c>
      <c r="C192" s="5">
        <v>54503</v>
      </c>
      <c r="D192" s="6" t="s">
        <v>28</v>
      </c>
      <c r="E192" s="6" t="s">
        <v>17</v>
      </c>
      <c r="F192" s="7">
        <v>38453</v>
      </c>
      <c r="G192" s="8">
        <f t="shared" si="2"/>
        <v>38453</v>
      </c>
      <c r="H192" s="6" t="s">
        <v>13</v>
      </c>
      <c r="I192" s="9" t="s">
        <v>3380</v>
      </c>
      <c r="J192" s="10" t="s">
        <v>3380</v>
      </c>
      <c r="K192" s="17"/>
    </row>
    <row r="193" spans="1:11" x14ac:dyDescent="0.25">
      <c r="A193" s="26" t="s">
        <v>402</v>
      </c>
      <c r="B193" s="27" t="s">
        <v>403</v>
      </c>
      <c r="C193" s="34">
        <v>9284</v>
      </c>
      <c r="D193" s="28" t="s">
        <v>28</v>
      </c>
      <c r="E193" s="28" t="s">
        <v>17</v>
      </c>
      <c r="F193" s="29">
        <v>36446</v>
      </c>
      <c r="G193" s="30">
        <f t="shared" si="2"/>
        <v>36446</v>
      </c>
      <c r="H193" s="28" t="s">
        <v>13</v>
      </c>
      <c r="I193" s="9" t="s">
        <v>3380</v>
      </c>
      <c r="J193" s="10" t="s">
        <v>3380</v>
      </c>
      <c r="K193" s="33"/>
    </row>
    <row r="194" spans="1:11" ht="30" x14ac:dyDescent="0.25">
      <c r="A194" s="3" t="s">
        <v>404</v>
      </c>
      <c r="B194" s="4" t="s">
        <v>405</v>
      </c>
      <c r="C194" s="5">
        <v>52940</v>
      </c>
      <c r="D194" s="6" t="s">
        <v>34</v>
      </c>
      <c r="E194" s="6" t="s">
        <v>17</v>
      </c>
      <c r="F194" s="7">
        <v>24108</v>
      </c>
      <c r="G194" s="8">
        <f t="shared" ref="G194:G257" si="3">F194</f>
        <v>24108</v>
      </c>
      <c r="H194" s="6" t="s">
        <v>13</v>
      </c>
      <c r="I194" s="9" t="s">
        <v>3380</v>
      </c>
      <c r="J194" s="10" t="s">
        <v>3380</v>
      </c>
      <c r="K194" s="17"/>
    </row>
    <row r="195" spans="1:11" x14ac:dyDescent="0.25">
      <c r="A195" s="18" t="s">
        <v>406</v>
      </c>
      <c r="B195" s="19" t="s">
        <v>407</v>
      </c>
      <c r="C195" s="5">
        <v>1102</v>
      </c>
      <c r="D195" s="21" t="s">
        <v>28</v>
      </c>
      <c r="E195" s="21" t="s">
        <v>17</v>
      </c>
      <c r="F195" s="22">
        <v>29221</v>
      </c>
      <c r="G195" s="23">
        <f t="shared" si="3"/>
        <v>29221</v>
      </c>
      <c r="H195" s="21" t="s">
        <v>13</v>
      </c>
      <c r="I195" s="9" t="s">
        <v>3380</v>
      </c>
      <c r="J195" s="10" t="s">
        <v>3380</v>
      </c>
      <c r="K195" s="25"/>
    </row>
    <row r="196" spans="1:11" ht="30" x14ac:dyDescent="0.25">
      <c r="A196" s="3" t="s">
        <v>408</v>
      </c>
      <c r="B196" s="4" t="s">
        <v>409</v>
      </c>
      <c r="C196" s="5">
        <v>19203</v>
      </c>
      <c r="D196" s="6" t="s">
        <v>31</v>
      </c>
      <c r="E196" s="6" t="s">
        <v>17</v>
      </c>
      <c r="F196" s="7">
        <v>34116</v>
      </c>
      <c r="G196" s="8">
        <f t="shared" si="3"/>
        <v>34116</v>
      </c>
      <c r="H196" s="6" t="s">
        <v>13</v>
      </c>
      <c r="I196" s="9" t="s">
        <v>3380</v>
      </c>
      <c r="J196" s="10" t="s">
        <v>3380</v>
      </c>
      <c r="K196" s="17"/>
    </row>
    <row r="197" spans="1:11" ht="30" x14ac:dyDescent="0.25">
      <c r="A197" s="3" t="s">
        <v>410</v>
      </c>
      <c r="B197" s="4" t="s">
        <v>411</v>
      </c>
      <c r="C197" s="5">
        <v>72154</v>
      </c>
      <c r="D197" s="6" t="s">
        <v>37</v>
      </c>
      <c r="E197" s="6" t="s">
        <v>38</v>
      </c>
      <c r="F197" s="7">
        <v>38876</v>
      </c>
      <c r="G197" s="8">
        <f t="shared" si="3"/>
        <v>38876</v>
      </c>
      <c r="H197" s="6" t="s">
        <v>39</v>
      </c>
      <c r="I197" s="9" t="s">
        <v>3380</v>
      </c>
      <c r="J197" s="10" t="s">
        <v>3380</v>
      </c>
      <c r="K197" s="17"/>
    </row>
    <row r="198" spans="1:11" ht="30" x14ac:dyDescent="0.25">
      <c r="A198" s="3" t="s">
        <v>412</v>
      </c>
      <c r="B198" s="4" t="s">
        <v>413</v>
      </c>
      <c r="C198" s="14">
        <v>1979</v>
      </c>
      <c r="D198" s="6" t="s">
        <v>34</v>
      </c>
      <c r="E198" s="6" t="s">
        <v>17</v>
      </c>
      <c r="F198" s="7">
        <v>35065</v>
      </c>
      <c r="G198" s="8">
        <f t="shared" si="3"/>
        <v>35065</v>
      </c>
      <c r="H198" s="6" t="s">
        <v>13</v>
      </c>
      <c r="I198" s="9" t="s">
        <v>3380</v>
      </c>
      <c r="J198" s="10" t="s">
        <v>3380</v>
      </c>
      <c r="K198" s="17"/>
    </row>
    <row r="199" spans="1:11" ht="30" x14ac:dyDescent="0.25">
      <c r="A199" s="3" t="s">
        <v>414</v>
      </c>
      <c r="B199" s="4" t="s">
        <v>415</v>
      </c>
      <c r="C199" s="5">
        <v>1078</v>
      </c>
      <c r="D199" s="6" t="s">
        <v>34</v>
      </c>
      <c r="E199" s="6" t="s">
        <v>17</v>
      </c>
      <c r="F199" s="7">
        <v>18264</v>
      </c>
      <c r="G199" s="8">
        <f t="shared" si="3"/>
        <v>18264</v>
      </c>
      <c r="H199" s="6" t="s">
        <v>13</v>
      </c>
      <c r="I199" s="9" t="s">
        <v>3380</v>
      </c>
      <c r="J199" s="10" t="s">
        <v>3380</v>
      </c>
      <c r="K199" s="17"/>
    </row>
    <row r="200" spans="1:11" ht="30" x14ac:dyDescent="0.25">
      <c r="A200" s="3" t="s">
        <v>416</v>
      </c>
      <c r="B200" s="4" t="s">
        <v>417</v>
      </c>
      <c r="C200" s="5">
        <v>1878</v>
      </c>
      <c r="D200" s="6" t="s">
        <v>34</v>
      </c>
      <c r="E200" s="6" t="s">
        <v>17</v>
      </c>
      <c r="F200" s="7">
        <v>25569</v>
      </c>
      <c r="G200" s="8">
        <f t="shared" si="3"/>
        <v>25569</v>
      </c>
      <c r="H200" s="6" t="s">
        <v>13</v>
      </c>
      <c r="I200" s="9" t="s">
        <v>3380</v>
      </c>
      <c r="J200" s="10" t="s">
        <v>3380</v>
      </c>
      <c r="K200" s="17"/>
    </row>
    <row r="201" spans="1:11" ht="30" x14ac:dyDescent="0.25">
      <c r="A201" s="3" t="s">
        <v>418</v>
      </c>
      <c r="B201" s="4" t="s">
        <v>419</v>
      </c>
      <c r="C201" s="14">
        <v>1229</v>
      </c>
      <c r="D201" s="6" t="s">
        <v>34</v>
      </c>
      <c r="E201" s="6" t="s">
        <v>17</v>
      </c>
      <c r="F201" s="7">
        <v>24108</v>
      </c>
      <c r="G201" s="8">
        <f t="shared" si="3"/>
        <v>24108</v>
      </c>
      <c r="H201" s="6" t="s">
        <v>13</v>
      </c>
      <c r="I201" s="9">
        <v>36665.046070611505</v>
      </c>
      <c r="J201" s="10">
        <v>423.39457371236898</v>
      </c>
      <c r="K201" s="17"/>
    </row>
    <row r="202" spans="1:11" ht="30" x14ac:dyDescent="0.25">
      <c r="A202" s="3" t="s">
        <v>420</v>
      </c>
      <c r="B202" s="4" t="s">
        <v>421</v>
      </c>
      <c r="C202" s="5">
        <v>1659</v>
      </c>
      <c r="D202" s="6" t="s">
        <v>11</v>
      </c>
      <c r="E202" s="6" t="s">
        <v>17</v>
      </c>
      <c r="F202" s="7">
        <v>34670</v>
      </c>
      <c r="G202" s="8">
        <f t="shared" si="3"/>
        <v>34670</v>
      </c>
      <c r="H202" s="6" t="s">
        <v>13</v>
      </c>
      <c r="I202" s="9" t="s">
        <v>3380</v>
      </c>
      <c r="J202" s="10" t="s">
        <v>3380</v>
      </c>
      <c r="K202" s="17"/>
    </row>
    <row r="203" spans="1:11" ht="30" x14ac:dyDescent="0.25">
      <c r="A203" s="3" t="s">
        <v>422</v>
      </c>
      <c r="B203" s="4" t="s">
        <v>423</v>
      </c>
      <c r="C203" s="14">
        <v>2003</v>
      </c>
      <c r="D203" s="6" t="s">
        <v>34</v>
      </c>
      <c r="E203" s="6" t="s">
        <v>17</v>
      </c>
      <c r="F203" s="7">
        <v>31413</v>
      </c>
      <c r="G203" s="8">
        <f t="shared" si="3"/>
        <v>31413</v>
      </c>
      <c r="H203" s="6" t="s">
        <v>13</v>
      </c>
      <c r="I203" s="9">
        <v>532908.61</v>
      </c>
      <c r="J203" s="10">
        <v>8000</v>
      </c>
      <c r="K203" s="17"/>
    </row>
    <row r="204" spans="1:11" ht="30" x14ac:dyDescent="0.25">
      <c r="A204" s="3" t="s">
        <v>424</v>
      </c>
      <c r="B204" s="4" t="s">
        <v>425</v>
      </c>
      <c r="C204" s="5">
        <v>1306</v>
      </c>
      <c r="D204" s="6" t="s">
        <v>16</v>
      </c>
      <c r="E204" s="6" t="s">
        <v>17</v>
      </c>
      <c r="F204" s="7">
        <v>29952</v>
      </c>
      <c r="G204" s="8">
        <f t="shared" si="3"/>
        <v>29952</v>
      </c>
      <c r="H204" s="6" t="s">
        <v>13</v>
      </c>
      <c r="I204" s="9">
        <v>1816566.1</v>
      </c>
      <c r="J204" s="10">
        <v>3100</v>
      </c>
      <c r="K204" s="17"/>
    </row>
    <row r="205" spans="1:11" ht="30" x14ac:dyDescent="0.25">
      <c r="A205" s="3" t="s">
        <v>426</v>
      </c>
      <c r="B205" s="4" t="s">
        <v>427</v>
      </c>
      <c r="C205" s="14">
        <v>11204</v>
      </c>
      <c r="D205" s="6" t="s">
        <v>16</v>
      </c>
      <c r="E205" s="6" t="s">
        <v>17</v>
      </c>
      <c r="F205" s="7">
        <v>38504</v>
      </c>
      <c r="G205" s="8">
        <f t="shared" si="3"/>
        <v>38504</v>
      </c>
      <c r="H205" s="6" t="s">
        <v>13</v>
      </c>
      <c r="I205" s="9" t="s">
        <v>3380</v>
      </c>
      <c r="J205" s="10" t="s">
        <v>3380</v>
      </c>
      <c r="K205" s="17"/>
    </row>
    <row r="206" spans="1:11" ht="30" x14ac:dyDescent="0.25">
      <c r="A206" s="3" t="s">
        <v>428</v>
      </c>
      <c r="B206" s="4" t="s">
        <v>429</v>
      </c>
      <c r="C206" s="5">
        <v>54504</v>
      </c>
      <c r="D206" s="6" t="s">
        <v>34</v>
      </c>
      <c r="E206" s="6" t="s">
        <v>17</v>
      </c>
      <c r="F206" s="7">
        <v>38534</v>
      </c>
      <c r="G206" s="8">
        <f t="shared" si="3"/>
        <v>38534</v>
      </c>
      <c r="H206" s="6" t="s">
        <v>13</v>
      </c>
      <c r="I206" s="9" t="s">
        <v>3380</v>
      </c>
      <c r="J206" s="10" t="s">
        <v>3380</v>
      </c>
      <c r="K206" s="17"/>
    </row>
    <row r="207" spans="1:11" x14ac:dyDescent="0.25">
      <c r="A207" s="18" t="s">
        <v>430</v>
      </c>
      <c r="B207" s="19" t="s">
        <v>431</v>
      </c>
      <c r="C207" s="20">
        <v>1464</v>
      </c>
      <c r="D207" s="21" t="s">
        <v>34</v>
      </c>
      <c r="E207" s="21" t="s">
        <v>17</v>
      </c>
      <c r="F207" s="22">
        <v>27395</v>
      </c>
      <c r="G207" s="23">
        <f t="shared" si="3"/>
        <v>27395</v>
      </c>
      <c r="H207" s="21" t="s">
        <v>13</v>
      </c>
      <c r="I207" s="9" t="s">
        <v>3380</v>
      </c>
      <c r="J207" s="10" t="s">
        <v>3380</v>
      </c>
      <c r="K207" s="25"/>
    </row>
    <row r="208" spans="1:11" ht="30" x14ac:dyDescent="0.25">
      <c r="A208" s="3" t="s">
        <v>432</v>
      </c>
      <c r="B208" s="4" t="s">
        <v>433</v>
      </c>
      <c r="C208" s="5">
        <v>30554</v>
      </c>
      <c r="D208" s="6" t="s">
        <v>34</v>
      </c>
      <c r="E208" s="6" t="s">
        <v>17</v>
      </c>
      <c r="F208" s="7">
        <v>39828</v>
      </c>
      <c r="G208" s="8">
        <f t="shared" si="3"/>
        <v>39828</v>
      </c>
      <c r="H208" s="6" t="s">
        <v>13</v>
      </c>
      <c r="I208" s="9" t="s">
        <v>3380</v>
      </c>
      <c r="J208" s="10" t="s">
        <v>3380</v>
      </c>
      <c r="K208" s="17"/>
    </row>
    <row r="209" spans="1:11" ht="30" x14ac:dyDescent="0.25">
      <c r="A209" s="3" t="s">
        <v>434</v>
      </c>
      <c r="B209" s="4" t="s">
        <v>435</v>
      </c>
      <c r="C209" s="14">
        <v>11203</v>
      </c>
      <c r="D209" s="6" t="s">
        <v>31</v>
      </c>
      <c r="E209" s="6" t="s">
        <v>17</v>
      </c>
      <c r="F209" s="7">
        <v>37931</v>
      </c>
      <c r="G209" s="8">
        <f t="shared" si="3"/>
        <v>37931</v>
      </c>
      <c r="H209" s="6" t="s">
        <v>13</v>
      </c>
      <c r="I209" s="9" t="s">
        <v>3380</v>
      </c>
      <c r="J209" s="10" t="s">
        <v>3380</v>
      </c>
      <c r="K209" s="17"/>
    </row>
    <row r="210" spans="1:11" ht="30" x14ac:dyDescent="0.25">
      <c r="A210" s="3" t="s">
        <v>436</v>
      </c>
      <c r="B210" s="4" t="s">
        <v>437</v>
      </c>
      <c r="C210" s="5">
        <v>54849</v>
      </c>
      <c r="D210" s="6" t="s">
        <v>34</v>
      </c>
      <c r="E210" s="6" t="s">
        <v>17</v>
      </c>
      <c r="F210" s="7">
        <v>38469</v>
      </c>
      <c r="G210" s="8">
        <f t="shared" si="3"/>
        <v>38469</v>
      </c>
      <c r="H210" s="6" t="s">
        <v>13</v>
      </c>
      <c r="I210" s="9" t="s">
        <v>3380</v>
      </c>
      <c r="J210" s="10" t="s">
        <v>3380</v>
      </c>
      <c r="K210" s="17"/>
    </row>
    <row r="211" spans="1:11" ht="30" x14ac:dyDescent="0.25">
      <c r="A211" s="3" t="s">
        <v>438</v>
      </c>
      <c r="B211" s="4" t="s">
        <v>439</v>
      </c>
      <c r="C211" s="5">
        <v>1223</v>
      </c>
      <c r="D211" s="6" t="s">
        <v>31</v>
      </c>
      <c r="E211" s="6" t="s">
        <v>17</v>
      </c>
      <c r="F211" s="7">
        <v>29221</v>
      </c>
      <c r="G211" s="8">
        <f t="shared" si="3"/>
        <v>29221</v>
      </c>
      <c r="H211" s="6" t="s">
        <v>13</v>
      </c>
      <c r="I211" s="9" t="s">
        <v>3380</v>
      </c>
      <c r="J211" s="10" t="s">
        <v>3380</v>
      </c>
      <c r="K211" s="17"/>
    </row>
    <row r="212" spans="1:11" ht="30" x14ac:dyDescent="0.25">
      <c r="A212" s="3" t="s">
        <v>440</v>
      </c>
      <c r="B212" s="4" t="s">
        <v>441</v>
      </c>
      <c r="C212" s="5">
        <v>1088</v>
      </c>
      <c r="D212" s="6" t="s">
        <v>31</v>
      </c>
      <c r="E212" s="6" t="s">
        <v>17</v>
      </c>
      <c r="F212" s="7">
        <v>29221</v>
      </c>
      <c r="G212" s="8">
        <f t="shared" si="3"/>
        <v>29221</v>
      </c>
      <c r="H212" s="6" t="s">
        <v>13</v>
      </c>
      <c r="I212" s="9" t="s">
        <v>3380</v>
      </c>
      <c r="J212" s="10" t="s">
        <v>3380</v>
      </c>
      <c r="K212" s="17"/>
    </row>
    <row r="213" spans="1:11" ht="30" x14ac:dyDescent="0.25">
      <c r="A213" s="3" t="s">
        <v>442</v>
      </c>
      <c r="B213" s="4" t="s">
        <v>443</v>
      </c>
      <c r="C213" s="5">
        <v>64740</v>
      </c>
      <c r="D213" s="6" t="s">
        <v>34</v>
      </c>
      <c r="E213" s="6" t="s">
        <v>17</v>
      </c>
      <c r="F213" s="7">
        <v>39209</v>
      </c>
      <c r="G213" s="8">
        <f t="shared" si="3"/>
        <v>39209</v>
      </c>
      <c r="H213" s="6" t="s">
        <v>13</v>
      </c>
      <c r="I213" s="9" t="s">
        <v>3380</v>
      </c>
      <c r="J213" s="10" t="s">
        <v>3380</v>
      </c>
      <c r="K213" s="17"/>
    </row>
    <row r="214" spans="1:11" ht="30" x14ac:dyDescent="0.25">
      <c r="A214" s="3" t="s">
        <v>444</v>
      </c>
      <c r="B214" s="4" t="s">
        <v>445</v>
      </c>
      <c r="C214" s="14">
        <v>1339</v>
      </c>
      <c r="D214" s="6" t="s">
        <v>34</v>
      </c>
      <c r="E214" s="6" t="s">
        <v>17</v>
      </c>
      <c r="F214" s="7">
        <v>29221</v>
      </c>
      <c r="G214" s="8">
        <f t="shared" si="3"/>
        <v>29221</v>
      </c>
      <c r="H214" s="6" t="s">
        <v>13</v>
      </c>
      <c r="I214" s="9" t="s">
        <v>3380</v>
      </c>
      <c r="J214" s="10" t="s">
        <v>3380</v>
      </c>
      <c r="K214" s="17"/>
    </row>
    <row r="215" spans="1:11" ht="30" x14ac:dyDescent="0.25">
      <c r="A215" s="3" t="s">
        <v>446</v>
      </c>
      <c r="B215" s="4" t="s">
        <v>447</v>
      </c>
      <c r="C215" s="5">
        <v>56753</v>
      </c>
      <c r="D215" s="6" t="s">
        <v>28</v>
      </c>
      <c r="E215" s="6" t="s">
        <v>17</v>
      </c>
      <c r="F215" s="7">
        <v>39393</v>
      </c>
      <c r="G215" s="8">
        <f t="shared" si="3"/>
        <v>39393</v>
      </c>
      <c r="H215" s="6" t="s">
        <v>13</v>
      </c>
      <c r="I215" s="9" t="s">
        <v>3380</v>
      </c>
      <c r="J215" s="10" t="s">
        <v>3380</v>
      </c>
      <c r="K215" s="17"/>
    </row>
    <row r="216" spans="1:11" ht="30" x14ac:dyDescent="0.25">
      <c r="A216" s="3" t="s">
        <v>448</v>
      </c>
      <c r="B216" s="4" t="s">
        <v>449</v>
      </c>
      <c r="C216" s="5">
        <v>1995</v>
      </c>
      <c r="D216" s="6" t="s">
        <v>28</v>
      </c>
      <c r="E216" s="6" t="s">
        <v>17</v>
      </c>
      <c r="F216" s="7">
        <v>24108</v>
      </c>
      <c r="G216" s="8">
        <f t="shared" si="3"/>
        <v>24108</v>
      </c>
      <c r="H216" s="6" t="s">
        <v>13</v>
      </c>
      <c r="I216" s="9" t="s">
        <v>3380</v>
      </c>
      <c r="J216" s="10" t="s">
        <v>3380</v>
      </c>
      <c r="K216" s="17"/>
    </row>
    <row r="217" spans="1:11" ht="30" x14ac:dyDescent="0.25">
      <c r="A217" s="3" t="s">
        <v>450</v>
      </c>
      <c r="B217" s="4" t="s">
        <v>451</v>
      </c>
      <c r="C217" s="5">
        <v>1980</v>
      </c>
      <c r="D217" s="6" t="s">
        <v>34</v>
      </c>
      <c r="E217" s="6" t="s">
        <v>17</v>
      </c>
      <c r="F217" s="7">
        <v>29221</v>
      </c>
      <c r="G217" s="8">
        <f t="shared" si="3"/>
        <v>29221</v>
      </c>
      <c r="H217" s="6" t="s">
        <v>13</v>
      </c>
      <c r="I217" s="9" t="s">
        <v>3380</v>
      </c>
      <c r="J217" s="10" t="s">
        <v>3380</v>
      </c>
      <c r="K217" s="17"/>
    </row>
    <row r="218" spans="1:11" ht="30" x14ac:dyDescent="0.25">
      <c r="A218" s="3" t="s">
        <v>452</v>
      </c>
      <c r="B218" s="4" t="s">
        <v>453</v>
      </c>
      <c r="C218" s="14">
        <v>26241</v>
      </c>
      <c r="D218" s="6" t="s">
        <v>31</v>
      </c>
      <c r="E218" s="6" t="s">
        <v>17</v>
      </c>
      <c r="F218" s="7">
        <v>32827</v>
      </c>
      <c r="G218" s="8">
        <f t="shared" si="3"/>
        <v>32827</v>
      </c>
      <c r="H218" s="6" t="s">
        <v>13</v>
      </c>
      <c r="I218" s="9">
        <v>351037.62</v>
      </c>
      <c r="J218" s="10">
        <v>900</v>
      </c>
      <c r="K218" s="17"/>
    </row>
    <row r="219" spans="1:11" ht="30" x14ac:dyDescent="0.25">
      <c r="A219" s="3" t="s">
        <v>454</v>
      </c>
      <c r="B219" s="4" t="s">
        <v>455</v>
      </c>
      <c r="C219" s="14">
        <v>26577</v>
      </c>
      <c r="D219" s="6" t="s">
        <v>31</v>
      </c>
      <c r="E219" s="6" t="s">
        <v>17</v>
      </c>
      <c r="F219" s="7">
        <v>20925</v>
      </c>
      <c r="G219" s="8">
        <f t="shared" si="3"/>
        <v>20925</v>
      </c>
      <c r="H219" s="6" t="s">
        <v>13</v>
      </c>
      <c r="I219" s="9" t="s">
        <v>3380</v>
      </c>
      <c r="J219" s="10" t="s">
        <v>3380</v>
      </c>
      <c r="K219" s="17"/>
    </row>
    <row r="220" spans="1:11" ht="30" x14ac:dyDescent="0.25">
      <c r="A220" s="3" t="s">
        <v>456</v>
      </c>
      <c r="B220" s="4" t="s">
        <v>457</v>
      </c>
      <c r="C220" s="5">
        <v>1222</v>
      </c>
      <c r="D220" s="6" t="s">
        <v>31</v>
      </c>
      <c r="E220" s="6" t="s">
        <v>17</v>
      </c>
      <c r="F220" s="7">
        <v>29221</v>
      </c>
      <c r="G220" s="8">
        <f t="shared" si="3"/>
        <v>29221</v>
      </c>
      <c r="H220" s="6" t="s">
        <v>13</v>
      </c>
      <c r="I220" s="9" t="s">
        <v>3380</v>
      </c>
      <c r="J220" s="10" t="s">
        <v>3380</v>
      </c>
      <c r="K220" s="17"/>
    </row>
    <row r="221" spans="1:11" ht="30" x14ac:dyDescent="0.25">
      <c r="A221" s="3" t="s">
        <v>458</v>
      </c>
      <c r="B221" s="4" t="s">
        <v>459</v>
      </c>
      <c r="C221" s="5">
        <v>54505</v>
      </c>
      <c r="D221" s="6" t="s">
        <v>34</v>
      </c>
      <c r="E221" s="6" t="s">
        <v>17</v>
      </c>
      <c r="F221" s="7">
        <v>18264</v>
      </c>
      <c r="G221" s="8">
        <f t="shared" si="3"/>
        <v>18264</v>
      </c>
      <c r="H221" s="6" t="s">
        <v>13</v>
      </c>
      <c r="I221" s="9" t="s">
        <v>3380</v>
      </c>
      <c r="J221" s="10" t="s">
        <v>3380</v>
      </c>
      <c r="K221" s="17"/>
    </row>
    <row r="222" spans="1:11" ht="30" x14ac:dyDescent="0.25">
      <c r="A222" s="3" t="s">
        <v>460</v>
      </c>
      <c r="B222" s="4" t="s">
        <v>461</v>
      </c>
      <c r="C222" s="5">
        <v>52929</v>
      </c>
      <c r="D222" s="6" t="s">
        <v>31</v>
      </c>
      <c r="E222" s="6" t="s">
        <v>17</v>
      </c>
      <c r="F222" s="7">
        <v>38950</v>
      </c>
      <c r="G222" s="8">
        <f t="shared" si="3"/>
        <v>38950</v>
      </c>
      <c r="H222" s="6" t="s">
        <v>13</v>
      </c>
      <c r="I222" s="9" t="s">
        <v>3380</v>
      </c>
      <c r="J222" s="10" t="s">
        <v>3380</v>
      </c>
      <c r="K222" s="17"/>
    </row>
    <row r="223" spans="1:11" ht="30" x14ac:dyDescent="0.25">
      <c r="A223" s="3" t="s">
        <v>462</v>
      </c>
      <c r="B223" s="4" t="s">
        <v>463</v>
      </c>
      <c r="C223" s="5">
        <v>1568</v>
      </c>
      <c r="D223" s="6" t="s">
        <v>11</v>
      </c>
      <c r="E223" s="6" t="s">
        <v>17</v>
      </c>
      <c r="F223" s="7">
        <v>35073</v>
      </c>
      <c r="G223" s="8">
        <f t="shared" si="3"/>
        <v>35073</v>
      </c>
      <c r="H223" s="6" t="s">
        <v>13</v>
      </c>
      <c r="I223" s="9" t="s">
        <v>3380</v>
      </c>
      <c r="J223" s="10" t="s">
        <v>3380</v>
      </c>
      <c r="K223" s="17"/>
    </row>
    <row r="224" spans="1:11" ht="30" x14ac:dyDescent="0.25">
      <c r="A224" s="3" t="s">
        <v>464</v>
      </c>
      <c r="B224" s="4" t="s">
        <v>465</v>
      </c>
      <c r="C224" s="5">
        <v>24338</v>
      </c>
      <c r="D224" s="6" t="s">
        <v>34</v>
      </c>
      <c r="E224" s="6" t="s">
        <v>17</v>
      </c>
      <c r="F224" s="7">
        <v>38608</v>
      </c>
      <c r="G224" s="8">
        <f t="shared" si="3"/>
        <v>38608</v>
      </c>
      <c r="H224" s="6" t="s">
        <v>13</v>
      </c>
      <c r="I224" s="9" t="s">
        <v>3380</v>
      </c>
      <c r="J224" s="10" t="s">
        <v>3380</v>
      </c>
      <c r="K224" s="17"/>
    </row>
    <row r="225" spans="1:11" ht="30" x14ac:dyDescent="0.25">
      <c r="A225" s="3" t="s">
        <v>466</v>
      </c>
      <c r="B225" s="4" t="s">
        <v>467</v>
      </c>
      <c r="C225" s="5">
        <v>2061</v>
      </c>
      <c r="D225" s="6" t="s">
        <v>34</v>
      </c>
      <c r="E225" s="6" t="s">
        <v>17</v>
      </c>
      <c r="F225" s="7">
        <v>20096</v>
      </c>
      <c r="G225" s="8">
        <f t="shared" si="3"/>
        <v>20096</v>
      </c>
      <c r="H225" s="6" t="s">
        <v>13</v>
      </c>
      <c r="I225" s="9" t="s">
        <v>3380</v>
      </c>
      <c r="J225" s="10" t="s">
        <v>3380</v>
      </c>
      <c r="K225" s="17"/>
    </row>
    <row r="226" spans="1:11" ht="30" x14ac:dyDescent="0.25">
      <c r="A226" s="3" t="s">
        <v>468</v>
      </c>
      <c r="B226" s="4" t="s">
        <v>469</v>
      </c>
      <c r="C226" s="5">
        <v>72098</v>
      </c>
      <c r="D226" s="6" t="s">
        <v>34</v>
      </c>
      <c r="E226" s="6" t="s">
        <v>17</v>
      </c>
      <c r="F226" s="7">
        <v>39108</v>
      </c>
      <c r="G226" s="8">
        <f t="shared" si="3"/>
        <v>39108</v>
      </c>
      <c r="H226" s="6" t="s">
        <v>13</v>
      </c>
      <c r="I226" s="9" t="s">
        <v>3380</v>
      </c>
      <c r="J226" s="10" t="s">
        <v>3380</v>
      </c>
      <c r="K226" s="17"/>
    </row>
    <row r="227" spans="1:11" ht="30" x14ac:dyDescent="0.25">
      <c r="A227" s="3" t="s">
        <v>470</v>
      </c>
      <c r="B227" s="4" t="s">
        <v>471</v>
      </c>
      <c r="C227" s="14">
        <v>22401</v>
      </c>
      <c r="D227" s="6" t="s">
        <v>31</v>
      </c>
      <c r="E227" s="6" t="s">
        <v>17</v>
      </c>
      <c r="F227" s="7">
        <v>38991</v>
      </c>
      <c r="G227" s="8">
        <f t="shared" si="3"/>
        <v>38991</v>
      </c>
      <c r="H227" s="6" t="s">
        <v>13</v>
      </c>
      <c r="I227" s="9">
        <v>269689.29000000004</v>
      </c>
      <c r="J227" s="10">
        <v>1130</v>
      </c>
      <c r="K227" s="17"/>
    </row>
    <row r="228" spans="1:11" ht="30" x14ac:dyDescent="0.25">
      <c r="A228" s="3" t="s">
        <v>472</v>
      </c>
      <c r="B228" s="4" t="s">
        <v>473</v>
      </c>
      <c r="C228" s="5">
        <v>30595</v>
      </c>
      <c r="D228" s="6" t="s">
        <v>34</v>
      </c>
      <c r="E228" s="6" t="s">
        <v>17</v>
      </c>
      <c r="F228" s="7">
        <v>38758</v>
      </c>
      <c r="G228" s="8">
        <f t="shared" si="3"/>
        <v>38758</v>
      </c>
      <c r="H228" s="6" t="s">
        <v>13</v>
      </c>
      <c r="I228" s="9" t="s">
        <v>3380</v>
      </c>
      <c r="J228" s="10" t="s">
        <v>3380</v>
      </c>
      <c r="K228" s="17"/>
    </row>
    <row r="229" spans="1:11" ht="30" x14ac:dyDescent="0.25">
      <c r="A229" s="3" t="s">
        <v>474</v>
      </c>
      <c r="B229" s="4" t="s">
        <v>475</v>
      </c>
      <c r="C229" s="5">
        <v>30553</v>
      </c>
      <c r="D229" s="6" t="s">
        <v>34</v>
      </c>
      <c r="E229" s="6" t="s">
        <v>17</v>
      </c>
      <c r="F229" s="7">
        <v>38377</v>
      </c>
      <c r="G229" s="8">
        <f t="shared" si="3"/>
        <v>38377</v>
      </c>
      <c r="H229" s="6" t="s">
        <v>13</v>
      </c>
      <c r="I229" s="9" t="s">
        <v>3380</v>
      </c>
      <c r="J229" s="10" t="s">
        <v>3380</v>
      </c>
      <c r="K229" s="17"/>
    </row>
    <row r="230" spans="1:11" ht="30" x14ac:dyDescent="0.25">
      <c r="A230" s="3" t="s">
        <v>476</v>
      </c>
      <c r="B230" s="4" t="s">
        <v>477</v>
      </c>
      <c r="C230" s="14">
        <v>2033</v>
      </c>
      <c r="D230" s="6" t="s">
        <v>31</v>
      </c>
      <c r="E230" s="6" t="s">
        <v>17</v>
      </c>
      <c r="F230" s="7">
        <v>32874</v>
      </c>
      <c r="G230" s="8">
        <f t="shared" si="3"/>
        <v>32874</v>
      </c>
      <c r="H230" s="6" t="s">
        <v>13</v>
      </c>
      <c r="I230" s="9">
        <v>199869</v>
      </c>
      <c r="J230" s="10">
        <v>1026.6981659175799</v>
      </c>
      <c r="K230" s="17"/>
    </row>
    <row r="231" spans="1:11" ht="30" x14ac:dyDescent="0.25">
      <c r="A231" s="3" t="s">
        <v>478</v>
      </c>
      <c r="B231" s="4" t="s">
        <v>479</v>
      </c>
      <c r="C231" s="5">
        <v>1611</v>
      </c>
      <c r="D231" s="6" t="s">
        <v>16</v>
      </c>
      <c r="E231" s="6" t="s">
        <v>17</v>
      </c>
      <c r="F231" s="7">
        <v>29221</v>
      </c>
      <c r="G231" s="8">
        <f t="shared" si="3"/>
        <v>29221</v>
      </c>
      <c r="H231" s="6" t="s">
        <v>13</v>
      </c>
      <c r="I231" s="9" t="s">
        <v>3380</v>
      </c>
      <c r="J231" s="10" t="s">
        <v>3380</v>
      </c>
      <c r="K231" s="17"/>
    </row>
    <row r="232" spans="1:11" ht="30" x14ac:dyDescent="0.25">
      <c r="A232" s="3" t="s">
        <v>480</v>
      </c>
      <c r="B232" s="4" t="s">
        <v>481</v>
      </c>
      <c r="C232" s="5">
        <v>31618</v>
      </c>
      <c r="D232" s="6" t="s">
        <v>31</v>
      </c>
      <c r="E232" s="6" t="s">
        <v>17</v>
      </c>
      <c r="F232" s="7">
        <v>33428</v>
      </c>
      <c r="G232" s="8">
        <f t="shared" si="3"/>
        <v>33428</v>
      </c>
      <c r="H232" s="6" t="s">
        <v>13</v>
      </c>
      <c r="I232" s="9" t="s">
        <v>3380</v>
      </c>
      <c r="J232" s="10" t="s">
        <v>3380</v>
      </c>
      <c r="K232" s="17"/>
    </row>
    <row r="233" spans="1:11" ht="30" x14ac:dyDescent="0.25">
      <c r="A233" s="3" t="s">
        <v>482</v>
      </c>
      <c r="B233" s="4" t="s">
        <v>483</v>
      </c>
      <c r="C233" s="5">
        <v>18564</v>
      </c>
      <c r="D233" s="6" t="s">
        <v>16</v>
      </c>
      <c r="E233" s="6" t="s">
        <v>17</v>
      </c>
      <c r="F233" s="7">
        <v>21069</v>
      </c>
      <c r="G233" s="8">
        <f t="shared" si="3"/>
        <v>21069</v>
      </c>
      <c r="H233" s="6" t="s">
        <v>13</v>
      </c>
      <c r="I233" s="9" t="s">
        <v>3380</v>
      </c>
      <c r="J233" s="10" t="s">
        <v>3380</v>
      </c>
      <c r="K233" s="17"/>
    </row>
    <row r="234" spans="1:11" ht="30" x14ac:dyDescent="0.25">
      <c r="A234" s="3" t="s">
        <v>484</v>
      </c>
      <c r="B234" s="4" t="s">
        <v>485</v>
      </c>
      <c r="C234" s="5">
        <v>54506</v>
      </c>
      <c r="D234" s="6" t="s">
        <v>28</v>
      </c>
      <c r="E234" s="6" t="s">
        <v>17</v>
      </c>
      <c r="F234" s="7">
        <v>38112</v>
      </c>
      <c r="G234" s="8">
        <f t="shared" si="3"/>
        <v>38112</v>
      </c>
      <c r="H234" s="6" t="s">
        <v>13</v>
      </c>
      <c r="I234" s="9" t="s">
        <v>3380</v>
      </c>
      <c r="J234" s="10" t="s">
        <v>3380</v>
      </c>
      <c r="K234" s="17"/>
    </row>
    <row r="235" spans="1:11" ht="30" x14ac:dyDescent="0.25">
      <c r="A235" s="3" t="s">
        <v>486</v>
      </c>
      <c r="B235" s="4" t="s">
        <v>487</v>
      </c>
      <c r="C235" s="5">
        <v>1786</v>
      </c>
      <c r="D235" s="6" t="s">
        <v>28</v>
      </c>
      <c r="E235" s="6" t="s">
        <v>17</v>
      </c>
      <c r="F235" s="7">
        <v>40626</v>
      </c>
      <c r="G235" s="8">
        <f t="shared" si="3"/>
        <v>40626</v>
      </c>
      <c r="H235" s="6" t="s">
        <v>13</v>
      </c>
      <c r="I235" s="9" t="s">
        <v>3380</v>
      </c>
      <c r="J235" s="10" t="s">
        <v>3380</v>
      </c>
      <c r="K235" s="17"/>
    </row>
    <row r="236" spans="1:11" ht="30" x14ac:dyDescent="0.25">
      <c r="A236" s="3" t="s">
        <v>488</v>
      </c>
      <c r="B236" s="4" t="s">
        <v>489</v>
      </c>
      <c r="C236" s="5">
        <v>15368</v>
      </c>
      <c r="D236" s="6" t="s">
        <v>28</v>
      </c>
      <c r="E236" s="6" t="s">
        <v>17</v>
      </c>
      <c r="F236" s="7">
        <v>38321</v>
      </c>
      <c r="G236" s="8">
        <f t="shared" si="3"/>
        <v>38321</v>
      </c>
      <c r="H236" s="6" t="s">
        <v>13</v>
      </c>
      <c r="I236" s="9" t="s">
        <v>3380</v>
      </c>
      <c r="J236" s="10" t="s">
        <v>3380</v>
      </c>
      <c r="K236" s="17"/>
    </row>
    <row r="237" spans="1:11" x14ac:dyDescent="0.25">
      <c r="A237" s="18" t="s">
        <v>490</v>
      </c>
      <c r="B237" s="19" t="s">
        <v>491</v>
      </c>
      <c r="C237" s="5">
        <v>1503</v>
      </c>
      <c r="D237" s="21" t="s">
        <v>28</v>
      </c>
      <c r="E237" s="21" t="s">
        <v>17</v>
      </c>
      <c r="F237" s="22">
        <v>18264</v>
      </c>
      <c r="G237" s="23">
        <f t="shared" si="3"/>
        <v>18264</v>
      </c>
      <c r="H237" s="21" t="s">
        <v>13</v>
      </c>
      <c r="I237" s="9" t="s">
        <v>3380</v>
      </c>
      <c r="J237" s="10" t="s">
        <v>3380</v>
      </c>
      <c r="K237" s="25"/>
    </row>
    <row r="238" spans="1:11" ht="30" x14ac:dyDescent="0.25">
      <c r="A238" s="3" t="s">
        <v>492</v>
      </c>
      <c r="B238" s="4" t="s">
        <v>493</v>
      </c>
      <c r="C238" s="5">
        <v>1831</v>
      </c>
      <c r="D238" s="6" t="s">
        <v>31</v>
      </c>
      <c r="E238" s="6" t="s">
        <v>17</v>
      </c>
      <c r="F238" s="7">
        <v>29221</v>
      </c>
      <c r="G238" s="8">
        <f t="shared" si="3"/>
        <v>29221</v>
      </c>
      <c r="H238" s="6" t="s">
        <v>13</v>
      </c>
      <c r="I238" s="9" t="s">
        <v>3380</v>
      </c>
      <c r="J238" s="10" t="s">
        <v>3380</v>
      </c>
      <c r="K238" s="17"/>
    </row>
    <row r="239" spans="1:11" ht="30" x14ac:dyDescent="0.25">
      <c r="A239" s="3" t="s">
        <v>494</v>
      </c>
      <c r="B239" s="4" t="s">
        <v>495</v>
      </c>
      <c r="C239" s="5">
        <v>1808</v>
      </c>
      <c r="D239" s="6" t="s">
        <v>28</v>
      </c>
      <c r="E239" s="6" t="s">
        <v>17</v>
      </c>
      <c r="F239" s="7">
        <v>29221</v>
      </c>
      <c r="G239" s="8">
        <f t="shared" si="3"/>
        <v>29221</v>
      </c>
      <c r="H239" s="6" t="s">
        <v>13</v>
      </c>
      <c r="I239" s="9" t="s">
        <v>3380</v>
      </c>
      <c r="J239" s="10" t="s">
        <v>3380</v>
      </c>
      <c r="K239" s="17"/>
    </row>
    <row r="240" spans="1:11" ht="30" x14ac:dyDescent="0.25">
      <c r="A240" s="3" t="s">
        <v>496</v>
      </c>
      <c r="B240" s="4" t="s">
        <v>497</v>
      </c>
      <c r="C240" s="5">
        <v>42001</v>
      </c>
      <c r="D240" s="6" t="s">
        <v>31</v>
      </c>
      <c r="E240" s="6" t="s">
        <v>17</v>
      </c>
      <c r="F240" s="7">
        <v>34774</v>
      </c>
      <c r="G240" s="8">
        <f t="shared" si="3"/>
        <v>34774</v>
      </c>
      <c r="H240" s="6" t="s">
        <v>13</v>
      </c>
      <c r="I240" s="9" t="s">
        <v>3380</v>
      </c>
      <c r="J240" s="10" t="s">
        <v>3380</v>
      </c>
      <c r="K240" s="17"/>
    </row>
    <row r="241" spans="1:11" ht="30" x14ac:dyDescent="0.25">
      <c r="A241" s="3" t="s">
        <v>498</v>
      </c>
      <c r="B241" s="4" t="s">
        <v>499</v>
      </c>
      <c r="C241" s="5">
        <v>1610</v>
      </c>
      <c r="D241" s="6" t="s">
        <v>31</v>
      </c>
      <c r="E241" s="6" t="s">
        <v>17</v>
      </c>
      <c r="F241" s="7">
        <v>31048</v>
      </c>
      <c r="G241" s="8">
        <f t="shared" si="3"/>
        <v>31048</v>
      </c>
      <c r="H241" s="6" t="s">
        <v>13</v>
      </c>
      <c r="I241" s="9" t="s">
        <v>3380</v>
      </c>
      <c r="J241" s="10" t="s">
        <v>3380</v>
      </c>
      <c r="K241" s="17"/>
    </row>
    <row r="242" spans="1:11" ht="30" x14ac:dyDescent="0.25">
      <c r="A242" s="3" t="s">
        <v>500</v>
      </c>
      <c r="B242" s="4" t="s">
        <v>501</v>
      </c>
      <c r="C242" s="14">
        <v>1408</v>
      </c>
      <c r="D242" s="6" t="s">
        <v>28</v>
      </c>
      <c r="E242" s="6" t="s">
        <v>17</v>
      </c>
      <c r="F242" s="7">
        <v>40661</v>
      </c>
      <c r="G242" s="8">
        <f t="shared" si="3"/>
        <v>40661</v>
      </c>
      <c r="H242" s="6" t="s">
        <v>13</v>
      </c>
      <c r="I242" s="9" t="s">
        <v>3380</v>
      </c>
      <c r="J242" s="10" t="s">
        <v>3380</v>
      </c>
      <c r="K242" s="17"/>
    </row>
    <row r="243" spans="1:11" ht="30" x14ac:dyDescent="0.25">
      <c r="A243" s="3" t="s">
        <v>502</v>
      </c>
      <c r="B243" s="4" t="s">
        <v>503</v>
      </c>
      <c r="C243" s="5">
        <v>18892</v>
      </c>
      <c r="D243" s="6" t="s">
        <v>11</v>
      </c>
      <c r="E243" s="6" t="s">
        <v>17</v>
      </c>
      <c r="F243" s="7">
        <v>38358</v>
      </c>
      <c r="G243" s="8">
        <f t="shared" si="3"/>
        <v>38358</v>
      </c>
      <c r="H243" s="6" t="s">
        <v>13</v>
      </c>
      <c r="I243" s="9" t="s">
        <v>3380</v>
      </c>
      <c r="J243" s="10" t="s">
        <v>3380</v>
      </c>
      <c r="K243" s="17"/>
    </row>
    <row r="244" spans="1:11" ht="30" x14ac:dyDescent="0.25">
      <c r="A244" s="3" t="s">
        <v>504</v>
      </c>
      <c r="B244" s="4" t="s">
        <v>505</v>
      </c>
      <c r="C244" s="5">
        <v>1625</v>
      </c>
      <c r="D244" s="6" t="s">
        <v>16</v>
      </c>
      <c r="E244" s="6" t="s">
        <v>17</v>
      </c>
      <c r="F244" s="7">
        <v>29221</v>
      </c>
      <c r="G244" s="8">
        <f t="shared" si="3"/>
        <v>29221</v>
      </c>
      <c r="H244" s="6" t="s">
        <v>13</v>
      </c>
      <c r="I244" s="9" t="s">
        <v>3380</v>
      </c>
      <c r="J244" s="10" t="s">
        <v>3380</v>
      </c>
      <c r="K244" s="17"/>
    </row>
    <row r="245" spans="1:11" ht="30" x14ac:dyDescent="0.25">
      <c r="A245" s="3" t="s">
        <v>506</v>
      </c>
      <c r="B245" s="4" t="s">
        <v>507</v>
      </c>
      <c r="C245" s="5">
        <v>1262</v>
      </c>
      <c r="D245" s="6" t="s">
        <v>28</v>
      </c>
      <c r="E245" s="6" t="s">
        <v>508</v>
      </c>
      <c r="F245" s="7">
        <v>29221</v>
      </c>
      <c r="G245" s="8">
        <f t="shared" si="3"/>
        <v>29221</v>
      </c>
      <c r="H245" s="6" t="s">
        <v>509</v>
      </c>
      <c r="I245" s="9" t="s">
        <v>3380</v>
      </c>
      <c r="J245" s="10" t="s">
        <v>3380</v>
      </c>
      <c r="K245" s="17"/>
    </row>
    <row r="246" spans="1:11" ht="30" x14ac:dyDescent="0.25">
      <c r="A246" s="3" t="s">
        <v>510</v>
      </c>
      <c r="B246" s="4" t="s">
        <v>511</v>
      </c>
      <c r="C246" s="5">
        <v>1119</v>
      </c>
      <c r="D246" s="6" t="s">
        <v>28</v>
      </c>
      <c r="E246" s="6" t="s">
        <v>17</v>
      </c>
      <c r="F246" s="7">
        <v>32874</v>
      </c>
      <c r="G246" s="8">
        <f t="shared" si="3"/>
        <v>32874</v>
      </c>
      <c r="H246" s="6" t="s">
        <v>13</v>
      </c>
      <c r="I246" s="9" t="s">
        <v>3380</v>
      </c>
      <c r="J246" s="10" t="s">
        <v>3380</v>
      </c>
      <c r="K246" s="17"/>
    </row>
    <row r="247" spans="1:11" ht="30" x14ac:dyDescent="0.25">
      <c r="A247" s="3" t="s">
        <v>512</v>
      </c>
      <c r="B247" s="4" t="s">
        <v>513</v>
      </c>
      <c r="C247" s="14">
        <v>1179</v>
      </c>
      <c r="D247" s="6" t="s">
        <v>31</v>
      </c>
      <c r="E247" s="6" t="s">
        <v>17</v>
      </c>
      <c r="F247" s="7">
        <v>29221</v>
      </c>
      <c r="G247" s="8">
        <f t="shared" si="3"/>
        <v>29221</v>
      </c>
      <c r="H247" s="6" t="s">
        <v>13</v>
      </c>
      <c r="I247" s="9">
        <v>182608.8</v>
      </c>
      <c r="J247" s="10">
        <v>800</v>
      </c>
      <c r="K247" s="17"/>
    </row>
    <row r="248" spans="1:11" ht="30" x14ac:dyDescent="0.25">
      <c r="A248" s="3" t="s">
        <v>514</v>
      </c>
      <c r="B248" s="4" t="s">
        <v>515</v>
      </c>
      <c r="C248" s="5">
        <v>1705</v>
      </c>
      <c r="D248" s="6" t="s">
        <v>16</v>
      </c>
      <c r="E248" s="6" t="s">
        <v>17</v>
      </c>
      <c r="F248" s="7">
        <v>18264</v>
      </c>
      <c r="G248" s="8">
        <f t="shared" si="3"/>
        <v>18264</v>
      </c>
      <c r="H248" s="6" t="s">
        <v>13</v>
      </c>
      <c r="I248" s="9" t="s">
        <v>3380</v>
      </c>
      <c r="J248" s="10" t="s">
        <v>3380</v>
      </c>
      <c r="K248" s="17"/>
    </row>
    <row r="249" spans="1:11" ht="30" x14ac:dyDescent="0.25">
      <c r="A249" s="3" t="s">
        <v>516</v>
      </c>
      <c r="B249" s="4" t="s">
        <v>517</v>
      </c>
      <c r="C249" s="14">
        <v>47153</v>
      </c>
      <c r="D249" s="6" t="s">
        <v>28</v>
      </c>
      <c r="E249" s="6" t="s">
        <v>17</v>
      </c>
      <c r="F249" s="7">
        <v>38930</v>
      </c>
      <c r="G249" s="8">
        <f t="shared" si="3"/>
        <v>38930</v>
      </c>
      <c r="H249" s="6" t="s">
        <v>13</v>
      </c>
      <c r="I249" s="9" t="s">
        <v>3380</v>
      </c>
      <c r="J249" s="10" t="s">
        <v>3380</v>
      </c>
      <c r="K249" s="17"/>
    </row>
    <row r="250" spans="1:11" ht="30" x14ac:dyDescent="0.25">
      <c r="A250" s="3" t="s">
        <v>518</v>
      </c>
      <c r="B250" s="4" t="s">
        <v>519</v>
      </c>
      <c r="C250" s="5">
        <v>9603</v>
      </c>
      <c r="D250" s="6" t="s">
        <v>11</v>
      </c>
      <c r="E250" s="6" t="s">
        <v>17</v>
      </c>
      <c r="F250" s="7">
        <v>37932</v>
      </c>
      <c r="G250" s="8">
        <f t="shared" si="3"/>
        <v>37932</v>
      </c>
      <c r="H250" s="6" t="s">
        <v>13</v>
      </c>
      <c r="I250" s="9" t="s">
        <v>3380</v>
      </c>
      <c r="J250" s="10" t="s">
        <v>3380</v>
      </c>
      <c r="K250" s="17"/>
    </row>
    <row r="251" spans="1:11" ht="30" x14ac:dyDescent="0.25">
      <c r="A251" s="3" t="s">
        <v>520</v>
      </c>
      <c r="B251" s="4" t="s">
        <v>521</v>
      </c>
      <c r="C251" s="5">
        <v>1657</v>
      </c>
      <c r="D251" s="6" t="s">
        <v>28</v>
      </c>
      <c r="E251" s="6" t="s">
        <v>17</v>
      </c>
      <c r="F251" s="7">
        <v>29221</v>
      </c>
      <c r="G251" s="8">
        <f t="shared" si="3"/>
        <v>29221</v>
      </c>
      <c r="H251" s="6" t="s">
        <v>13</v>
      </c>
      <c r="I251" s="9" t="s">
        <v>3380</v>
      </c>
      <c r="J251" s="10" t="s">
        <v>3380</v>
      </c>
      <c r="K251" s="17"/>
    </row>
    <row r="252" spans="1:11" ht="30" x14ac:dyDescent="0.25">
      <c r="A252" s="3" t="s">
        <v>522</v>
      </c>
      <c r="B252" s="4" t="s">
        <v>523</v>
      </c>
      <c r="C252" s="14">
        <v>52947</v>
      </c>
      <c r="D252" s="6" t="s">
        <v>34</v>
      </c>
      <c r="E252" s="6" t="s">
        <v>17</v>
      </c>
      <c r="F252" s="7">
        <v>39037</v>
      </c>
      <c r="G252" s="8">
        <f t="shared" si="3"/>
        <v>39037</v>
      </c>
      <c r="H252" s="6" t="s">
        <v>13</v>
      </c>
      <c r="I252" s="9" t="s">
        <v>3380</v>
      </c>
      <c r="J252" s="10" t="s">
        <v>3380</v>
      </c>
      <c r="K252" s="17"/>
    </row>
    <row r="253" spans="1:11" x14ac:dyDescent="0.25">
      <c r="A253" s="26" t="s">
        <v>524</v>
      </c>
      <c r="B253" s="27" t="s">
        <v>525</v>
      </c>
      <c r="C253" s="34">
        <v>1240</v>
      </c>
      <c r="D253" s="28" t="s">
        <v>34</v>
      </c>
      <c r="E253" s="28" t="s">
        <v>17</v>
      </c>
      <c r="F253" s="29">
        <v>29221</v>
      </c>
      <c r="G253" s="30">
        <f t="shared" si="3"/>
        <v>29221</v>
      </c>
      <c r="H253" s="28" t="s">
        <v>13</v>
      </c>
      <c r="I253" s="9" t="s">
        <v>3380</v>
      </c>
      <c r="J253" s="10" t="s">
        <v>3380</v>
      </c>
      <c r="K253" s="33"/>
    </row>
    <row r="254" spans="1:11" ht="30" x14ac:dyDescent="0.25">
      <c r="A254" s="3" t="s">
        <v>526</v>
      </c>
      <c r="B254" s="4" t="s">
        <v>527</v>
      </c>
      <c r="C254" s="5">
        <v>24337</v>
      </c>
      <c r="D254" s="6" t="s">
        <v>34</v>
      </c>
      <c r="E254" s="6" t="s">
        <v>17</v>
      </c>
      <c r="F254" s="7">
        <v>38608</v>
      </c>
      <c r="G254" s="8">
        <f t="shared" si="3"/>
        <v>38608</v>
      </c>
      <c r="H254" s="6" t="s">
        <v>13</v>
      </c>
      <c r="I254" s="9" t="s">
        <v>3380</v>
      </c>
      <c r="J254" s="10" t="s">
        <v>3380</v>
      </c>
      <c r="K254" s="17"/>
    </row>
    <row r="255" spans="1:11" ht="30" x14ac:dyDescent="0.25">
      <c r="A255" s="3" t="s">
        <v>528</v>
      </c>
      <c r="B255" s="4" t="s">
        <v>529</v>
      </c>
      <c r="C255" s="5">
        <v>1805</v>
      </c>
      <c r="D255" s="6" t="s">
        <v>34</v>
      </c>
      <c r="E255" s="6" t="s">
        <v>17</v>
      </c>
      <c r="F255" s="7">
        <v>28369</v>
      </c>
      <c r="G255" s="8">
        <f t="shared" si="3"/>
        <v>28369</v>
      </c>
      <c r="H255" s="6" t="s">
        <v>13</v>
      </c>
      <c r="I255" s="9" t="s">
        <v>3380</v>
      </c>
      <c r="J255" s="10" t="s">
        <v>3380</v>
      </c>
      <c r="K255" s="17"/>
    </row>
    <row r="256" spans="1:11" ht="30" x14ac:dyDescent="0.25">
      <c r="A256" s="3" t="s">
        <v>530</v>
      </c>
      <c r="B256" s="4" t="s">
        <v>531</v>
      </c>
      <c r="C256" s="5">
        <v>18566</v>
      </c>
      <c r="D256" s="6" t="s">
        <v>34</v>
      </c>
      <c r="E256" s="6" t="s">
        <v>17</v>
      </c>
      <c r="F256" s="7">
        <v>38197</v>
      </c>
      <c r="G256" s="8">
        <f t="shared" si="3"/>
        <v>38197</v>
      </c>
      <c r="H256" s="6" t="s">
        <v>13</v>
      </c>
      <c r="I256" s="9" t="s">
        <v>3380</v>
      </c>
      <c r="J256" s="10" t="s">
        <v>3380</v>
      </c>
      <c r="K256" s="17"/>
    </row>
    <row r="257" spans="1:11" ht="30" x14ac:dyDescent="0.25">
      <c r="A257" s="3" t="s">
        <v>532</v>
      </c>
      <c r="B257" s="4" t="s">
        <v>533</v>
      </c>
      <c r="C257" s="14">
        <v>1359</v>
      </c>
      <c r="D257" s="6" t="s">
        <v>31</v>
      </c>
      <c r="E257" s="6" t="s">
        <v>17</v>
      </c>
      <c r="F257" s="7">
        <v>24108</v>
      </c>
      <c r="G257" s="8">
        <f t="shared" si="3"/>
        <v>24108</v>
      </c>
      <c r="H257" s="6" t="s">
        <v>13</v>
      </c>
      <c r="I257" s="9" t="s">
        <v>3380</v>
      </c>
      <c r="J257" s="10" t="s">
        <v>3380</v>
      </c>
      <c r="K257" s="17"/>
    </row>
    <row r="258" spans="1:11" ht="30" x14ac:dyDescent="0.25">
      <c r="A258" s="3" t="s">
        <v>534</v>
      </c>
      <c r="B258" s="4" t="s">
        <v>535</v>
      </c>
      <c r="C258" s="5">
        <v>54507</v>
      </c>
      <c r="D258" s="6" t="s">
        <v>11</v>
      </c>
      <c r="E258" s="6" t="s">
        <v>12</v>
      </c>
      <c r="F258" s="7">
        <v>37494</v>
      </c>
      <c r="G258" s="8">
        <f t="shared" ref="G258:G321" si="4">F258</f>
        <v>37494</v>
      </c>
      <c r="H258" s="6" t="s">
        <v>39</v>
      </c>
      <c r="I258" s="9" t="s">
        <v>3380</v>
      </c>
      <c r="J258" s="10" t="s">
        <v>3380</v>
      </c>
      <c r="K258" s="17"/>
    </row>
    <row r="259" spans="1:11" ht="30" x14ac:dyDescent="0.25">
      <c r="A259" s="3" t="s">
        <v>536</v>
      </c>
      <c r="B259" s="4" t="s">
        <v>537</v>
      </c>
      <c r="C259" s="14">
        <v>1537</v>
      </c>
      <c r="D259" s="6" t="s">
        <v>34</v>
      </c>
      <c r="E259" s="6" t="s">
        <v>17</v>
      </c>
      <c r="F259" s="7">
        <v>29221</v>
      </c>
      <c r="G259" s="8">
        <f t="shared" si="4"/>
        <v>29221</v>
      </c>
      <c r="H259" s="6" t="s">
        <v>13</v>
      </c>
      <c r="I259" s="9" t="s">
        <v>3380</v>
      </c>
      <c r="J259" s="10" t="s">
        <v>3380</v>
      </c>
      <c r="K259" s="17"/>
    </row>
    <row r="260" spans="1:11" ht="30" x14ac:dyDescent="0.25">
      <c r="A260" s="3" t="s">
        <v>538</v>
      </c>
      <c r="B260" s="4" t="s">
        <v>539</v>
      </c>
      <c r="C260" s="5">
        <v>1469</v>
      </c>
      <c r="D260" s="6" t="s">
        <v>31</v>
      </c>
      <c r="E260" s="6" t="s">
        <v>17</v>
      </c>
      <c r="F260" s="7">
        <v>36721</v>
      </c>
      <c r="G260" s="8">
        <f t="shared" si="4"/>
        <v>36721</v>
      </c>
      <c r="H260" s="6" t="s">
        <v>13</v>
      </c>
      <c r="I260" s="9" t="s">
        <v>3380</v>
      </c>
      <c r="J260" s="10" t="s">
        <v>3380</v>
      </c>
      <c r="K260" s="17"/>
    </row>
    <row r="261" spans="1:11" ht="30" x14ac:dyDescent="0.25">
      <c r="A261" s="3" t="s">
        <v>540</v>
      </c>
      <c r="B261" s="4" t="s">
        <v>541</v>
      </c>
      <c r="C261" s="5">
        <v>21762</v>
      </c>
      <c r="D261" s="6" t="s">
        <v>31</v>
      </c>
      <c r="E261" s="6" t="s">
        <v>17</v>
      </c>
      <c r="F261" s="7">
        <v>36003</v>
      </c>
      <c r="G261" s="8">
        <f t="shared" si="4"/>
        <v>36003</v>
      </c>
      <c r="H261" s="6" t="s">
        <v>13</v>
      </c>
      <c r="I261" s="9" t="s">
        <v>3380</v>
      </c>
      <c r="J261" s="10" t="s">
        <v>3380</v>
      </c>
      <c r="K261" s="17"/>
    </row>
    <row r="262" spans="1:11" ht="30" x14ac:dyDescent="0.25">
      <c r="A262" s="3" t="s">
        <v>542</v>
      </c>
      <c r="B262" s="4" t="s">
        <v>543</v>
      </c>
      <c r="C262" s="14">
        <v>1952</v>
      </c>
      <c r="D262" s="6" t="s">
        <v>28</v>
      </c>
      <c r="E262" s="6" t="s">
        <v>17</v>
      </c>
      <c r="F262" s="7">
        <v>37020</v>
      </c>
      <c r="G262" s="8">
        <f t="shared" si="4"/>
        <v>37020</v>
      </c>
      <c r="H262" s="6" t="s">
        <v>13</v>
      </c>
      <c r="I262" s="9" t="s">
        <v>3380</v>
      </c>
      <c r="J262" s="10" t="s">
        <v>3380</v>
      </c>
      <c r="K262" s="17"/>
    </row>
    <row r="263" spans="1:11" ht="30" x14ac:dyDescent="0.25">
      <c r="A263" s="3" t="s">
        <v>544</v>
      </c>
      <c r="B263" s="4" t="s">
        <v>545</v>
      </c>
      <c r="C263" s="14">
        <v>30338</v>
      </c>
      <c r="D263" s="6" t="s">
        <v>34</v>
      </c>
      <c r="E263" s="6" t="s">
        <v>17</v>
      </c>
      <c r="F263" s="7">
        <v>37236</v>
      </c>
      <c r="G263" s="8">
        <f t="shared" si="4"/>
        <v>37236</v>
      </c>
      <c r="H263" s="6" t="s">
        <v>13</v>
      </c>
      <c r="I263" s="9">
        <v>182131.1</v>
      </c>
      <c r="J263" s="10">
        <v>1190</v>
      </c>
      <c r="K263" s="17"/>
    </row>
    <row r="264" spans="1:11" ht="30" x14ac:dyDescent="0.25">
      <c r="A264" s="3" t="s">
        <v>546</v>
      </c>
      <c r="B264" s="4" t="s">
        <v>547</v>
      </c>
      <c r="C264" s="5">
        <v>1446</v>
      </c>
      <c r="D264" s="6" t="s">
        <v>16</v>
      </c>
      <c r="E264" s="6" t="s">
        <v>17</v>
      </c>
      <c r="F264" s="7">
        <v>29952</v>
      </c>
      <c r="G264" s="8">
        <f t="shared" si="4"/>
        <v>29952</v>
      </c>
      <c r="H264" s="6" t="s">
        <v>13</v>
      </c>
      <c r="I264" s="9" t="s">
        <v>3380</v>
      </c>
      <c r="J264" s="10" t="s">
        <v>3380</v>
      </c>
      <c r="K264" s="17"/>
    </row>
    <row r="265" spans="1:11" ht="30" x14ac:dyDescent="0.25">
      <c r="A265" s="3" t="s">
        <v>548</v>
      </c>
      <c r="B265" s="4" t="s">
        <v>549</v>
      </c>
      <c r="C265" s="5">
        <v>46481</v>
      </c>
      <c r="D265" s="6" t="s">
        <v>16</v>
      </c>
      <c r="E265" s="6" t="s">
        <v>17</v>
      </c>
      <c r="F265" s="7">
        <v>39399</v>
      </c>
      <c r="G265" s="8">
        <f t="shared" si="4"/>
        <v>39399</v>
      </c>
      <c r="H265" s="6" t="s">
        <v>13</v>
      </c>
      <c r="I265" s="9" t="s">
        <v>3380</v>
      </c>
      <c r="J265" s="10" t="s">
        <v>3380</v>
      </c>
      <c r="K265" s="17"/>
    </row>
    <row r="266" spans="1:11" ht="30" x14ac:dyDescent="0.25">
      <c r="A266" s="3" t="s">
        <v>550</v>
      </c>
      <c r="B266" s="4" t="s">
        <v>551</v>
      </c>
      <c r="C266" s="5">
        <v>8335</v>
      </c>
      <c r="D266" s="6" t="s">
        <v>28</v>
      </c>
      <c r="E266" s="6" t="s">
        <v>17</v>
      </c>
      <c r="F266" s="7">
        <v>32462</v>
      </c>
      <c r="G266" s="8">
        <f t="shared" si="4"/>
        <v>32462</v>
      </c>
      <c r="H266" s="6" t="s">
        <v>13</v>
      </c>
      <c r="I266" s="9" t="s">
        <v>3380</v>
      </c>
      <c r="J266" s="10" t="s">
        <v>3380</v>
      </c>
      <c r="K266" s="17"/>
    </row>
    <row r="267" spans="1:11" ht="30" x14ac:dyDescent="0.25">
      <c r="A267" s="3" t="s">
        <v>552</v>
      </c>
      <c r="B267" s="4" t="s">
        <v>553</v>
      </c>
      <c r="C267" s="14">
        <v>8334</v>
      </c>
      <c r="D267" s="6" t="s">
        <v>28</v>
      </c>
      <c r="E267" s="6" t="s">
        <v>17</v>
      </c>
      <c r="F267" s="7">
        <v>31118</v>
      </c>
      <c r="G267" s="8">
        <f t="shared" si="4"/>
        <v>31118</v>
      </c>
      <c r="H267" s="6" t="s">
        <v>13</v>
      </c>
      <c r="I267" s="9" t="s">
        <v>3380</v>
      </c>
      <c r="J267" s="10" t="s">
        <v>3380</v>
      </c>
      <c r="K267" s="17"/>
    </row>
    <row r="268" spans="1:11" ht="30" x14ac:dyDescent="0.25">
      <c r="A268" s="3" t="s">
        <v>554</v>
      </c>
      <c r="B268" s="4" t="s">
        <v>555</v>
      </c>
      <c r="C268" s="14">
        <v>8328</v>
      </c>
      <c r="D268" s="6" t="s">
        <v>28</v>
      </c>
      <c r="E268" s="6" t="s">
        <v>17</v>
      </c>
      <c r="F268" s="7">
        <v>32682</v>
      </c>
      <c r="G268" s="8">
        <f t="shared" si="4"/>
        <v>32682</v>
      </c>
      <c r="H268" s="6" t="s">
        <v>13</v>
      </c>
      <c r="I268" s="9" t="s">
        <v>3380</v>
      </c>
      <c r="J268" s="10" t="s">
        <v>3380</v>
      </c>
      <c r="K268" s="17"/>
    </row>
    <row r="269" spans="1:11" ht="30" x14ac:dyDescent="0.25">
      <c r="A269" s="3" t="s">
        <v>556</v>
      </c>
      <c r="B269" s="4" t="s">
        <v>557</v>
      </c>
      <c r="C269" s="5">
        <v>52917</v>
      </c>
      <c r="D269" s="6" t="s">
        <v>28</v>
      </c>
      <c r="E269" s="6" t="s">
        <v>17</v>
      </c>
      <c r="F269" s="7">
        <v>38718</v>
      </c>
      <c r="G269" s="8">
        <f t="shared" si="4"/>
        <v>38718</v>
      </c>
      <c r="H269" s="6" t="s">
        <v>13</v>
      </c>
      <c r="I269" s="9" t="s">
        <v>3380</v>
      </c>
      <c r="J269" s="10" t="s">
        <v>3380</v>
      </c>
      <c r="K269" s="17"/>
    </row>
    <row r="270" spans="1:11" ht="30" x14ac:dyDescent="0.25">
      <c r="A270" s="3" t="s">
        <v>558</v>
      </c>
      <c r="B270" s="4" t="s">
        <v>559</v>
      </c>
      <c r="C270" s="14">
        <v>1263</v>
      </c>
      <c r="D270" s="6" t="s">
        <v>28</v>
      </c>
      <c r="E270" s="6" t="s">
        <v>17</v>
      </c>
      <c r="F270" s="7">
        <v>36831</v>
      </c>
      <c r="G270" s="8">
        <f t="shared" si="4"/>
        <v>36831</v>
      </c>
      <c r="H270" s="6" t="s">
        <v>13</v>
      </c>
      <c r="I270" s="9" t="s">
        <v>3380</v>
      </c>
      <c r="J270" s="10" t="s">
        <v>3380</v>
      </c>
      <c r="K270" s="17"/>
    </row>
    <row r="271" spans="1:11" x14ac:dyDescent="0.25">
      <c r="A271" s="18" t="s">
        <v>560</v>
      </c>
      <c r="B271" s="19" t="s">
        <v>561</v>
      </c>
      <c r="C271" s="20">
        <v>8331</v>
      </c>
      <c r="D271" s="21" t="s">
        <v>28</v>
      </c>
      <c r="E271" s="21" t="s">
        <v>17</v>
      </c>
      <c r="F271" s="22">
        <v>32752</v>
      </c>
      <c r="G271" s="23">
        <f t="shared" si="4"/>
        <v>32752</v>
      </c>
      <c r="H271" s="21" t="s">
        <v>13</v>
      </c>
      <c r="I271" s="9" t="s">
        <v>3380</v>
      </c>
      <c r="J271" s="10" t="s">
        <v>3380</v>
      </c>
      <c r="K271" s="25"/>
    </row>
    <row r="272" spans="1:11" ht="30" x14ac:dyDescent="0.25">
      <c r="A272" s="18" t="s">
        <v>562</v>
      </c>
      <c r="B272" s="19" t="s">
        <v>563</v>
      </c>
      <c r="C272" s="5">
        <v>8332</v>
      </c>
      <c r="D272" s="21" t="s">
        <v>28</v>
      </c>
      <c r="E272" s="21" t="s">
        <v>17</v>
      </c>
      <c r="F272" s="22">
        <v>32752</v>
      </c>
      <c r="G272" s="23">
        <f t="shared" si="4"/>
        <v>32752</v>
      </c>
      <c r="H272" s="21" t="s">
        <v>13</v>
      </c>
      <c r="I272" s="9" t="s">
        <v>3380</v>
      </c>
      <c r="J272" s="10" t="s">
        <v>3380</v>
      </c>
      <c r="K272" s="17"/>
    </row>
    <row r="273" spans="1:11" ht="30" x14ac:dyDescent="0.25">
      <c r="A273" s="3" t="s">
        <v>564</v>
      </c>
      <c r="B273" s="4" t="s">
        <v>565</v>
      </c>
      <c r="C273" s="5">
        <v>1378</v>
      </c>
      <c r="D273" s="6" t="s">
        <v>28</v>
      </c>
      <c r="E273" s="6" t="s">
        <v>17</v>
      </c>
      <c r="F273" s="7">
        <v>31778</v>
      </c>
      <c r="G273" s="8">
        <f t="shared" si="4"/>
        <v>31778</v>
      </c>
      <c r="H273" s="6" t="s">
        <v>13</v>
      </c>
      <c r="I273" s="9" t="s">
        <v>3380</v>
      </c>
      <c r="J273" s="10" t="s">
        <v>3380</v>
      </c>
      <c r="K273" s="17"/>
    </row>
    <row r="274" spans="1:11" ht="30" x14ac:dyDescent="0.25">
      <c r="A274" s="3" t="s">
        <v>566</v>
      </c>
      <c r="B274" s="4" t="s">
        <v>567</v>
      </c>
      <c r="C274" s="5">
        <v>1856</v>
      </c>
      <c r="D274" s="6" t="s">
        <v>16</v>
      </c>
      <c r="E274" s="6" t="s">
        <v>17</v>
      </c>
      <c r="F274" s="7">
        <v>32874</v>
      </c>
      <c r="G274" s="8">
        <f t="shared" si="4"/>
        <v>32874</v>
      </c>
      <c r="H274" s="6" t="s">
        <v>13</v>
      </c>
      <c r="I274" s="9" t="s">
        <v>3380</v>
      </c>
      <c r="J274" s="10" t="s">
        <v>3380</v>
      </c>
      <c r="K274" s="17"/>
    </row>
    <row r="275" spans="1:11" ht="30" x14ac:dyDescent="0.25">
      <c r="A275" s="3" t="s">
        <v>568</v>
      </c>
      <c r="B275" s="4" t="s">
        <v>569</v>
      </c>
      <c r="C275" s="5">
        <v>28913</v>
      </c>
      <c r="D275" s="6" t="s">
        <v>37</v>
      </c>
      <c r="E275" s="6" t="s">
        <v>38</v>
      </c>
      <c r="F275" s="7">
        <v>38489</v>
      </c>
      <c r="G275" s="8">
        <f t="shared" si="4"/>
        <v>38489</v>
      </c>
      <c r="H275" s="6" t="s">
        <v>39</v>
      </c>
      <c r="I275" s="9" t="s">
        <v>3380</v>
      </c>
      <c r="J275" s="10" t="s">
        <v>3380</v>
      </c>
      <c r="K275" s="17"/>
    </row>
    <row r="276" spans="1:11" ht="30" x14ac:dyDescent="0.25">
      <c r="A276" s="3" t="s">
        <v>570</v>
      </c>
      <c r="B276" s="4" t="s">
        <v>571</v>
      </c>
      <c r="C276" s="5">
        <v>1836</v>
      </c>
      <c r="D276" s="6" t="s">
        <v>31</v>
      </c>
      <c r="E276" s="6" t="s">
        <v>17</v>
      </c>
      <c r="F276" s="7">
        <v>29221</v>
      </c>
      <c r="G276" s="8">
        <f t="shared" si="4"/>
        <v>29221</v>
      </c>
      <c r="H276" s="6" t="s">
        <v>13</v>
      </c>
      <c r="I276" s="9" t="s">
        <v>3380</v>
      </c>
      <c r="J276" s="10" t="s">
        <v>3380</v>
      </c>
      <c r="K276" s="17"/>
    </row>
    <row r="277" spans="1:11" ht="30" x14ac:dyDescent="0.25">
      <c r="A277" s="3" t="s">
        <v>572</v>
      </c>
      <c r="B277" s="4" t="s">
        <v>573</v>
      </c>
      <c r="C277" s="14">
        <v>15692</v>
      </c>
      <c r="D277" s="6" t="s">
        <v>16</v>
      </c>
      <c r="E277" s="6" t="s">
        <v>17</v>
      </c>
      <c r="F277" s="7">
        <v>27364</v>
      </c>
      <c r="G277" s="8">
        <f t="shared" si="4"/>
        <v>27364</v>
      </c>
      <c r="H277" s="6" t="s">
        <v>13</v>
      </c>
      <c r="I277" s="9" t="s">
        <v>3380</v>
      </c>
      <c r="J277" s="10" t="s">
        <v>3380</v>
      </c>
      <c r="K277" s="17"/>
    </row>
    <row r="278" spans="1:11" ht="30" x14ac:dyDescent="0.25">
      <c r="A278" s="3" t="s">
        <v>574</v>
      </c>
      <c r="B278" s="4" t="s">
        <v>575</v>
      </c>
      <c r="C278" s="5">
        <v>1748</v>
      </c>
      <c r="D278" s="6" t="s">
        <v>34</v>
      </c>
      <c r="E278" s="6" t="s">
        <v>17</v>
      </c>
      <c r="F278" s="7">
        <v>29221</v>
      </c>
      <c r="G278" s="8">
        <f t="shared" si="4"/>
        <v>29221</v>
      </c>
      <c r="H278" s="6" t="s">
        <v>13</v>
      </c>
      <c r="I278" s="9" t="s">
        <v>3380</v>
      </c>
      <c r="J278" s="10" t="s">
        <v>3380</v>
      </c>
      <c r="K278" s="17"/>
    </row>
    <row r="279" spans="1:11" ht="30" x14ac:dyDescent="0.25">
      <c r="A279" s="3" t="s">
        <v>576</v>
      </c>
      <c r="B279" s="4" t="s">
        <v>577</v>
      </c>
      <c r="C279" s="5">
        <v>1658</v>
      </c>
      <c r="D279" s="6" t="s">
        <v>28</v>
      </c>
      <c r="E279" s="6" t="s">
        <v>17</v>
      </c>
      <c r="F279" s="7">
        <v>18264</v>
      </c>
      <c r="G279" s="8">
        <f t="shared" si="4"/>
        <v>18264</v>
      </c>
      <c r="H279" s="6" t="s">
        <v>13</v>
      </c>
      <c r="I279" s="9" t="s">
        <v>3380</v>
      </c>
      <c r="J279" s="10" t="s">
        <v>3380</v>
      </c>
      <c r="K279" s="17"/>
    </row>
    <row r="280" spans="1:11" ht="30" x14ac:dyDescent="0.25">
      <c r="A280" s="3" t="s">
        <v>578</v>
      </c>
      <c r="B280" s="4" t="s">
        <v>579</v>
      </c>
      <c r="C280" s="14">
        <v>1067</v>
      </c>
      <c r="D280" s="6" t="s">
        <v>11</v>
      </c>
      <c r="E280" s="6" t="s">
        <v>17</v>
      </c>
      <c r="F280" s="7">
        <v>31048</v>
      </c>
      <c r="G280" s="8">
        <f t="shared" si="4"/>
        <v>31048</v>
      </c>
      <c r="H280" s="6" t="s">
        <v>13</v>
      </c>
      <c r="I280" s="9">
        <v>446486.88</v>
      </c>
      <c r="J280" s="10">
        <v>1890</v>
      </c>
      <c r="K280" s="17"/>
    </row>
    <row r="281" spans="1:11" x14ac:dyDescent="0.25">
      <c r="A281" s="18" t="s">
        <v>580</v>
      </c>
      <c r="B281" s="19" t="s">
        <v>581</v>
      </c>
      <c r="C281" s="20">
        <v>1274</v>
      </c>
      <c r="D281" s="21" t="s">
        <v>31</v>
      </c>
      <c r="E281" s="21" t="s">
        <v>17</v>
      </c>
      <c r="F281" s="22">
        <v>29221</v>
      </c>
      <c r="G281" s="23">
        <f t="shared" si="4"/>
        <v>29221</v>
      </c>
      <c r="H281" s="21" t="s">
        <v>13</v>
      </c>
      <c r="I281" s="9" t="s">
        <v>3380</v>
      </c>
      <c r="J281" s="10" t="s">
        <v>3380</v>
      </c>
      <c r="K281" s="25"/>
    </row>
    <row r="282" spans="1:11" ht="30" x14ac:dyDescent="0.25">
      <c r="A282" s="3" t="s">
        <v>582</v>
      </c>
      <c r="B282" s="4" t="s">
        <v>583</v>
      </c>
      <c r="C282" s="5">
        <v>1085</v>
      </c>
      <c r="D282" s="6" t="s">
        <v>31</v>
      </c>
      <c r="E282" s="6" t="s">
        <v>17</v>
      </c>
      <c r="F282" s="7">
        <v>25569</v>
      </c>
      <c r="G282" s="8">
        <f t="shared" si="4"/>
        <v>25569</v>
      </c>
      <c r="H282" s="6" t="s">
        <v>13</v>
      </c>
      <c r="I282" s="9" t="s">
        <v>3380</v>
      </c>
      <c r="J282" s="10" t="s">
        <v>3380</v>
      </c>
      <c r="K282" s="17"/>
    </row>
    <row r="283" spans="1:11" ht="30" x14ac:dyDescent="0.25">
      <c r="A283" s="3" t="s">
        <v>584</v>
      </c>
      <c r="B283" s="4" t="s">
        <v>585</v>
      </c>
      <c r="C283" s="5">
        <v>2000</v>
      </c>
      <c r="D283" s="6" t="s">
        <v>31</v>
      </c>
      <c r="E283" s="6" t="s">
        <v>17</v>
      </c>
      <c r="F283" s="7">
        <v>29221</v>
      </c>
      <c r="G283" s="8">
        <f t="shared" si="4"/>
        <v>29221</v>
      </c>
      <c r="H283" s="6" t="s">
        <v>13</v>
      </c>
      <c r="I283" s="9" t="s">
        <v>3380</v>
      </c>
      <c r="J283" s="10" t="s">
        <v>3380</v>
      </c>
      <c r="K283" s="17"/>
    </row>
    <row r="284" spans="1:11" ht="30" x14ac:dyDescent="0.25">
      <c r="A284" s="3" t="s">
        <v>586</v>
      </c>
      <c r="B284" s="4" t="s">
        <v>587</v>
      </c>
      <c r="C284" s="5">
        <v>27906</v>
      </c>
      <c r="D284" s="6" t="s">
        <v>11</v>
      </c>
      <c r="E284" s="6" t="s">
        <v>17</v>
      </c>
      <c r="F284" s="7">
        <v>35908</v>
      </c>
      <c r="G284" s="8">
        <f t="shared" si="4"/>
        <v>35908</v>
      </c>
      <c r="H284" s="6" t="s">
        <v>39</v>
      </c>
      <c r="I284" s="9" t="s">
        <v>3380</v>
      </c>
      <c r="J284" s="10" t="s">
        <v>3380</v>
      </c>
      <c r="K284" s="17"/>
    </row>
    <row r="285" spans="1:11" ht="30" x14ac:dyDescent="0.25">
      <c r="A285" s="3" t="s">
        <v>588</v>
      </c>
      <c r="B285" s="4" t="s">
        <v>589</v>
      </c>
      <c r="C285" s="5">
        <v>54510</v>
      </c>
      <c r="D285" s="6" t="s">
        <v>11</v>
      </c>
      <c r="E285" s="6" t="s">
        <v>12</v>
      </c>
      <c r="F285" s="7">
        <v>41801</v>
      </c>
      <c r="G285" s="8">
        <f t="shared" si="4"/>
        <v>41801</v>
      </c>
      <c r="H285" s="6" t="s">
        <v>13</v>
      </c>
      <c r="I285" s="9" t="s">
        <v>3380</v>
      </c>
      <c r="J285" s="10" t="s">
        <v>3380</v>
      </c>
      <c r="K285" s="40"/>
    </row>
    <row r="286" spans="1:11" ht="30" x14ac:dyDescent="0.25">
      <c r="A286" s="3" t="s">
        <v>590</v>
      </c>
      <c r="B286" s="4" t="s">
        <v>591</v>
      </c>
      <c r="C286" s="14">
        <v>9606</v>
      </c>
      <c r="D286" s="6" t="s">
        <v>11</v>
      </c>
      <c r="E286" s="6" t="s">
        <v>12</v>
      </c>
      <c r="F286" s="7">
        <v>32660</v>
      </c>
      <c r="G286" s="8">
        <f t="shared" si="4"/>
        <v>32660</v>
      </c>
      <c r="H286" s="6" t="s">
        <v>13</v>
      </c>
      <c r="I286" s="9" t="s">
        <v>3380</v>
      </c>
      <c r="J286" s="10" t="s">
        <v>3380</v>
      </c>
      <c r="K286" s="17"/>
    </row>
    <row r="287" spans="1:11" ht="30" x14ac:dyDescent="0.25">
      <c r="A287" s="3" t="s">
        <v>592</v>
      </c>
      <c r="B287" s="4" t="s">
        <v>593</v>
      </c>
      <c r="C287" s="5">
        <v>1308</v>
      </c>
      <c r="D287" s="6" t="s">
        <v>16</v>
      </c>
      <c r="E287" s="6" t="s">
        <v>17</v>
      </c>
      <c r="F287" s="7">
        <v>28765</v>
      </c>
      <c r="G287" s="8">
        <f t="shared" si="4"/>
        <v>28765</v>
      </c>
      <c r="H287" s="6" t="s">
        <v>13</v>
      </c>
      <c r="I287" s="9" t="s">
        <v>3380</v>
      </c>
      <c r="J287" s="10" t="s">
        <v>3380</v>
      </c>
      <c r="K287" s="17"/>
    </row>
    <row r="288" spans="1:11" ht="30" x14ac:dyDescent="0.25">
      <c r="A288" s="3" t="s">
        <v>594</v>
      </c>
      <c r="B288" s="4" t="s">
        <v>595</v>
      </c>
      <c r="C288" s="5">
        <v>22402</v>
      </c>
      <c r="D288" s="6" t="s">
        <v>11</v>
      </c>
      <c r="E288" s="6" t="s">
        <v>17</v>
      </c>
      <c r="F288" s="7">
        <v>33463</v>
      </c>
      <c r="G288" s="8">
        <f t="shared" si="4"/>
        <v>33463</v>
      </c>
      <c r="H288" s="6" t="s">
        <v>13</v>
      </c>
      <c r="I288" s="9" t="s">
        <v>3380</v>
      </c>
      <c r="J288" s="10" t="s">
        <v>3380</v>
      </c>
      <c r="K288" s="17"/>
    </row>
    <row r="289" spans="1:11" ht="30" x14ac:dyDescent="0.25">
      <c r="A289" s="3" t="s">
        <v>596</v>
      </c>
      <c r="B289" s="4" t="s">
        <v>597</v>
      </c>
      <c r="C289" s="14">
        <v>40065</v>
      </c>
      <c r="D289" s="6" t="s">
        <v>34</v>
      </c>
      <c r="E289" s="6" t="s">
        <v>17</v>
      </c>
      <c r="F289" s="7">
        <v>38883</v>
      </c>
      <c r="G289" s="8">
        <f t="shared" si="4"/>
        <v>38883</v>
      </c>
      <c r="H289" s="6" t="s">
        <v>13</v>
      </c>
      <c r="I289" s="9" t="s">
        <v>3380</v>
      </c>
      <c r="J289" s="10" t="s">
        <v>3380</v>
      </c>
      <c r="K289" s="17"/>
    </row>
    <row r="290" spans="1:11" x14ac:dyDescent="0.25">
      <c r="A290" s="18" t="s">
        <v>598</v>
      </c>
      <c r="B290" s="19" t="s">
        <v>599</v>
      </c>
      <c r="C290" s="20">
        <v>20161</v>
      </c>
      <c r="D290" s="21" t="s">
        <v>16</v>
      </c>
      <c r="E290" s="21" t="s">
        <v>17</v>
      </c>
      <c r="F290" s="22">
        <v>32064</v>
      </c>
      <c r="G290" s="23">
        <f t="shared" si="4"/>
        <v>32064</v>
      </c>
      <c r="H290" s="21" t="s">
        <v>13</v>
      </c>
      <c r="I290" s="9" t="s">
        <v>3380</v>
      </c>
      <c r="J290" s="10" t="s">
        <v>3380</v>
      </c>
      <c r="K290" s="25"/>
    </row>
    <row r="291" spans="1:11" ht="30" x14ac:dyDescent="0.25">
      <c r="A291" s="3" t="s">
        <v>600</v>
      </c>
      <c r="B291" s="4" t="s">
        <v>601</v>
      </c>
      <c r="C291" s="5">
        <v>39763</v>
      </c>
      <c r="D291" s="6" t="s">
        <v>31</v>
      </c>
      <c r="E291" s="6" t="s">
        <v>17</v>
      </c>
      <c r="F291" s="7">
        <v>26427</v>
      </c>
      <c r="G291" s="8">
        <f t="shared" si="4"/>
        <v>26427</v>
      </c>
      <c r="H291" s="6" t="s">
        <v>13</v>
      </c>
      <c r="I291" s="9" t="s">
        <v>3380</v>
      </c>
      <c r="J291" s="10" t="s">
        <v>3380</v>
      </c>
      <c r="K291" s="17"/>
    </row>
    <row r="292" spans="1:11" ht="30" x14ac:dyDescent="0.25">
      <c r="A292" s="3" t="s">
        <v>602</v>
      </c>
      <c r="B292" s="4" t="s">
        <v>603</v>
      </c>
      <c r="C292" s="5">
        <v>1097</v>
      </c>
      <c r="D292" s="6" t="s">
        <v>34</v>
      </c>
      <c r="E292" s="6" t="s">
        <v>17</v>
      </c>
      <c r="F292" s="7">
        <v>37617</v>
      </c>
      <c r="G292" s="8">
        <f t="shared" si="4"/>
        <v>37617</v>
      </c>
      <c r="H292" s="6" t="s">
        <v>13</v>
      </c>
      <c r="I292" s="9" t="s">
        <v>3380</v>
      </c>
      <c r="J292" s="10" t="s">
        <v>3380</v>
      </c>
      <c r="K292" s="17"/>
    </row>
    <row r="293" spans="1:11" ht="30" x14ac:dyDescent="0.25">
      <c r="A293" s="3" t="s">
        <v>604</v>
      </c>
      <c r="B293" s="4" t="s">
        <v>605</v>
      </c>
      <c r="C293" s="5">
        <v>36801</v>
      </c>
      <c r="D293" s="6" t="s">
        <v>28</v>
      </c>
      <c r="E293" s="6" t="s">
        <v>17</v>
      </c>
      <c r="F293" s="7">
        <v>31923</v>
      </c>
      <c r="G293" s="8">
        <f t="shared" si="4"/>
        <v>31923</v>
      </c>
      <c r="H293" s="6" t="s">
        <v>13</v>
      </c>
      <c r="I293" s="9" t="s">
        <v>3380</v>
      </c>
      <c r="J293" s="10" t="s">
        <v>3380</v>
      </c>
      <c r="K293" s="17"/>
    </row>
    <row r="294" spans="1:11" ht="30" x14ac:dyDescent="0.25">
      <c r="A294" s="3" t="s">
        <v>606</v>
      </c>
      <c r="B294" s="4" t="s">
        <v>607</v>
      </c>
      <c r="C294" s="5">
        <v>1760</v>
      </c>
      <c r="D294" s="6" t="s">
        <v>31</v>
      </c>
      <c r="E294" s="6" t="s">
        <v>17</v>
      </c>
      <c r="F294" s="7">
        <v>37011</v>
      </c>
      <c r="G294" s="8">
        <f t="shared" si="4"/>
        <v>37011</v>
      </c>
      <c r="H294" s="6" t="s">
        <v>13</v>
      </c>
      <c r="I294" s="9" t="s">
        <v>3380</v>
      </c>
      <c r="J294" s="10" t="s">
        <v>3380</v>
      </c>
      <c r="K294" s="17"/>
    </row>
    <row r="295" spans="1:11" x14ac:dyDescent="0.25">
      <c r="A295" s="3" t="s">
        <v>608</v>
      </c>
      <c r="B295" s="4" t="s">
        <v>609</v>
      </c>
      <c r="C295" s="5">
        <v>1107</v>
      </c>
      <c r="D295" s="6" t="s">
        <v>28</v>
      </c>
      <c r="E295" s="6" t="s">
        <v>17</v>
      </c>
      <c r="F295" s="7">
        <v>29221</v>
      </c>
      <c r="G295" s="8">
        <f t="shared" si="4"/>
        <v>29221</v>
      </c>
      <c r="H295" s="6" t="s">
        <v>13</v>
      </c>
      <c r="I295" s="9" t="s">
        <v>3380</v>
      </c>
      <c r="J295" s="10" t="s">
        <v>3380</v>
      </c>
      <c r="K295" s="11"/>
    </row>
    <row r="296" spans="1:11" ht="30" x14ac:dyDescent="0.25">
      <c r="A296" s="3" t="s">
        <v>610</v>
      </c>
      <c r="B296" s="4" t="s">
        <v>611</v>
      </c>
      <c r="C296" s="5">
        <v>1855</v>
      </c>
      <c r="D296" s="6" t="s">
        <v>16</v>
      </c>
      <c r="E296" s="6" t="s">
        <v>17</v>
      </c>
      <c r="F296" s="7">
        <v>29221</v>
      </c>
      <c r="G296" s="8">
        <f t="shared" si="4"/>
        <v>29221</v>
      </c>
      <c r="H296" s="6" t="s">
        <v>13</v>
      </c>
      <c r="I296" s="9" t="s">
        <v>3380</v>
      </c>
      <c r="J296" s="10" t="s">
        <v>3380</v>
      </c>
      <c r="K296" s="17"/>
    </row>
    <row r="297" spans="1:11" ht="30" x14ac:dyDescent="0.25">
      <c r="A297" s="3" t="s">
        <v>612</v>
      </c>
      <c r="B297" s="4" t="s">
        <v>613</v>
      </c>
      <c r="C297" s="5">
        <v>1261</v>
      </c>
      <c r="D297" s="6" t="s">
        <v>28</v>
      </c>
      <c r="E297" s="6" t="s">
        <v>17</v>
      </c>
      <c r="F297" s="7">
        <v>29221</v>
      </c>
      <c r="G297" s="8">
        <f t="shared" si="4"/>
        <v>29221</v>
      </c>
      <c r="H297" s="6" t="s">
        <v>13</v>
      </c>
      <c r="I297" s="9" t="s">
        <v>3380</v>
      </c>
      <c r="J297" s="10" t="s">
        <v>3380</v>
      </c>
      <c r="K297" s="17"/>
    </row>
    <row r="298" spans="1:11" ht="30" x14ac:dyDescent="0.25">
      <c r="A298" s="3" t="s">
        <v>614</v>
      </c>
      <c r="B298" s="4" t="s">
        <v>615</v>
      </c>
      <c r="C298" s="5">
        <v>1569</v>
      </c>
      <c r="D298" s="6" t="s">
        <v>11</v>
      </c>
      <c r="E298" s="6" t="s">
        <v>17</v>
      </c>
      <c r="F298" s="7">
        <v>34335</v>
      </c>
      <c r="G298" s="8">
        <f t="shared" si="4"/>
        <v>34335</v>
      </c>
      <c r="H298" s="6" t="s">
        <v>13</v>
      </c>
      <c r="I298" s="9" t="s">
        <v>3380</v>
      </c>
      <c r="J298" s="10" t="s">
        <v>3380</v>
      </c>
      <c r="K298" s="17"/>
    </row>
    <row r="299" spans="1:11" ht="30" x14ac:dyDescent="0.25">
      <c r="A299" s="3" t="s">
        <v>616</v>
      </c>
      <c r="B299" s="4" t="s">
        <v>617</v>
      </c>
      <c r="C299" s="5">
        <v>23681</v>
      </c>
      <c r="D299" s="6" t="s">
        <v>11</v>
      </c>
      <c r="E299" s="6" t="s">
        <v>17</v>
      </c>
      <c r="F299" s="7">
        <v>33817</v>
      </c>
      <c r="G299" s="8">
        <f t="shared" si="4"/>
        <v>33817</v>
      </c>
      <c r="H299" s="6" t="s">
        <v>13</v>
      </c>
      <c r="I299" s="9" t="s">
        <v>3380</v>
      </c>
      <c r="J299" s="10" t="s">
        <v>3380</v>
      </c>
      <c r="K299" s="17"/>
    </row>
    <row r="300" spans="1:11" ht="30" x14ac:dyDescent="0.25">
      <c r="A300" s="3" t="s">
        <v>618</v>
      </c>
      <c r="B300" s="4" t="s">
        <v>619</v>
      </c>
      <c r="C300" s="5">
        <v>1159</v>
      </c>
      <c r="D300" s="6" t="s">
        <v>31</v>
      </c>
      <c r="E300" s="6" t="s">
        <v>17</v>
      </c>
      <c r="F300" s="7">
        <v>29952</v>
      </c>
      <c r="G300" s="8">
        <f t="shared" si="4"/>
        <v>29952</v>
      </c>
      <c r="H300" s="6" t="s">
        <v>13</v>
      </c>
      <c r="I300" s="9" t="s">
        <v>3380</v>
      </c>
      <c r="J300" s="10" t="s">
        <v>3380</v>
      </c>
      <c r="K300" s="17"/>
    </row>
    <row r="301" spans="1:11" ht="30" x14ac:dyDescent="0.25">
      <c r="A301" s="3" t="s">
        <v>620</v>
      </c>
      <c r="B301" s="4" t="s">
        <v>621</v>
      </c>
      <c r="C301" s="5">
        <v>17615</v>
      </c>
      <c r="D301" s="6" t="s">
        <v>16</v>
      </c>
      <c r="E301" s="6" t="s">
        <v>17</v>
      </c>
      <c r="F301" s="7">
        <v>29850</v>
      </c>
      <c r="G301" s="8">
        <f t="shared" si="4"/>
        <v>29850</v>
      </c>
      <c r="H301" s="6" t="s">
        <v>13</v>
      </c>
      <c r="I301" s="9" t="s">
        <v>3380</v>
      </c>
      <c r="J301" s="10" t="s">
        <v>3380</v>
      </c>
      <c r="K301" s="17"/>
    </row>
    <row r="302" spans="1:11" ht="30" x14ac:dyDescent="0.25">
      <c r="A302" s="3" t="s">
        <v>622</v>
      </c>
      <c r="B302" s="4" t="s">
        <v>623</v>
      </c>
      <c r="C302" s="5">
        <v>1730</v>
      </c>
      <c r="D302" s="6" t="s">
        <v>16</v>
      </c>
      <c r="E302" s="6" t="s">
        <v>17</v>
      </c>
      <c r="F302" s="7">
        <v>29221</v>
      </c>
      <c r="G302" s="8">
        <f t="shared" si="4"/>
        <v>29221</v>
      </c>
      <c r="H302" s="6" t="s">
        <v>13</v>
      </c>
      <c r="I302" s="9" t="s">
        <v>3380</v>
      </c>
      <c r="J302" s="10" t="s">
        <v>3380</v>
      </c>
      <c r="K302" s="17"/>
    </row>
    <row r="303" spans="1:11" ht="30" x14ac:dyDescent="0.25">
      <c r="A303" s="3" t="s">
        <v>624</v>
      </c>
      <c r="B303" s="4" t="s">
        <v>625</v>
      </c>
      <c r="C303" s="14">
        <v>19522</v>
      </c>
      <c r="D303" s="6" t="s">
        <v>34</v>
      </c>
      <c r="E303" s="6" t="s">
        <v>17</v>
      </c>
      <c r="F303" s="7">
        <v>21916</v>
      </c>
      <c r="G303" s="8">
        <f t="shared" si="4"/>
        <v>21916</v>
      </c>
      <c r="H303" s="6" t="s">
        <v>13</v>
      </c>
      <c r="I303" s="9" t="s">
        <v>3380</v>
      </c>
      <c r="J303" s="10" t="s">
        <v>3380</v>
      </c>
      <c r="K303" s="17"/>
    </row>
    <row r="304" spans="1:11" ht="30" x14ac:dyDescent="0.25">
      <c r="A304" s="3" t="s">
        <v>626</v>
      </c>
      <c r="B304" s="4" t="s">
        <v>627</v>
      </c>
      <c r="C304" s="5">
        <v>19211</v>
      </c>
      <c r="D304" s="6" t="s">
        <v>34</v>
      </c>
      <c r="E304" s="6" t="s">
        <v>17</v>
      </c>
      <c r="F304" s="7">
        <v>34405</v>
      </c>
      <c r="G304" s="8">
        <f t="shared" si="4"/>
        <v>34405</v>
      </c>
      <c r="H304" s="6" t="s">
        <v>13</v>
      </c>
      <c r="I304" s="9" t="s">
        <v>3380</v>
      </c>
      <c r="J304" s="10" t="s">
        <v>3380</v>
      </c>
      <c r="K304" s="17"/>
    </row>
    <row r="305" spans="1:11" ht="30" x14ac:dyDescent="0.25">
      <c r="A305" s="3" t="s">
        <v>628</v>
      </c>
      <c r="B305" s="4" t="s">
        <v>629</v>
      </c>
      <c r="C305" s="5">
        <v>38161</v>
      </c>
      <c r="D305" s="6" t="s">
        <v>34</v>
      </c>
      <c r="E305" s="6" t="s">
        <v>17</v>
      </c>
      <c r="F305" s="7">
        <v>18264</v>
      </c>
      <c r="G305" s="8">
        <f t="shared" si="4"/>
        <v>18264</v>
      </c>
      <c r="H305" s="6" t="s">
        <v>13</v>
      </c>
      <c r="I305" s="9" t="s">
        <v>3380</v>
      </c>
      <c r="J305" s="10" t="s">
        <v>3380</v>
      </c>
      <c r="K305" s="17"/>
    </row>
    <row r="306" spans="1:11" ht="30" x14ac:dyDescent="0.25">
      <c r="A306" s="3" t="s">
        <v>630</v>
      </c>
      <c r="B306" s="4" t="s">
        <v>631</v>
      </c>
      <c r="C306" s="5">
        <v>1898</v>
      </c>
      <c r="D306" s="6" t="s">
        <v>31</v>
      </c>
      <c r="E306" s="6" t="s">
        <v>17</v>
      </c>
      <c r="F306" s="7">
        <v>19725</v>
      </c>
      <c r="G306" s="8">
        <f t="shared" si="4"/>
        <v>19725</v>
      </c>
      <c r="H306" s="6" t="s">
        <v>13</v>
      </c>
      <c r="I306" s="9" t="s">
        <v>3380</v>
      </c>
      <c r="J306" s="10" t="s">
        <v>3380</v>
      </c>
      <c r="K306" s="17"/>
    </row>
    <row r="307" spans="1:11" ht="30" x14ac:dyDescent="0.25">
      <c r="A307" s="3" t="s">
        <v>632</v>
      </c>
      <c r="B307" s="4" t="s">
        <v>633</v>
      </c>
      <c r="C307" s="5">
        <v>1470</v>
      </c>
      <c r="D307" s="6" t="s">
        <v>31</v>
      </c>
      <c r="E307" s="6" t="s">
        <v>17</v>
      </c>
      <c r="F307" s="7">
        <v>25569</v>
      </c>
      <c r="G307" s="8">
        <f t="shared" si="4"/>
        <v>25569</v>
      </c>
      <c r="H307" s="6" t="s">
        <v>13</v>
      </c>
      <c r="I307" s="9" t="s">
        <v>3380</v>
      </c>
      <c r="J307" s="10" t="s">
        <v>3380</v>
      </c>
      <c r="K307" s="17"/>
    </row>
    <row r="308" spans="1:11" ht="30" x14ac:dyDescent="0.25">
      <c r="A308" s="3" t="s">
        <v>634</v>
      </c>
      <c r="B308" s="4" t="s">
        <v>635</v>
      </c>
      <c r="C308" s="14">
        <v>30593</v>
      </c>
      <c r="D308" s="6" t="s">
        <v>28</v>
      </c>
      <c r="E308" s="6" t="s">
        <v>17</v>
      </c>
      <c r="F308" s="7">
        <v>38642</v>
      </c>
      <c r="G308" s="8">
        <f t="shared" si="4"/>
        <v>38642</v>
      </c>
      <c r="H308" s="6" t="s">
        <v>13</v>
      </c>
      <c r="I308" s="9" t="s">
        <v>3380</v>
      </c>
      <c r="J308" s="10" t="s">
        <v>3380</v>
      </c>
      <c r="K308" s="17"/>
    </row>
    <row r="309" spans="1:11" ht="30" x14ac:dyDescent="0.25">
      <c r="A309" s="3" t="s">
        <v>636</v>
      </c>
      <c r="B309" s="4" t="s">
        <v>637</v>
      </c>
      <c r="C309" s="14">
        <v>10881</v>
      </c>
      <c r="D309" s="6" t="s">
        <v>34</v>
      </c>
      <c r="E309" s="6" t="s">
        <v>17</v>
      </c>
      <c r="F309" s="7">
        <v>37006</v>
      </c>
      <c r="G309" s="8">
        <f t="shared" si="4"/>
        <v>37006</v>
      </c>
      <c r="H309" s="6" t="s">
        <v>13</v>
      </c>
      <c r="I309" s="9" t="s">
        <v>3380</v>
      </c>
      <c r="J309" s="10" t="s">
        <v>3380</v>
      </c>
      <c r="K309" s="17"/>
    </row>
    <row r="310" spans="1:11" ht="30" x14ac:dyDescent="0.25">
      <c r="A310" s="3" t="s">
        <v>638</v>
      </c>
      <c r="B310" s="4" t="s">
        <v>639</v>
      </c>
      <c r="C310" s="5">
        <v>1759</v>
      </c>
      <c r="D310" s="6" t="s">
        <v>31</v>
      </c>
      <c r="E310" s="6" t="s">
        <v>17</v>
      </c>
      <c r="F310" s="7">
        <v>27395</v>
      </c>
      <c r="G310" s="8">
        <f t="shared" si="4"/>
        <v>27395</v>
      </c>
      <c r="H310" s="6" t="s">
        <v>13</v>
      </c>
      <c r="I310" s="9" t="s">
        <v>3380</v>
      </c>
      <c r="J310" s="10" t="s">
        <v>3380</v>
      </c>
      <c r="K310" s="17"/>
    </row>
    <row r="311" spans="1:11" ht="30" x14ac:dyDescent="0.25">
      <c r="A311" s="3" t="s">
        <v>640</v>
      </c>
      <c r="B311" s="4" t="s">
        <v>641</v>
      </c>
      <c r="C311" s="5">
        <v>9605</v>
      </c>
      <c r="D311" s="6" t="s">
        <v>16</v>
      </c>
      <c r="E311" s="6" t="s">
        <v>17</v>
      </c>
      <c r="F311" s="7">
        <v>37361</v>
      </c>
      <c r="G311" s="8">
        <f t="shared" si="4"/>
        <v>37361</v>
      </c>
      <c r="H311" s="6" t="s">
        <v>13</v>
      </c>
      <c r="I311" s="9" t="s">
        <v>3380</v>
      </c>
      <c r="J311" s="10" t="s">
        <v>3380</v>
      </c>
      <c r="K311" s="17"/>
    </row>
    <row r="312" spans="1:11" ht="30" x14ac:dyDescent="0.25">
      <c r="A312" s="3" t="s">
        <v>642</v>
      </c>
      <c r="B312" s="4" t="s">
        <v>643</v>
      </c>
      <c r="C312" s="5">
        <v>1052</v>
      </c>
      <c r="D312" s="6" t="s">
        <v>16</v>
      </c>
      <c r="E312" s="6" t="s">
        <v>17</v>
      </c>
      <c r="F312" s="7">
        <v>29221</v>
      </c>
      <c r="G312" s="8">
        <f t="shared" si="4"/>
        <v>29221</v>
      </c>
      <c r="H312" s="6" t="s">
        <v>13</v>
      </c>
      <c r="I312" s="9" t="s">
        <v>3380</v>
      </c>
      <c r="J312" s="10" t="s">
        <v>3380</v>
      </c>
      <c r="K312" s="17"/>
    </row>
    <row r="313" spans="1:11" ht="30" x14ac:dyDescent="0.25">
      <c r="A313" s="3" t="s">
        <v>644</v>
      </c>
      <c r="B313" s="4" t="s">
        <v>645</v>
      </c>
      <c r="C313" s="14">
        <v>1192</v>
      </c>
      <c r="D313" s="6" t="s">
        <v>16</v>
      </c>
      <c r="E313" s="6" t="s">
        <v>17</v>
      </c>
      <c r="F313" s="7">
        <v>32874</v>
      </c>
      <c r="G313" s="8">
        <f t="shared" si="4"/>
        <v>32874</v>
      </c>
      <c r="H313" s="6" t="s">
        <v>13</v>
      </c>
      <c r="I313" s="9">
        <v>138917.22999999998</v>
      </c>
      <c r="J313" s="10">
        <v>1000</v>
      </c>
      <c r="K313" s="17"/>
    </row>
    <row r="314" spans="1:11" ht="30" x14ac:dyDescent="0.25">
      <c r="A314" s="3" t="s">
        <v>646</v>
      </c>
      <c r="B314" s="4" t="s">
        <v>647</v>
      </c>
      <c r="C314" s="5">
        <v>1515</v>
      </c>
      <c r="D314" s="6" t="s">
        <v>28</v>
      </c>
      <c r="E314" s="6" t="s">
        <v>508</v>
      </c>
      <c r="F314" s="7">
        <v>32143</v>
      </c>
      <c r="G314" s="8">
        <f t="shared" si="4"/>
        <v>32143</v>
      </c>
      <c r="H314" s="6" t="s">
        <v>509</v>
      </c>
      <c r="I314" s="9" t="s">
        <v>3380</v>
      </c>
      <c r="J314" s="10" t="s">
        <v>3380</v>
      </c>
      <c r="K314" s="17"/>
    </row>
    <row r="315" spans="1:11" ht="30" x14ac:dyDescent="0.25">
      <c r="A315" s="3" t="s">
        <v>648</v>
      </c>
      <c r="B315" s="4" t="s">
        <v>649</v>
      </c>
      <c r="C315" s="5">
        <v>1621</v>
      </c>
      <c r="D315" s="6" t="s">
        <v>16</v>
      </c>
      <c r="E315" s="6" t="s">
        <v>17</v>
      </c>
      <c r="F315" s="7">
        <v>29221</v>
      </c>
      <c r="G315" s="8">
        <f t="shared" si="4"/>
        <v>29221</v>
      </c>
      <c r="H315" s="6" t="s">
        <v>13</v>
      </c>
      <c r="I315" s="9" t="s">
        <v>3380</v>
      </c>
      <c r="J315" s="10" t="s">
        <v>3380</v>
      </c>
      <c r="K315" s="17"/>
    </row>
    <row r="316" spans="1:11" ht="30" x14ac:dyDescent="0.25">
      <c r="A316" s="3" t="s">
        <v>650</v>
      </c>
      <c r="B316" s="4" t="s">
        <v>651</v>
      </c>
      <c r="C316" s="14">
        <v>1716</v>
      </c>
      <c r="D316" s="6" t="s">
        <v>16</v>
      </c>
      <c r="E316" s="6" t="s">
        <v>17</v>
      </c>
      <c r="F316" s="7">
        <v>32509</v>
      </c>
      <c r="G316" s="8">
        <f t="shared" si="4"/>
        <v>32509</v>
      </c>
      <c r="H316" s="6" t="s">
        <v>13</v>
      </c>
      <c r="I316" s="9" t="s">
        <v>3380</v>
      </c>
      <c r="J316" s="10" t="s">
        <v>3380</v>
      </c>
      <c r="K316" s="17"/>
    </row>
    <row r="317" spans="1:11" x14ac:dyDescent="0.25">
      <c r="A317" s="18" t="s">
        <v>652</v>
      </c>
      <c r="B317" s="19" t="s">
        <v>653</v>
      </c>
      <c r="C317" s="5">
        <v>21775</v>
      </c>
      <c r="D317" s="21" t="s">
        <v>34</v>
      </c>
      <c r="E317" s="21" t="s">
        <v>17</v>
      </c>
      <c r="F317" s="22">
        <v>38639</v>
      </c>
      <c r="G317" s="23">
        <f t="shared" si="4"/>
        <v>38639</v>
      </c>
      <c r="H317" s="21" t="s">
        <v>13</v>
      </c>
      <c r="I317" s="9" t="s">
        <v>3380</v>
      </c>
      <c r="J317" s="10" t="s">
        <v>3380</v>
      </c>
      <c r="K317" s="41"/>
    </row>
    <row r="318" spans="1:11" ht="30" x14ac:dyDescent="0.25">
      <c r="A318" s="3" t="s">
        <v>654</v>
      </c>
      <c r="B318" s="4" t="s">
        <v>655</v>
      </c>
      <c r="C318" s="5">
        <v>1305</v>
      </c>
      <c r="D318" s="6" t="s">
        <v>16</v>
      </c>
      <c r="E318" s="6" t="s">
        <v>17</v>
      </c>
      <c r="F318" s="7">
        <v>29221</v>
      </c>
      <c r="G318" s="8">
        <f t="shared" si="4"/>
        <v>29221</v>
      </c>
      <c r="H318" s="6" t="s">
        <v>13</v>
      </c>
      <c r="I318" s="9" t="s">
        <v>3380</v>
      </c>
      <c r="J318" s="10" t="s">
        <v>3380</v>
      </c>
      <c r="K318" s="17"/>
    </row>
    <row r="319" spans="1:11" ht="30" x14ac:dyDescent="0.25">
      <c r="A319" s="3" t="s">
        <v>656</v>
      </c>
      <c r="B319" s="4" t="s">
        <v>657</v>
      </c>
      <c r="C319" s="5">
        <v>1055</v>
      </c>
      <c r="D319" s="6" t="s">
        <v>16</v>
      </c>
      <c r="E319" s="6" t="s">
        <v>17</v>
      </c>
      <c r="F319" s="7">
        <v>30682</v>
      </c>
      <c r="G319" s="8">
        <f t="shared" si="4"/>
        <v>30682</v>
      </c>
      <c r="H319" s="6" t="s">
        <v>13</v>
      </c>
      <c r="I319" s="9" t="s">
        <v>3380</v>
      </c>
      <c r="J319" s="10" t="s">
        <v>3380</v>
      </c>
      <c r="K319" s="17"/>
    </row>
    <row r="320" spans="1:11" ht="30" x14ac:dyDescent="0.25">
      <c r="A320" s="3" t="s">
        <v>658</v>
      </c>
      <c r="B320" s="4" t="s">
        <v>659</v>
      </c>
      <c r="C320" s="5">
        <v>28225</v>
      </c>
      <c r="D320" s="6" t="s">
        <v>16</v>
      </c>
      <c r="E320" s="6" t="s">
        <v>17</v>
      </c>
      <c r="F320" s="7">
        <v>38754</v>
      </c>
      <c r="G320" s="8">
        <f t="shared" si="4"/>
        <v>38754</v>
      </c>
      <c r="H320" s="6" t="s">
        <v>13</v>
      </c>
      <c r="I320" s="9" t="s">
        <v>3380</v>
      </c>
      <c r="J320" s="10" t="s">
        <v>3380</v>
      </c>
      <c r="K320" s="17"/>
    </row>
    <row r="321" spans="1:11" ht="30" x14ac:dyDescent="0.25">
      <c r="A321" s="3" t="s">
        <v>660</v>
      </c>
      <c r="B321" s="4" t="s">
        <v>661</v>
      </c>
      <c r="C321" s="5">
        <v>46801</v>
      </c>
      <c r="D321" s="6" t="s">
        <v>31</v>
      </c>
      <c r="E321" s="6" t="s">
        <v>17</v>
      </c>
      <c r="F321" s="7">
        <v>38148</v>
      </c>
      <c r="G321" s="8">
        <f t="shared" si="4"/>
        <v>38148</v>
      </c>
      <c r="H321" s="6" t="s">
        <v>13</v>
      </c>
      <c r="I321" s="9" t="s">
        <v>3380</v>
      </c>
      <c r="J321" s="10" t="s">
        <v>3380</v>
      </c>
      <c r="K321" s="17"/>
    </row>
    <row r="322" spans="1:11" ht="30" x14ac:dyDescent="0.25">
      <c r="A322" s="3" t="s">
        <v>662</v>
      </c>
      <c r="B322" s="4" t="s">
        <v>663</v>
      </c>
      <c r="C322" s="5">
        <v>2044</v>
      </c>
      <c r="D322" s="6" t="s">
        <v>34</v>
      </c>
      <c r="E322" s="6" t="s">
        <v>17</v>
      </c>
      <c r="F322" s="7">
        <v>19725</v>
      </c>
      <c r="G322" s="8">
        <f t="shared" ref="G322:G385" si="5">F322</f>
        <v>19725</v>
      </c>
      <c r="H322" s="6" t="s">
        <v>13</v>
      </c>
      <c r="I322" s="9" t="s">
        <v>3380</v>
      </c>
      <c r="J322" s="10" t="s">
        <v>3380</v>
      </c>
      <c r="K322" s="17"/>
    </row>
    <row r="323" spans="1:11" ht="30" x14ac:dyDescent="0.25">
      <c r="A323" s="3" t="s">
        <v>664</v>
      </c>
      <c r="B323" s="4" t="s">
        <v>665</v>
      </c>
      <c r="C323" s="5">
        <v>1645</v>
      </c>
      <c r="D323" s="6" t="s">
        <v>28</v>
      </c>
      <c r="E323" s="6" t="s">
        <v>17</v>
      </c>
      <c r="F323" s="7">
        <v>32143</v>
      </c>
      <c r="G323" s="8">
        <f t="shared" si="5"/>
        <v>32143</v>
      </c>
      <c r="H323" s="6" t="s">
        <v>13</v>
      </c>
      <c r="I323" s="9" t="s">
        <v>3380</v>
      </c>
      <c r="J323" s="10" t="s">
        <v>3380</v>
      </c>
      <c r="K323" s="17"/>
    </row>
    <row r="324" spans="1:11" x14ac:dyDescent="0.25">
      <c r="A324" s="26" t="s">
        <v>666</v>
      </c>
      <c r="B324" s="27" t="s">
        <v>667</v>
      </c>
      <c r="C324" s="5">
        <v>18570</v>
      </c>
      <c r="D324" s="28" t="s">
        <v>34</v>
      </c>
      <c r="E324" s="28" t="s">
        <v>17</v>
      </c>
      <c r="F324" s="29">
        <v>38197</v>
      </c>
      <c r="G324" s="30">
        <f t="shared" si="5"/>
        <v>38197</v>
      </c>
      <c r="H324" s="28" t="s">
        <v>13</v>
      </c>
      <c r="I324" s="9" t="s">
        <v>3380</v>
      </c>
      <c r="J324" s="10" t="s">
        <v>3380</v>
      </c>
      <c r="K324" s="33"/>
    </row>
    <row r="325" spans="1:11" ht="30" x14ac:dyDescent="0.25">
      <c r="A325" s="3" t="s">
        <v>668</v>
      </c>
      <c r="B325" s="4" t="s">
        <v>669</v>
      </c>
      <c r="C325" s="14">
        <v>1523</v>
      </c>
      <c r="D325" s="6" t="s">
        <v>11</v>
      </c>
      <c r="E325" s="6" t="s">
        <v>17</v>
      </c>
      <c r="F325" s="7">
        <v>36486</v>
      </c>
      <c r="G325" s="8">
        <f t="shared" si="5"/>
        <v>36486</v>
      </c>
      <c r="H325" s="6" t="s">
        <v>13</v>
      </c>
      <c r="I325" s="9" t="s">
        <v>3380</v>
      </c>
      <c r="J325" s="10" t="s">
        <v>3380</v>
      </c>
      <c r="K325" s="17"/>
    </row>
    <row r="326" spans="1:11" ht="30" x14ac:dyDescent="0.25">
      <c r="A326" s="3" t="s">
        <v>670</v>
      </c>
      <c r="B326" s="4" t="s">
        <v>671</v>
      </c>
      <c r="C326" s="5">
        <v>1128</v>
      </c>
      <c r="D326" s="6" t="s">
        <v>11</v>
      </c>
      <c r="E326" s="6" t="s">
        <v>17</v>
      </c>
      <c r="F326" s="7">
        <v>33970</v>
      </c>
      <c r="G326" s="8">
        <f t="shared" si="5"/>
        <v>33970</v>
      </c>
      <c r="H326" s="6" t="s">
        <v>13</v>
      </c>
      <c r="I326" s="9" t="s">
        <v>3380</v>
      </c>
      <c r="J326" s="10" t="s">
        <v>3380</v>
      </c>
      <c r="K326" s="17"/>
    </row>
    <row r="327" spans="1:11" ht="30" x14ac:dyDescent="0.25">
      <c r="A327" s="3" t="s">
        <v>672</v>
      </c>
      <c r="B327" s="4" t="s">
        <v>673</v>
      </c>
      <c r="C327" s="5">
        <v>1574</v>
      </c>
      <c r="D327" s="6" t="s">
        <v>11</v>
      </c>
      <c r="E327" s="6" t="s">
        <v>17</v>
      </c>
      <c r="F327" s="7">
        <v>36581</v>
      </c>
      <c r="G327" s="8">
        <f t="shared" si="5"/>
        <v>36581</v>
      </c>
      <c r="H327" s="6" t="s">
        <v>13</v>
      </c>
      <c r="I327" s="9" t="s">
        <v>3380</v>
      </c>
      <c r="J327" s="10" t="s">
        <v>3380</v>
      </c>
      <c r="K327" s="17"/>
    </row>
    <row r="328" spans="1:11" ht="30" x14ac:dyDescent="0.25">
      <c r="A328" s="3" t="s">
        <v>674</v>
      </c>
      <c r="B328" s="4" t="s">
        <v>675</v>
      </c>
      <c r="C328" s="14">
        <v>1527</v>
      </c>
      <c r="D328" s="6" t="s">
        <v>16</v>
      </c>
      <c r="E328" s="6" t="s">
        <v>17</v>
      </c>
      <c r="F328" s="7">
        <v>29221</v>
      </c>
      <c r="G328" s="8">
        <f t="shared" si="5"/>
        <v>29221</v>
      </c>
      <c r="H328" s="6" t="s">
        <v>13</v>
      </c>
      <c r="I328" s="9" t="s">
        <v>3380</v>
      </c>
      <c r="J328" s="10" t="s">
        <v>3380</v>
      </c>
      <c r="K328" s="17"/>
    </row>
    <row r="329" spans="1:11" ht="30" x14ac:dyDescent="0.25">
      <c r="A329" s="3" t="s">
        <v>676</v>
      </c>
      <c r="B329" s="4" t="s">
        <v>677</v>
      </c>
      <c r="C329" s="5">
        <v>29842</v>
      </c>
      <c r="D329" s="6" t="s">
        <v>34</v>
      </c>
      <c r="E329" s="6" t="s">
        <v>17</v>
      </c>
      <c r="F329" s="7">
        <v>38831</v>
      </c>
      <c r="G329" s="8">
        <f t="shared" si="5"/>
        <v>38831</v>
      </c>
      <c r="H329" s="6" t="s">
        <v>13</v>
      </c>
      <c r="I329" s="9" t="s">
        <v>3380</v>
      </c>
      <c r="J329" s="10" t="s">
        <v>3380</v>
      </c>
      <c r="K329" s="17"/>
    </row>
    <row r="330" spans="1:11" ht="30" x14ac:dyDescent="0.25">
      <c r="A330" s="3" t="s">
        <v>678</v>
      </c>
      <c r="B330" s="4" t="s">
        <v>679</v>
      </c>
      <c r="C330" s="5">
        <v>11843</v>
      </c>
      <c r="D330" s="6" t="s">
        <v>28</v>
      </c>
      <c r="E330" s="6" t="s">
        <v>17</v>
      </c>
      <c r="F330" s="7">
        <v>37572</v>
      </c>
      <c r="G330" s="8">
        <f t="shared" si="5"/>
        <v>37572</v>
      </c>
      <c r="H330" s="6" t="s">
        <v>13</v>
      </c>
      <c r="I330" s="9" t="s">
        <v>3380</v>
      </c>
      <c r="J330" s="10" t="s">
        <v>3380</v>
      </c>
      <c r="K330" s="17"/>
    </row>
    <row r="331" spans="1:11" ht="30" x14ac:dyDescent="0.25">
      <c r="A331" s="3" t="s">
        <v>680</v>
      </c>
      <c r="B331" s="4" t="s">
        <v>681</v>
      </c>
      <c r="C331" s="5">
        <v>17611</v>
      </c>
      <c r="D331" s="6" t="s">
        <v>16</v>
      </c>
      <c r="E331" s="6" t="s">
        <v>17</v>
      </c>
      <c r="F331" s="7">
        <v>28965</v>
      </c>
      <c r="G331" s="8">
        <f t="shared" si="5"/>
        <v>28965</v>
      </c>
      <c r="H331" s="6" t="s">
        <v>13</v>
      </c>
      <c r="I331" s="9" t="s">
        <v>3380</v>
      </c>
      <c r="J331" s="10" t="s">
        <v>3380</v>
      </c>
      <c r="K331" s="17"/>
    </row>
    <row r="332" spans="1:11" x14ac:dyDescent="0.25">
      <c r="A332" s="3" t="s">
        <v>682</v>
      </c>
      <c r="B332" s="4" t="s">
        <v>683</v>
      </c>
      <c r="C332" s="5">
        <v>54511</v>
      </c>
      <c r="D332" s="6" t="s">
        <v>34</v>
      </c>
      <c r="E332" s="6" t="s">
        <v>17</v>
      </c>
      <c r="F332" s="7">
        <v>39517</v>
      </c>
      <c r="G332" s="8">
        <f t="shared" si="5"/>
        <v>39517</v>
      </c>
      <c r="H332" s="6" t="s">
        <v>13</v>
      </c>
      <c r="I332" s="9" t="s">
        <v>3380</v>
      </c>
      <c r="J332" s="10" t="s">
        <v>3380</v>
      </c>
      <c r="K332" s="11"/>
    </row>
    <row r="333" spans="1:11" ht="30" x14ac:dyDescent="0.25">
      <c r="A333" s="3" t="s">
        <v>684</v>
      </c>
      <c r="B333" s="4" t="s">
        <v>685</v>
      </c>
      <c r="C333" s="5">
        <v>8002</v>
      </c>
      <c r="D333" s="6" t="s">
        <v>28</v>
      </c>
      <c r="E333" s="6" t="s">
        <v>17</v>
      </c>
      <c r="F333" s="7">
        <v>33512</v>
      </c>
      <c r="G333" s="8">
        <f t="shared" si="5"/>
        <v>33512</v>
      </c>
      <c r="H333" s="6" t="s">
        <v>13</v>
      </c>
      <c r="I333" s="9" t="s">
        <v>3380</v>
      </c>
      <c r="J333" s="10" t="s">
        <v>3380</v>
      </c>
      <c r="K333" s="17"/>
    </row>
    <row r="334" spans="1:11" ht="30" x14ac:dyDescent="0.25">
      <c r="A334" s="3" t="s">
        <v>686</v>
      </c>
      <c r="B334" s="4" t="s">
        <v>687</v>
      </c>
      <c r="C334" s="14">
        <v>17926</v>
      </c>
      <c r="D334" s="6" t="s">
        <v>28</v>
      </c>
      <c r="E334" s="6" t="s">
        <v>17</v>
      </c>
      <c r="F334" s="7">
        <v>26420</v>
      </c>
      <c r="G334" s="8">
        <f t="shared" si="5"/>
        <v>26420</v>
      </c>
      <c r="H334" s="6" t="s">
        <v>13</v>
      </c>
      <c r="I334" s="9" t="s">
        <v>3380</v>
      </c>
      <c r="J334" s="10" t="s">
        <v>3380</v>
      </c>
      <c r="K334" s="17"/>
    </row>
    <row r="335" spans="1:11" ht="30" x14ac:dyDescent="0.25">
      <c r="A335" s="3" t="s">
        <v>688</v>
      </c>
      <c r="B335" s="4" t="s">
        <v>689</v>
      </c>
      <c r="C335" s="5">
        <v>1076</v>
      </c>
      <c r="D335" s="6" t="s">
        <v>34</v>
      </c>
      <c r="E335" s="6" t="s">
        <v>17</v>
      </c>
      <c r="F335" s="7">
        <v>29952</v>
      </c>
      <c r="G335" s="8">
        <f t="shared" si="5"/>
        <v>29952</v>
      </c>
      <c r="H335" s="6" t="s">
        <v>13</v>
      </c>
      <c r="I335" s="9" t="s">
        <v>3380</v>
      </c>
      <c r="J335" s="10" t="s">
        <v>3380</v>
      </c>
      <c r="K335" s="17"/>
    </row>
    <row r="336" spans="1:11" ht="30" x14ac:dyDescent="0.25">
      <c r="A336" s="3" t="s">
        <v>690</v>
      </c>
      <c r="B336" s="4" t="s">
        <v>691</v>
      </c>
      <c r="C336" s="5">
        <v>29841</v>
      </c>
      <c r="D336" s="6" t="s">
        <v>34</v>
      </c>
      <c r="E336" s="6" t="s">
        <v>17</v>
      </c>
      <c r="F336" s="7">
        <v>39029</v>
      </c>
      <c r="G336" s="8">
        <f t="shared" si="5"/>
        <v>39029</v>
      </c>
      <c r="H336" s="6" t="s">
        <v>13</v>
      </c>
      <c r="I336" s="9" t="s">
        <v>3380</v>
      </c>
      <c r="J336" s="10" t="s">
        <v>3380</v>
      </c>
      <c r="K336" s="17"/>
    </row>
    <row r="337" spans="1:11" ht="30" x14ac:dyDescent="0.25">
      <c r="A337" s="3" t="s">
        <v>692</v>
      </c>
      <c r="B337" s="4" t="s">
        <v>693</v>
      </c>
      <c r="C337" s="14">
        <v>16641</v>
      </c>
      <c r="D337" s="6" t="s">
        <v>16</v>
      </c>
      <c r="E337" s="6" t="s">
        <v>17</v>
      </c>
      <c r="F337" s="7">
        <v>35142</v>
      </c>
      <c r="G337" s="8">
        <f t="shared" si="5"/>
        <v>35142</v>
      </c>
      <c r="H337" s="6" t="s">
        <v>13</v>
      </c>
      <c r="I337" s="9" t="s">
        <v>3380</v>
      </c>
      <c r="J337" s="10" t="s">
        <v>3380</v>
      </c>
      <c r="K337" s="17"/>
    </row>
    <row r="338" spans="1:11" ht="30" x14ac:dyDescent="0.25">
      <c r="A338" s="3" t="s">
        <v>694</v>
      </c>
      <c r="B338" s="4" t="s">
        <v>695</v>
      </c>
      <c r="C338" s="5">
        <v>17287</v>
      </c>
      <c r="D338" s="6" t="s">
        <v>16</v>
      </c>
      <c r="E338" s="6" t="s">
        <v>17</v>
      </c>
      <c r="F338" s="7">
        <v>32325</v>
      </c>
      <c r="G338" s="8">
        <f t="shared" si="5"/>
        <v>32325</v>
      </c>
      <c r="H338" s="6" t="s">
        <v>13</v>
      </c>
      <c r="I338" s="9" t="s">
        <v>3380</v>
      </c>
      <c r="J338" s="10" t="s">
        <v>3380</v>
      </c>
      <c r="K338" s="17"/>
    </row>
    <row r="339" spans="1:11" ht="30" x14ac:dyDescent="0.25">
      <c r="A339" s="3" t="s">
        <v>696</v>
      </c>
      <c r="B339" s="4" t="s">
        <v>697</v>
      </c>
      <c r="C339" s="5">
        <v>1662</v>
      </c>
      <c r="D339" s="6" t="s">
        <v>11</v>
      </c>
      <c r="E339" s="6" t="s">
        <v>17</v>
      </c>
      <c r="F339" s="7">
        <v>34700</v>
      </c>
      <c r="G339" s="8">
        <f t="shared" si="5"/>
        <v>34700</v>
      </c>
      <c r="H339" s="6" t="s">
        <v>13</v>
      </c>
      <c r="I339" s="9" t="s">
        <v>3380</v>
      </c>
      <c r="J339" s="10" t="s">
        <v>3380</v>
      </c>
      <c r="K339" s="17"/>
    </row>
    <row r="340" spans="1:11" ht="30" x14ac:dyDescent="0.25">
      <c r="A340" s="3" t="s">
        <v>698</v>
      </c>
      <c r="B340" s="4" t="s">
        <v>699</v>
      </c>
      <c r="C340" s="5">
        <v>1797</v>
      </c>
      <c r="D340" s="6" t="s">
        <v>11</v>
      </c>
      <c r="E340" s="6" t="s">
        <v>17</v>
      </c>
      <c r="F340" s="7">
        <v>33970</v>
      </c>
      <c r="G340" s="8">
        <f t="shared" si="5"/>
        <v>33970</v>
      </c>
      <c r="H340" s="6" t="s">
        <v>13</v>
      </c>
      <c r="I340" s="9" t="s">
        <v>3380</v>
      </c>
      <c r="J340" s="10" t="s">
        <v>3380</v>
      </c>
      <c r="K340" s="17"/>
    </row>
    <row r="341" spans="1:11" ht="30" x14ac:dyDescent="0.25">
      <c r="A341" s="3" t="s">
        <v>700</v>
      </c>
      <c r="B341" s="4" t="s">
        <v>701</v>
      </c>
      <c r="C341" s="5">
        <v>1136</v>
      </c>
      <c r="D341" s="6" t="s">
        <v>31</v>
      </c>
      <c r="E341" s="6" t="s">
        <v>17</v>
      </c>
      <c r="F341" s="7">
        <v>29221</v>
      </c>
      <c r="G341" s="8">
        <f t="shared" si="5"/>
        <v>29221</v>
      </c>
      <c r="H341" s="6" t="s">
        <v>13</v>
      </c>
      <c r="I341" s="9" t="s">
        <v>3380</v>
      </c>
      <c r="J341" s="10" t="s">
        <v>3380</v>
      </c>
      <c r="K341" s="17"/>
    </row>
    <row r="342" spans="1:11" ht="30" x14ac:dyDescent="0.25">
      <c r="A342" s="3" t="s">
        <v>702</v>
      </c>
      <c r="B342" s="4" t="s">
        <v>703</v>
      </c>
      <c r="C342" s="5">
        <v>1936</v>
      </c>
      <c r="D342" s="6" t="s">
        <v>34</v>
      </c>
      <c r="E342" s="6" t="s">
        <v>17</v>
      </c>
      <c r="F342" s="7">
        <v>36314</v>
      </c>
      <c r="G342" s="8">
        <f t="shared" si="5"/>
        <v>36314</v>
      </c>
      <c r="H342" s="6" t="s">
        <v>13</v>
      </c>
      <c r="I342" s="9" t="s">
        <v>3380</v>
      </c>
      <c r="J342" s="10" t="s">
        <v>3380</v>
      </c>
      <c r="K342" s="17"/>
    </row>
    <row r="343" spans="1:11" ht="30" x14ac:dyDescent="0.25">
      <c r="A343" s="3" t="s">
        <v>704</v>
      </c>
      <c r="B343" s="4" t="s">
        <v>705</v>
      </c>
      <c r="C343" s="14">
        <v>1481</v>
      </c>
      <c r="D343" s="6" t="s">
        <v>34</v>
      </c>
      <c r="E343" s="6" t="s">
        <v>17</v>
      </c>
      <c r="F343" s="7">
        <v>37803</v>
      </c>
      <c r="G343" s="8">
        <f t="shared" si="5"/>
        <v>37803</v>
      </c>
      <c r="H343" s="6" t="s">
        <v>13</v>
      </c>
      <c r="I343" s="9">
        <v>825185.39</v>
      </c>
      <c r="J343" s="10">
        <v>2300</v>
      </c>
      <c r="K343" s="17"/>
    </row>
    <row r="344" spans="1:11" x14ac:dyDescent="0.25">
      <c r="A344" s="18" t="s">
        <v>706</v>
      </c>
      <c r="B344" s="19" t="s">
        <v>707</v>
      </c>
      <c r="C344" s="20">
        <v>8968</v>
      </c>
      <c r="D344" s="21" t="s">
        <v>34</v>
      </c>
      <c r="E344" s="21" t="s">
        <v>17</v>
      </c>
      <c r="F344" s="22">
        <v>37734</v>
      </c>
      <c r="G344" s="23">
        <f t="shared" si="5"/>
        <v>37734</v>
      </c>
      <c r="H344" s="21" t="s">
        <v>13</v>
      </c>
      <c r="I344" s="9" t="s">
        <v>3380</v>
      </c>
      <c r="J344" s="10" t="s">
        <v>3380</v>
      </c>
      <c r="K344" s="25"/>
    </row>
    <row r="345" spans="1:11" ht="30" x14ac:dyDescent="0.25">
      <c r="A345" s="3" t="s">
        <v>708</v>
      </c>
      <c r="B345" s="4" t="s">
        <v>709</v>
      </c>
      <c r="C345" s="5">
        <v>47441</v>
      </c>
      <c r="D345" s="6" t="s">
        <v>34</v>
      </c>
      <c r="E345" s="6" t="s">
        <v>17</v>
      </c>
      <c r="F345" s="7">
        <v>38483</v>
      </c>
      <c r="G345" s="8">
        <f t="shared" si="5"/>
        <v>38483</v>
      </c>
      <c r="H345" s="6" t="s">
        <v>13</v>
      </c>
      <c r="I345" s="9" t="s">
        <v>3380</v>
      </c>
      <c r="J345" s="10" t="s">
        <v>3380</v>
      </c>
      <c r="K345" s="17"/>
    </row>
    <row r="346" spans="1:11" ht="30" x14ac:dyDescent="0.25">
      <c r="A346" s="3" t="s">
        <v>710</v>
      </c>
      <c r="B346" s="4" t="s">
        <v>711</v>
      </c>
      <c r="C346" s="5">
        <v>1485</v>
      </c>
      <c r="D346" s="6" t="s">
        <v>34</v>
      </c>
      <c r="E346" s="6" t="s">
        <v>17</v>
      </c>
      <c r="F346" s="7">
        <v>36433</v>
      </c>
      <c r="G346" s="8">
        <f t="shared" si="5"/>
        <v>36433</v>
      </c>
      <c r="H346" s="6" t="s">
        <v>13</v>
      </c>
      <c r="I346" s="9" t="s">
        <v>3380</v>
      </c>
      <c r="J346" s="10" t="s">
        <v>3380</v>
      </c>
      <c r="K346" s="17"/>
    </row>
    <row r="347" spans="1:11" ht="30" x14ac:dyDescent="0.25">
      <c r="A347" s="3" t="s">
        <v>712</v>
      </c>
      <c r="B347" s="4" t="s">
        <v>713</v>
      </c>
      <c r="C347" s="5">
        <v>85859</v>
      </c>
      <c r="D347" s="6" t="s">
        <v>28</v>
      </c>
      <c r="E347" s="6" t="s">
        <v>17</v>
      </c>
      <c r="F347" s="7">
        <v>40554</v>
      </c>
      <c r="G347" s="8">
        <f t="shared" si="5"/>
        <v>40554</v>
      </c>
      <c r="H347" s="6" t="s">
        <v>13</v>
      </c>
      <c r="I347" s="9" t="s">
        <v>3380</v>
      </c>
      <c r="J347" s="10" t="s">
        <v>3380</v>
      </c>
      <c r="K347" s="17"/>
    </row>
    <row r="348" spans="1:11" x14ac:dyDescent="0.25">
      <c r="A348" s="18" t="s">
        <v>714</v>
      </c>
      <c r="B348" s="19" t="s">
        <v>715</v>
      </c>
      <c r="C348" s="5">
        <v>54512</v>
      </c>
      <c r="D348" s="21" t="s">
        <v>11</v>
      </c>
      <c r="E348" s="21" t="s">
        <v>12</v>
      </c>
      <c r="F348" s="22">
        <v>37546</v>
      </c>
      <c r="G348" s="23">
        <f t="shared" si="5"/>
        <v>37546</v>
      </c>
      <c r="H348" s="21" t="s">
        <v>39</v>
      </c>
      <c r="I348" s="9" t="s">
        <v>3380</v>
      </c>
      <c r="J348" s="10" t="s">
        <v>3380</v>
      </c>
      <c r="K348" s="25"/>
    </row>
    <row r="349" spans="1:11" ht="30" x14ac:dyDescent="0.25">
      <c r="A349" s="3" t="s">
        <v>716</v>
      </c>
      <c r="B349" s="4" t="s">
        <v>717</v>
      </c>
      <c r="C349" s="5">
        <v>1513</v>
      </c>
      <c r="D349" s="6" t="s">
        <v>28</v>
      </c>
      <c r="E349" s="6" t="s">
        <v>17</v>
      </c>
      <c r="F349" s="7">
        <v>29952</v>
      </c>
      <c r="G349" s="8">
        <f t="shared" si="5"/>
        <v>29952</v>
      </c>
      <c r="H349" s="6" t="s">
        <v>13</v>
      </c>
      <c r="I349" s="9" t="s">
        <v>3380</v>
      </c>
      <c r="J349" s="10" t="s">
        <v>3380</v>
      </c>
      <c r="K349" s="17"/>
    </row>
    <row r="350" spans="1:11" ht="30" x14ac:dyDescent="0.25">
      <c r="A350" s="3" t="s">
        <v>718</v>
      </c>
      <c r="B350" s="4" t="s">
        <v>719</v>
      </c>
      <c r="C350" s="5">
        <v>14088</v>
      </c>
      <c r="D350" s="6" t="s">
        <v>37</v>
      </c>
      <c r="E350" s="6" t="s">
        <v>38</v>
      </c>
      <c r="F350" s="7">
        <v>37125</v>
      </c>
      <c r="G350" s="8">
        <f t="shared" si="5"/>
        <v>37125</v>
      </c>
      <c r="H350" s="6" t="s">
        <v>39</v>
      </c>
      <c r="I350" s="9" t="s">
        <v>3380</v>
      </c>
      <c r="J350" s="10" t="s">
        <v>3380</v>
      </c>
      <c r="K350" s="17"/>
    </row>
    <row r="351" spans="1:11" ht="30" x14ac:dyDescent="0.25">
      <c r="A351" s="3" t="s">
        <v>720</v>
      </c>
      <c r="B351" s="4" t="s">
        <v>721</v>
      </c>
      <c r="C351" s="5">
        <v>2046</v>
      </c>
      <c r="D351" s="6" t="s">
        <v>34</v>
      </c>
      <c r="E351" s="6" t="s">
        <v>17</v>
      </c>
      <c r="F351" s="7">
        <v>35431</v>
      </c>
      <c r="G351" s="8">
        <f t="shared" si="5"/>
        <v>35431</v>
      </c>
      <c r="H351" s="6" t="s">
        <v>13</v>
      </c>
      <c r="I351" s="9" t="s">
        <v>3380</v>
      </c>
      <c r="J351" s="10" t="s">
        <v>3380</v>
      </c>
      <c r="K351" s="17"/>
    </row>
    <row r="352" spans="1:11" ht="30" x14ac:dyDescent="0.25">
      <c r="A352" s="3" t="s">
        <v>722</v>
      </c>
      <c r="B352" s="4" t="s">
        <v>723</v>
      </c>
      <c r="C352" s="5">
        <v>1703</v>
      </c>
      <c r="D352" s="6" t="s">
        <v>31</v>
      </c>
      <c r="E352" s="6" t="s">
        <v>17</v>
      </c>
      <c r="F352" s="7">
        <v>29221</v>
      </c>
      <c r="G352" s="8">
        <f t="shared" si="5"/>
        <v>29221</v>
      </c>
      <c r="H352" s="6" t="s">
        <v>13</v>
      </c>
      <c r="I352" s="9" t="s">
        <v>3380</v>
      </c>
      <c r="J352" s="10" t="s">
        <v>3380</v>
      </c>
      <c r="K352" s="17"/>
    </row>
    <row r="353" spans="1:11" ht="30" x14ac:dyDescent="0.25">
      <c r="A353" s="3" t="s">
        <v>724</v>
      </c>
      <c r="B353" s="4" t="s">
        <v>725</v>
      </c>
      <c r="C353" s="5">
        <v>54529</v>
      </c>
      <c r="D353" s="6" t="s">
        <v>31</v>
      </c>
      <c r="E353" s="6" t="s">
        <v>17</v>
      </c>
      <c r="F353" s="7">
        <v>37167</v>
      </c>
      <c r="G353" s="8">
        <f t="shared" si="5"/>
        <v>37167</v>
      </c>
      <c r="H353" s="6" t="s">
        <v>13</v>
      </c>
      <c r="I353" s="9" t="s">
        <v>3380</v>
      </c>
      <c r="J353" s="10" t="s">
        <v>3380</v>
      </c>
      <c r="K353" s="17"/>
    </row>
    <row r="354" spans="1:11" ht="30" x14ac:dyDescent="0.25">
      <c r="A354" s="3" t="s">
        <v>726</v>
      </c>
      <c r="B354" s="4" t="s">
        <v>727</v>
      </c>
      <c r="C354" s="5">
        <v>17288</v>
      </c>
      <c r="D354" s="6" t="s">
        <v>31</v>
      </c>
      <c r="E354" s="6" t="s">
        <v>17</v>
      </c>
      <c r="F354" s="7">
        <v>41361</v>
      </c>
      <c r="G354" s="8">
        <f t="shared" si="5"/>
        <v>41361</v>
      </c>
      <c r="H354" s="6" t="s">
        <v>13</v>
      </c>
      <c r="I354" s="9">
        <v>388164.89999999997</v>
      </c>
      <c r="J354" s="10">
        <v>1650</v>
      </c>
      <c r="K354" s="17"/>
    </row>
    <row r="355" spans="1:11" ht="30" x14ac:dyDescent="0.25">
      <c r="A355" s="3" t="s">
        <v>728</v>
      </c>
      <c r="B355" s="4" t="s">
        <v>729</v>
      </c>
      <c r="C355" s="5">
        <v>12483</v>
      </c>
      <c r="D355" s="6" t="s">
        <v>31</v>
      </c>
      <c r="E355" s="6" t="s">
        <v>17</v>
      </c>
      <c r="F355" s="7">
        <v>32532</v>
      </c>
      <c r="G355" s="8">
        <f t="shared" si="5"/>
        <v>32532</v>
      </c>
      <c r="H355" s="6" t="s">
        <v>13</v>
      </c>
      <c r="I355" s="9" t="s">
        <v>3380</v>
      </c>
      <c r="J355" s="10" t="s">
        <v>3380</v>
      </c>
      <c r="K355" s="17"/>
    </row>
    <row r="356" spans="1:11" ht="30" x14ac:dyDescent="0.25">
      <c r="A356" s="3" t="s">
        <v>730</v>
      </c>
      <c r="B356" s="4" t="s">
        <v>731</v>
      </c>
      <c r="C356" s="5">
        <v>19205</v>
      </c>
      <c r="D356" s="6" t="s">
        <v>16</v>
      </c>
      <c r="E356" s="6" t="s">
        <v>17</v>
      </c>
      <c r="F356" s="7">
        <v>38426</v>
      </c>
      <c r="G356" s="8">
        <f t="shared" si="5"/>
        <v>38426</v>
      </c>
      <c r="H356" s="6" t="s">
        <v>13</v>
      </c>
      <c r="I356" s="9" t="s">
        <v>3380</v>
      </c>
      <c r="J356" s="10" t="s">
        <v>3380</v>
      </c>
      <c r="K356" s="17"/>
    </row>
    <row r="357" spans="1:11" ht="30" x14ac:dyDescent="0.25">
      <c r="A357" s="3" t="s">
        <v>732</v>
      </c>
      <c r="B357" s="4" t="s">
        <v>733</v>
      </c>
      <c r="C357" s="5">
        <v>72146</v>
      </c>
      <c r="D357" s="6" t="s">
        <v>34</v>
      </c>
      <c r="E357" s="6" t="s">
        <v>17</v>
      </c>
      <c r="F357" s="7">
        <v>39017</v>
      </c>
      <c r="G357" s="8">
        <f t="shared" si="5"/>
        <v>39017</v>
      </c>
      <c r="H357" s="6" t="s">
        <v>13</v>
      </c>
      <c r="I357" s="9" t="s">
        <v>3380</v>
      </c>
      <c r="J357" s="10" t="s">
        <v>3380</v>
      </c>
      <c r="K357" s="17"/>
    </row>
    <row r="358" spans="1:11" ht="30" x14ac:dyDescent="0.25">
      <c r="A358" s="3" t="s">
        <v>734</v>
      </c>
      <c r="B358" s="4" t="s">
        <v>735</v>
      </c>
      <c r="C358" s="5">
        <v>1143</v>
      </c>
      <c r="D358" s="6" t="s">
        <v>34</v>
      </c>
      <c r="E358" s="6" t="s">
        <v>17</v>
      </c>
      <c r="F358" s="7">
        <v>34828</v>
      </c>
      <c r="G358" s="8">
        <f t="shared" si="5"/>
        <v>34828</v>
      </c>
      <c r="H358" s="6" t="s">
        <v>13</v>
      </c>
      <c r="I358" s="9" t="s">
        <v>3380</v>
      </c>
      <c r="J358" s="10" t="s">
        <v>3380</v>
      </c>
      <c r="K358" s="17"/>
    </row>
    <row r="359" spans="1:11" ht="30" x14ac:dyDescent="0.25">
      <c r="A359" s="3" t="s">
        <v>736</v>
      </c>
      <c r="B359" s="4" t="s">
        <v>737</v>
      </c>
      <c r="C359" s="5">
        <v>14404</v>
      </c>
      <c r="D359" s="6" t="s">
        <v>11</v>
      </c>
      <c r="E359" s="6" t="s">
        <v>17</v>
      </c>
      <c r="F359" s="7">
        <v>38211</v>
      </c>
      <c r="G359" s="8">
        <f t="shared" si="5"/>
        <v>38211</v>
      </c>
      <c r="H359" s="6" t="s">
        <v>13</v>
      </c>
      <c r="I359" s="9" t="s">
        <v>3380</v>
      </c>
      <c r="J359" s="10" t="s">
        <v>3380</v>
      </c>
      <c r="K359" s="17"/>
    </row>
    <row r="360" spans="1:11" ht="30" x14ac:dyDescent="0.25">
      <c r="A360" s="3" t="s">
        <v>738</v>
      </c>
      <c r="B360" s="4" t="s">
        <v>739</v>
      </c>
      <c r="C360" s="14">
        <v>1577</v>
      </c>
      <c r="D360" s="6" t="s">
        <v>31</v>
      </c>
      <c r="E360" s="6" t="s">
        <v>17</v>
      </c>
      <c r="F360" s="7">
        <v>29221</v>
      </c>
      <c r="G360" s="8">
        <f t="shared" si="5"/>
        <v>29221</v>
      </c>
      <c r="H360" s="6" t="s">
        <v>13</v>
      </c>
      <c r="I360" s="9" t="s">
        <v>3380</v>
      </c>
      <c r="J360" s="10" t="s">
        <v>3380</v>
      </c>
      <c r="K360" s="17"/>
    </row>
    <row r="361" spans="1:11" x14ac:dyDescent="0.25">
      <c r="A361" s="18" t="s">
        <v>740</v>
      </c>
      <c r="B361" s="19" t="s">
        <v>741</v>
      </c>
      <c r="C361" s="5">
        <v>1492</v>
      </c>
      <c r="D361" s="21" t="s">
        <v>28</v>
      </c>
      <c r="E361" s="21" t="s">
        <v>17</v>
      </c>
      <c r="F361" s="22">
        <v>26549</v>
      </c>
      <c r="G361" s="23">
        <f t="shared" si="5"/>
        <v>26549</v>
      </c>
      <c r="H361" s="21" t="s">
        <v>13</v>
      </c>
      <c r="I361" s="9">
        <v>403340.85</v>
      </c>
      <c r="J361" s="10">
        <v>1000</v>
      </c>
      <c r="K361" s="25"/>
    </row>
    <row r="362" spans="1:11" ht="30" x14ac:dyDescent="0.25">
      <c r="A362" s="3" t="s">
        <v>742</v>
      </c>
      <c r="B362" s="4" t="s">
        <v>743</v>
      </c>
      <c r="C362" s="5">
        <v>1504</v>
      </c>
      <c r="D362" s="6" t="s">
        <v>28</v>
      </c>
      <c r="E362" s="6" t="s">
        <v>17</v>
      </c>
      <c r="F362" s="7">
        <v>29221</v>
      </c>
      <c r="G362" s="8">
        <f t="shared" si="5"/>
        <v>29221</v>
      </c>
      <c r="H362" s="6" t="s">
        <v>13</v>
      </c>
      <c r="I362" s="9" t="s">
        <v>3380</v>
      </c>
      <c r="J362" s="10" t="s">
        <v>3380</v>
      </c>
      <c r="K362" s="17"/>
    </row>
    <row r="363" spans="1:11" ht="30" x14ac:dyDescent="0.25">
      <c r="A363" s="3" t="s">
        <v>744</v>
      </c>
      <c r="B363" s="4" t="s">
        <v>745</v>
      </c>
      <c r="C363" s="5">
        <v>1448</v>
      </c>
      <c r="D363" s="6" t="s">
        <v>11</v>
      </c>
      <c r="E363" s="6" t="s">
        <v>17</v>
      </c>
      <c r="F363" s="7">
        <v>35431</v>
      </c>
      <c r="G363" s="8">
        <f t="shared" si="5"/>
        <v>35431</v>
      </c>
      <c r="H363" s="6" t="s">
        <v>13</v>
      </c>
      <c r="I363" s="9" t="s">
        <v>3380</v>
      </c>
      <c r="J363" s="10" t="s">
        <v>3380</v>
      </c>
      <c r="K363" s="17"/>
    </row>
    <row r="364" spans="1:11" ht="30" x14ac:dyDescent="0.25">
      <c r="A364" s="3" t="s">
        <v>746</v>
      </c>
      <c r="B364" s="4" t="s">
        <v>747</v>
      </c>
      <c r="C364" s="5">
        <v>12815</v>
      </c>
      <c r="D364" s="6" t="s">
        <v>31</v>
      </c>
      <c r="E364" s="6" t="s">
        <v>17</v>
      </c>
      <c r="F364" s="7">
        <v>34129</v>
      </c>
      <c r="G364" s="8">
        <f t="shared" si="5"/>
        <v>34129</v>
      </c>
      <c r="H364" s="6" t="s">
        <v>13</v>
      </c>
      <c r="I364" s="9" t="s">
        <v>3380</v>
      </c>
      <c r="J364" s="10" t="s">
        <v>3380</v>
      </c>
      <c r="K364" s="17"/>
    </row>
    <row r="365" spans="1:11" ht="30" x14ac:dyDescent="0.25">
      <c r="A365" s="3" t="s">
        <v>748</v>
      </c>
      <c r="B365" s="4" t="s">
        <v>749</v>
      </c>
      <c r="C365" s="5">
        <v>1272</v>
      </c>
      <c r="D365" s="6" t="s">
        <v>16</v>
      </c>
      <c r="E365" s="6" t="s">
        <v>17</v>
      </c>
      <c r="F365" s="7">
        <v>29221</v>
      </c>
      <c r="G365" s="8">
        <f t="shared" si="5"/>
        <v>29221</v>
      </c>
      <c r="H365" s="6" t="s">
        <v>13</v>
      </c>
      <c r="I365" s="9" t="s">
        <v>3380</v>
      </c>
      <c r="J365" s="10" t="s">
        <v>3380</v>
      </c>
      <c r="K365" s="17"/>
    </row>
    <row r="366" spans="1:11" ht="30" x14ac:dyDescent="0.25">
      <c r="A366" s="3" t="s">
        <v>750</v>
      </c>
      <c r="B366" s="4" t="s">
        <v>751</v>
      </c>
      <c r="C366" s="5">
        <v>1833</v>
      </c>
      <c r="D366" s="6" t="s">
        <v>16</v>
      </c>
      <c r="E366" s="6" t="s">
        <v>17</v>
      </c>
      <c r="F366" s="7">
        <v>29221</v>
      </c>
      <c r="G366" s="8">
        <f t="shared" si="5"/>
        <v>29221</v>
      </c>
      <c r="H366" s="6" t="s">
        <v>13</v>
      </c>
      <c r="I366" s="9" t="s">
        <v>3380</v>
      </c>
      <c r="J366" s="10" t="s">
        <v>3380</v>
      </c>
      <c r="K366" s="17"/>
    </row>
    <row r="367" spans="1:11" ht="30" x14ac:dyDescent="0.25">
      <c r="A367" s="3" t="s">
        <v>752</v>
      </c>
      <c r="B367" s="4" t="s">
        <v>753</v>
      </c>
      <c r="C367" s="5">
        <v>29847</v>
      </c>
      <c r="D367" s="6" t="s">
        <v>34</v>
      </c>
      <c r="E367" s="6" t="s">
        <v>17</v>
      </c>
      <c r="F367" s="7">
        <v>33176</v>
      </c>
      <c r="G367" s="8">
        <f t="shared" si="5"/>
        <v>33176</v>
      </c>
      <c r="H367" s="6" t="s">
        <v>13</v>
      </c>
      <c r="I367" s="9">
        <v>2000</v>
      </c>
      <c r="J367" s="10">
        <v>770</v>
      </c>
      <c r="K367" s="17"/>
    </row>
    <row r="368" spans="1:11" ht="30" x14ac:dyDescent="0.25">
      <c r="A368" s="3" t="s">
        <v>754</v>
      </c>
      <c r="B368" s="4" t="s">
        <v>755</v>
      </c>
      <c r="C368" s="5">
        <v>2008</v>
      </c>
      <c r="D368" s="6" t="s">
        <v>16</v>
      </c>
      <c r="E368" s="6" t="s">
        <v>17</v>
      </c>
      <c r="F368" s="7">
        <v>32874</v>
      </c>
      <c r="G368" s="8">
        <f t="shared" si="5"/>
        <v>32874</v>
      </c>
      <c r="H368" s="6" t="s">
        <v>13</v>
      </c>
      <c r="I368" s="9" t="s">
        <v>3380</v>
      </c>
      <c r="J368" s="10" t="s">
        <v>3380</v>
      </c>
      <c r="K368" s="17"/>
    </row>
    <row r="369" spans="1:11" x14ac:dyDescent="0.25">
      <c r="A369" s="3" t="s">
        <v>756</v>
      </c>
      <c r="B369" s="4" t="s">
        <v>757</v>
      </c>
      <c r="C369" s="5">
        <v>54530</v>
      </c>
      <c r="D369" s="6" t="s">
        <v>28</v>
      </c>
      <c r="E369" s="6" t="s">
        <v>17</v>
      </c>
      <c r="F369" s="7">
        <v>38401</v>
      </c>
      <c r="G369" s="8">
        <f t="shared" si="5"/>
        <v>38401</v>
      </c>
      <c r="H369" s="6" t="s">
        <v>13</v>
      </c>
      <c r="I369" s="9" t="s">
        <v>3380</v>
      </c>
      <c r="J369" s="10" t="s">
        <v>3380</v>
      </c>
      <c r="K369" s="11"/>
    </row>
    <row r="370" spans="1:11" ht="30" x14ac:dyDescent="0.25">
      <c r="A370" s="3" t="s">
        <v>758</v>
      </c>
      <c r="B370" s="4" t="s">
        <v>759</v>
      </c>
      <c r="C370" s="5">
        <v>21451</v>
      </c>
      <c r="D370" s="6" t="s">
        <v>28</v>
      </c>
      <c r="E370" s="6" t="s">
        <v>17</v>
      </c>
      <c r="F370" s="7">
        <v>38665</v>
      </c>
      <c r="G370" s="8">
        <f t="shared" si="5"/>
        <v>38665</v>
      </c>
      <c r="H370" s="6" t="s">
        <v>13</v>
      </c>
      <c r="I370" s="9" t="s">
        <v>3380</v>
      </c>
      <c r="J370" s="10" t="s">
        <v>3380</v>
      </c>
      <c r="K370" s="17"/>
    </row>
    <row r="371" spans="1:11" ht="30" x14ac:dyDescent="0.25">
      <c r="A371" s="3" t="s">
        <v>760</v>
      </c>
      <c r="B371" s="4" t="s">
        <v>761</v>
      </c>
      <c r="C371" s="5">
        <v>17924</v>
      </c>
      <c r="D371" s="6" t="s">
        <v>28</v>
      </c>
      <c r="E371" s="6" t="s">
        <v>17</v>
      </c>
      <c r="F371" s="7">
        <v>22661</v>
      </c>
      <c r="G371" s="8">
        <f t="shared" si="5"/>
        <v>22661</v>
      </c>
      <c r="H371" s="6" t="s">
        <v>13</v>
      </c>
      <c r="I371" s="9" t="s">
        <v>3380</v>
      </c>
      <c r="J371" s="10" t="s">
        <v>3380</v>
      </c>
      <c r="K371" s="17"/>
    </row>
    <row r="372" spans="1:11" ht="30" x14ac:dyDescent="0.25">
      <c r="A372" s="3" t="s">
        <v>762</v>
      </c>
      <c r="B372" s="4" t="s">
        <v>763</v>
      </c>
      <c r="C372" s="5">
        <v>1646</v>
      </c>
      <c r="D372" s="6" t="s">
        <v>28</v>
      </c>
      <c r="E372" s="6" t="s">
        <v>17</v>
      </c>
      <c r="F372" s="7">
        <v>36990</v>
      </c>
      <c r="G372" s="8">
        <f t="shared" si="5"/>
        <v>36990</v>
      </c>
      <c r="H372" s="6" t="s">
        <v>13</v>
      </c>
      <c r="I372" s="9" t="s">
        <v>3380</v>
      </c>
      <c r="J372" s="10" t="s">
        <v>3380</v>
      </c>
      <c r="K372" s="17"/>
    </row>
    <row r="373" spans="1:11" ht="30" x14ac:dyDescent="0.25">
      <c r="A373" s="3" t="s">
        <v>764</v>
      </c>
      <c r="B373" s="4" t="s">
        <v>765</v>
      </c>
      <c r="C373" s="5">
        <v>16961</v>
      </c>
      <c r="D373" s="6" t="s">
        <v>16</v>
      </c>
      <c r="E373" s="6" t="s">
        <v>17</v>
      </c>
      <c r="F373" s="7">
        <v>30687</v>
      </c>
      <c r="G373" s="8">
        <f t="shared" si="5"/>
        <v>30687</v>
      </c>
      <c r="H373" s="6" t="s">
        <v>13</v>
      </c>
      <c r="I373" s="9" t="s">
        <v>3380</v>
      </c>
      <c r="J373" s="10" t="s">
        <v>3380</v>
      </c>
      <c r="K373" s="17"/>
    </row>
    <row r="374" spans="1:11" ht="30" x14ac:dyDescent="0.25">
      <c r="A374" s="3" t="s">
        <v>766</v>
      </c>
      <c r="B374" s="4" t="s">
        <v>767</v>
      </c>
      <c r="C374" s="5">
        <v>1506</v>
      </c>
      <c r="D374" s="6" t="s">
        <v>28</v>
      </c>
      <c r="E374" s="6" t="s">
        <v>17</v>
      </c>
      <c r="F374" s="7">
        <v>25204</v>
      </c>
      <c r="G374" s="8">
        <f t="shared" si="5"/>
        <v>25204</v>
      </c>
      <c r="H374" s="6" t="s">
        <v>13</v>
      </c>
      <c r="I374" s="9" t="s">
        <v>3380</v>
      </c>
      <c r="J374" s="10" t="s">
        <v>3380</v>
      </c>
      <c r="K374" s="17"/>
    </row>
    <row r="375" spans="1:11" x14ac:dyDescent="0.25">
      <c r="A375" s="26" t="s">
        <v>768</v>
      </c>
      <c r="B375" s="27" t="s">
        <v>769</v>
      </c>
      <c r="C375" s="34">
        <v>1976</v>
      </c>
      <c r="D375" s="28" t="s">
        <v>31</v>
      </c>
      <c r="E375" s="28" t="s">
        <v>17</v>
      </c>
      <c r="F375" s="29">
        <v>29221</v>
      </c>
      <c r="G375" s="30">
        <f t="shared" si="5"/>
        <v>29221</v>
      </c>
      <c r="H375" s="28" t="s">
        <v>13</v>
      </c>
      <c r="I375" s="9">
        <v>166614.63</v>
      </c>
      <c r="J375" s="10">
        <v>2000</v>
      </c>
      <c r="K375" s="33"/>
    </row>
    <row r="376" spans="1:11" ht="30" x14ac:dyDescent="0.25">
      <c r="A376" s="3" t="s">
        <v>770</v>
      </c>
      <c r="B376" s="4" t="s">
        <v>771</v>
      </c>
      <c r="C376" s="14">
        <v>1670</v>
      </c>
      <c r="D376" s="6" t="s">
        <v>31</v>
      </c>
      <c r="E376" s="6" t="s">
        <v>17</v>
      </c>
      <c r="F376" s="7">
        <v>25569</v>
      </c>
      <c r="G376" s="8">
        <f t="shared" si="5"/>
        <v>25569</v>
      </c>
      <c r="H376" s="6" t="s">
        <v>13</v>
      </c>
      <c r="I376" s="9" t="s">
        <v>3380</v>
      </c>
      <c r="J376" s="10" t="s">
        <v>3380</v>
      </c>
      <c r="K376" s="17"/>
    </row>
    <row r="377" spans="1:11" ht="30" x14ac:dyDescent="0.25">
      <c r="A377" s="3" t="s">
        <v>772</v>
      </c>
      <c r="B377" s="4" t="s">
        <v>773</v>
      </c>
      <c r="C377" s="5">
        <v>1796</v>
      </c>
      <c r="D377" s="6" t="s">
        <v>16</v>
      </c>
      <c r="E377" s="6" t="s">
        <v>17</v>
      </c>
      <c r="F377" s="7">
        <v>29221</v>
      </c>
      <c r="G377" s="8">
        <f t="shared" si="5"/>
        <v>29221</v>
      </c>
      <c r="H377" s="6" t="s">
        <v>13</v>
      </c>
      <c r="I377" s="9" t="s">
        <v>3380</v>
      </c>
      <c r="J377" s="10" t="s">
        <v>3380</v>
      </c>
      <c r="K377" s="17"/>
    </row>
    <row r="378" spans="1:11" ht="30" x14ac:dyDescent="0.25">
      <c r="A378" s="3" t="s">
        <v>774</v>
      </c>
      <c r="B378" s="4" t="s">
        <v>775</v>
      </c>
      <c r="C378" s="5">
        <v>36130</v>
      </c>
      <c r="D378" s="6" t="s">
        <v>11</v>
      </c>
      <c r="E378" s="6" t="s">
        <v>12</v>
      </c>
      <c r="F378" s="7">
        <v>35907</v>
      </c>
      <c r="G378" s="8">
        <f t="shared" si="5"/>
        <v>35907</v>
      </c>
      <c r="H378" s="6" t="s">
        <v>776</v>
      </c>
      <c r="I378" s="9" t="s">
        <v>3380</v>
      </c>
      <c r="J378" s="10" t="s">
        <v>3380</v>
      </c>
      <c r="K378" s="17"/>
    </row>
    <row r="379" spans="1:11" ht="30" x14ac:dyDescent="0.25">
      <c r="A379" s="3" t="s">
        <v>777</v>
      </c>
      <c r="B379" s="4" t="s">
        <v>778</v>
      </c>
      <c r="C379" s="5">
        <v>53553</v>
      </c>
      <c r="D379" s="6" t="s">
        <v>28</v>
      </c>
      <c r="E379" s="6" t="s">
        <v>17</v>
      </c>
      <c r="F379" s="7">
        <v>39129</v>
      </c>
      <c r="G379" s="8">
        <f t="shared" si="5"/>
        <v>39129</v>
      </c>
      <c r="H379" s="6" t="s">
        <v>13</v>
      </c>
      <c r="I379" s="9" t="s">
        <v>3380</v>
      </c>
      <c r="J379" s="10" t="s">
        <v>3380</v>
      </c>
      <c r="K379" s="17"/>
    </row>
    <row r="380" spans="1:11" x14ac:dyDescent="0.25">
      <c r="A380" s="3" t="s">
        <v>779</v>
      </c>
      <c r="B380" s="4" t="s">
        <v>780</v>
      </c>
      <c r="C380" s="14">
        <v>14086</v>
      </c>
      <c r="D380" s="6" t="s">
        <v>34</v>
      </c>
      <c r="E380" s="6" t="s">
        <v>17</v>
      </c>
      <c r="F380" s="7">
        <v>38251</v>
      </c>
      <c r="G380" s="8">
        <f t="shared" si="5"/>
        <v>38251</v>
      </c>
      <c r="H380" s="6" t="s">
        <v>13</v>
      </c>
      <c r="I380" s="9" t="s">
        <v>3380</v>
      </c>
      <c r="J380" s="10" t="s">
        <v>3380</v>
      </c>
      <c r="K380" s="11"/>
    </row>
    <row r="381" spans="1:11" ht="30" x14ac:dyDescent="0.25">
      <c r="A381" s="3" t="s">
        <v>781</v>
      </c>
      <c r="B381" s="4" t="s">
        <v>782</v>
      </c>
      <c r="C381" s="14">
        <v>1547</v>
      </c>
      <c r="D381" s="6" t="s">
        <v>28</v>
      </c>
      <c r="E381" s="6" t="s">
        <v>17</v>
      </c>
      <c r="F381" s="7">
        <v>28185</v>
      </c>
      <c r="G381" s="8">
        <f t="shared" si="5"/>
        <v>28185</v>
      </c>
      <c r="H381" s="6" t="s">
        <v>13</v>
      </c>
      <c r="I381" s="9">
        <v>26000</v>
      </c>
      <c r="J381" s="10">
        <v>2000</v>
      </c>
      <c r="K381" s="17"/>
    </row>
    <row r="382" spans="1:11" ht="30" x14ac:dyDescent="0.25">
      <c r="A382" s="3" t="s">
        <v>783</v>
      </c>
      <c r="B382" s="4" t="s">
        <v>784</v>
      </c>
      <c r="C382" s="5">
        <v>1407</v>
      </c>
      <c r="D382" s="6" t="s">
        <v>34</v>
      </c>
      <c r="E382" s="6" t="s">
        <v>17</v>
      </c>
      <c r="F382" s="7">
        <v>32143</v>
      </c>
      <c r="G382" s="8">
        <f t="shared" si="5"/>
        <v>32143</v>
      </c>
      <c r="H382" s="6" t="s">
        <v>13</v>
      </c>
      <c r="I382" s="9" t="s">
        <v>3380</v>
      </c>
      <c r="J382" s="10" t="s">
        <v>3380</v>
      </c>
      <c r="K382" s="17"/>
    </row>
    <row r="383" spans="1:11" ht="30" x14ac:dyDescent="0.25">
      <c r="A383" s="3" t="s">
        <v>785</v>
      </c>
      <c r="B383" s="4" t="s">
        <v>786</v>
      </c>
      <c r="C383" s="5">
        <v>1599</v>
      </c>
      <c r="D383" s="6" t="s">
        <v>31</v>
      </c>
      <c r="E383" s="6" t="s">
        <v>17</v>
      </c>
      <c r="F383" s="7">
        <v>29221</v>
      </c>
      <c r="G383" s="8">
        <f t="shared" si="5"/>
        <v>29221</v>
      </c>
      <c r="H383" s="6" t="s">
        <v>13</v>
      </c>
      <c r="I383" s="9" t="s">
        <v>3380</v>
      </c>
      <c r="J383" s="10" t="s">
        <v>3380</v>
      </c>
      <c r="K383" s="17"/>
    </row>
    <row r="384" spans="1:11" ht="30" x14ac:dyDescent="0.25">
      <c r="A384" s="3" t="s">
        <v>787</v>
      </c>
      <c r="B384" s="4" t="s">
        <v>788</v>
      </c>
      <c r="C384" s="5">
        <v>1449</v>
      </c>
      <c r="D384" s="6" t="s">
        <v>11</v>
      </c>
      <c r="E384" s="6" t="s">
        <v>17</v>
      </c>
      <c r="F384" s="7">
        <v>35221</v>
      </c>
      <c r="G384" s="8">
        <f t="shared" si="5"/>
        <v>35221</v>
      </c>
      <c r="H384" s="6" t="s">
        <v>13</v>
      </c>
      <c r="I384" s="9" t="s">
        <v>3380</v>
      </c>
      <c r="J384" s="10" t="s">
        <v>3380</v>
      </c>
      <c r="K384" s="17"/>
    </row>
    <row r="385" spans="1:11" ht="30" x14ac:dyDescent="0.25">
      <c r="A385" s="3" t="s">
        <v>789</v>
      </c>
      <c r="B385" s="4" t="s">
        <v>790</v>
      </c>
      <c r="C385" s="5">
        <v>1265</v>
      </c>
      <c r="D385" s="6" t="s">
        <v>11</v>
      </c>
      <c r="E385" s="6" t="s">
        <v>17</v>
      </c>
      <c r="F385" s="7">
        <v>35796</v>
      </c>
      <c r="G385" s="8">
        <f t="shared" si="5"/>
        <v>35796</v>
      </c>
      <c r="H385" s="6" t="s">
        <v>13</v>
      </c>
      <c r="I385" s="9" t="s">
        <v>3380</v>
      </c>
      <c r="J385" s="10" t="s">
        <v>3380</v>
      </c>
      <c r="K385" s="17"/>
    </row>
    <row r="386" spans="1:11" ht="30" x14ac:dyDescent="0.25">
      <c r="A386" s="3" t="s">
        <v>791</v>
      </c>
      <c r="B386" s="4" t="s">
        <v>792</v>
      </c>
      <c r="C386" s="14">
        <v>10568</v>
      </c>
      <c r="D386" s="6" t="s">
        <v>11</v>
      </c>
      <c r="E386" s="6" t="s">
        <v>17</v>
      </c>
      <c r="F386" s="7">
        <v>37582</v>
      </c>
      <c r="G386" s="8">
        <f t="shared" ref="G386:G449" si="6">F386</f>
        <v>37582</v>
      </c>
      <c r="H386" s="6" t="s">
        <v>13</v>
      </c>
      <c r="I386" s="9" t="s">
        <v>3380</v>
      </c>
      <c r="J386" s="10" t="s">
        <v>3380</v>
      </c>
      <c r="K386" s="17"/>
    </row>
    <row r="387" spans="1:11" ht="30" x14ac:dyDescent="0.25">
      <c r="A387" s="3" t="s">
        <v>793</v>
      </c>
      <c r="B387" s="4" t="s">
        <v>794</v>
      </c>
      <c r="C387" s="5">
        <v>48785</v>
      </c>
      <c r="D387" s="6" t="s">
        <v>37</v>
      </c>
      <c r="E387" s="6" t="s">
        <v>38</v>
      </c>
      <c r="F387" s="7">
        <v>36304</v>
      </c>
      <c r="G387" s="8">
        <f t="shared" si="6"/>
        <v>36304</v>
      </c>
      <c r="H387" s="6" t="s">
        <v>39</v>
      </c>
      <c r="I387" s="9" t="s">
        <v>3380</v>
      </c>
      <c r="J387" s="10" t="s">
        <v>3380</v>
      </c>
      <c r="K387" s="17"/>
    </row>
    <row r="388" spans="1:11" ht="30" x14ac:dyDescent="0.25">
      <c r="A388" s="3" t="s">
        <v>795</v>
      </c>
      <c r="B388" s="4" t="s">
        <v>796</v>
      </c>
      <c r="C388" s="5">
        <v>1144</v>
      </c>
      <c r="D388" s="6" t="s">
        <v>34</v>
      </c>
      <c r="E388" s="6" t="s">
        <v>17</v>
      </c>
      <c r="F388" s="7">
        <v>25569</v>
      </c>
      <c r="G388" s="8">
        <f t="shared" si="6"/>
        <v>25569</v>
      </c>
      <c r="H388" s="6" t="s">
        <v>13</v>
      </c>
      <c r="I388" s="9" t="s">
        <v>3380</v>
      </c>
      <c r="J388" s="10" t="s">
        <v>3380</v>
      </c>
      <c r="K388" s="17"/>
    </row>
    <row r="389" spans="1:11" ht="30" x14ac:dyDescent="0.25">
      <c r="A389" s="3" t="s">
        <v>797</v>
      </c>
      <c r="B389" s="4" t="s">
        <v>798</v>
      </c>
      <c r="C389" s="5">
        <v>1620</v>
      </c>
      <c r="D389" s="6" t="s">
        <v>16</v>
      </c>
      <c r="E389" s="6" t="s">
        <v>17</v>
      </c>
      <c r="F389" s="7">
        <v>29354</v>
      </c>
      <c r="G389" s="8">
        <f t="shared" si="6"/>
        <v>29354</v>
      </c>
      <c r="H389" s="6" t="s">
        <v>13</v>
      </c>
      <c r="I389" s="9" t="s">
        <v>3380</v>
      </c>
      <c r="J389" s="10" t="s">
        <v>3380</v>
      </c>
      <c r="K389" s="17"/>
    </row>
    <row r="390" spans="1:11" ht="30" x14ac:dyDescent="0.25">
      <c r="A390" s="3" t="s">
        <v>799</v>
      </c>
      <c r="B390" s="4" t="s">
        <v>800</v>
      </c>
      <c r="C390" s="5">
        <v>1320</v>
      </c>
      <c r="D390" s="6" t="s">
        <v>16</v>
      </c>
      <c r="E390" s="6" t="s">
        <v>17</v>
      </c>
      <c r="F390" s="7">
        <v>32385</v>
      </c>
      <c r="G390" s="8">
        <f t="shared" si="6"/>
        <v>32385</v>
      </c>
      <c r="H390" s="6" t="s">
        <v>13</v>
      </c>
      <c r="I390" s="9" t="s">
        <v>3380</v>
      </c>
      <c r="J390" s="10" t="s">
        <v>3380</v>
      </c>
      <c r="K390" s="17"/>
    </row>
    <row r="391" spans="1:11" ht="30" x14ac:dyDescent="0.25">
      <c r="A391" s="3" t="s">
        <v>801</v>
      </c>
      <c r="B391" s="4" t="s">
        <v>802</v>
      </c>
      <c r="C391" s="5">
        <v>21454</v>
      </c>
      <c r="D391" s="6" t="s">
        <v>31</v>
      </c>
      <c r="E391" s="6" t="s">
        <v>17</v>
      </c>
      <c r="F391" s="7">
        <v>36004</v>
      </c>
      <c r="G391" s="8">
        <f t="shared" si="6"/>
        <v>36004</v>
      </c>
      <c r="H391" s="6" t="s">
        <v>13</v>
      </c>
      <c r="I391" s="9" t="s">
        <v>3380</v>
      </c>
      <c r="J391" s="10" t="s">
        <v>3380</v>
      </c>
      <c r="K391" s="17"/>
    </row>
    <row r="392" spans="1:11" ht="30" x14ac:dyDescent="0.25">
      <c r="A392" s="3" t="s">
        <v>803</v>
      </c>
      <c r="B392" s="4" t="s">
        <v>804</v>
      </c>
      <c r="C392" s="5">
        <v>12481</v>
      </c>
      <c r="D392" s="6" t="s">
        <v>34</v>
      </c>
      <c r="E392" s="6" t="s">
        <v>17</v>
      </c>
      <c r="F392" s="7">
        <v>34145</v>
      </c>
      <c r="G392" s="8">
        <f t="shared" si="6"/>
        <v>34145</v>
      </c>
      <c r="H392" s="6" t="s">
        <v>13</v>
      </c>
      <c r="I392" s="9" t="s">
        <v>3380</v>
      </c>
      <c r="J392" s="10" t="s">
        <v>3380</v>
      </c>
      <c r="K392" s="17"/>
    </row>
    <row r="393" spans="1:11" ht="30" x14ac:dyDescent="0.25">
      <c r="A393" s="3" t="s">
        <v>805</v>
      </c>
      <c r="B393" s="4" t="s">
        <v>806</v>
      </c>
      <c r="C393" s="5">
        <v>1945</v>
      </c>
      <c r="D393" s="6" t="s">
        <v>28</v>
      </c>
      <c r="E393" s="6" t="s">
        <v>17</v>
      </c>
      <c r="F393" s="7">
        <v>25569</v>
      </c>
      <c r="G393" s="8">
        <f t="shared" si="6"/>
        <v>25569</v>
      </c>
      <c r="H393" s="6" t="s">
        <v>13</v>
      </c>
      <c r="I393" s="9" t="s">
        <v>3380</v>
      </c>
      <c r="J393" s="10" t="s">
        <v>3380</v>
      </c>
      <c r="K393" s="17"/>
    </row>
    <row r="394" spans="1:11" ht="30" x14ac:dyDescent="0.25">
      <c r="A394" s="3" t="s">
        <v>807</v>
      </c>
      <c r="B394" s="4" t="s">
        <v>808</v>
      </c>
      <c r="C394" s="5">
        <v>13449</v>
      </c>
      <c r="D394" s="6" t="s">
        <v>28</v>
      </c>
      <c r="E394" s="6" t="s">
        <v>17</v>
      </c>
      <c r="F394" s="7">
        <v>38020</v>
      </c>
      <c r="G394" s="8">
        <f t="shared" si="6"/>
        <v>38020</v>
      </c>
      <c r="H394" s="6" t="s">
        <v>13</v>
      </c>
      <c r="I394" s="9" t="s">
        <v>3380</v>
      </c>
      <c r="J394" s="10" t="s">
        <v>3380</v>
      </c>
      <c r="K394" s="17"/>
    </row>
    <row r="395" spans="1:11" ht="30" x14ac:dyDescent="0.25">
      <c r="A395" s="3" t="s">
        <v>809</v>
      </c>
      <c r="B395" s="4" t="s">
        <v>810</v>
      </c>
      <c r="C395" s="14">
        <v>19214</v>
      </c>
      <c r="D395" s="6" t="s">
        <v>16</v>
      </c>
      <c r="E395" s="6" t="s">
        <v>17</v>
      </c>
      <c r="F395" s="7">
        <v>33641</v>
      </c>
      <c r="G395" s="8">
        <f t="shared" si="6"/>
        <v>33641</v>
      </c>
      <c r="H395" s="6" t="s">
        <v>13</v>
      </c>
      <c r="I395" s="9" t="s">
        <v>3380</v>
      </c>
      <c r="J395" s="10" t="s">
        <v>3380</v>
      </c>
      <c r="K395" s="17"/>
    </row>
    <row r="396" spans="1:11" ht="30" x14ac:dyDescent="0.25">
      <c r="A396" s="3" t="s">
        <v>811</v>
      </c>
      <c r="B396" s="4" t="s">
        <v>812</v>
      </c>
      <c r="C396" s="5">
        <v>18891</v>
      </c>
      <c r="D396" s="6" t="s">
        <v>28</v>
      </c>
      <c r="E396" s="6" t="s">
        <v>17</v>
      </c>
      <c r="F396" s="7">
        <v>38482</v>
      </c>
      <c r="G396" s="8">
        <f t="shared" si="6"/>
        <v>38482</v>
      </c>
      <c r="H396" s="6" t="s">
        <v>13</v>
      </c>
      <c r="I396" s="9" t="s">
        <v>3380</v>
      </c>
      <c r="J396" s="10" t="s">
        <v>3380</v>
      </c>
      <c r="K396" s="17"/>
    </row>
    <row r="397" spans="1:11" ht="30" x14ac:dyDescent="0.25">
      <c r="A397" s="3" t="s">
        <v>813</v>
      </c>
      <c r="B397" s="4" t="s">
        <v>814</v>
      </c>
      <c r="C397" s="5">
        <v>1904</v>
      </c>
      <c r="D397" s="6" t="s">
        <v>34</v>
      </c>
      <c r="E397" s="6" t="s">
        <v>17</v>
      </c>
      <c r="F397" s="7">
        <v>23874</v>
      </c>
      <c r="G397" s="8">
        <f t="shared" si="6"/>
        <v>23874</v>
      </c>
      <c r="H397" s="6" t="s">
        <v>13</v>
      </c>
      <c r="I397" s="9" t="s">
        <v>3380</v>
      </c>
      <c r="J397" s="10" t="s">
        <v>3380</v>
      </c>
      <c r="K397" s="17"/>
    </row>
    <row r="398" spans="1:11" ht="30" x14ac:dyDescent="0.25">
      <c r="A398" s="3" t="s">
        <v>815</v>
      </c>
      <c r="B398" s="4" t="s">
        <v>816</v>
      </c>
      <c r="C398" s="14">
        <v>18561</v>
      </c>
      <c r="D398" s="6" t="s">
        <v>16</v>
      </c>
      <c r="E398" s="6" t="s">
        <v>17</v>
      </c>
      <c r="F398" s="7">
        <v>32188</v>
      </c>
      <c r="G398" s="8">
        <f t="shared" si="6"/>
        <v>32188</v>
      </c>
      <c r="H398" s="6" t="s">
        <v>13</v>
      </c>
      <c r="I398" s="9" t="s">
        <v>3380</v>
      </c>
      <c r="J398" s="10" t="s">
        <v>3380</v>
      </c>
      <c r="K398" s="17"/>
    </row>
    <row r="399" spans="1:11" ht="30" x14ac:dyDescent="0.25">
      <c r="A399" s="3" t="s">
        <v>817</v>
      </c>
      <c r="B399" s="4" t="s">
        <v>818</v>
      </c>
      <c r="C399" s="14">
        <v>17612</v>
      </c>
      <c r="D399" s="6" t="s">
        <v>16</v>
      </c>
      <c r="E399" s="6" t="s">
        <v>17</v>
      </c>
      <c r="F399" s="7">
        <v>32318</v>
      </c>
      <c r="G399" s="8">
        <f t="shared" si="6"/>
        <v>32318</v>
      </c>
      <c r="H399" s="6" t="s">
        <v>13</v>
      </c>
      <c r="I399" s="9" t="s">
        <v>3380</v>
      </c>
      <c r="J399" s="10" t="s">
        <v>3380</v>
      </c>
      <c r="K399" s="17"/>
    </row>
    <row r="400" spans="1:11" ht="30" x14ac:dyDescent="0.25">
      <c r="A400" s="3" t="s">
        <v>819</v>
      </c>
      <c r="B400" s="4" t="s">
        <v>820</v>
      </c>
      <c r="C400" s="5">
        <v>72119</v>
      </c>
      <c r="D400" s="6" t="s">
        <v>31</v>
      </c>
      <c r="E400" s="6" t="s">
        <v>17</v>
      </c>
      <c r="F400" s="7">
        <v>38873</v>
      </c>
      <c r="G400" s="8">
        <f t="shared" si="6"/>
        <v>38873</v>
      </c>
      <c r="H400" s="6" t="s">
        <v>13</v>
      </c>
      <c r="I400" s="9" t="s">
        <v>3380</v>
      </c>
      <c r="J400" s="10" t="s">
        <v>3380</v>
      </c>
      <c r="K400" s="17"/>
    </row>
    <row r="401" spans="1:11" ht="30" x14ac:dyDescent="0.25">
      <c r="A401" s="3" t="s">
        <v>821</v>
      </c>
      <c r="B401" s="4" t="s">
        <v>822</v>
      </c>
      <c r="C401" s="14">
        <v>1802</v>
      </c>
      <c r="D401" s="6" t="s">
        <v>31</v>
      </c>
      <c r="E401" s="6" t="s">
        <v>17</v>
      </c>
      <c r="F401" s="7">
        <v>29952</v>
      </c>
      <c r="G401" s="8">
        <f t="shared" si="6"/>
        <v>29952</v>
      </c>
      <c r="H401" s="6" t="s">
        <v>13</v>
      </c>
      <c r="I401" s="9" t="s">
        <v>3380</v>
      </c>
      <c r="J401" s="10" t="s">
        <v>3380</v>
      </c>
      <c r="K401" s="17"/>
    </row>
    <row r="402" spans="1:11" ht="30" x14ac:dyDescent="0.25">
      <c r="A402" s="3" t="s">
        <v>823</v>
      </c>
      <c r="B402" s="4" t="s">
        <v>824</v>
      </c>
      <c r="C402" s="5">
        <v>17294</v>
      </c>
      <c r="D402" s="6" t="s">
        <v>31</v>
      </c>
      <c r="E402" s="6" t="s">
        <v>17</v>
      </c>
      <c r="F402" s="7">
        <v>32154</v>
      </c>
      <c r="G402" s="8">
        <f t="shared" si="6"/>
        <v>32154</v>
      </c>
      <c r="H402" s="6" t="s">
        <v>13</v>
      </c>
      <c r="I402" s="9" t="s">
        <v>3380</v>
      </c>
      <c r="J402" s="10" t="s">
        <v>3380</v>
      </c>
      <c r="K402" s="17"/>
    </row>
    <row r="403" spans="1:11" x14ac:dyDescent="0.25">
      <c r="A403" s="18" t="s">
        <v>825</v>
      </c>
      <c r="B403" s="19" t="s">
        <v>826</v>
      </c>
      <c r="C403" s="5">
        <v>45857</v>
      </c>
      <c r="D403" s="21" t="s">
        <v>31</v>
      </c>
      <c r="E403" s="21" t="s">
        <v>17</v>
      </c>
      <c r="F403" s="22">
        <v>31786</v>
      </c>
      <c r="G403" s="23">
        <f t="shared" si="6"/>
        <v>31786</v>
      </c>
      <c r="H403" s="21" t="s">
        <v>13</v>
      </c>
      <c r="I403" s="9">
        <v>1259000</v>
      </c>
      <c r="J403" s="10">
        <v>2500</v>
      </c>
      <c r="K403" s="25"/>
    </row>
    <row r="404" spans="1:11" ht="30" x14ac:dyDescent="0.25">
      <c r="A404" s="3" t="s">
        <v>827</v>
      </c>
      <c r="B404" s="4" t="s">
        <v>828</v>
      </c>
      <c r="C404" s="5">
        <v>20484</v>
      </c>
      <c r="D404" s="6" t="s">
        <v>31</v>
      </c>
      <c r="E404" s="6" t="s">
        <v>17</v>
      </c>
      <c r="F404" s="7">
        <v>31653</v>
      </c>
      <c r="G404" s="8">
        <f t="shared" si="6"/>
        <v>31653</v>
      </c>
      <c r="H404" s="6" t="s">
        <v>13</v>
      </c>
      <c r="I404" s="9" t="s">
        <v>3380</v>
      </c>
      <c r="J404" s="10" t="s">
        <v>3380</v>
      </c>
      <c r="K404" s="17"/>
    </row>
    <row r="405" spans="1:11" ht="30" x14ac:dyDescent="0.25">
      <c r="A405" s="3" t="s">
        <v>829</v>
      </c>
      <c r="B405" s="4" t="s">
        <v>830</v>
      </c>
      <c r="C405" s="5">
        <v>14724</v>
      </c>
      <c r="D405" s="6" t="s">
        <v>31</v>
      </c>
      <c r="E405" s="6" t="s">
        <v>17</v>
      </c>
      <c r="F405" s="7">
        <v>32954</v>
      </c>
      <c r="G405" s="8">
        <f t="shared" si="6"/>
        <v>32954</v>
      </c>
      <c r="H405" s="6" t="s">
        <v>13</v>
      </c>
      <c r="I405" s="9" t="s">
        <v>3380</v>
      </c>
      <c r="J405" s="10" t="s">
        <v>3380</v>
      </c>
      <c r="K405" s="17"/>
    </row>
    <row r="406" spans="1:11" ht="30" x14ac:dyDescent="0.25">
      <c r="A406" s="3" t="s">
        <v>831</v>
      </c>
      <c r="B406" s="4" t="s">
        <v>832</v>
      </c>
      <c r="C406" s="5">
        <v>1978</v>
      </c>
      <c r="D406" s="6" t="s">
        <v>31</v>
      </c>
      <c r="E406" s="6" t="s">
        <v>17</v>
      </c>
      <c r="F406" s="7">
        <v>29221</v>
      </c>
      <c r="G406" s="8">
        <f t="shared" si="6"/>
        <v>29221</v>
      </c>
      <c r="H406" s="6" t="s">
        <v>13</v>
      </c>
      <c r="I406" s="9" t="s">
        <v>3380</v>
      </c>
      <c r="J406" s="10" t="s">
        <v>3380</v>
      </c>
      <c r="K406" s="17"/>
    </row>
    <row r="407" spans="1:11" ht="30" x14ac:dyDescent="0.25">
      <c r="A407" s="3" t="s">
        <v>833</v>
      </c>
      <c r="B407" s="4" t="s">
        <v>834</v>
      </c>
      <c r="C407" s="5">
        <v>54545</v>
      </c>
      <c r="D407" s="6" t="s">
        <v>31</v>
      </c>
      <c r="E407" s="6" t="s">
        <v>17</v>
      </c>
      <c r="F407" s="7">
        <v>39143</v>
      </c>
      <c r="G407" s="8">
        <f t="shared" si="6"/>
        <v>39143</v>
      </c>
      <c r="H407" s="6" t="s">
        <v>13</v>
      </c>
      <c r="I407" s="9" t="s">
        <v>3380</v>
      </c>
      <c r="J407" s="10" t="s">
        <v>3380</v>
      </c>
      <c r="K407" s="17"/>
    </row>
    <row r="408" spans="1:11" ht="30" x14ac:dyDescent="0.25">
      <c r="A408" s="3" t="s">
        <v>835</v>
      </c>
      <c r="B408" s="4" t="s">
        <v>836</v>
      </c>
      <c r="C408" s="5">
        <v>14727</v>
      </c>
      <c r="D408" s="6" t="s">
        <v>31</v>
      </c>
      <c r="E408" s="6" t="s">
        <v>17</v>
      </c>
      <c r="F408" s="7">
        <v>33695</v>
      </c>
      <c r="G408" s="8">
        <f t="shared" si="6"/>
        <v>33695</v>
      </c>
      <c r="H408" s="6" t="s">
        <v>13</v>
      </c>
      <c r="I408" s="9" t="s">
        <v>3380</v>
      </c>
      <c r="J408" s="10" t="s">
        <v>3380</v>
      </c>
      <c r="K408" s="17"/>
    </row>
    <row r="409" spans="1:11" ht="30" x14ac:dyDescent="0.25">
      <c r="A409" s="12" t="s">
        <v>837</v>
      </c>
      <c r="B409" s="4" t="s">
        <v>838</v>
      </c>
      <c r="C409" s="5">
        <v>1260</v>
      </c>
      <c r="D409" s="6" t="s">
        <v>28</v>
      </c>
      <c r="E409" s="6" t="s">
        <v>17</v>
      </c>
      <c r="F409" s="7">
        <v>39639</v>
      </c>
      <c r="G409" s="8">
        <f t="shared" si="6"/>
        <v>39639</v>
      </c>
      <c r="H409" s="6" t="s">
        <v>13</v>
      </c>
      <c r="I409" s="9">
        <v>1710842.0799999998</v>
      </c>
      <c r="J409" s="10">
        <v>4600</v>
      </c>
      <c r="K409" s="17"/>
    </row>
    <row r="410" spans="1:11" ht="30" x14ac:dyDescent="0.25">
      <c r="A410" s="3" t="s">
        <v>839</v>
      </c>
      <c r="B410" s="4" t="s">
        <v>840</v>
      </c>
      <c r="C410" s="5">
        <v>1900</v>
      </c>
      <c r="D410" s="6" t="s">
        <v>31</v>
      </c>
      <c r="E410" s="6" t="s">
        <v>17</v>
      </c>
      <c r="F410" s="7">
        <v>35065</v>
      </c>
      <c r="G410" s="8">
        <f t="shared" si="6"/>
        <v>35065</v>
      </c>
      <c r="H410" s="6" t="s">
        <v>13</v>
      </c>
      <c r="I410" s="9" t="s">
        <v>3380</v>
      </c>
      <c r="J410" s="10" t="s">
        <v>3380</v>
      </c>
      <c r="K410" s="17"/>
    </row>
    <row r="411" spans="1:11" ht="30" x14ac:dyDescent="0.25">
      <c r="A411" s="3" t="s">
        <v>841</v>
      </c>
      <c r="B411" s="4" t="s">
        <v>842</v>
      </c>
      <c r="C411" s="14">
        <v>26897</v>
      </c>
      <c r="D411" s="6" t="s">
        <v>11</v>
      </c>
      <c r="E411" s="6" t="s">
        <v>12</v>
      </c>
      <c r="F411" s="7">
        <v>41313</v>
      </c>
      <c r="G411" s="8">
        <f t="shared" si="6"/>
        <v>41313</v>
      </c>
      <c r="H411" s="6" t="s">
        <v>39</v>
      </c>
      <c r="I411" s="9" t="s">
        <v>3380</v>
      </c>
      <c r="J411" s="10" t="s">
        <v>3380</v>
      </c>
      <c r="K411" s="17"/>
    </row>
    <row r="412" spans="1:11" ht="30" x14ac:dyDescent="0.25">
      <c r="A412" s="3" t="s">
        <v>843</v>
      </c>
      <c r="B412" s="4" t="s">
        <v>844</v>
      </c>
      <c r="C412" s="14">
        <v>1307</v>
      </c>
      <c r="D412" s="6" t="s">
        <v>16</v>
      </c>
      <c r="E412" s="6" t="s">
        <v>17</v>
      </c>
      <c r="F412" s="7">
        <v>29221</v>
      </c>
      <c r="G412" s="8">
        <f t="shared" si="6"/>
        <v>29221</v>
      </c>
      <c r="H412" s="6" t="s">
        <v>13</v>
      </c>
      <c r="I412" s="9" t="s">
        <v>3380</v>
      </c>
      <c r="J412" s="10" t="s">
        <v>3380</v>
      </c>
      <c r="K412" s="17"/>
    </row>
    <row r="413" spans="1:11" ht="30" x14ac:dyDescent="0.25">
      <c r="A413" s="3" t="s">
        <v>845</v>
      </c>
      <c r="B413" s="4" t="s">
        <v>846</v>
      </c>
      <c r="C413" s="14">
        <v>16653</v>
      </c>
      <c r="D413" s="6" t="s">
        <v>16</v>
      </c>
      <c r="E413" s="6" t="s">
        <v>17</v>
      </c>
      <c r="F413" s="7">
        <v>38133</v>
      </c>
      <c r="G413" s="8">
        <f t="shared" si="6"/>
        <v>38133</v>
      </c>
      <c r="H413" s="6" t="s">
        <v>13</v>
      </c>
      <c r="I413" s="9">
        <v>487768.39999999997</v>
      </c>
      <c r="J413" s="10">
        <v>2000</v>
      </c>
      <c r="K413" s="17"/>
    </row>
    <row r="414" spans="1:11" ht="30" x14ac:dyDescent="0.25">
      <c r="A414" s="3" t="s">
        <v>847</v>
      </c>
      <c r="B414" s="4" t="s">
        <v>848</v>
      </c>
      <c r="C414" s="5">
        <v>17296</v>
      </c>
      <c r="D414" s="6" t="s">
        <v>16</v>
      </c>
      <c r="E414" s="6" t="s">
        <v>17</v>
      </c>
      <c r="F414" s="7">
        <v>38363</v>
      </c>
      <c r="G414" s="8">
        <f t="shared" si="6"/>
        <v>38363</v>
      </c>
      <c r="H414" s="6" t="s">
        <v>13</v>
      </c>
      <c r="I414" s="9" t="s">
        <v>3380</v>
      </c>
      <c r="J414" s="10" t="s">
        <v>3380</v>
      </c>
      <c r="K414" s="17"/>
    </row>
    <row r="415" spans="1:11" ht="30" x14ac:dyDescent="0.25">
      <c r="A415" s="3" t="s">
        <v>849</v>
      </c>
      <c r="B415" s="4" t="s">
        <v>850</v>
      </c>
      <c r="C415" s="5">
        <v>54547</v>
      </c>
      <c r="D415" s="6" t="s">
        <v>16</v>
      </c>
      <c r="E415" s="6" t="s">
        <v>17</v>
      </c>
      <c r="F415" s="7">
        <v>38287</v>
      </c>
      <c r="G415" s="8">
        <f t="shared" si="6"/>
        <v>38287</v>
      </c>
      <c r="H415" s="6" t="s">
        <v>13</v>
      </c>
      <c r="I415" s="9" t="s">
        <v>3380</v>
      </c>
      <c r="J415" s="10" t="s">
        <v>3380</v>
      </c>
      <c r="K415" s="17"/>
    </row>
    <row r="416" spans="1:11" ht="30" x14ac:dyDescent="0.25">
      <c r="A416" s="3" t="s">
        <v>851</v>
      </c>
      <c r="B416" s="4" t="s">
        <v>852</v>
      </c>
      <c r="C416" s="5">
        <v>1421</v>
      </c>
      <c r="D416" s="6" t="s">
        <v>31</v>
      </c>
      <c r="E416" s="6" t="s">
        <v>17</v>
      </c>
      <c r="F416" s="7">
        <v>25569</v>
      </c>
      <c r="G416" s="8">
        <f t="shared" si="6"/>
        <v>25569</v>
      </c>
      <c r="H416" s="6" t="s">
        <v>13</v>
      </c>
      <c r="I416" s="9" t="s">
        <v>3380</v>
      </c>
      <c r="J416" s="10" t="s">
        <v>3380</v>
      </c>
      <c r="K416" s="17"/>
    </row>
    <row r="417" spans="1:11" ht="30" x14ac:dyDescent="0.25">
      <c r="A417" s="3" t="s">
        <v>853</v>
      </c>
      <c r="B417" s="4" t="s">
        <v>854</v>
      </c>
      <c r="C417" s="5">
        <v>54546</v>
      </c>
      <c r="D417" s="6" t="s">
        <v>31</v>
      </c>
      <c r="E417" s="6" t="s">
        <v>17</v>
      </c>
      <c r="F417" s="7">
        <v>38898</v>
      </c>
      <c r="G417" s="8">
        <f t="shared" si="6"/>
        <v>38898</v>
      </c>
      <c r="H417" s="6" t="s">
        <v>13</v>
      </c>
      <c r="I417" s="9" t="s">
        <v>3380</v>
      </c>
      <c r="J417" s="10" t="s">
        <v>3380</v>
      </c>
      <c r="K417" s="17"/>
    </row>
    <row r="418" spans="1:11" ht="30" x14ac:dyDescent="0.25">
      <c r="A418" s="3" t="s">
        <v>855</v>
      </c>
      <c r="B418" s="4" t="s">
        <v>856</v>
      </c>
      <c r="C418" s="5">
        <v>18567</v>
      </c>
      <c r="D418" s="6" t="s">
        <v>34</v>
      </c>
      <c r="E418" s="6" t="s">
        <v>17</v>
      </c>
      <c r="F418" s="7">
        <v>38894</v>
      </c>
      <c r="G418" s="8">
        <f t="shared" si="6"/>
        <v>38894</v>
      </c>
      <c r="H418" s="6" t="s">
        <v>13</v>
      </c>
      <c r="I418" s="9" t="s">
        <v>3380</v>
      </c>
      <c r="J418" s="10" t="s">
        <v>3380</v>
      </c>
      <c r="K418" s="17"/>
    </row>
    <row r="419" spans="1:11" ht="30" x14ac:dyDescent="0.25">
      <c r="A419" s="3" t="s">
        <v>857</v>
      </c>
      <c r="B419" s="4" t="s">
        <v>858</v>
      </c>
      <c r="C419" s="5">
        <v>1282</v>
      </c>
      <c r="D419" s="6" t="s">
        <v>34</v>
      </c>
      <c r="E419" s="6" t="s">
        <v>17</v>
      </c>
      <c r="F419" s="7">
        <v>29221</v>
      </c>
      <c r="G419" s="8">
        <f t="shared" si="6"/>
        <v>29221</v>
      </c>
      <c r="H419" s="6" t="s">
        <v>13</v>
      </c>
      <c r="I419" s="9" t="s">
        <v>3380</v>
      </c>
      <c r="J419" s="10" t="s">
        <v>3380</v>
      </c>
      <c r="K419" s="17"/>
    </row>
    <row r="420" spans="1:11" ht="30" x14ac:dyDescent="0.25">
      <c r="A420" s="3" t="s">
        <v>859</v>
      </c>
      <c r="B420" s="4" t="s">
        <v>860</v>
      </c>
      <c r="C420" s="5">
        <v>54548</v>
      </c>
      <c r="D420" s="6" t="s">
        <v>16</v>
      </c>
      <c r="E420" s="6" t="s">
        <v>17</v>
      </c>
      <c r="F420" s="7">
        <v>32953</v>
      </c>
      <c r="G420" s="8">
        <f t="shared" si="6"/>
        <v>32953</v>
      </c>
      <c r="H420" s="6" t="s">
        <v>13</v>
      </c>
      <c r="I420" s="9" t="s">
        <v>3380</v>
      </c>
      <c r="J420" s="10" t="s">
        <v>3380</v>
      </c>
      <c r="K420" s="17"/>
    </row>
    <row r="421" spans="1:11" ht="30" x14ac:dyDescent="0.25">
      <c r="A421" s="3" t="s">
        <v>861</v>
      </c>
      <c r="B421" s="4" t="s">
        <v>862</v>
      </c>
      <c r="C421" s="5">
        <v>37489</v>
      </c>
      <c r="D421" s="6" t="s">
        <v>37</v>
      </c>
      <c r="E421" s="6" t="s">
        <v>38</v>
      </c>
      <c r="F421" s="7">
        <v>29074</v>
      </c>
      <c r="G421" s="8">
        <f t="shared" si="6"/>
        <v>29074</v>
      </c>
      <c r="H421" s="6" t="s">
        <v>39</v>
      </c>
      <c r="I421" s="9" t="s">
        <v>3380</v>
      </c>
      <c r="J421" s="10" t="s">
        <v>3380</v>
      </c>
      <c r="K421" s="17"/>
    </row>
    <row r="422" spans="1:11" ht="30" x14ac:dyDescent="0.25">
      <c r="A422" s="3" t="s">
        <v>863</v>
      </c>
      <c r="B422" s="4" t="s">
        <v>864</v>
      </c>
      <c r="C422" s="5">
        <v>72127</v>
      </c>
      <c r="D422" s="6" t="s">
        <v>28</v>
      </c>
      <c r="E422" s="6" t="s">
        <v>17</v>
      </c>
      <c r="F422" s="7">
        <v>39209</v>
      </c>
      <c r="G422" s="8">
        <f t="shared" si="6"/>
        <v>39209</v>
      </c>
      <c r="H422" s="6" t="s">
        <v>13</v>
      </c>
      <c r="I422" s="9" t="s">
        <v>3380</v>
      </c>
      <c r="J422" s="10" t="s">
        <v>3380</v>
      </c>
      <c r="K422" s="17"/>
    </row>
    <row r="423" spans="1:11" ht="30" x14ac:dyDescent="0.25">
      <c r="A423" s="3" t="s">
        <v>865</v>
      </c>
      <c r="B423" s="4" t="s">
        <v>866</v>
      </c>
      <c r="C423" s="5">
        <v>1345</v>
      </c>
      <c r="D423" s="6" t="s">
        <v>31</v>
      </c>
      <c r="E423" s="6" t="s">
        <v>17</v>
      </c>
      <c r="F423" s="7">
        <v>29615</v>
      </c>
      <c r="G423" s="8">
        <f t="shared" si="6"/>
        <v>29615</v>
      </c>
      <c r="H423" s="6" t="s">
        <v>13</v>
      </c>
      <c r="I423" s="9" t="s">
        <v>3380</v>
      </c>
      <c r="J423" s="10" t="s">
        <v>3380</v>
      </c>
      <c r="K423" s="17"/>
    </row>
    <row r="424" spans="1:11" ht="30" x14ac:dyDescent="0.25">
      <c r="A424" s="3" t="s">
        <v>867</v>
      </c>
      <c r="B424" s="4" t="s">
        <v>868</v>
      </c>
      <c r="C424" s="5">
        <v>1488</v>
      </c>
      <c r="D424" s="6" t="s">
        <v>34</v>
      </c>
      <c r="E424" s="6" t="s">
        <v>17</v>
      </c>
      <c r="F424" s="7">
        <v>35431</v>
      </c>
      <c r="G424" s="8">
        <f t="shared" si="6"/>
        <v>35431</v>
      </c>
      <c r="H424" s="6" t="s">
        <v>13</v>
      </c>
      <c r="I424" s="9" t="s">
        <v>3380</v>
      </c>
      <c r="J424" s="10" t="s">
        <v>3380</v>
      </c>
      <c r="K424" s="17"/>
    </row>
    <row r="425" spans="1:11" ht="30" x14ac:dyDescent="0.25">
      <c r="A425" s="3" t="s">
        <v>869</v>
      </c>
      <c r="B425" s="4" t="s">
        <v>870</v>
      </c>
      <c r="C425" s="14">
        <v>13442</v>
      </c>
      <c r="D425" s="6" t="s">
        <v>11</v>
      </c>
      <c r="E425" s="6" t="s">
        <v>17</v>
      </c>
      <c r="F425" s="7">
        <v>37945</v>
      </c>
      <c r="G425" s="8">
        <f t="shared" si="6"/>
        <v>37945</v>
      </c>
      <c r="H425" s="6" t="s">
        <v>13</v>
      </c>
      <c r="I425" s="9">
        <v>278469.85000000003</v>
      </c>
      <c r="J425" s="10">
        <v>1100</v>
      </c>
      <c r="K425" s="17"/>
    </row>
    <row r="426" spans="1:11" ht="30" x14ac:dyDescent="0.25">
      <c r="A426" s="3" t="s">
        <v>871</v>
      </c>
      <c r="B426" s="4" t="s">
        <v>872</v>
      </c>
      <c r="C426" s="5">
        <v>34177</v>
      </c>
      <c r="D426" s="6" t="s">
        <v>31</v>
      </c>
      <c r="E426" s="6" t="s">
        <v>17</v>
      </c>
      <c r="F426" s="7">
        <v>31199</v>
      </c>
      <c r="G426" s="8">
        <f t="shared" si="6"/>
        <v>31199</v>
      </c>
      <c r="H426" s="6" t="s">
        <v>13</v>
      </c>
      <c r="I426" s="9" t="s">
        <v>3380</v>
      </c>
      <c r="J426" s="10" t="s">
        <v>3380</v>
      </c>
      <c r="K426" s="17"/>
    </row>
    <row r="427" spans="1:11" ht="30" x14ac:dyDescent="0.25">
      <c r="A427" s="3" t="s">
        <v>873</v>
      </c>
      <c r="B427" s="4" t="s">
        <v>874</v>
      </c>
      <c r="C427" s="5">
        <v>1633</v>
      </c>
      <c r="D427" s="6" t="s">
        <v>31</v>
      </c>
      <c r="E427" s="6" t="s">
        <v>17</v>
      </c>
      <c r="F427" s="7">
        <v>29221</v>
      </c>
      <c r="G427" s="8">
        <f t="shared" si="6"/>
        <v>29221</v>
      </c>
      <c r="H427" s="6" t="s">
        <v>13</v>
      </c>
      <c r="I427" s="9" t="s">
        <v>3380</v>
      </c>
      <c r="J427" s="10" t="s">
        <v>3380</v>
      </c>
      <c r="K427" s="17"/>
    </row>
    <row r="428" spans="1:11" ht="30" x14ac:dyDescent="0.25">
      <c r="A428" s="3" t="s">
        <v>875</v>
      </c>
      <c r="B428" s="4" t="s">
        <v>876</v>
      </c>
      <c r="C428" s="5">
        <v>10573</v>
      </c>
      <c r="D428" s="6" t="s">
        <v>34</v>
      </c>
      <c r="E428" s="6" t="s">
        <v>17</v>
      </c>
      <c r="F428" s="7">
        <v>37468</v>
      </c>
      <c r="G428" s="8">
        <f t="shared" si="6"/>
        <v>37468</v>
      </c>
      <c r="H428" s="6" t="s">
        <v>13</v>
      </c>
      <c r="I428" s="9" t="s">
        <v>3380</v>
      </c>
      <c r="J428" s="10" t="s">
        <v>3380</v>
      </c>
      <c r="K428" s="17"/>
    </row>
    <row r="429" spans="1:11" ht="30" x14ac:dyDescent="0.25">
      <c r="A429" s="3" t="s">
        <v>877</v>
      </c>
      <c r="B429" s="4" t="s">
        <v>878</v>
      </c>
      <c r="C429" s="5">
        <v>1609</v>
      </c>
      <c r="D429" s="6" t="s">
        <v>31</v>
      </c>
      <c r="E429" s="6" t="s">
        <v>17</v>
      </c>
      <c r="F429" s="7">
        <v>29952</v>
      </c>
      <c r="G429" s="8">
        <f t="shared" si="6"/>
        <v>29952</v>
      </c>
      <c r="H429" s="6" t="s">
        <v>13</v>
      </c>
      <c r="I429" s="9">
        <v>119437.72</v>
      </c>
      <c r="J429" s="10">
        <v>1200</v>
      </c>
      <c r="K429" s="17"/>
    </row>
    <row r="430" spans="1:11" ht="30" x14ac:dyDescent="0.25">
      <c r="A430" s="3" t="s">
        <v>879</v>
      </c>
      <c r="B430" s="4" t="s">
        <v>880</v>
      </c>
      <c r="C430" s="5">
        <v>41649</v>
      </c>
      <c r="D430" s="6" t="s">
        <v>28</v>
      </c>
      <c r="E430" s="6" t="s">
        <v>17</v>
      </c>
      <c r="F430" s="7">
        <v>38422</v>
      </c>
      <c r="G430" s="8">
        <f t="shared" si="6"/>
        <v>38422</v>
      </c>
      <c r="H430" s="6" t="s">
        <v>13</v>
      </c>
      <c r="I430" s="9" t="s">
        <v>3380</v>
      </c>
      <c r="J430" s="10" t="s">
        <v>3380</v>
      </c>
      <c r="K430" s="17"/>
    </row>
    <row r="431" spans="1:11" ht="30" x14ac:dyDescent="0.25">
      <c r="A431" s="3" t="s">
        <v>881</v>
      </c>
      <c r="B431" s="4" t="s">
        <v>882</v>
      </c>
      <c r="C431" s="5">
        <v>19204</v>
      </c>
      <c r="D431" s="6" t="s">
        <v>31</v>
      </c>
      <c r="E431" s="6" t="s">
        <v>17</v>
      </c>
      <c r="F431" s="7">
        <v>38509</v>
      </c>
      <c r="G431" s="8">
        <f t="shared" si="6"/>
        <v>38509</v>
      </c>
      <c r="H431" s="6" t="s">
        <v>13</v>
      </c>
      <c r="I431" s="9" t="s">
        <v>3380</v>
      </c>
      <c r="J431" s="10" t="s">
        <v>3380</v>
      </c>
      <c r="K431" s="17"/>
    </row>
    <row r="432" spans="1:11" ht="30" x14ac:dyDescent="0.25">
      <c r="A432" s="3" t="s">
        <v>883</v>
      </c>
      <c r="B432" s="4" t="s">
        <v>884</v>
      </c>
      <c r="C432" s="14">
        <v>20171</v>
      </c>
      <c r="D432" s="6" t="s">
        <v>31</v>
      </c>
      <c r="E432" s="6" t="s">
        <v>17</v>
      </c>
      <c r="F432" s="7">
        <v>38568</v>
      </c>
      <c r="G432" s="8">
        <f t="shared" si="6"/>
        <v>38568</v>
      </c>
      <c r="H432" s="6" t="s">
        <v>13</v>
      </c>
      <c r="I432" s="9" t="s">
        <v>3380</v>
      </c>
      <c r="J432" s="10" t="s">
        <v>3380</v>
      </c>
      <c r="K432" s="17"/>
    </row>
    <row r="433" spans="1:11" ht="30" x14ac:dyDescent="0.25">
      <c r="A433" s="3" t="s">
        <v>885</v>
      </c>
      <c r="B433" s="4" t="s">
        <v>886</v>
      </c>
      <c r="C433" s="5">
        <v>55185</v>
      </c>
      <c r="D433" s="6" t="s">
        <v>28</v>
      </c>
      <c r="E433" s="6" t="s">
        <v>17</v>
      </c>
      <c r="F433" s="7">
        <v>38917</v>
      </c>
      <c r="G433" s="8">
        <f t="shared" si="6"/>
        <v>38917</v>
      </c>
      <c r="H433" s="6" t="s">
        <v>13</v>
      </c>
      <c r="I433" s="9" t="s">
        <v>3380</v>
      </c>
      <c r="J433" s="10" t="s">
        <v>3380</v>
      </c>
      <c r="K433" s="17"/>
    </row>
    <row r="434" spans="1:11" ht="30" x14ac:dyDescent="0.25">
      <c r="A434" s="3" t="s">
        <v>887</v>
      </c>
      <c r="B434" s="4" t="s">
        <v>888</v>
      </c>
      <c r="C434" s="5">
        <v>1208</v>
      </c>
      <c r="D434" s="6" t="s">
        <v>31</v>
      </c>
      <c r="E434" s="6" t="s">
        <v>17</v>
      </c>
      <c r="F434" s="7">
        <v>24108</v>
      </c>
      <c r="G434" s="8">
        <f t="shared" si="6"/>
        <v>24108</v>
      </c>
      <c r="H434" s="6" t="s">
        <v>13</v>
      </c>
      <c r="I434" s="9" t="s">
        <v>3380</v>
      </c>
      <c r="J434" s="10" t="s">
        <v>3380</v>
      </c>
      <c r="K434" s="17"/>
    </row>
    <row r="435" spans="1:11" ht="30" x14ac:dyDescent="0.25">
      <c r="A435" s="3" t="s">
        <v>889</v>
      </c>
      <c r="B435" s="4" t="s">
        <v>890</v>
      </c>
      <c r="C435" s="14">
        <v>17289</v>
      </c>
      <c r="D435" s="6" t="s">
        <v>31</v>
      </c>
      <c r="E435" s="6" t="s">
        <v>17</v>
      </c>
      <c r="F435" s="7">
        <v>40542</v>
      </c>
      <c r="G435" s="8">
        <f t="shared" si="6"/>
        <v>40542</v>
      </c>
      <c r="H435" s="6" t="s">
        <v>13</v>
      </c>
      <c r="I435" s="9" t="s">
        <v>3380</v>
      </c>
      <c r="J435" s="10" t="s">
        <v>3380</v>
      </c>
      <c r="K435" s="17"/>
    </row>
    <row r="436" spans="1:11" ht="30" x14ac:dyDescent="0.25">
      <c r="A436" s="3" t="s">
        <v>891</v>
      </c>
      <c r="B436" s="4" t="s">
        <v>892</v>
      </c>
      <c r="C436" s="5">
        <v>1034</v>
      </c>
      <c r="D436" s="6" t="s">
        <v>31</v>
      </c>
      <c r="E436" s="6" t="s">
        <v>17</v>
      </c>
      <c r="F436" s="7">
        <v>29221</v>
      </c>
      <c r="G436" s="8">
        <f t="shared" si="6"/>
        <v>29221</v>
      </c>
      <c r="H436" s="6" t="s">
        <v>13</v>
      </c>
      <c r="I436" s="9" t="s">
        <v>3380</v>
      </c>
      <c r="J436" s="10" t="s">
        <v>3380</v>
      </c>
      <c r="K436" s="17"/>
    </row>
    <row r="437" spans="1:11" x14ac:dyDescent="0.25">
      <c r="A437" s="18" t="s">
        <v>893</v>
      </c>
      <c r="B437" s="19" t="s">
        <v>894</v>
      </c>
      <c r="C437" s="20">
        <v>1540</v>
      </c>
      <c r="D437" s="21" t="s">
        <v>28</v>
      </c>
      <c r="E437" s="21" t="s">
        <v>17</v>
      </c>
      <c r="F437" s="22">
        <v>29952</v>
      </c>
      <c r="G437" s="23">
        <f t="shared" si="6"/>
        <v>29952</v>
      </c>
      <c r="H437" s="21" t="s">
        <v>13</v>
      </c>
      <c r="I437" s="9" t="s">
        <v>3380</v>
      </c>
      <c r="J437" s="10" t="s">
        <v>3380</v>
      </c>
      <c r="K437" s="25"/>
    </row>
    <row r="438" spans="1:11" ht="30" x14ac:dyDescent="0.25">
      <c r="A438" s="3" t="s">
        <v>895</v>
      </c>
      <c r="B438" s="4" t="s">
        <v>896</v>
      </c>
      <c r="C438" s="5">
        <v>2029</v>
      </c>
      <c r="D438" s="6" t="s">
        <v>11</v>
      </c>
      <c r="E438" s="6" t="s">
        <v>17</v>
      </c>
      <c r="F438" s="7">
        <v>29221</v>
      </c>
      <c r="G438" s="8">
        <f t="shared" si="6"/>
        <v>29221</v>
      </c>
      <c r="H438" s="6" t="s">
        <v>13</v>
      </c>
      <c r="I438" s="9" t="s">
        <v>3380</v>
      </c>
      <c r="J438" s="10" t="s">
        <v>3380</v>
      </c>
      <c r="K438" s="17"/>
    </row>
    <row r="439" spans="1:11" ht="30" x14ac:dyDescent="0.25">
      <c r="A439" s="3" t="s">
        <v>897</v>
      </c>
      <c r="B439" s="4" t="s">
        <v>898</v>
      </c>
      <c r="C439" s="5">
        <v>52273</v>
      </c>
      <c r="D439" s="6" t="s">
        <v>37</v>
      </c>
      <c r="E439" s="6" t="s">
        <v>38</v>
      </c>
      <c r="F439" s="7">
        <v>39090</v>
      </c>
      <c r="G439" s="8">
        <f t="shared" si="6"/>
        <v>39090</v>
      </c>
      <c r="H439" s="6" t="s">
        <v>39</v>
      </c>
      <c r="I439" s="9" t="s">
        <v>3380</v>
      </c>
      <c r="J439" s="10" t="s">
        <v>3380</v>
      </c>
      <c r="K439" s="17"/>
    </row>
    <row r="440" spans="1:11" ht="30" x14ac:dyDescent="0.25">
      <c r="A440" s="3" t="s">
        <v>899</v>
      </c>
      <c r="B440" s="4" t="s">
        <v>900</v>
      </c>
      <c r="C440" s="14">
        <v>1516</v>
      </c>
      <c r="D440" s="6" t="s">
        <v>31</v>
      </c>
      <c r="E440" s="6" t="s">
        <v>17</v>
      </c>
      <c r="F440" s="7">
        <v>29952</v>
      </c>
      <c r="G440" s="8">
        <f t="shared" si="6"/>
        <v>29952</v>
      </c>
      <c r="H440" s="6" t="s">
        <v>13</v>
      </c>
      <c r="I440" s="9" t="s">
        <v>3380</v>
      </c>
      <c r="J440" s="10" t="s">
        <v>3380</v>
      </c>
      <c r="K440" s="17"/>
    </row>
    <row r="441" spans="1:11" ht="30" x14ac:dyDescent="0.25">
      <c r="A441" s="3" t="s">
        <v>901</v>
      </c>
      <c r="B441" s="4" t="s">
        <v>902</v>
      </c>
      <c r="C441" s="14">
        <v>1984</v>
      </c>
      <c r="D441" s="6" t="s">
        <v>28</v>
      </c>
      <c r="E441" s="6" t="s">
        <v>17</v>
      </c>
      <c r="F441" s="7">
        <v>29587</v>
      </c>
      <c r="G441" s="8">
        <f t="shared" si="6"/>
        <v>29587</v>
      </c>
      <c r="H441" s="6" t="s">
        <v>13</v>
      </c>
      <c r="I441" s="9" t="s">
        <v>3380</v>
      </c>
      <c r="J441" s="10" t="s">
        <v>3380</v>
      </c>
      <c r="K441" s="17"/>
    </row>
    <row r="442" spans="1:11" ht="30" x14ac:dyDescent="0.25">
      <c r="A442" s="3" t="s">
        <v>903</v>
      </c>
      <c r="B442" s="4" t="s">
        <v>904</v>
      </c>
      <c r="C442" s="5">
        <v>54549</v>
      </c>
      <c r="D442" s="6" t="s">
        <v>28</v>
      </c>
      <c r="E442" s="6" t="s">
        <v>17</v>
      </c>
      <c r="F442" s="7">
        <v>38353</v>
      </c>
      <c r="G442" s="8">
        <f t="shared" si="6"/>
        <v>38353</v>
      </c>
      <c r="H442" s="6" t="s">
        <v>13</v>
      </c>
      <c r="I442" s="9" t="s">
        <v>3380</v>
      </c>
      <c r="J442" s="10" t="s">
        <v>3380</v>
      </c>
      <c r="K442" s="17"/>
    </row>
    <row r="443" spans="1:11" ht="30" x14ac:dyDescent="0.25">
      <c r="A443" s="3" t="s">
        <v>905</v>
      </c>
      <c r="B443" s="4" t="s">
        <v>906</v>
      </c>
      <c r="C443" s="5">
        <v>1590</v>
      </c>
      <c r="D443" s="6" t="s">
        <v>28</v>
      </c>
      <c r="E443" s="6" t="s">
        <v>17</v>
      </c>
      <c r="F443" s="7">
        <v>37361</v>
      </c>
      <c r="G443" s="8">
        <f t="shared" si="6"/>
        <v>37361</v>
      </c>
      <c r="H443" s="6" t="s">
        <v>13</v>
      </c>
      <c r="I443" s="9" t="s">
        <v>3380</v>
      </c>
      <c r="J443" s="10" t="s">
        <v>3380</v>
      </c>
      <c r="K443" s="17"/>
    </row>
    <row r="444" spans="1:11" ht="30" x14ac:dyDescent="0.25">
      <c r="A444" s="3" t="s">
        <v>907</v>
      </c>
      <c r="B444" s="4" t="s">
        <v>908</v>
      </c>
      <c r="C444" s="14">
        <v>18893</v>
      </c>
      <c r="D444" s="6" t="s">
        <v>11</v>
      </c>
      <c r="E444" s="6" t="s">
        <v>17</v>
      </c>
      <c r="F444" s="7">
        <v>38422</v>
      </c>
      <c r="G444" s="8">
        <f t="shared" si="6"/>
        <v>38422</v>
      </c>
      <c r="H444" s="6" t="s">
        <v>13</v>
      </c>
      <c r="I444" s="9" t="s">
        <v>3380</v>
      </c>
      <c r="J444" s="10" t="s">
        <v>3380</v>
      </c>
      <c r="K444" s="17"/>
    </row>
    <row r="445" spans="1:11" ht="30" x14ac:dyDescent="0.25">
      <c r="A445" s="3" t="s">
        <v>909</v>
      </c>
      <c r="B445" s="4" t="s">
        <v>910</v>
      </c>
      <c r="C445" s="5">
        <v>36129</v>
      </c>
      <c r="D445" s="6" t="s">
        <v>11</v>
      </c>
      <c r="E445" s="6" t="s">
        <v>12</v>
      </c>
      <c r="F445" s="7">
        <v>37097</v>
      </c>
      <c r="G445" s="8">
        <f t="shared" si="6"/>
        <v>37097</v>
      </c>
      <c r="H445" s="6" t="s">
        <v>39</v>
      </c>
      <c r="I445" s="9" t="s">
        <v>3380</v>
      </c>
      <c r="J445" s="10" t="s">
        <v>3380</v>
      </c>
      <c r="K445" s="17"/>
    </row>
    <row r="446" spans="1:11" ht="30" x14ac:dyDescent="0.25">
      <c r="A446" s="3" t="s">
        <v>911</v>
      </c>
      <c r="B446" s="4" t="s">
        <v>912</v>
      </c>
      <c r="C446" s="5">
        <v>12488</v>
      </c>
      <c r="D446" s="6" t="s">
        <v>11</v>
      </c>
      <c r="E446" s="6" t="s">
        <v>17</v>
      </c>
      <c r="F446" s="7">
        <v>37819</v>
      </c>
      <c r="G446" s="8">
        <f t="shared" si="6"/>
        <v>37819</v>
      </c>
      <c r="H446" s="6" t="s">
        <v>13</v>
      </c>
      <c r="I446" s="9" t="s">
        <v>3380</v>
      </c>
      <c r="J446" s="10" t="s">
        <v>3380</v>
      </c>
      <c r="K446" s="17"/>
    </row>
    <row r="447" spans="1:11" ht="30" x14ac:dyDescent="0.25">
      <c r="A447" s="3" t="s">
        <v>913</v>
      </c>
      <c r="B447" s="4" t="s">
        <v>914</v>
      </c>
      <c r="C447" s="5">
        <v>30536</v>
      </c>
      <c r="D447" s="6" t="s">
        <v>16</v>
      </c>
      <c r="E447" s="6" t="s">
        <v>17</v>
      </c>
      <c r="F447" s="7">
        <v>38540</v>
      </c>
      <c r="G447" s="8">
        <f t="shared" si="6"/>
        <v>38540</v>
      </c>
      <c r="H447" s="6" t="s">
        <v>13</v>
      </c>
      <c r="I447" s="9" t="s">
        <v>3380</v>
      </c>
      <c r="J447" s="10" t="s">
        <v>3380</v>
      </c>
      <c r="K447" s="17"/>
    </row>
    <row r="448" spans="1:11" ht="30" x14ac:dyDescent="0.25">
      <c r="A448" s="3" t="s">
        <v>915</v>
      </c>
      <c r="B448" s="4" t="s">
        <v>916</v>
      </c>
      <c r="C448" s="5">
        <v>1324</v>
      </c>
      <c r="D448" s="6" t="s">
        <v>16</v>
      </c>
      <c r="E448" s="6" t="s">
        <v>17</v>
      </c>
      <c r="F448" s="7">
        <v>25569</v>
      </c>
      <c r="G448" s="8">
        <f t="shared" si="6"/>
        <v>25569</v>
      </c>
      <c r="H448" s="6" t="s">
        <v>13</v>
      </c>
      <c r="I448" s="9" t="s">
        <v>3380</v>
      </c>
      <c r="J448" s="10" t="s">
        <v>3380</v>
      </c>
      <c r="K448" s="17"/>
    </row>
    <row r="449" spans="1:11" ht="30" x14ac:dyDescent="0.25">
      <c r="A449" s="3" t="s">
        <v>917</v>
      </c>
      <c r="B449" s="4" t="s">
        <v>918</v>
      </c>
      <c r="C449" s="5">
        <v>1444</v>
      </c>
      <c r="D449" s="6" t="s">
        <v>16</v>
      </c>
      <c r="E449" s="6" t="s">
        <v>17</v>
      </c>
      <c r="F449" s="7">
        <v>32874</v>
      </c>
      <c r="G449" s="8">
        <f t="shared" si="6"/>
        <v>32874</v>
      </c>
      <c r="H449" s="6" t="s">
        <v>13</v>
      </c>
      <c r="I449" s="9" t="s">
        <v>3380</v>
      </c>
      <c r="J449" s="10" t="s">
        <v>3380</v>
      </c>
      <c r="K449" s="17"/>
    </row>
    <row r="450" spans="1:11" ht="30" x14ac:dyDescent="0.25">
      <c r="A450" s="3" t="s">
        <v>919</v>
      </c>
      <c r="B450" s="4" t="s">
        <v>920</v>
      </c>
      <c r="C450" s="5">
        <v>30535</v>
      </c>
      <c r="D450" s="6" t="s">
        <v>16</v>
      </c>
      <c r="E450" s="6" t="s">
        <v>17</v>
      </c>
      <c r="F450" s="7">
        <v>39534</v>
      </c>
      <c r="G450" s="8">
        <f t="shared" ref="G450:G513" si="7">F450</f>
        <v>39534</v>
      </c>
      <c r="H450" s="6" t="s">
        <v>13</v>
      </c>
      <c r="I450" s="9" t="s">
        <v>3380</v>
      </c>
      <c r="J450" s="10" t="s">
        <v>3380</v>
      </c>
      <c r="K450" s="17"/>
    </row>
    <row r="451" spans="1:11" ht="30" x14ac:dyDescent="0.25">
      <c r="A451" s="3" t="s">
        <v>921</v>
      </c>
      <c r="B451" s="4" t="s">
        <v>922</v>
      </c>
      <c r="C451" s="14">
        <v>1857</v>
      </c>
      <c r="D451" s="6" t="s">
        <v>16</v>
      </c>
      <c r="E451" s="6" t="s">
        <v>17</v>
      </c>
      <c r="F451" s="7">
        <v>32874</v>
      </c>
      <c r="G451" s="8">
        <f t="shared" si="7"/>
        <v>32874</v>
      </c>
      <c r="H451" s="6" t="s">
        <v>13</v>
      </c>
      <c r="I451" s="9" t="s">
        <v>3380</v>
      </c>
      <c r="J451" s="10" t="s">
        <v>3380</v>
      </c>
      <c r="K451" s="17"/>
    </row>
    <row r="452" spans="1:11" x14ac:dyDescent="0.25">
      <c r="A452" s="42" t="s">
        <v>923</v>
      </c>
      <c r="B452" s="43" t="s">
        <v>924</v>
      </c>
      <c r="C452" s="5">
        <v>1108</v>
      </c>
      <c r="D452" s="44" t="s">
        <v>28</v>
      </c>
      <c r="E452" s="44" t="s">
        <v>17</v>
      </c>
      <c r="F452" s="45">
        <v>38026</v>
      </c>
      <c r="G452" s="30">
        <f t="shared" si="7"/>
        <v>38026</v>
      </c>
      <c r="H452" s="44" t="s">
        <v>13</v>
      </c>
      <c r="I452" s="9" t="s">
        <v>3380</v>
      </c>
      <c r="J452" s="10" t="s">
        <v>3380</v>
      </c>
      <c r="K452" s="33"/>
    </row>
    <row r="453" spans="1:11" ht="30" x14ac:dyDescent="0.25">
      <c r="A453" s="3" t="s">
        <v>925</v>
      </c>
      <c r="B453" s="4" t="s">
        <v>926</v>
      </c>
      <c r="C453" s="5">
        <v>15362</v>
      </c>
      <c r="D453" s="6" t="s">
        <v>28</v>
      </c>
      <c r="E453" s="6" t="s">
        <v>17</v>
      </c>
      <c r="F453" s="7">
        <v>32325</v>
      </c>
      <c r="G453" s="8">
        <f t="shared" si="7"/>
        <v>32325</v>
      </c>
      <c r="H453" s="6" t="s">
        <v>13</v>
      </c>
      <c r="I453" s="9" t="s">
        <v>3380</v>
      </c>
      <c r="J453" s="10" t="s">
        <v>3380</v>
      </c>
      <c r="K453" s="17"/>
    </row>
    <row r="454" spans="1:11" x14ac:dyDescent="0.25">
      <c r="A454" s="26" t="s">
        <v>927</v>
      </c>
      <c r="B454" s="27" t="s">
        <v>928</v>
      </c>
      <c r="C454" s="34">
        <v>28209</v>
      </c>
      <c r="D454" s="28" t="s">
        <v>28</v>
      </c>
      <c r="E454" s="28" t="s">
        <v>17</v>
      </c>
      <c r="F454" s="29">
        <v>26573</v>
      </c>
      <c r="G454" s="30">
        <f t="shared" si="7"/>
        <v>26573</v>
      </c>
      <c r="H454" s="28" t="s">
        <v>13</v>
      </c>
      <c r="I454" s="9" t="s">
        <v>3380</v>
      </c>
      <c r="J454" s="10" t="s">
        <v>3380</v>
      </c>
      <c r="K454" s="33"/>
    </row>
    <row r="455" spans="1:11" ht="30" x14ac:dyDescent="0.25">
      <c r="A455" s="3" t="s">
        <v>929</v>
      </c>
      <c r="B455" s="4" t="s">
        <v>930</v>
      </c>
      <c r="C455" s="5">
        <v>54550</v>
      </c>
      <c r="D455" s="6" t="s">
        <v>31</v>
      </c>
      <c r="E455" s="6" t="s">
        <v>17</v>
      </c>
      <c r="F455" s="7">
        <v>33067</v>
      </c>
      <c r="G455" s="8">
        <f t="shared" si="7"/>
        <v>33067</v>
      </c>
      <c r="H455" s="6" t="s">
        <v>13</v>
      </c>
      <c r="I455" s="9" t="s">
        <v>3380</v>
      </c>
      <c r="J455" s="10" t="s">
        <v>3380</v>
      </c>
      <c r="K455" s="17"/>
    </row>
    <row r="456" spans="1:11" ht="30" x14ac:dyDescent="0.25">
      <c r="A456" s="3" t="s">
        <v>931</v>
      </c>
      <c r="B456" s="4" t="s">
        <v>932</v>
      </c>
      <c r="C456" s="5">
        <v>1347</v>
      </c>
      <c r="D456" s="6" t="s">
        <v>31</v>
      </c>
      <c r="E456" s="6" t="s">
        <v>17</v>
      </c>
      <c r="F456" s="7">
        <v>27227</v>
      </c>
      <c r="G456" s="8">
        <f t="shared" si="7"/>
        <v>27227</v>
      </c>
      <c r="H456" s="6" t="s">
        <v>13</v>
      </c>
      <c r="I456" s="9">
        <v>423226.49</v>
      </c>
      <c r="J456" s="10">
        <v>1400</v>
      </c>
      <c r="K456" s="17"/>
    </row>
    <row r="457" spans="1:11" ht="30" x14ac:dyDescent="0.25">
      <c r="A457" s="3" t="s">
        <v>933</v>
      </c>
      <c r="B457" s="4" t="s">
        <v>934</v>
      </c>
      <c r="C457" s="5">
        <v>9601</v>
      </c>
      <c r="D457" s="6" t="s">
        <v>28</v>
      </c>
      <c r="E457" s="6" t="s">
        <v>17</v>
      </c>
      <c r="F457" s="7">
        <v>37635</v>
      </c>
      <c r="G457" s="8">
        <f t="shared" si="7"/>
        <v>37635</v>
      </c>
      <c r="H457" s="6" t="s">
        <v>13</v>
      </c>
      <c r="I457" s="9" t="s">
        <v>3380</v>
      </c>
      <c r="J457" s="10" t="s">
        <v>3380</v>
      </c>
      <c r="K457" s="17"/>
    </row>
    <row r="458" spans="1:11" ht="30" x14ac:dyDescent="0.25">
      <c r="A458" s="3" t="s">
        <v>935</v>
      </c>
      <c r="B458" s="4" t="s">
        <v>936</v>
      </c>
      <c r="C458" s="5">
        <v>1436</v>
      </c>
      <c r="D458" s="6" t="s">
        <v>16</v>
      </c>
      <c r="E458" s="6" t="s">
        <v>17</v>
      </c>
      <c r="F458" s="7">
        <v>29221</v>
      </c>
      <c r="G458" s="8">
        <f t="shared" si="7"/>
        <v>29221</v>
      </c>
      <c r="H458" s="6" t="s">
        <v>13</v>
      </c>
      <c r="I458" s="9" t="s">
        <v>3380</v>
      </c>
      <c r="J458" s="10" t="s">
        <v>3380</v>
      </c>
      <c r="K458" s="17"/>
    </row>
    <row r="459" spans="1:11" ht="30" x14ac:dyDescent="0.25">
      <c r="A459" s="3" t="s">
        <v>937</v>
      </c>
      <c r="B459" s="4" t="s">
        <v>938</v>
      </c>
      <c r="C459" s="5">
        <v>1848</v>
      </c>
      <c r="D459" s="6" t="s">
        <v>16</v>
      </c>
      <c r="E459" s="6" t="s">
        <v>17</v>
      </c>
      <c r="F459" s="7">
        <v>31048</v>
      </c>
      <c r="G459" s="8">
        <f t="shared" si="7"/>
        <v>31048</v>
      </c>
      <c r="H459" s="6" t="s">
        <v>13</v>
      </c>
      <c r="I459" s="9" t="s">
        <v>3380</v>
      </c>
      <c r="J459" s="10" t="s">
        <v>3380</v>
      </c>
      <c r="K459" s="17"/>
    </row>
    <row r="460" spans="1:11" ht="30" x14ac:dyDescent="0.25">
      <c r="A460" s="3" t="s">
        <v>939</v>
      </c>
      <c r="B460" s="4" t="s">
        <v>940</v>
      </c>
      <c r="C460" s="5">
        <v>21448</v>
      </c>
      <c r="D460" s="6" t="s">
        <v>28</v>
      </c>
      <c r="E460" s="6" t="s">
        <v>17</v>
      </c>
      <c r="F460" s="7">
        <v>38415</v>
      </c>
      <c r="G460" s="8">
        <f t="shared" si="7"/>
        <v>38415</v>
      </c>
      <c r="H460" s="6" t="s">
        <v>13</v>
      </c>
      <c r="I460" s="9" t="s">
        <v>3380</v>
      </c>
      <c r="J460" s="10" t="s">
        <v>3380</v>
      </c>
      <c r="K460" s="17"/>
    </row>
    <row r="461" spans="1:11" ht="30" x14ac:dyDescent="0.25">
      <c r="A461" s="3" t="s">
        <v>941</v>
      </c>
      <c r="B461" s="4" t="s">
        <v>942</v>
      </c>
      <c r="C461" s="5">
        <v>1647</v>
      </c>
      <c r="D461" s="6" t="s">
        <v>28</v>
      </c>
      <c r="E461" s="6" t="s">
        <v>17</v>
      </c>
      <c r="F461" s="7">
        <v>35065</v>
      </c>
      <c r="G461" s="8">
        <f t="shared" si="7"/>
        <v>35065</v>
      </c>
      <c r="H461" s="6" t="s">
        <v>13</v>
      </c>
      <c r="I461" s="9" t="s">
        <v>3380</v>
      </c>
      <c r="J461" s="10" t="s">
        <v>3380</v>
      </c>
      <c r="K461" s="17"/>
    </row>
    <row r="462" spans="1:11" ht="30" x14ac:dyDescent="0.25">
      <c r="A462" s="3" t="s">
        <v>943</v>
      </c>
      <c r="B462" s="4" t="s">
        <v>944</v>
      </c>
      <c r="C462" s="5">
        <v>1367</v>
      </c>
      <c r="D462" s="6" t="s">
        <v>28</v>
      </c>
      <c r="E462" s="6" t="s">
        <v>17</v>
      </c>
      <c r="F462" s="7">
        <v>31413</v>
      </c>
      <c r="G462" s="8">
        <f t="shared" si="7"/>
        <v>31413</v>
      </c>
      <c r="H462" s="6" t="s">
        <v>13</v>
      </c>
      <c r="I462" s="9" t="s">
        <v>3380</v>
      </c>
      <c r="J462" s="10" t="s">
        <v>3380</v>
      </c>
      <c r="K462" s="17"/>
    </row>
    <row r="463" spans="1:11" ht="30" x14ac:dyDescent="0.25">
      <c r="A463" s="3" t="s">
        <v>945</v>
      </c>
      <c r="B463" s="4" t="s">
        <v>946</v>
      </c>
      <c r="C463" s="5">
        <v>2025</v>
      </c>
      <c r="D463" s="6" t="s">
        <v>16</v>
      </c>
      <c r="E463" s="6" t="s">
        <v>17</v>
      </c>
      <c r="F463" s="7">
        <v>29221</v>
      </c>
      <c r="G463" s="8">
        <f t="shared" si="7"/>
        <v>29221</v>
      </c>
      <c r="H463" s="6" t="s">
        <v>13</v>
      </c>
      <c r="I463" s="9" t="s">
        <v>3380</v>
      </c>
      <c r="J463" s="10" t="s">
        <v>3380</v>
      </c>
      <c r="K463" s="17"/>
    </row>
    <row r="464" spans="1:11" ht="30" x14ac:dyDescent="0.25">
      <c r="A464" s="3" t="s">
        <v>947</v>
      </c>
      <c r="B464" s="4" t="s">
        <v>948</v>
      </c>
      <c r="C464" s="5">
        <v>52276</v>
      </c>
      <c r="D464" s="6" t="s">
        <v>37</v>
      </c>
      <c r="E464" s="6" t="s">
        <v>38</v>
      </c>
      <c r="F464" s="7">
        <v>37467</v>
      </c>
      <c r="G464" s="8">
        <f t="shared" si="7"/>
        <v>37467</v>
      </c>
      <c r="H464" s="6" t="s">
        <v>39</v>
      </c>
      <c r="I464" s="9" t="s">
        <v>3380</v>
      </c>
      <c r="J464" s="10" t="s">
        <v>3380</v>
      </c>
      <c r="K464" s="17"/>
    </row>
    <row r="465" spans="1:11" x14ac:dyDescent="0.25">
      <c r="A465" s="26" t="s">
        <v>949</v>
      </c>
      <c r="B465" s="27" t="s">
        <v>950</v>
      </c>
      <c r="C465" s="34">
        <v>14087</v>
      </c>
      <c r="D465" s="28" t="s">
        <v>37</v>
      </c>
      <c r="E465" s="28" t="s">
        <v>38</v>
      </c>
      <c r="F465" s="29">
        <v>37125</v>
      </c>
      <c r="G465" s="30">
        <f t="shared" si="7"/>
        <v>37125</v>
      </c>
      <c r="H465" s="28" t="s">
        <v>39</v>
      </c>
      <c r="I465" s="9" t="s">
        <v>3380</v>
      </c>
      <c r="J465" s="10" t="s">
        <v>3380</v>
      </c>
      <c r="K465" s="33"/>
    </row>
    <row r="466" spans="1:11" ht="30" x14ac:dyDescent="0.25">
      <c r="A466" s="3" t="s">
        <v>951</v>
      </c>
      <c r="B466" s="4" t="s">
        <v>952</v>
      </c>
      <c r="C466" s="5">
        <v>24961</v>
      </c>
      <c r="D466" s="6" t="s">
        <v>37</v>
      </c>
      <c r="E466" s="6" t="s">
        <v>38</v>
      </c>
      <c r="F466" s="7">
        <v>38384</v>
      </c>
      <c r="G466" s="8">
        <f t="shared" si="7"/>
        <v>38384</v>
      </c>
      <c r="H466" s="6" t="s">
        <v>39</v>
      </c>
      <c r="I466" s="9" t="s">
        <v>3380</v>
      </c>
      <c r="J466" s="10" t="s">
        <v>3380</v>
      </c>
      <c r="K466" s="17"/>
    </row>
    <row r="467" spans="1:11" ht="30" x14ac:dyDescent="0.25">
      <c r="A467" s="3" t="s">
        <v>953</v>
      </c>
      <c r="B467" s="4" t="s">
        <v>954</v>
      </c>
      <c r="C467" s="5">
        <v>2027</v>
      </c>
      <c r="D467" s="6" t="s">
        <v>16</v>
      </c>
      <c r="E467" s="6" t="s">
        <v>17</v>
      </c>
      <c r="F467" s="7">
        <v>37019</v>
      </c>
      <c r="G467" s="8">
        <f t="shared" si="7"/>
        <v>37019</v>
      </c>
      <c r="H467" s="6" t="s">
        <v>13</v>
      </c>
      <c r="I467" s="9" t="s">
        <v>3380</v>
      </c>
      <c r="J467" s="10" t="s">
        <v>3380</v>
      </c>
      <c r="K467" s="17"/>
    </row>
    <row r="468" spans="1:11" ht="30" x14ac:dyDescent="0.25">
      <c r="A468" s="3" t="s">
        <v>955</v>
      </c>
      <c r="B468" s="4" t="s">
        <v>956</v>
      </c>
      <c r="C468" s="5">
        <v>1627</v>
      </c>
      <c r="D468" s="6" t="s">
        <v>16</v>
      </c>
      <c r="E468" s="6" t="s">
        <v>17</v>
      </c>
      <c r="F468" s="7">
        <v>35608</v>
      </c>
      <c r="G468" s="8">
        <f t="shared" si="7"/>
        <v>35608</v>
      </c>
      <c r="H468" s="6" t="s">
        <v>13</v>
      </c>
      <c r="I468" s="9" t="s">
        <v>3380</v>
      </c>
      <c r="J468" s="10" t="s">
        <v>3380</v>
      </c>
      <c r="K468" s="17"/>
    </row>
    <row r="469" spans="1:11" x14ac:dyDescent="0.25">
      <c r="A469" s="26" t="s">
        <v>957</v>
      </c>
      <c r="B469" s="27" t="s">
        <v>958</v>
      </c>
      <c r="C469" s="34">
        <v>27860</v>
      </c>
      <c r="D469" s="28" t="s">
        <v>28</v>
      </c>
      <c r="E469" s="28" t="s">
        <v>17</v>
      </c>
      <c r="F469" s="29">
        <v>32534</v>
      </c>
      <c r="G469" s="30">
        <f t="shared" si="7"/>
        <v>32534</v>
      </c>
      <c r="H469" s="28" t="s">
        <v>13</v>
      </c>
      <c r="I469" s="9" t="s">
        <v>3380</v>
      </c>
      <c r="J469" s="10" t="s">
        <v>3380</v>
      </c>
      <c r="K469" s="33"/>
    </row>
    <row r="470" spans="1:11" ht="30" x14ac:dyDescent="0.25">
      <c r="A470" s="3" t="s">
        <v>959</v>
      </c>
      <c r="B470" s="4" t="s">
        <v>960</v>
      </c>
      <c r="C470" s="5">
        <v>16005</v>
      </c>
      <c r="D470" s="6" t="s">
        <v>31</v>
      </c>
      <c r="E470" s="6" t="s">
        <v>17</v>
      </c>
      <c r="F470" s="7">
        <v>33394</v>
      </c>
      <c r="G470" s="8">
        <f t="shared" si="7"/>
        <v>33394</v>
      </c>
      <c r="H470" s="6" t="s">
        <v>13</v>
      </c>
      <c r="I470" s="9" t="s">
        <v>3380</v>
      </c>
      <c r="J470" s="10" t="s">
        <v>3380</v>
      </c>
      <c r="K470" s="17"/>
    </row>
    <row r="471" spans="1:11" x14ac:dyDescent="0.25">
      <c r="A471" s="18" t="s">
        <v>961</v>
      </c>
      <c r="B471" s="19" t="s">
        <v>962</v>
      </c>
      <c r="C471" s="20">
        <v>1544</v>
      </c>
      <c r="D471" s="21" t="s">
        <v>34</v>
      </c>
      <c r="E471" s="21" t="s">
        <v>17</v>
      </c>
      <c r="F471" s="22">
        <v>20992</v>
      </c>
      <c r="G471" s="23">
        <f t="shared" si="7"/>
        <v>20992</v>
      </c>
      <c r="H471" s="21" t="s">
        <v>13</v>
      </c>
      <c r="I471" s="9" t="s">
        <v>3380</v>
      </c>
      <c r="J471" s="10" t="s">
        <v>3380</v>
      </c>
      <c r="K471" s="25"/>
    </row>
    <row r="472" spans="1:11" ht="30" x14ac:dyDescent="0.25">
      <c r="A472" s="3" t="s">
        <v>963</v>
      </c>
      <c r="B472" s="4" t="s">
        <v>964</v>
      </c>
      <c r="C472" s="5">
        <v>15682</v>
      </c>
      <c r="D472" s="6" t="s">
        <v>31</v>
      </c>
      <c r="E472" s="6" t="s">
        <v>17</v>
      </c>
      <c r="F472" s="7">
        <v>31155</v>
      </c>
      <c r="G472" s="8">
        <f t="shared" si="7"/>
        <v>31155</v>
      </c>
      <c r="H472" s="6" t="s">
        <v>13</v>
      </c>
      <c r="I472" s="9" t="s">
        <v>3380</v>
      </c>
      <c r="J472" s="10" t="s">
        <v>3380</v>
      </c>
      <c r="K472" s="17"/>
    </row>
    <row r="473" spans="1:11" ht="30" x14ac:dyDescent="0.25">
      <c r="A473" s="3" t="s">
        <v>965</v>
      </c>
      <c r="B473" s="4" t="s">
        <v>966</v>
      </c>
      <c r="C473" s="5">
        <v>1411</v>
      </c>
      <c r="D473" s="6" t="s">
        <v>28</v>
      </c>
      <c r="E473" s="6" t="s">
        <v>17</v>
      </c>
      <c r="F473" s="7">
        <v>19725</v>
      </c>
      <c r="G473" s="8">
        <f t="shared" si="7"/>
        <v>19725</v>
      </c>
      <c r="H473" s="6" t="s">
        <v>13</v>
      </c>
      <c r="I473" s="9" t="s">
        <v>3380</v>
      </c>
      <c r="J473" s="10" t="s">
        <v>3380</v>
      </c>
      <c r="K473" s="17"/>
    </row>
    <row r="474" spans="1:11" ht="30" x14ac:dyDescent="0.25">
      <c r="A474" s="3" t="s">
        <v>967</v>
      </c>
      <c r="B474" s="4" t="s">
        <v>968</v>
      </c>
      <c r="C474" s="5">
        <v>41665</v>
      </c>
      <c r="D474" s="6" t="s">
        <v>31</v>
      </c>
      <c r="E474" s="6" t="s">
        <v>17</v>
      </c>
      <c r="F474" s="7">
        <v>34225</v>
      </c>
      <c r="G474" s="8">
        <f t="shared" si="7"/>
        <v>34225</v>
      </c>
      <c r="H474" s="6" t="s">
        <v>13</v>
      </c>
      <c r="I474" s="9" t="s">
        <v>3380</v>
      </c>
      <c r="J474" s="10" t="s">
        <v>3380</v>
      </c>
      <c r="K474" s="17"/>
    </row>
    <row r="475" spans="1:11" ht="30" x14ac:dyDescent="0.25">
      <c r="A475" s="3" t="s">
        <v>969</v>
      </c>
      <c r="B475" s="4" t="s">
        <v>970</v>
      </c>
      <c r="C475" s="5">
        <v>1437</v>
      </c>
      <c r="D475" s="6" t="s">
        <v>16</v>
      </c>
      <c r="E475" s="6" t="s">
        <v>17</v>
      </c>
      <c r="F475" s="7">
        <v>31048</v>
      </c>
      <c r="G475" s="8">
        <f t="shared" si="7"/>
        <v>31048</v>
      </c>
      <c r="H475" s="6" t="s">
        <v>13</v>
      </c>
      <c r="I475" s="9" t="s">
        <v>3380</v>
      </c>
      <c r="J475" s="10" t="s">
        <v>3380</v>
      </c>
      <c r="K475" s="17"/>
    </row>
    <row r="476" spans="1:11" ht="30" x14ac:dyDescent="0.25">
      <c r="A476" s="3" t="s">
        <v>971</v>
      </c>
      <c r="B476" s="4" t="s">
        <v>972</v>
      </c>
      <c r="C476" s="14">
        <v>1435</v>
      </c>
      <c r="D476" s="6" t="s">
        <v>16</v>
      </c>
      <c r="E476" s="6" t="s">
        <v>17</v>
      </c>
      <c r="F476" s="7">
        <v>27282</v>
      </c>
      <c r="G476" s="8">
        <f t="shared" si="7"/>
        <v>27282</v>
      </c>
      <c r="H476" s="6" t="s">
        <v>13</v>
      </c>
      <c r="I476" s="9" t="s">
        <v>3380</v>
      </c>
      <c r="J476" s="10" t="s">
        <v>3380</v>
      </c>
      <c r="K476" s="17"/>
    </row>
    <row r="477" spans="1:11" ht="30" x14ac:dyDescent="0.25">
      <c r="A477" s="3" t="s">
        <v>973</v>
      </c>
      <c r="B477" s="4" t="s">
        <v>974</v>
      </c>
      <c r="C477" s="14">
        <v>1077</v>
      </c>
      <c r="D477" s="6" t="s">
        <v>34</v>
      </c>
      <c r="E477" s="6" t="s">
        <v>17</v>
      </c>
      <c r="F477" s="7">
        <v>29952</v>
      </c>
      <c r="G477" s="8">
        <f t="shared" si="7"/>
        <v>29952</v>
      </c>
      <c r="H477" s="6" t="s">
        <v>13</v>
      </c>
      <c r="I477" s="9" t="s">
        <v>3380</v>
      </c>
      <c r="J477" s="10" t="s">
        <v>3380</v>
      </c>
      <c r="K477" s="17"/>
    </row>
    <row r="478" spans="1:11" ht="30" x14ac:dyDescent="0.25">
      <c r="A478" s="12" t="s">
        <v>975</v>
      </c>
      <c r="B478" s="4" t="s">
        <v>976</v>
      </c>
      <c r="C478" s="5">
        <v>1881</v>
      </c>
      <c r="D478" s="6" t="s">
        <v>34</v>
      </c>
      <c r="E478" s="6" t="s">
        <v>17</v>
      </c>
      <c r="F478" s="7">
        <v>29221</v>
      </c>
      <c r="G478" s="8">
        <f t="shared" si="7"/>
        <v>29221</v>
      </c>
      <c r="H478" s="6" t="s">
        <v>13</v>
      </c>
      <c r="I478" s="9">
        <v>3482629.2199999997</v>
      </c>
      <c r="J478" s="10">
        <v>4190</v>
      </c>
      <c r="K478" s="17"/>
    </row>
    <row r="479" spans="1:11" ht="30" x14ac:dyDescent="0.25">
      <c r="A479" s="3" t="s">
        <v>977</v>
      </c>
      <c r="B479" s="4" t="s">
        <v>978</v>
      </c>
      <c r="C479" s="5">
        <v>1343</v>
      </c>
      <c r="D479" s="6" t="s">
        <v>34</v>
      </c>
      <c r="E479" s="6" t="s">
        <v>17</v>
      </c>
      <c r="F479" s="7">
        <v>37012</v>
      </c>
      <c r="G479" s="8">
        <f t="shared" si="7"/>
        <v>37012</v>
      </c>
      <c r="H479" s="6" t="s">
        <v>13</v>
      </c>
      <c r="I479" s="9" t="s">
        <v>3380</v>
      </c>
      <c r="J479" s="10" t="s">
        <v>3380</v>
      </c>
      <c r="K479" s="17"/>
    </row>
    <row r="480" spans="1:11" ht="30" x14ac:dyDescent="0.25">
      <c r="A480" s="3" t="s">
        <v>979</v>
      </c>
      <c r="B480" s="12" t="s">
        <v>980</v>
      </c>
      <c r="C480" s="14">
        <v>1578</v>
      </c>
      <c r="D480" s="6" t="s">
        <v>16</v>
      </c>
      <c r="E480" s="6" t="s">
        <v>17</v>
      </c>
      <c r="F480" s="7">
        <v>29221</v>
      </c>
      <c r="G480" s="8">
        <f t="shared" si="7"/>
        <v>29221</v>
      </c>
      <c r="H480" s="6" t="s">
        <v>13</v>
      </c>
      <c r="I480" s="9" t="s">
        <v>3380</v>
      </c>
      <c r="J480" s="10" t="s">
        <v>3380</v>
      </c>
      <c r="K480" s="17"/>
    </row>
    <row r="481" spans="1:11" ht="30" x14ac:dyDescent="0.25">
      <c r="A481" s="3" t="s">
        <v>981</v>
      </c>
      <c r="B481" s="4" t="s">
        <v>982</v>
      </c>
      <c r="C481" s="5">
        <v>1733</v>
      </c>
      <c r="D481" s="6" t="s">
        <v>16</v>
      </c>
      <c r="E481" s="6" t="s">
        <v>17</v>
      </c>
      <c r="F481" s="7">
        <v>29221</v>
      </c>
      <c r="G481" s="8">
        <f t="shared" si="7"/>
        <v>29221</v>
      </c>
      <c r="H481" s="6" t="s">
        <v>13</v>
      </c>
      <c r="I481" s="9" t="s">
        <v>3380</v>
      </c>
      <c r="J481" s="10" t="s">
        <v>3380</v>
      </c>
      <c r="K481" s="17"/>
    </row>
    <row r="482" spans="1:11" ht="30" x14ac:dyDescent="0.25">
      <c r="A482" s="3" t="s">
        <v>983</v>
      </c>
      <c r="B482" s="4" t="s">
        <v>984</v>
      </c>
      <c r="C482" s="5">
        <v>54552</v>
      </c>
      <c r="D482" s="6" t="s">
        <v>28</v>
      </c>
      <c r="E482" s="6" t="s">
        <v>17</v>
      </c>
      <c r="F482" s="7">
        <v>38758</v>
      </c>
      <c r="G482" s="8">
        <f t="shared" si="7"/>
        <v>38758</v>
      </c>
      <c r="H482" s="6" t="s">
        <v>13</v>
      </c>
      <c r="I482" s="9" t="s">
        <v>3380</v>
      </c>
      <c r="J482" s="10" t="s">
        <v>3380</v>
      </c>
      <c r="K482" s="17"/>
    </row>
    <row r="483" spans="1:11" ht="30" x14ac:dyDescent="0.25">
      <c r="A483" s="3" t="s">
        <v>985</v>
      </c>
      <c r="B483" s="4" t="s">
        <v>986</v>
      </c>
      <c r="C483" s="14">
        <v>1891</v>
      </c>
      <c r="D483" s="6" t="s">
        <v>31</v>
      </c>
      <c r="E483" s="6" t="s">
        <v>17</v>
      </c>
      <c r="F483" s="7">
        <v>36019</v>
      </c>
      <c r="G483" s="8">
        <f t="shared" si="7"/>
        <v>36019</v>
      </c>
      <c r="H483" s="6" t="s">
        <v>13</v>
      </c>
      <c r="I483" s="9" t="s">
        <v>3380</v>
      </c>
      <c r="J483" s="10" t="s">
        <v>3380</v>
      </c>
      <c r="K483" s="17"/>
    </row>
    <row r="484" spans="1:11" ht="30" x14ac:dyDescent="0.25">
      <c r="A484" s="3" t="s">
        <v>987</v>
      </c>
      <c r="B484" s="4" t="s">
        <v>988</v>
      </c>
      <c r="C484" s="5">
        <v>11521</v>
      </c>
      <c r="D484" s="6" t="s">
        <v>28</v>
      </c>
      <c r="E484" s="6" t="s">
        <v>17</v>
      </c>
      <c r="F484" s="7">
        <v>37859</v>
      </c>
      <c r="G484" s="8">
        <f t="shared" si="7"/>
        <v>37859</v>
      </c>
      <c r="H484" s="6" t="s">
        <v>13</v>
      </c>
      <c r="I484" s="9" t="s">
        <v>3380</v>
      </c>
      <c r="J484" s="10" t="s">
        <v>3380</v>
      </c>
      <c r="K484" s="17"/>
    </row>
    <row r="485" spans="1:11" ht="30" x14ac:dyDescent="0.25">
      <c r="A485" s="3" t="s">
        <v>989</v>
      </c>
      <c r="B485" s="4" t="s">
        <v>990</v>
      </c>
      <c r="C485" s="5">
        <v>72157</v>
      </c>
      <c r="D485" s="6" t="s">
        <v>28</v>
      </c>
      <c r="E485" s="6" t="s">
        <v>508</v>
      </c>
      <c r="F485" s="7">
        <v>38398</v>
      </c>
      <c r="G485" s="8">
        <f t="shared" si="7"/>
        <v>38398</v>
      </c>
      <c r="H485" s="6" t="s">
        <v>509</v>
      </c>
      <c r="I485" s="9" t="s">
        <v>3380</v>
      </c>
      <c r="J485" s="10" t="s">
        <v>3380</v>
      </c>
      <c r="K485" s="17"/>
    </row>
    <row r="486" spans="1:11" ht="30" x14ac:dyDescent="0.25">
      <c r="A486" s="3" t="s">
        <v>991</v>
      </c>
      <c r="B486" s="4" t="s">
        <v>992</v>
      </c>
      <c r="C486" s="5">
        <v>1950</v>
      </c>
      <c r="D486" s="6" t="s">
        <v>28</v>
      </c>
      <c r="E486" s="6" t="s">
        <v>17</v>
      </c>
      <c r="F486" s="7">
        <v>32509</v>
      </c>
      <c r="G486" s="8">
        <f t="shared" si="7"/>
        <v>32509</v>
      </c>
      <c r="H486" s="6" t="s">
        <v>13</v>
      </c>
      <c r="I486" s="9" t="s">
        <v>3380</v>
      </c>
      <c r="J486" s="10" t="s">
        <v>3380</v>
      </c>
      <c r="K486" s="17"/>
    </row>
    <row r="487" spans="1:11" ht="30" x14ac:dyDescent="0.25">
      <c r="A487" s="3" t="s">
        <v>993</v>
      </c>
      <c r="B487" s="4" t="s">
        <v>994</v>
      </c>
      <c r="C487" s="5">
        <v>1125</v>
      </c>
      <c r="D487" s="6" t="s">
        <v>16</v>
      </c>
      <c r="E487" s="6" t="s">
        <v>17</v>
      </c>
      <c r="F487" s="7">
        <v>25569</v>
      </c>
      <c r="G487" s="8">
        <f t="shared" si="7"/>
        <v>25569</v>
      </c>
      <c r="H487" s="6" t="s">
        <v>13</v>
      </c>
      <c r="I487" s="9" t="s">
        <v>3380</v>
      </c>
      <c r="J487" s="10" t="s">
        <v>3380</v>
      </c>
      <c r="K487" s="17"/>
    </row>
    <row r="488" spans="1:11" ht="30" x14ac:dyDescent="0.25">
      <c r="A488" s="3" t="s">
        <v>995</v>
      </c>
      <c r="B488" s="4" t="s">
        <v>996</v>
      </c>
      <c r="C488" s="5">
        <v>1794</v>
      </c>
      <c r="D488" s="6" t="s">
        <v>31</v>
      </c>
      <c r="E488" s="6" t="s">
        <v>17</v>
      </c>
      <c r="F488" s="7">
        <v>29221</v>
      </c>
      <c r="G488" s="8">
        <f t="shared" si="7"/>
        <v>29221</v>
      </c>
      <c r="H488" s="6" t="s">
        <v>13</v>
      </c>
      <c r="I488" s="9" t="s">
        <v>3380</v>
      </c>
      <c r="J488" s="10" t="s">
        <v>3380</v>
      </c>
      <c r="K488" s="17"/>
    </row>
    <row r="489" spans="1:11" ht="30" x14ac:dyDescent="0.25">
      <c r="A489" s="3" t="s">
        <v>997</v>
      </c>
      <c r="B489" s="4" t="s">
        <v>998</v>
      </c>
      <c r="C489" s="5">
        <v>1531</v>
      </c>
      <c r="D489" s="6" t="s">
        <v>31</v>
      </c>
      <c r="E489" s="6" t="s">
        <v>17</v>
      </c>
      <c r="F489" s="7">
        <v>27395</v>
      </c>
      <c r="G489" s="8">
        <f t="shared" si="7"/>
        <v>27395</v>
      </c>
      <c r="H489" s="6" t="s">
        <v>13</v>
      </c>
      <c r="I489" s="9" t="s">
        <v>3380</v>
      </c>
      <c r="J489" s="10" t="s">
        <v>3380</v>
      </c>
      <c r="K489" s="17"/>
    </row>
    <row r="490" spans="1:11" ht="30" x14ac:dyDescent="0.25">
      <c r="A490" s="3" t="s">
        <v>999</v>
      </c>
      <c r="B490" s="4" t="s">
        <v>1000</v>
      </c>
      <c r="C490" s="5">
        <v>1977</v>
      </c>
      <c r="D490" s="6" t="s">
        <v>31</v>
      </c>
      <c r="E490" s="6" t="s">
        <v>17</v>
      </c>
      <c r="F490" s="7">
        <v>18264</v>
      </c>
      <c r="G490" s="8">
        <f t="shared" si="7"/>
        <v>18264</v>
      </c>
      <c r="H490" s="6" t="s">
        <v>13</v>
      </c>
      <c r="I490" s="9" t="s">
        <v>3380</v>
      </c>
      <c r="J490" s="10" t="s">
        <v>3380</v>
      </c>
      <c r="K490" s="17"/>
    </row>
    <row r="491" spans="1:11" ht="30" x14ac:dyDescent="0.25">
      <c r="A491" s="3" t="s">
        <v>1001</v>
      </c>
      <c r="B491" s="4" t="s">
        <v>1002</v>
      </c>
      <c r="C491" s="14">
        <v>17616</v>
      </c>
      <c r="D491" s="6" t="s">
        <v>16</v>
      </c>
      <c r="E491" s="6" t="s">
        <v>17</v>
      </c>
      <c r="F491" s="7">
        <v>29132</v>
      </c>
      <c r="G491" s="8">
        <f t="shared" si="7"/>
        <v>29132</v>
      </c>
      <c r="H491" s="6" t="s">
        <v>13</v>
      </c>
      <c r="I491" s="9" t="s">
        <v>3380</v>
      </c>
      <c r="J491" s="10" t="s">
        <v>3380</v>
      </c>
      <c r="K491" s="17"/>
    </row>
    <row r="492" spans="1:11" ht="30" x14ac:dyDescent="0.25">
      <c r="A492" s="3" t="s">
        <v>1003</v>
      </c>
      <c r="B492" s="4" t="s">
        <v>1004</v>
      </c>
      <c r="C492" s="5">
        <v>28929</v>
      </c>
      <c r="D492" s="6" t="s">
        <v>37</v>
      </c>
      <c r="E492" s="6" t="s">
        <v>38</v>
      </c>
      <c r="F492" s="7">
        <v>38489</v>
      </c>
      <c r="G492" s="8">
        <f t="shared" si="7"/>
        <v>38489</v>
      </c>
      <c r="H492" s="6" t="s">
        <v>39</v>
      </c>
      <c r="I492" s="9" t="s">
        <v>3380</v>
      </c>
      <c r="J492" s="10" t="s">
        <v>3380</v>
      </c>
      <c r="K492" s="17"/>
    </row>
    <row r="493" spans="1:11" ht="30" x14ac:dyDescent="0.25">
      <c r="A493" s="3" t="s">
        <v>1005</v>
      </c>
      <c r="B493" s="4" t="s">
        <v>1006</v>
      </c>
      <c r="C493" s="14">
        <v>1953</v>
      </c>
      <c r="D493" s="6" t="s">
        <v>28</v>
      </c>
      <c r="E493" s="6" t="s">
        <v>17</v>
      </c>
      <c r="F493" s="7">
        <v>38653</v>
      </c>
      <c r="G493" s="8">
        <f t="shared" si="7"/>
        <v>38653</v>
      </c>
      <c r="H493" s="6" t="s">
        <v>13</v>
      </c>
      <c r="I493" s="9">
        <v>426151.07</v>
      </c>
      <c r="J493" s="10">
        <v>3800</v>
      </c>
      <c r="K493" s="17"/>
    </row>
    <row r="494" spans="1:11" x14ac:dyDescent="0.25">
      <c r="A494" s="26" t="s">
        <v>1007</v>
      </c>
      <c r="B494" s="27" t="s">
        <v>1008</v>
      </c>
      <c r="C494" s="34">
        <v>1598</v>
      </c>
      <c r="D494" s="28" t="s">
        <v>31</v>
      </c>
      <c r="E494" s="28" t="s">
        <v>17</v>
      </c>
      <c r="F494" s="29">
        <v>25569</v>
      </c>
      <c r="G494" s="30">
        <f t="shared" si="7"/>
        <v>25569</v>
      </c>
      <c r="H494" s="28" t="s">
        <v>13</v>
      </c>
      <c r="I494" s="9" t="s">
        <v>3380</v>
      </c>
      <c r="J494" s="10" t="s">
        <v>3380</v>
      </c>
      <c r="K494" s="33"/>
    </row>
    <row r="495" spans="1:11" x14ac:dyDescent="0.25">
      <c r="A495" s="26" t="s">
        <v>1009</v>
      </c>
      <c r="B495" s="27" t="s">
        <v>1010</v>
      </c>
      <c r="C495" s="5">
        <v>1296</v>
      </c>
      <c r="D495" s="28" t="s">
        <v>31</v>
      </c>
      <c r="E495" s="28" t="s">
        <v>17</v>
      </c>
      <c r="F495" s="29">
        <v>29952</v>
      </c>
      <c r="G495" s="30">
        <f t="shared" si="7"/>
        <v>29952</v>
      </c>
      <c r="H495" s="28" t="s">
        <v>13</v>
      </c>
      <c r="I495" s="9" t="s">
        <v>3380</v>
      </c>
      <c r="J495" s="10" t="s">
        <v>3380</v>
      </c>
      <c r="K495" s="33"/>
    </row>
    <row r="496" spans="1:11" x14ac:dyDescent="0.25">
      <c r="A496" s="26" t="s">
        <v>1011</v>
      </c>
      <c r="B496" s="27" t="s">
        <v>1012</v>
      </c>
      <c r="C496" s="34">
        <v>1501</v>
      </c>
      <c r="D496" s="28" t="s">
        <v>28</v>
      </c>
      <c r="E496" s="28" t="s">
        <v>17</v>
      </c>
      <c r="F496" s="29">
        <v>28491</v>
      </c>
      <c r="G496" s="30">
        <f t="shared" si="7"/>
        <v>28491</v>
      </c>
      <c r="H496" s="28" t="s">
        <v>13</v>
      </c>
      <c r="I496" s="9" t="s">
        <v>3380</v>
      </c>
      <c r="J496" s="10" t="s">
        <v>3380</v>
      </c>
      <c r="K496" s="33"/>
    </row>
    <row r="497" spans="1:11" ht="30" x14ac:dyDescent="0.25">
      <c r="A497" s="3" t="s">
        <v>1013</v>
      </c>
      <c r="B497" s="4" t="s">
        <v>1014</v>
      </c>
      <c r="C497" s="5">
        <v>12496</v>
      </c>
      <c r="D497" s="6" t="s">
        <v>37</v>
      </c>
      <c r="E497" s="6" t="s">
        <v>38</v>
      </c>
      <c r="F497" s="7">
        <v>34463</v>
      </c>
      <c r="G497" s="8">
        <f t="shared" si="7"/>
        <v>34463</v>
      </c>
      <c r="H497" s="6" t="s">
        <v>39</v>
      </c>
      <c r="I497" s="9" t="s">
        <v>3380</v>
      </c>
      <c r="J497" s="10" t="s">
        <v>3380</v>
      </c>
      <c r="K497" s="17"/>
    </row>
    <row r="498" spans="1:11" ht="30" x14ac:dyDescent="0.25">
      <c r="A498" s="3" t="s">
        <v>1015</v>
      </c>
      <c r="B498" s="4" t="s">
        <v>1016</v>
      </c>
      <c r="C498" s="5">
        <v>1800</v>
      </c>
      <c r="D498" s="6" t="s">
        <v>31</v>
      </c>
      <c r="E498" s="6" t="s">
        <v>17</v>
      </c>
      <c r="F498" s="7">
        <v>34759</v>
      </c>
      <c r="G498" s="8">
        <f t="shared" si="7"/>
        <v>34759</v>
      </c>
      <c r="H498" s="6" t="s">
        <v>13</v>
      </c>
      <c r="I498" s="9" t="s">
        <v>3380</v>
      </c>
      <c r="J498" s="10" t="s">
        <v>3380</v>
      </c>
      <c r="K498" s="17"/>
    </row>
    <row r="499" spans="1:11" x14ac:dyDescent="0.25">
      <c r="A499" s="3" t="s">
        <v>1017</v>
      </c>
      <c r="B499" s="4" t="s">
        <v>1018</v>
      </c>
      <c r="C499" s="5">
        <v>15685</v>
      </c>
      <c r="D499" s="6" t="s">
        <v>31</v>
      </c>
      <c r="E499" s="6" t="s">
        <v>17</v>
      </c>
      <c r="F499" s="7">
        <v>30235</v>
      </c>
      <c r="G499" s="8">
        <f t="shared" si="7"/>
        <v>30235</v>
      </c>
      <c r="H499" s="6" t="s">
        <v>13</v>
      </c>
      <c r="I499" s="9" t="s">
        <v>3380</v>
      </c>
      <c r="J499" s="10" t="s">
        <v>3380</v>
      </c>
      <c r="K499" s="11"/>
    </row>
    <row r="500" spans="1:11" ht="30" x14ac:dyDescent="0.25">
      <c r="A500" s="3" t="s">
        <v>1019</v>
      </c>
      <c r="B500" s="4" t="s">
        <v>1020</v>
      </c>
      <c r="C500" s="5">
        <v>54553</v>
      </c>
      <c r="D500" s="6" t="s">
        <v>16</v>
      </c>
      <c r="E500" s="6" t="s">
        <v>17</v>
      </c>
      <c r="F500" s="7">
        <v>38504</v>
      </c>
      <c r="G500" s="8">
        <f t="shared" si="7"/>
        <v>38504</v>
      </c>
      <c r="H500" s="6" t="s">
        <v>13</v>
      </c>
      <c r="I500" s="9" t="s">
        <v>3380</v>
      </c>
      <c r="J500" s="10" t="s">
        <v>3380</v>
      </c>
      <c r="K500" s="17"/>
    </row>
    <row r="501" spans="1:11" ht="30" x14ac:dyDescent="0.25">
      <c r="A501" s="3" t="s">
        <v>1021</v>
      </c>
      <c r="B501" s="4" t="s">
        <v>1022</v>
      </c>
      <c r="C501" s="5">
        <v>1048</v>
      </c>
      <c r="D501" s="6" t="s">
        <v>16</v>
      </c>
      <c r="E501" s="6" t="s">
        <v>17</v>
      </c>
      <c r="F501" s="7">
        <v>25569</v>
      </c>
      <c r="G501" s="8">
        <f t="shared" si="7"/>
        <v>25569</v>
      </c>
      <c r="H501" s="6" t="s">
        <v>13</v>
      </c>
      <c r="I501" s="9" t="s">
        <v>3380</v>
      </c>
      <c r="J501" s="10" t="s">
        <v>3380</v>
      </c>
      <c r="K501" s="17"/>
    </row>
    <row r="502" spans="1:11" ht="30" x14ac:dyDescent="0.25">
      <c r="A502" s="3" t="s">
        <v>1023</v>
      </c>
      <c r="B502" s="4" t="s">
        <v>1024</v>
      </c>
      <c r="C502" s="5">
        <v>1293</v>
      </c>
      <c r="D502" s="6" t="s">
        <v>31</v>
      </c>
      <c r="E502" s="6" t="s">
        <v>17</v>
      </c>
      <c r="F502" s="7">
        <v>29221</v>
      </c>
      <c r="G502" s="8">
        <f t="shared" si="7"/>
        <v>29221</v>
      </c>
      <c r="H502" s="6" t="s">
        <v>13</v>
      </c>
      <c r="I502" s="9">
        <v>948168.13</v>
      </c>
      <c r="J502" s="10">
        <v>3200</v>
      </c>
      <c r="K502" s="17"/>
    </row>
    <row r="503" spans="1:11" ht="30" x14ac:dyDescent="0.25">
      <c r="A503" s="3" t="s">
        <v>1025</v>
      </c>
      <c r="B503" s="4" t="s">
        <v>1026</v>
      </c>
      <c r="C503" s="5">
        <v>1700</v>
      </c>
      <c r="D503" s="6" t="s">
        <v>31</v>
      </c>
      <c r="E503" s="6" t="s">
        <v>17</v>
      </c>
      <c r="F503" s="7">
        <v>29221</v>
      </c>
      <c r="G503" s="8">
        <f t="shared" si="7"/>
        <v>29221</v>
      </c>
      <c r="H503" s="6" t="s">
        <v>13</v>
      </c>
      <c r="I503" s="9" t="s">
        <v>3380</v>
      </c>
      <c r="J503" s="10" t="s">
        <v>3380</v>
      </c>
      <c r="K503" s="17"/>
    </row>
    <row r="504" spans="1:11" ht="30" x14ac:dyDescent="0.25">
      <c r="A504" s="3" t="s">
        <v>1027</v>
      </c>
      <c r="B504" s="4" t="s">
        <v>1028</v>
      </c>
      <c r="C504" s="5">
        <v>1270</v>
      </c>
      <c r="D504" s="6" t="s">
        <v>16</v>
      </c>
      <c r="E504" s="6" t="s">
        <v>17</v>
      </c>
      <c r="F504" s="7">
        <v>25569</v>
      </c>
      <c r="G504" s="8">
        <f t="shared" si="7"/>
        <v>25569</v>
      </c>
      <c r="H504" s="6" t="s">
        <v>13</v>
      </c>
      <c r="I504" s="9" t="s">
        <v>3380</v>
      </c>
      <c r="J504" s="10" t="s">
        <v>3380</v>
      </c>
      <c r="K504" s="17"/>
    </row>
    <row r="505" spans="1:11" x14ac:dyDescent="0.25">
      <c r="A505" s="18" t="s">
        <v>1029</v>
      </c>
      <c r="B505" s="19" t="s">
        <v>1030</v>
      </c>
      <c r="C505" s="5">
        <v>1395</v>
      </c>
      <c r="D505" s="21" t="s">
        <v>31</v>
      </c>
      <c r="E505" s="21" t="s">
        <v>17</v>
      </c>
      <c r="F505" s="22">
        <v>29830</v>
      </c>
      <c r="G505" s="23">
        <f t="shared" si="7"/>
        <v>29830</v>
      </c>
      <c r="H505" s="21" t="s">
        <v>13</v>
      </c>
      <c r="I505" s="9">
        <v>1484562.44</v>
      </c>
      <c r="J505" s="10">
        <v>2800</v>
      </c>
      <c r="K505" s="25"/>
    </row>
    <row r="506" spans="1:11" ht="30" x14ac:dyDescent="0.25">
      <c r="A506" s="3" t="s">
        <v>1031</v>
      </c>
      <c r="B506" s="4" t="s">
        <v>1032</v>
      </c>
      <c r="C506" s="5">
        <v>17291</v>
      </c>
      <c r="D506" s="6" t="s">
        <v>16</v>
      </c>
      <c r="E506" s="6" t="s">
        <v>17</v>
      </c>
      <c r="F506" s="7">
        <v>33161</v>
      </c>
      <c r="G506" s="8">
        <f t="shared" si="7"/>
        <v>33161</v>
      </c>
      <c r="H506" s="6" t="s">
        <v>13</v>
      </c>
      <c r="I506" s="9" t="s">
        <v>3380</v>
      </c>
      <c r="J506" s="10" t="s">
        <v>3380</v>
      </c>
      <c r="K506" s="17"/>
    </row>
    <row r="507" spans="1:11" ht="30" x14ac:dyDescent="0.25">
      <c r="A507" s="3" t="s">
        <v>1033</v>
      </c>
      <c r="B507" s="4" t="s">
        <v>1034</v>
      </c>
      <c r="C507" s="5">
        <v>21121</v>
      </c>
      <c r="D507" s="6" t="s">
        <v>31</v>
      </c>
      <c r="E507" s="6" t="s">
        <v>17</v>
      </c>
      <c r="F507" s="7">
        <v>35142</v>
      </c>
      <c r="G507" s="8">
        <f t="shared" si="7"/>
        <v>35142</v>
      </c>
      <c r="H507" s="6" t="s">
        <v>13</v>
      </c>
      <c r="I507" s="9" t="s">
        <v>3380</v>
      </c>
      <c r="J507" s="10" t="s">
        <v>3380</v>
      </c>
      <c r="K507" s="17"/>
    </row>
    <row r="508" spans="1:11" ht="30" x14ac:dyDescent="0.25">
      <c r="A508" s="3" t="s">
        <v>1035</v>
      </c>
      <c r="B508" s="4" t="s">
        <v>1036</v>
      </c>
      <c r="C508" s="5">
        <v>18244</v>
      </c>
      <c r="D508" s="6" t="s">
        <v>31</v>
      </c>
      <c r="E508" s="6" t="s">
        <v>17</v>
      </c>
      <c r="F508" s="7">
        <v>24400</v>
      </c>
      <c r="G508" s="8">
        <f t="shared" si="7"/>
        <v>24400</v>
      </c>
      <c r="H508" s="6" t="s">
        <v>13</v>
      </c>
      <c r="I508" s="9" t="s">
        <v>3380</v>
      </c>
      <c r="J508" s="10" t="s">
        <v>3380</v>
      </c>
      <c r="K508" s="17"/>
    </row>
    <row r="509" spans="1:11" ht="30" x14ac:dyDescent="0.25">
      <c r="A509" s="3" t="s">
        <v>1037</v>
      </c>
      <c r="B509" s="4" t="s">
        <v>1038</v>
      </c>
      <c r="C509" s="5">
        <v>77554</v>
      </c>
      <c r="D509" s="6" t="s">
        <v>11</v>
      </c>
      <c r="E509" s="6" t="s">
        <v>12</v>
      </c>
      <c r="F509" s="7">
        <v>38378</v>
      </c>
      <c r="G509" s="8">
        <f t="shared" si="7"/>
        <v>38378</v>
      </c>
      <c r="H509" s="6" t="s">
        <v>39</v>
      </c>
      <c r="I509" s="9" t="s">
        <v>3380</v>
      </c>
      <c r="J509" s="10" t="s">
        <v>3380</v>
      </c>
      <c r="K509" s="17"/>
    </row>
    <row r="510" spans="1:11" ht="30" x14ac:dyDescent="0.25">
      <c r="A510" s="12" t="s">
        <v>1039</v>
      </c>
      <c r="B510" s="4" t="s">
        <v>1040</v>
      </c>
      <c r="C510" s="14">
        <v>1684</v>
      </c>
      <c r="D510" s="6" t="s">
        <v>34</v>
      </c>
      <c r="E510" s="6" t="s">
        <v>17</v>
      </c>
      <c r="F510" s="7">
        <v>24108</v>
      </c>
      <c r="G510" s="8">
        <f t="shared" si="7"/>
        <v>24108</v>
      </c>
      <c r="H510" s="6" t="s">
        <v>13</v>
      </c>
      <c r="I510" s="9">
        <v>2306228.23</v>
      </c>
      <c r="J510" s="10">
        <v>11250</v>
      </c>
      <c r="K510" s="17"/>
    </row>
    <row r="511" spans="1:11" ht="30" x14ac:dyDescent="0.25">
      <c r="A511" s="3" t="s">
        <v>1041</v>
      </c>
      <c r="B511" s="4" t="s">
        <v>1042</v>
      </c>
      <c r="C511" s="5">
        <v>1178</v>
      </c>
      <c r="D511" s="6" t="s">
        <v>16</v>
      </c>
      <c r="E511" s="6" t="s">
        <v>17</v>
      </c>
      <c r="F511" s="7">
        <v>42005</v>
      </c>
      <c r="G511" s="8">
        <f t="shared" si="7"/>
        <v>42005</v>
      </c>
      <c r="H511" s="6" t="s">
        <v>13</v>
      </c>
      <c r="I511" s="9" t="s">
        <v>3380</v>
      </c>
      <c r="J511" s="10" t="s">
        <v>3380</v>
      </c>
      <c r="K511" s="17"/>
    </row>
    <row r="512" spans="1:11" ht="30" x14ac:dyDescent="0.25">
      <c r="A512" s="3" t="s">
        <v>1043</v>
      </c>
      <c r="B512" s="4" t="s">
        <v>1044</v>
      </c>
      <c r="C512" s="5">
        <v>27553</v>
      </c>
      <c r="D512" s="6" t="s">
        <v>31</v>
      </c>
      <c r="E512" s="6" t="s">
        <v>17</v>
      </c>
      <c r="F512" s="7">
        <v>33023</v>
      </c>
      <c r="G512" s="8">
        <f t="shared" si="7"/>
        <v>33023</v>
      </c>
      <c r="H512" s="6" t="s">
        <v>13</v>
      </c>
      <c r="I512" s="9" t="s">
        <v>3380</v>
      </c>
      <c r="J512" s="10" t="s">
        <v>3380</v>
      </c>
      <c r="K512" s="17"/>
    </row>
    <row r="513" spans="1:11" ht="30" x14ac:dyDescent="0.25">
      <c r="A513" s="3" t="s">
        <v>1045</v>
      </c>
      <c r="B513" s="4" t="s">
        <v>1046</v>
      </c>
      <c r="C513" s="5">
        <v>159476</v>
      </c>
      <c r="D513" s="6" t="s">
        <v>31</v>
      </c>
      <c r="E513" s="6" t="s">
        <v>17</v>
      </c>
      <c r="F513" s="7">
        <v>41134</v>
      </c>
      <c r="G513" s="8">
        <f t="shared" si="7"/>
        <v>41134</v>
      </c>
      <c r="H513" s="6" t="s">
        <v>13</v>
      </c>
      <c r="I513" s="9" t="s">
        <v>3380</v>
      </c>
      <c r="J513" s="10" t="s">
        <v>3380</v>
      </c>
      <c r="K513" s="17"/>
    </row>
    <row r="514" spans="1:11" ht="30" x14ac:dyDescent="0.25">
      <c r="A514" s="3" t="s">
        <v>1047</v>
      </c>
      <c r="B514" s="4" t="s">
        <v>1048</v>
      </c>
      <c r="C514" s="5">
        <v>199844</v>
      </c>
      <c r="D514" s="6" t="s">
        <v>16</v>
      </c>
      <c r="E514" s="6" t="s">
        <v>17</v>
      </c>
      <c r="F514" s="7">
        <v>32874</v>
      </c>
      <c r="G514" s="8">
        <f t="shared" ref="G514:G577" si="8">F514</f>
        <v>32874</v>
      </c>
      <c r="H514" s="6" t="s">
        <v>13</v>
      </c>
      <c r="I514" s="9" t="s">
        <v>3380</v>
      </c>
      <c r="J514" s="10" t="s">
        <v>3380</v>
      </c>
      <c r="K514" s="17"/>
    </row>
    <row r="515" spans="1:11" ht="30" x14ac:dyDescent="0.25">
      <c r="A515" s="3" t="s">
        <v>1049</v>
      </c>
      <c r="B515" s="4" t="s">
        <v>1050</v>
      </c>
      <c r="C515" s="5">
        <v>1200</v>
      </c>
      <c r="D515" s="6" t="s">
        <v>16</v>
      </c>
      <c r="E515" s="6" t="s">
        <v>17</v>
      </c>
      <c r="F515" s="7">
        <v>29221</v>
      </c>
      <c r="G515" s="8">
        <f t="shared" si="8"/>
        <v>29221</v>
      </c>
      <c r="H515" s="6" t="s">
        <v>13</v>
      </c>
      <c r="I515" s="9" t="s">
        <v>3380</v>
      </c>
      <c r="J515" s="10" t="s">
        <v>3380</v>
      </c>
      <c r="K515" s="17"/>
    </row>
    <row r="516" spans="1:11" ht="30" x14ac:dyDescent="0.25">
      <c r="A516" s="3" t="s">
        <v>1051</v>
      </c>
      <c r="B516" s="4" t="s">
        <v>1052</v>
      </c>
      <c r="C516" s="5">
        <v>1064</v>
      </c>
      <c r="D516" s="6" t="s">
        <v>16</v>
      </c>
      <c r="E516" s="6" t="s">
        <v>17</v>
      </c>
      <c r="F516" s="7">
        <v>31048</v>
      </c>
      <c r="G516" s="8">
        <f t="shared" si="8"/>
        <v>31048</v>
      </c>
      <c r="H516" s="6" t="s">
        <v>13</v>
      </c>
      <c r="I516" s="9" t="s">
        <v>3380</v>
      </c>
      <c r="J516" s="10" t="s">
        <v>3380</v>
      </c>
      <c r="K516" s="17"/>
    </row>
    <row r="517" spans="1:11" ht="30" x14ac:dyDescent="0.25">
      <c r="A517" s="3" t="s">
        <v>1053</v>
      </c>
      <c r="B517" s="4" t="s">
        <v>1054</v>
      </c>
      <c r="C517" s="14">
        <v>1999</v>
      </c>
      <c r="D517" s="6" t="s">
        <v>31</v>
      </c>
      <c r="E517" s="6" t="s">
        <v>17</v>
      </c>
      <c r="F517" s="7">
        <v>29952</v>
      </c>
      <c r="G517" s="8">
        <f t="shared" si="8"/>
        <v>29952</v>
      </c>
      <c r="H517" s="6" t="s">
        <v>13</v>
      </c>
      <c r="I517" s="9" t="s">
        <v>3380</v>
      </c>
      <c r="J517" s="10" t="s">
        <v>3380</v>
      </c>
      <c r="K517" s="17"/>
    </row>
    <row r="518" spans="1:11" ht="30" x14ac:dyDescent="0.25">
      <c r="A518" s="3" t="s">
        <v>1055</v>
      </c>
      <c r="B518" s="4" t="s">
        <v>1056</v>
      </c>
      <c r="C518" s="5">
        <v>52369</v>
      </c>
      <c r="D518" s="6" t="s">
        <v>34</v>
      </c>
      <c r="E518" s="6" t="s">
        <v>17</v>
      </c>
      <c r="F518" s="7">
        <v>38814</v>
      </c>
      <c r="G518" s="8">
        <f t="shared" si="8"/>
        <v>38814</v>
      </c>
      <c r="H518" s="6" t="s">
        <v>13</v>
      </c>
      <c r="I518" s="9" t="s">
        <v>3380</v>
      </c>
      <c r="J518" s="10" t="s">
        <v>3380</v>
      </c>
      <c r="K518" s="17"/>
    </row>
    <row r="519" spans="1:11" ht="30" x14ac:dyDescent="0.25">
      <c r="A519" s="3" t="s">
        <v>1057</v>
      </c>
      <c r="B519" s="4" t="s">
        <v>1058</v>
      </c>
      <c r="C519" s="5">
        <v>54554</v>
      </c>
      <c r="D519" s="6" t="s">
        <v>31</v>
      </c>
      <c r="E519" s="6" t="s">
        <v>17</v>
      </c>
      <c r="F519" s="7">
        <v>37082</v>
      </c>
      <c r="G519" s="8">
        <f t="shared" si="8"/>
        <v>37082</v>
      </c>
      <c r="H519" s="6" t="s">
        <v>13</v>
      </c>
      <c r="I519" s="9" t="s">
        <v>3380</v>
      </c>
      <c r="J519" s="10" t="s">
        <v>3380</v>
      </c>
      <c r="K519" s="17"/>
    </row>
    <row r="520" spans="1:11" x14ac:dyDescent="0.25">
      <c r="A520" s="12" t="s">
        <v>1059</v>
      </c>
      <c r="B520" s="4" t="s">
        <v>1060</v>
      </c>
      <c r="C520" s="5">
        <v>1457</v>
      </c>
      <c r="D520" s="6" t="s">
        <v>31</v>
      </c>
      <c r="E520" s="6" t="s">
        <v>17</v>
      </c>
      <c r="F520" s="7">
        <v>29952</v>
      </c>
      <c r="G520" s="8">
        <f t="shared" si="8"/>
        <v>29952</v>
      </c>
      <c r="H520" s="6" t="s">
        <v>13</v>
      </c>
      <c r="I520" s="9">
        <v>3465989.72</v>
      </c>
      <c r="J520" s="10">
        <v>7000</v>
      </c>
      <c r="K520" s="17"/>
    </row>
    <row r="521" spans="1:11" x14ac:dyDescent="0.25">
      <c r="A521" s="18" t="s">
        <v>1061</v>
      </c>
      <c r="B521" s="19" t="s">
        <v>1062</v>
      </c>
      <c r="C521" s="5">
        <v>1874</v>
      </c>
      <c r="D521" s="21" t="s">
        <v>31</v>
      </c>
      <c r="E521" s="21" t="s">
        <v>17</v>
      </c>
      <c r="F521" s="22">
        <v>29221</v>
      </c>
      <c r="G521" s="23">
        <f t="shared" si="8"/>
        <v>29221</v>
      </c>
      <c r="H521" s="21" t="s">
        <v>13</v>
      </c>
      <c r="I521" s="9" t="s">
        <v>3380</v>
      </c>
      <c r="J521" s="10" t="s">
        <v>3380</v>
      </c>
      <c r="K521" s="25"/>
    </row>
    <row r="522" spans="1:11" ht="30" x14ac:dyDescent="0.25">
      <c r="A522" s="3" t="s">
        <v>1063</v>
      </c>
      <c r="B522" s="4" t="s">
        <v>1064</v>
      </c>
      <c r="C522" s="14">
        <v>1539</v>
      </c>
      <c r="D522" s="6" t="s">
        <v>28</v>
      </c>
      <c r="E522" s="6" t="s">
        <v>17</v>
      </c>
      <c r="F522" s="7">
        <v>37928</v>
      </c>
      <c r="G522" s="8">
        <f t="shared" si="8"/>
        <v>37928</v>
      </c>
      <c r="H522" s="6" t="s">
        <v>13</v>
      </c>
      <c r="I522" s="9" t="s">
        <v>3380</v>
      </c>
      <c r="J522" s="10" t="s">
        <v>3380</v>
      </c>
      <c r="K522" s="17"/>
    </row>
    <row r="523" spans="1:11" ht="30" x14ac:dyDescent="0.25">
      <c r="A523" s="3" t="s">
        <v>1065</v>
      </c>
      <c r="B523" s="4" t="s">
        <v>1066</v>
      </c>
      <c r="C523" s="5">
        <v>1849</v>
      </c>
      <c r="D523" s="6" t="s">
        <v>16</v>
      </c>
      <c r="E523" s="6" t="s">
        <v>17</v>
      </c>
      <c r="F523" s="7">
        <v>36354</v>
      </c>
      <c r="G523" s="8">
        <f t="shared" si="8"/>
        <v>36354</v>
      </c>
      <c r="H523" s="6" t="s">
        <v>13</v>
      </c>
      <c r="I523" s="9" t="s">
        <v>3380</v>
      </c>
      <c r="J523" s="10" t="s">
        <v>3380</v>
      </c>
      <c r="K523" s="17"/>
    </row>
    <row r="524" spans="1:11" ht="30" x14ac:dyDescent="0.25">
      <c r="A524" s="3" t="s">
        <v>1067</v>
      </c>
      <c r="B524" s="4" t="s">
        <v>1068</v>
      </c>
      <c r="C524" s="14">
        <v>185412</v>
      </c>
      <c r="D524" s="6" t="s">
        <v>11</v>
      </c>
      <c r="E524" s="6" t="s">
        <v>17</v>
      </c>
      <c r="F524" s="7">
        <v>36982</v>
      </c>
      <c r="G524" s="8">
        <f t="shared" si="8"/>
        <v>36982</v>
      </c>
      <c r="H524" s="6" t="s">
        <v>13</v>
      </c>
      <c r="I524" s="9" t="s">
        <v>3380</v>
      </c>
      <c r="J524" s="10" t="s">
        <v>3380</v>
      </c>
      <c r="K524" s="17"/>
    </row>
    <row r="525" spans="1:11" ht="30" x14ac:dyDescent="0.25">
      <c r="A525" s="3" t="s">
        <v>1069</v>
      </c>
      <c r="B525" s="4" t="s">
        <v>1070</v>
      </c>
      <c r="C525" s="5">
        <v>54556</v>
      </c>
      <c r="D525" s="6" t="s">
        <v>11</v>
      </c>
      <c r="E525" s="6" t="s">
        <v>12</v>
      </c>
      <c r="F525" s="7">
        <v>39518</v>
      </c>
      <c r="G525" s="8">
        <f t="shared" si="8"/>
        <v>39518</v>
      </c>
      <c r="H525" s="6" t="s">
        <v>13</v>
      </c>
      <c r="I525" s="9" t="s">
        <v>3380</v>
      </c>
      <c r="J525" s="10" t="s">
        <v>3380</v>
      </c>
      <c r="K525" s="17"/>
    </row>
    <row r="526" spans="1:11" ht="30" x14ac:dyDescent="0.25">
      <c r="A526" s="3" t="s">
        <v>1071</v>
      </c>
      <c r="B526" s="4" t="s">
        <v>1072</v>
      </c>
      <c r="C526" s="5">
        <v>1354</v>
      </c>
      <c r="D526" s="6" t="s">
        <v>31</v>
      </c>
      <c r="E526" s="6" t="s">
        <v>17</v>
      </c>
      <c r="F526" s="7">
        <v>29221</v>
      </c>
      <c r="G526" s="8">
        <f t="shared" si="8"/>
        <v>29221</v>
      </c>
      <c r="H526" s="6" t="s">
        <v>13</v>
      </c>
      <c r="I526" s="9" t="s">
        <v>3380</v>
      </c>
      <c r="J526" s="10" t="s">
        <v>3380</v>
      </c>
      <c r="K526" s="17"/>
    </row>
    <row r="527" spans="1:11" ht="30" x14ac:dyDescent="0.25">
      <c r="A527" s="3" t="s">
        <v>1073</v>
      </c>
      <c r="B527" s="4" t="s">
        <v>1074</v>
      </c>
      <c r="C527" s="14">
        <v>1244</v>
      </c>
      <c r="D527" s="6" t="s">
        <v>28</v>
      </c>
      <c r="E527" s="6" t="s">
        <v>17</v>
      </c>
      <c r="F527" s="7">
        <v>33604</v>
      </c>
      <c r="G527" s="8">
        <f t="shared" si="8"/>
        <v>33604</v>
      </c>
      <c r="H527" s="6" t="s">
        <v>13</v>
      </c>
      <c r="I527" s="9" t="s">
        <v>3380</v>
      </c>
      <c r="J527" s="10" t="s">
        <v>3380</v>
      </c>
      <c r="K527" s="17"/>
    </row>
    <row r="528" spans="1:11" x14ac:dyDescent="0.25">
      <c r="A528" s="26" t="s">
        <v>1075</v>
      </c>
      <c r="B528" s="27" t="s">
        <v>1076</v>
      </c>
      <c r="C528" s="34">
        <v>9602</v>
      </c>
      <c r="D528" s="28" t="s">
        <v>11</v>
      </c>
      <c r="E528" s="28" t="s">
        <v>17</v>
      </c>
      <c r="F528" s="29">
        <v>35642</v>
      </c>
      <c r="G528" s="30">
        <f t="shared" si="8"/>
        <v>35642</v>
      </c>
      <c r="H528" s="28" t="s">
        <v>13</v>
      </c>
      <c r="I528" s="9" t="s">
        <v>3380</v>
      </c>
      <c r="J528" s="10" t="s">
        <v>3380</v>
      </c>
      <c r="K528" s="33"/>
    </row>
    <row r="529" spans="1:11" ht="30" x14ac:dyDescent="0.25">
      <c r="A529" s="3" t="s">
        <v>1077</v>
      </c>
      <c r="B529" s="4" t="s">
        <v>1078</v>
      </c>
      <c r="C529" s="5">
        <v>1699</v>
      </c>
      <c r="D529" s="6" t="s">
        <v>31</v>
      </c>
      <c r="E529" s="6" t="s">
        <v>17</v>
      </c>
      <c r="F529" s="7">
        <v>29221</v>
      </c>
      <c r="G529" s="8">
        <f t="shared" si="8"/>
        <v>29221</v>
      </c>
      <c r="H529" s="6" t="s">
        <v>13</v>
      </c>
      <c r="I529" s="9" t="s">
        <v>3380</v>
      </c>
      <c r="J529" s="10" t="s">
        <v>3380</v>
      </c>
      <c r="K529" s="17"/>
    </row>
    <row r="530" spans="1:11" ht="30" x14ac:dyDescent="0.25">
      <c r="A530" s="3" t="s">
        <v>1079</v>
      </c>
      <c r="B530" s="4" t="s">
        <v>1080</v>
      </c>
      <c r="C530" s="14">
        <v>2018</v>
      </c>
      <c r="D530" s="6" t="s">
        <v>16</v>
      </c>
      <c r="E530" s="6" t="s">
        <v>17</v>
      </c>
      <c r="F530" s="7">
        <v>29221</v>
      </c>
      <c r="G530" s="8">
        <f t="shared" si="8"/>
        <v>29221</v>
      </c>
      <c r="H530" s="6" t="s">
        <v>13</v>
      </c>
      <c r="I530" s="9" t="s">
        <v>3380</v>
      </c>
      <c r="J530" s="10" t="s">
        <v>3380</v>
      </c>
      <c r="K530" s="17"/>
    </row>
    <row r="531" spans="1:11" x14ac:dyDescent="0.25">
      <c r="A531" s="26" t="s">
        <v>1081</v>
      </c>
      <c r="B531" s="27" t="s">
        <v>1082</v>
      </c>
      <c r="C531" s="34">
        <v>12801</v>
      </c>
      <c r="D531" s="28" t="s">
        <v>31</v>
      </c>
      <c r="E531" s="28" t="s">
        <v>17</v>
      </c>
      <c r="F531" s="29">
        <v>36614</v>
      </c>
      <c r="G531" s="30">
        <f t="shared" si="8"/>
        <v>36614</v>
      </c>
      <c r="H531" s="28" t="s">
        <v>13</v>
      </c>
      <c r="I531" s="9" t="s">
        <v>3380</v>
      </c>
      <c r="J531" s="10" t="s">
        <v>3380</v>
      </c>
      <c r="K531" s="33"/>
    </row>
    <row r="532" spans="1:11" ht="30" x14ac:dyDescent="0.25">
      <c r="A532" s="3" t="s">
        <v>1083</v>
      </c>
      <c r="B532" s="4" t="s">
        <v>1084</v>
      </c>
      <c r="C532" s="5">
        <v>23043</v>
      </c>
      <c r="D532" s="6" t="s">
        <v>31</v>
      </c>
      <c r="E532" s="6" t="s">
        <v>17</v>
      </c>
      <c r="F532" s="7">
        <v>32357</v>
      </c>
      <c r="G532" s="8">
        <f t="shared" si="8"/>
        <v>32357</v>
      </c>
      <c r="H532" s="6" t="s">
        <v>13</v>
      </c>
      <c r="I532" s="9" t="s">
        <v>3380</v>
      </c>
      <c r="J532" s="10" t="s">
        <v>3380</v>
      </c>
      <c r="K532" s="17"/>
    </row>
    <row r="533" spans="1:11" ht="30" x14ac:dyDescent="0.25">
      <c r="A533" s="3" t="s">
        <v>1085</v>
      </c>
      <c r="B533" s="4" t="s">
        <v>1086</v>
      </c>
      <c r="C533" s="5">
        <v>1116</v>
      </c>
      <c r="D533" s="6" t="s">
        <v>28</v>
      </c>
      <c r="E533" s="6" t="s">
        <v>17</v>
      </c>
      <c r="F533" s="7">
        <v>34335</v>
      </c>
      <c r="G533" s="8">
        <f t="shared" si="8"/>
        <v>34335</v>
      </c>
      <c r="H533" s="6" t="s">
        <v>13</v>
      </c>
      <c r="I533" s="9" t="s">
        <v>3380</v>
      </c>
      <c r="J533" s="10" t="s">
        <v>3380</v>
      </c>
      <c r="K533" s="17"/>
    </row>
    <row r="534" spans="1:11" ht="30" x14ac:dyDescent="0.25">
      <c r="A534" s="3" t="s">
        <v>1087</v>
      </c>
      <c r="B534" s="4" t="s">
        <v>1088</v>
      </c>
      <c r="C534" s="5">
        <v>2062</v>
      </c>
      <c r="D534" s="6" t="s">
        <v>34</v>
      </c>
      <c r="E534" s="6" t="s">
        <v>17</v>
      </c>
      <c r="F534" s="7">
        <v>29221</v>
      </c>
      <c r="G534" s="8">
        <f t="shared" si="8"/>
        <v>29221</v>
      </c>
      <c r="H534" s="6" t="s">
        <v>13</v>
      </c>
      <c r="I534" s="9" t="s">
        <v>3380</v>
      </c>
      <c r="J534" s="10" t="s">
        <v>3380</v>
      </c>
      <c r="K534" s="17"/>
    </row>
    <row r="535" spans="1:11" ht="30" x14ac:dyDescent="0.25">
      <c r="A535" s="3" t="s">
        <v>1089</v>
      </c>
      <c r="B535" s="4" t="s">
        <v>1090</v>
      </c>
      <c r="C535" s="5">
        <v>52937</v>
      </c>
      <c r="D535" s="6" t="s">
        <v>34</v>
      </c>
      <c r="E535" s="6" t="s">
        <v>17</v>
      </c>
      <c r="F535" s="7">
        <v>38950</v>
      </c>
      <c r="G535" s="8">
        <f t="shared" si="8"/>
        <v>38950</v>
      </c>
      <c r="H535" s="6" t="s">
        <v>13</v>
      </c>
      <c r="I535" s="9" t="s">
        <v>3380</v>
      </c>
      <c r="J535" s="10" t="s">
        <v>3380</v>
      </c>
      <c r="K535" s="17"/>
    </row>
    <row r="536" spans="1:11" ht="30" x14ac:dyDescent="0.25">
      <c r="A536" s="3" t="s">
        <v>1091</v>
      </c>
      <c r="B536" s="4" t="s">
        <v>1092</v>
      </c>
      <c r="C536" s="14">
        <v>72175</v>
      </c>
      <c r="D536" s="6" t="s">
        <v>11</v>
      </c>
      <c r="E536" s="6" t="s">
        <v>17</v>
      </c>
      <c r="F536" s="7">
        <v>39133</v>
      </c>
      <c r="G536" s="8">
        <f t="shared" si="8"/>
        <v>39133</v>
      </c>
      <c r="H536" s="6" t="s">
        <v>13</v>
      </c>
      <c r="I536" s="9">
        <v>243859.41243127498</v>
      </c>
      <c r="J536" s="10">
        <v>1241.0038172324901</v>
      </c>
      <c r="K536" s="17"/>
    </row>
    <row r="537" spans="1:11" ht="30" x14ac:dyDescent="0.25">
      <c r="A537" s="3" t="s">
        <v>1093</v>
      </c>
      <c r="B537" s="4" t="s">
        <v>1094</v>
      </c>
      <c r="C537" s="5">
        <v>72174</v>
      </c>
      <c r="D537" s="6" t="s">
        <v>11</v>
      </c>
      <c r="E537" s="6" t="s">
        <v>12</v>
      </c>
      <c r="F537" s="7">
        <v>37915</v>
      </c>
      <c r="G537" s="8">
        <f t="shared" si="8"/>
        <v>37915</v>
      </c>
      <c r="H537" s="6" t="s">
        <v>39</v>
      </c>
      <c r="I537" s="9" t="s">
        <v>3380</v>
      </c>
      <c r="J537" s="10" t="s">
        <v>3380</v>
      </c>
      <c r="K537" s="17"/>
    </row>
    <row r="538" spans="1:11" ht="30" x14ac:dyDescent="0.25">
      <c r="A538" s="3" t="s">
        <v>1095</v>
      </c>
      <c r="B538" s="4" t="s">
        <v>1096</v>
      </c>
      <c r="C538" s="14">
        <v>1301</v>
      </c>
      <c r="D538" s="6" t="s">
        <v>16</v>
      </c>
      <c r="E538" s="6" t="s">
        <v>17</v>
      </c>
      <c r="F538" s="7">
        <v>19725</v>
      </c>
      <c r="G538" s="8">
        <f t="shared" si="8"/>
        <v>19725</v>
      </c>
      <c r="H538" s="6" t="s">
        <v>13</v>
      </c>
      <c r="I538" s="9">
        <v>421000.06172687002</v>
      </c>
      <c r="J538" s="10">
        <v>2000</v>
      </c>
      <c r="K538" s="17"/>
    </row>
    <row r="539" spans="1:11" x14ac:dyDescent="0.25">
      <c r="A539" s="3" t="s">
        <v>1097</v>
      </c>
      <c r="B539" s="4" t="s">
        <v>1098</v>
      </c>
      <c r="C539" s="5">
        <v>54557</v>
      </c>
      <c r="D539" s="6" t="s">
        <v>28</v>
      </c>
      <c r="E539" s="6" t="s">
        <v>17</v>
      </c>
      <c r="F539" s="7">
        <v>39518</v>
      </c>
      <c r="G539" s="8">
        <f t="shared" si="8"/>
        <v>39518</v>
      </c>
      <c r="H539" s="6" t="s">
        <v>13</v>
      </c>
      <c r="I539" s="9" t="s">
        <v>3380</v>
      </c>
      <c r="J539" s="10" t="s">
        <v>3380</v>
      </c>
      <c r="K539" s="11"/>
    </row>
    <row r="540" spans="1:11" ht="30" x14ac:dyDescent="0.25">
      <c r="A540" s="3" t="s">
        <v>1099</v>
      </c>
      <c r="B540" s="4" t="s">
        <v>1100</v>
      </c>
      <c r="C540" s="14">
        <v>1652</v>
      </c>
      <c r="D540" s="6" t="s">
        <v>28</v>
      </c>
      <c r="E540" s="6" t="s">
        <v>17</v>
      </c>
      <c r="F540" s="7">
        <v>36446</v>
      </c>
      <c r="G540" s="8">
        <f t="shared" si="8"/>
        <v>36446</v>
      </c>
      <c r="H540" s="6" t="s">
        <v>13</v>
      </c>
      <c r="I540" s="9" t="s">
        <v>3380</v>
      </c>
      <c r="J540" s="10" t="s">
        <v>3380</v>
      </c>
      <c r="K540" s="17"/>
    </row>
    <row r="541" spans="1:11" ht="30" x14ac:dyDescent="0.25">
      <c r="A541" s="3" t="s">
        <v>1101</v>
      </c>
      <c r="B541" s="4" t="s">
        <v>1102</v>
      </c>
      <c r="C541" s="5">
        <v>1374</v>
      </c>
      <c r="D541" s="6" t="s">
        <v>28</v>
      </c>
      <c r="E541" s="6" t="s">
        <v>17</v>
      </c>
      <c r="F541" s="7">
        <v>32509</v>
      </c>
      <c r="G541" s="8">
        <f t="shared" si="8"/>
        <v>32509</v>
      </c>
      <c r="H541" s="6" t="s">
        <v>13</v>
      </c>
      <c r="I541" s="9" t="s">
        <v>3380</v>
      </c>
      <c r="J541" s="10" t="s">
        <v>3380</v>
      </c>
      <c r="K541" s="17"/>
    </row>
    <row r="542" spans="1:11" ht="30" x14ac:dyDescent="0.25">
      <c r="A542" s="3" t="s">
        <v>1103</v>
      </c>
      <c r="B542" s="4" t="s">
        <v>1104</v>
      </c>
      <c r="C542" s="5">
        <v>10891</v>
      </c>
      <c r="D542" s="6" t="s">
        <v>28</v>
      </c>
      <c r="E542" s="6" t="s">
        <v>17</v>
      </c>
      <c r="F542" s="7">
        <v>37804</v>
      </c>
      <c r="G542" s="8">
        <f t="shared" si="8"/>
        <v>37804</v>
      </c>
      <c r="H542" s="6" t="s">
        <v>13</v>
      </c>
      <c r="I542" s="9" t="s">
        <v>3380</v>
      </c>
      <c r="J542" s="10" t="s">
        <v>3380</v>
      </c>
      <c r="K542" s="17"/>
    </row>
    <row r="543" spans="1:11" ht="30" x14ac:dyDescent="0.25">
      <c r="A543" s="3" t="s">
        <v>1105</v>
      </c>
      <c r="B543" s="4" t="s">
        <v>1106</v>
      </c>
      <c r="C543" s="5">
        <v>12811</v>
      </c>
      <c r="D543" s="6" t="s">
        <v>34</v>
      </c>
      <c r="E543" s="6" t="s">
        <v>17</v>
      </c>
      <c r="F543" s="7">
        <v>38153</v>
      </c>
      <c r="G543" s="8">
        <f t="shared" si="8"/>
        <v>38153</v>
      </c>
      <c r="H543" s="6" t="s">
        <v>13</v>
      </c>
      <c r="I543" s="9" t="s">
        <v>3380</v>
      </c>
      <c r="J543" s="10" t="s">
        <v>3380</v>
      </c>
      <c r="K543" s="17"/>
    </row>
    <row r="544" spans="1:11" ht="30" x14ac:dyDescent="0.25">
      <c r="A544" s="3" t="s">
        <v>1107</v>
      </c>
      <c r="B544" s="4" t="s">
        <v>1108</v>
      </c>
      <c r="C544" s="5">
        <v>1779</v>
      </c>
      <c r="D544" s="6" t="s">
        <v>28</v>
      </c>
      <c r="E544" s="6" t="s">
        <v>17</v>
      </c>
      <c r="F544" s="7">
        <v>35796</v>
      </c>
      <c r="G544" s="8">
        <f t="shared" si="8"/>
        <v>35796</v>
      </c>
      <c r="H544" s="6" t="s">
        <v>13</v>
      </c>
      <c r="I544" s="9" t="s">
        <v>3380</v>
      </c>
      <c r="J544" s="10" t="s">
        <v>3380</v>
      </c>
      <c r="K544" s="17"/>
    </row>
    <row r="545" spans="1:11" ht="30" x14ac:dyDescent="0.25">
      <c r="A545" s="3" t="s">
        <v>1109</v>
      </c>
      <c r="B545" s="4" t="s">
        <v>1110</v>
      </c>
      <c r="C545" s="5">
        <v>1998</v>
      </c>
      <c r="D545" s="6" t="s">
        <v>31</v>
      </c>
      <c r="E545" s="6" t="s">
        <v>17</v>
      </c>
      <c r="F545" s="7">
        <v>29221</v>
      </c>
      <c r="G545" s="8">
        <f t="shared" si="8"/>
        <v>29221</v>
      </c>
      <c r="H545" s="6" t="s">
        <v>13</v>
      </c>
      <c r="I545" s="9" t="s">
        <v>3380</v>
      </c>
      <c r="J545" s="10" t="s">
        <v>3380</v>
      </c>
      <c r="K545" s="17"/>
    </row>
    <row r="546" spans="1:11" ht="30" x14ac:dyDescent="0.25">
      <c r="A546" s="3" t="s">
        <v>1111</v>
      </c>
      <c r="B546" s="4" t="s">
        <v>1112</v>
      </c>
      <c r="C546" s="5">
        <v>1070</v>
      </c>
      <c r="D546" s="6" t="s">
        <v>31</v>
      </c>
      <c r="E546" s="6" t="s">
        <v>17</v>
      </c>
      <c r="F546" s="7">
        <v>29221</v>
      </c>
      <c r="G546" s="8">
        <f t="shared" si="8"/>
        <v>29221</v>
      </c>
      <c r="H546" s="6" t="s">
        <v>13</v>
      </c>
      <c r="I546" s="9" t="s">
        <v>3380</v>
      </c>
      <c r="J546" s="10" t="s">
        <v>3380</v>
      </c>
      <c r="K546" s="17"/>
    </row>
    <row r="547" spans="1:11" ht="30" x14ac:dyDescent="0.25">
      <c r="A547" s="3" t="s">
        <v>1113</v>
      </c>
      <c r="B547" s="4" t="s">
        <v>1114</v>
      </c>
      <c r="C547" s="14">
        <v>54559</v>
      </c>
      <c r="D547" s="6" t="s">
        <v>11</v>
      </c>
      <c r="E547" s="6" t="s">
        <v>12</v>
      </c>
      <c r="F547" s="7">
        <v>38022</v>
      </c>
      <c r="G547" s="8">
        <f t="shared" si="8"/>
        <v>38022</v>
      </c>
      <c r="H547" s="6" t="s">
        <v>39</v>
      </c>
      <c r="I547" s="9" t="s">
        <v>3380</v>
      </c>
      <c r="J547" s="10" t="s">
        <v>3380</v>
      </c>
      <c r="K547" s="17"/>
    </row>
    <row r="548" spans="1:11" ht="30" x14ac:dyDescent="0.25">
      <c r="A548" s="3" t="s">
        <v>1115</v>
      </c>
      <c r="B548" s="4" t="s">
        <v>1116</v>
      </c>
      <c r="C548" s="5">
        <v>54558</v>
      </c>
      <c r="D548" s="6" t="s">
        <v>11</v>
      </c>
      <c r="E548" s="6" t="s">
        <v>12</v>
      </c>
      <c r="F548" s="7">
        <v>38022</v>
      </c>
      <c r="G548" s="8">
        <f t="shared" si="8"/>
        <v>38022</v>
      </c>
      <c r="H548" s="6" t="s">
        <v>39</v>
      </c>
      <c r="I548" s="9" t="s">
        <v>3380</v>
      </c>
      <c r="J548" s="10" t="s">
        <v>3380</v>
      </c>
      <c r="K548" s="17"/>
    </row>
    <row r="549" spans="1:11" ht="30" x14ac:dyDescent="0.25">
      <c r="A549" s="3" t="s">
        <v>1117</v>
      </c>
      <c r="B549" s="4" t="s">
        <v>1118</v>
      </c>
      <c r="C549" s="5">
        <v>1782</v>
      </c>
      <c r="D549" s="6" t="s">
        <v>28</v>
      </c>
      <c r="E549" s="6" t="s">
        <v>17</v>
      </c>
      <c r="F549" s="7">
        <v>32143</v>
      </c>
      <c r="G549" s="8">
        <f t="shared" si="8"/>
        <v>32143</v>
      </c>
      <c r="H549" s="6" t="s">
        <v>13</v>
      </c>
      <c r="I549" s="9" t="s">
        <v>3380</v>
      </c>
      <c r="J549" s="10" t="s">
        <v>3380</v>
      </c>
      <c r="K549" s="17"/>
    </row>
    <row r="550" spans="1:11" ht="30" x14ac:dyDescent="0.25">
      <c r="A550" s="3" t="s">
        <v>1119</v>
      </c>
      <c r="B550" s="4" t="s">
        <v>1120</v>
      </c>
      <c r="C550" s="5">
        <v>24017</v>
      </c>
      <c r="D550" s="6" t="s">
        <v>31</v>
      </c>
      <c r="E550" s="6" t="s">
        <v>17</v>
      </c>
      <c r="F550" s="7">
        <v>36369</v>
      </c>
      <c r="G550" s="8">
        <f t="shared" si="8"/>
        <v>36369</v>
      </c>
      <c r="H550" s="6" t="s">
        <v>13</v>
      </c>
      <c r="I550" s="9" t="s">
        <v>3380</v>
      </c>
      <c r="J550" s="10" t="s">
        <v>3380</v>
      </c>
      <c r="K550" s="17"/>
    </row>
    <row r="551" spans="1:11" ht="30" x14ac:dyDescent="0.25">
      <c r="A551" s="3" t="s">
        <v>1121</v>
      </c>
      <c r="B551" s="4" t="s">
        <v>1122</v>
      </c>
      <c r="C551" s="14">
        <v>1606</v>
      </c>
      <c r="D551" s="6" t="s">
        <v>16</v>
      </c>
      <c r="E551" s="6" t="s">
        <v>17</v>
      </c>
      <c r="F551" s="7">
        <v>32813</v>
      </c>
      <c r="G551" s="8">
        <f t="shared" si="8"/>
        <v>32813</v>
      </c>
      <c r="H551" s="6" t="s">
        <v>13</v>
      </c>
      <c r="I551" s="9" t="s">
        <v>3380</v>
      </c>
      <c r="J551" s="10" t="s">
        <v>3380</v>
      </c>
      <c r="K551" s="17"/>
    </row>
    <row r="552" spans="1:11" ht="30" x14ac:dyDescent="0.25">
      <c r="A552" s="3" t="s">
        <v>1123</v>
      </c>
      <c r="B552" s="4" t="s">
        <v>1124</v>
      </c>
      <c r="C552" s="14">
        <v>21765</v>
      </c>
      <c r="D552" s="6" t="s">
        <v>31</v>
      </c>
      <c r="E552" s="6" t="s">
        <v>17</v>
      </c>
      <c r="F552" s="7">
        <v>31748</v>
      </c>
      <c r="G552" s="8">
        <f t="shared" si="8"/>
        <v>31748</v>
      </c>
      <c r="H552" s="6" t="s">
        <v>13</v>
      </c>
      <c r="I552" s="9" t="s">
        <v>3380</v>
      </c>
      <c r="J552" s="10" t="s">
        <v>3380</v>
      </c>
      <c r="K552" s="17"/>
    </row>
    <row r="553" spans="1:11" ht="30" x14ac:dyDescent="0.25">
      <c r="A553" s="3" t="s">
        <v>1125</v>
      </c>
      <c r="B553" s="4" t="s">
        <v>1126</v>
      </c>
      <c r="C553" s="5">
        <v>12809</v>
      </c>
      <c r="D553" s="6" t="s">
        <v>28</v>
      </c>
      <c r="E553" s="6" t="s">
        <v>17</v>
      </c>
      <c r="F553" s="7">
        <v>37761</v>
      </c>
      <c r="G553" s="8">
        <f t="shared" si="8"/>
        <v>37761</v>
      </c>
      <c r="H553" s="6" t="s">
        <v>13</v>
      </c>
      <c r="I553" s="9" t="s">
        <v>3380</v>
      </c>
      <c r="J553" s="10" t="s">
        <v>3380</v>
      </c>
      <c r="K553" s="17"/>
    </row>
    <row r="554" spans="1:11" ht="30" x14ac:dyDescent="0.25">
      <c r="A554" s="3" t="s">
        <v>1127</v>
      </c>
      <c r="B554" s="4" t="s">
        <v>1128</v>
      </c>
      <c r="C554" s="5">
        <v>2036</v>
      </c>
      <c r="D554" s="6" t="s">
        <v>31</v>
      </c>
      <c r="E554" s="6" t="s">
        <v>17</v>
      </c>
      <c r="F554" s="7">
        <v>25569</v>
      </c>
      <c r="G554" s="8">
        <f t="shared" si="8"/>
        <v>25569</v>
      </c>
      <c r="H554" s="6" t="s">
        <v>13</v>
      </c>
      <c r="I554" s="9" t="s">
        <v>3380</v>
      </c>
      <c r="J554" s="10" t="s">
        <v>3380</v>
      </c>
      <c r="K554" s="17"/>
    </row>
    <row r="555" spans="1:11" ht="30" x14ac:dyDescent="0.25">
      <c r="A555" s="3" t="s">
        <v>1129</v>
      </c>
      <c r="B555" s="4" t="s">
        <v>1130</v>
      </c>
      <c r="C555" s="5">
        <v>2028</v>
      </c>
      <c r="D555" s="6" t="s">
        <v>16</v>
      </c>
      <c r="E555" s="6" t="s">
        <v>17</v>
      </c>
      <c r="F555" s="7">
        <v>29221</v>
      </c>
      <c r="G555" s="8">
        <f t="shared" si="8"/>
        <v>29221</v>
      </c>
      <c r="H555" s="6" t="s">
        <v>13</v>
      </c>
      <c r="I555" s="9" t="s">
        <v>3380</v>
      </c>
      <c r="J555" s="10" t="s">
        <v>3380</v>
      </c>
      <c r="K555" s="17"/>
    </row>
    <row r="556" spans="1:11" ht="30" x14ac:dyDescent="0.25">
      <c r="A556" s="3" t="s">
        <v>1131</v>
      </c>
      <c r="B556" s="4" t="s">
        <v>1132</v>
      </c>
      <c r="C556" s="14">
        <v>1487</v>
      </c>
      <c r="D556" s="6" t="s">
        <v>34</v>
      </c>
      <c r="E556" s="6" t="s">
        <v>17</v>
      </c>
      <c r="F556" s="7">
        <v>29221</v>
      </c>
      <c r="G556" s="8">
        <f t="shared" si="8"/>
        <v>29221</v>
      </c>
      <c r="H556" s="6" t="s">
        <v>13</v>
      </c>
      <c r="I556" s="9" t="s">
        <v>3380</v>
      </c>
      <c r="J556" s="10" t="s">
        <v>3380</v>
      </c>
      <c r="K556" s="17"/>
    </row>
    <row r="557" spans="1:11" ht="30" x14ac:dyDescent="0.25">
      <c r="A557" s="3" t="s">
        <v>1133</v>
      </c>
      <c r="B557" s="4" t="s">
        <v>1134</v>
      </c>
      <c r="C557" s="5">
        <v>20801</v>
      </c>
      <c r="D557" s="6" t="s">
        <v>31</v>
      </c>
      <c r="E557" s="6" t="s">
        <v>17</v>
      </c>
      <c r="F557" s="7">
        <v>38504</v>
      </c>
      <c r="G557" s="8">
        <f t="shared" si="8"/>
        <v>38504</v>
      </c>
      <c r="H557" s="6" t="s">
        <v>13</v>
      </c>
      <c r="I557" s="9" t="s">
        <v>3380</v>
      </c>
      <c r="J557" s="10" t="s">
        <v>3380</v>
      </c>
      <c r="K557" s="17"/>
    </row>
    <row r="558" spans="1:11" ht="30" x14ac:dyDescent="0.25">
      <c r="A558" s="3" t="s">
        <v>1135</v>
      </c>
      <c r="B558" s="4" t="s">
        <v>1136</v>
      </c>
      <c r="C558" s="5">
        <v>16963</v>
      </c>
      <c r="D558" s="6" t="s">
        <v>31</v>
      </c>
      <c r="E558" s="6" t="s">
        <v>17</v>
      </c>
      <c r="F558" s="7">
        <v>21100</v>
      </c>
      <c r="G558" s="8">
        <f t="shared" si="8"/>
        <v>21100</v>
      </c>
      <c r="H558" s="6" t="s">
        <v>13</v>
      </c>
      <c r="I558" s="9" t="s">
        <v>3380</v>
      </c>
      <c r="J558" s="10" t="s">
        <v>3380</v>
      </c>
      <c r="K558" s="17"/>
    </row>
    <row r="559" spans="1:11" ht="30" x14ac:dyDescent="0.25">
      <c r="A559" s="3" t="s">
        <v>1137</v>
      </c>
      <c r="B559" s="4" t="s">
        <v>1138</v>
      </c>
      <c r="C559" s="14">
        <v>1573</v>
      </c>
      <c r="D559" s="6" t="s">
        <v>16</v>
      </c>
      <c r="E559" s="6" t="s">
        <v>17</v>
      </c>
      <c r="F559" s="7">
        <v>33521</v>
      </c>
      <c r="G559" s="8">
        <f t="shared" si="8"/>
        <v>33521</v>
      </c>
      <c r="H559" s="6" t="s">
        <v>13</v>
      </c>
      <c r="I559" s="9">
        <v>328643.36</v>
      </c>
      <c r="J559" s="10">
        <v>1500</v>
      </c>
      <c r="K559" s="17"/>
    </row>
    <row r="560" spans="1:11" ht="30" x14ac:dyDescent="0.25">
      <c r="A560" s="3" t="s">
        <v>1139</v>
      </c>
      <c r="B560" s="4" t="s">
        <v>1140</v>
      </c>
      <c r="C560" s="5">
        <v>1698</v>
      </c>
      <c r="D560" s="6" t="s">
        <v>31</v>
      </c>
      <c r="E560" s="6" t="s">
        <v>17</v>
      </c>
      <c r="F560" s="7">
        <v>29221</v>
      </c>
      <c r="G560" s="8">
        <f t="shared" si="8"/>
        <v>29221</v>
      </c>
      <c r="H560" s="6" t="s">
        <v>13</v>
      </c>
      <c r="I560" s="9" t="s">
        <v>3380</v>
      </c>
      <c r="J560" s="10" t="s">
        <v>3380</v>
      </c>
      <c r="K560" s="17"/>
    </row>
    <row r="561" spans="1:11" ht="30" x14ac:dyDescent="0.25">
      <c r="A561" s="3" t="s">
        <v>1141</v>
      </c>
      <c r="B561" s="4" t="s">
        <v>1142</v>
      </c>
      <c r="C561" s="14">
        <v>52354</v>
      </c>
      <c r="D561" s="6" t="s">
        <v>31</v>
      </c>
      <c r="E561" s="6" t="s">
        <v>17</v>
      </c>
      <c r="F561" s="7">
        <v>36301</v>
      </c>
      <c r="G561" s="8">
        <f t="shared" si="8"/>
        <v>36301</v>
      </c>
      <c r="H561" s="6" t="s">
        <v>13</v>
      </c>
      <c r="I561" s="9" t="s">
        <v>3380</v>
      </c>
      <c r="J561" s="10" t="s">
        <v>3380</v>
      </c>
      <c r="K561" s="17"/>
    </row>
    <row r="562" spans="1:11" ht="30" x14ac:dyDescent="0.25">
      <c r="A562" s="3" t="s">
        <v>1143</v>
      </c>
      <c r="B562" s="4" t="s">
        <v>1144</v>
      </c>
      <c r="C562" s="14">
        <v>1919</v>
      </c>
      <c r="D562" s="6" t="s">
        <v>31</v>
      </c>
      <c r="E562" s="6" t="s">
        <v>17</v>
      </c>
      <c r="F562" s="7">
        <v>29221</v>
      </c>
      <c r="G562" s="8">
        <f t="shared" si="8"/>
        <v>29221</v>
      </c>
      <c r="H562" s="6" t="s">
        <v>13</v>
      </c>
      <c r="I562" s="9">
        <v>263000</v>
      </c>
      <c r="J562" s="10">
        <v>1547.9593227294199</v>
      </c>
      <c r="K562" s="17"/>
    </row>
    <row r="563" spans="1:11" ht="30" x14ac:dyDescent="0.25">
      <c r="A563" s="3" t="s">
        <v>1145</v>
      </c>
      <c r="B563" s="4" t="s">
        <v>1146</v>
      </c>
      <c r="C563" s="5">
        <v>52385</v>
      </c>
      <c r="D563" s="6" t="s">
        <v>31</v>
      </c>
      <c r="E563" s="6" t="s">
        <v>17</v>
      </c>
      <c r="F563" s="7">
        <v>37378</v>
      </c>
      <c r="G563" s="8">
        <f t="shared" si="8"/>
        <v>37378</v>
      </c>
      <c r="H563" s="6" t="s">
        <v>13</v>
      </c>
      <c r="I563" s="9" t="s">
        <v>3380</v>
      </c>
      <c r="J563" s="10" t="s">
        <v>3380</v>
      </c>
      <c r="K563" s="17"/>
    </row>
    <row r="564" spans="1:11" ht="30" x14ac:dyDescent="0.25">
      <c r="A564" s="3" t="s">
        <v>1147</v>
      </c>
      <c r="B564" s="4" t="s">
        <v>1148</v>
      </c>
      <c r="C564" s="5">
        <v>1056</v>
      </c>
      <c r="D564" s="6" t="s">
        <v>31</v>
      </c>
      <c r="E564" s="6" t="s">
        <v>17</v>
      </c>
      <c r="F564" s="7">
        <v>36858</v>
      </c>
      <c r="G564" s="8">
        <f t="shared" si="8"/>
        <v>36858</v>
      </c>
      <c r="H564" s="6" t="s">
        <v>13</v>
      </c>
      <c r="I564" s="9">
        <v>71811.3240203358</v>
      </c>
      <c r="J564" s="10">
        <v>497.69927010139997</v>
      </c>
      <c r="K564" s="17"/>
    </row>
    <row r="565" spans="1:11" ht="30" x14ac:dyDescent="0.25">
      <c r="A565" s="3" t="s">
        <v>1149</v>
      </c>
      <c r="B565" s="4" t="s">
        <v>1150</v>
      </c>
      <c r="C565" s="5">
        <v>10888</v>
      </c>
      <c r="D565" s="6" t="s">
        <v>31</v>
      </c>
      <c r="E565" s="6" t="s">
        <v>17</v>
      </c>
      <c r="F565" s="7">
        <v>37819</v>
      </c>
      <c r="G565" s="8">
        <f t="shared" si="8"/>
        <v>37819</v>
      </c>
      <c r="H565" s="6" t="s">
        <v>13</v>
      </c>
      <c r="I565" s="9" t="s">
        <v>3380</v>
      </c>
      <c r="J565" s="10" t="s">
        <v>3380</v>
      </c>
      <c r="K565" s="17"/>
    </row>
    <row r="566" spans="1:11" ht="30" x14ac:dyDescent="0.25">
      <c r="A566" s="3" t="s">
        <v>1151</v>
      </c>
      <c r="B566" s="4" t="s">
        <v>1152</v>
      </c>
      <c r="C566" s="46">
        <v>399645</v>
      </c>
      <c r="D566" s="6" t="s">
        <v>34</v>
      </c>
      <c r="E566" s="6" t="s">
        <v>17</v>
      </c>
      <c r="F566" s="7">
        <v>45721</v>
      </c>
      <c r="G566" s="8">
        <f t="shared" si="8"/>
        <v>45721</v>
      </c>
      <c r="H566" s="6" t="s">
        <v>13</v>
      </c>
      <c r="I566" s="9">
        <v>624541.06999999995</v>
      </c>
      <c r="J566" s="10">
        <v>1090</v>
      </c>
      <c r="K566" s="17"/>
    </row>
    <row r="567" spans="1:11" ht="30" x14ac:dyDescent="0.25">
      <c r="A567" s="3" t="s">
        <v>1153</v>
      </c>
      <c r="B567" s="4" t="s">
        <v>1154</v>
      </c>
      <c r="C567" s="14">
        <v>8327</v>
      </c>
      <c r="D567" s="6" t="s">
        <v>28</v>
      </c>
      <c r="E567" s="6" t="s">
        <v>17</v>
      </c>
      <c r="F567" s="7">
        <v>34607</v>
      </c>
      <c r="G567" s="8">
        <f t="shared" si="8"/>
        <v>34607</v>
      </c>
      <c r="H567" s="6" t="s">
        <v>13</v>
      </c>
      <c r="I567" s="9" t="s">
        <v>3380</v>
      </c>
      <c r="J567" s="10" t="s">
        <v>3380</v>
      </c>
      <c r="K567" s="17"/>
    </row>
    <row r="568" spans="1:11" ht="30" x14ac:dyDescent="0.25">
      <c r="A568" s="3" t="s">
        <v>1155</v>
      </c>
      <c r="B568" s="4" t="s">
        <v>1156</v>
      </c>
      <c r="C568" s="14">
        <v>1154</v>
      </c>
      <c r="D568" s="6" t="s">
        <v>28</v>
      </c>
      <c r="E568" s="6" t="s">
        <v>17</v>
      </c>
      <c r="F568" s="7">
        <v>41190</v>
      </c>
      <c r="G568" s="8">
        <f t="shared" si="8"/>
        <v>41190</v>
      </c>
      <c r="H568" s="6" t="s">
        <v>13</v>
      </c>
      <c r="I568" s="9">
        <v>1043219.7200000001</v>
      </c>
      <c r="J568" s="10">
        <v>5400</v>
      </c>
      <c r="K568" s="17"/>
    </row>
    <row r="569" spans="1:11" ht="30" x14ac:dyDescent="0.25">
      <c r="A569" s="3" t="s">
        <v>1157</v>
      </c>
      <c r="B569" s="4" t="s">
        <v>1158</v>
      </c>
      <c r="C569" s="5">
        <v>21763</v>
      </c>
      <c r="D569" s="6" t="s">
        <v>11</v>
      </c>
      <c r="E569" s="6" t="s">
        <v>12</v>
      </c>
      <c r="F569" s="7">
        <v>32143</v>
      </c>
      <c r="G569" s="8">
        <f t="shared" si="8"/>
        <v>32143</v>
      </c>
      <c r="H569" s="6" t="s">
        <v>39</v>
      </c>
      <c r="I569" s="9" t="s">
        <v>3380</v>
      </c>
      <c r="J569" s="10" t="s">
        <v>3380</v>
      </c>
      <c r="K569" s="17"/>
    </row>
    <row r="570" spans="1:11" ht="30" x14ac:dyDescent="0.25">
      <c r="A570" s="3" t="s">
        <v>1159</v>
      </c>
      <c r="B570" s="4" t="s">
        <v>1160</v>
      </c>
      <c r="C570" s="14">
        <v>1279</v>
      </c>
      <c r="D570" s="6" t="s">
        <v>34</v>
      </c>
      <c r="E570" s="6" t="s">
        <v>17</v>
      </c>
      <c r="F570" s="7">
        <v>34957</v>
      </c>
      <c r="G570" s="8">
        <f t="shared" si="8"/>
        <v>34957</v>
      </c>
      <c r="H570" s="6" t="s">
        <v>13</v>
      </c>
      <c r="I570" s="9">
        <v>197701.63</v>
      </c>
      <c r="J570" s="10">
        <v>1450</v>
      </c>
      <c r="K570" s="17"/>
    </row>
    <row r="571" spans="1:11" ht="30" x14ac:dyDescent="0.25">
      <c r="A571" s="3" t="s">
        <v>1161</v>
      </c>
      <c r="B571" s="4" t="s">
        <v>1162</v>
      </c>
      <c r="C571" s="5">
        <v>72142</v>
      </c>
      <c r="D571" s="6" t="s">
        <v>28</v>
      </c>
      <c r="E571" s="6" t="s">
        <v>17</v>
      </c>
      <c r="F571" s="7">
        <v>39341</v>
      </c>
      <c r="G571" s="8">
        <f t="shared" si="8"/>
        <v>39341</v>
      </c>
      <c r="H571" s="6" t="s">
        <v>13</v>
      </c>
      <c r="I571" s="9" t="s">
        <v>3380</v>
      </c>
      <c r="J571" s="10" t="s">
        <v>3380</v>
      </c>
      <c r="K571" s="17"/>
    </row>
    <row r="572" spans="1:11" ht="30" x14ac:dyDescent="0.25">
      <c r="A572" s="3" t="s">
        <v>1163</v>
      </c>
      <c r="B572" s="4" t="s">
        <v>1164</v>
      </c>
      <c r="C572" s="5">
        <v>54560</v>
      </c>
      <c r="D572" s="6" t="s">
        <v>31</v>
      </c>
      <c r="E572" s="6" t="s">
        <v>17</v>
      </c>
      <c r="F572" s="7">
        <v>29768</v>
      </c>
      <c r="G572" s="8">
        <f t="shared" si="8"/>
        <v>29768</v>
      </c>
      <c r="H572" s="6" t="s">
        <v>13</v>
      </c>
      <c r="I572" s="9" t="s">
        <v>3380</v>
      </c>
      <c r="J572" s="10" t="s">
        <v>3380</v>
      </c>
      <c r="K572" s="17"/>
    </row>
    <row r="573" spans="1:11" x14ac:dyDescent="0.25">
      <c r="A573" s="18" t="s">
        <v>1165</v>
      </c>
      <c r="B573" s="19" t="s">
        <v>1166</v>
      </c>
      <c r="C573" s="20">
        <v>1284</v>
      </c>
      <c r="D573" s="21" t="s">
        <v>28</v>
      </c>
      <c r="E573" s="21" t="s">
        <v>17</v>
      </c>
      <c r="F573" s="22">
        <v>18264</v>
      </c>
      <c r="G573" s="23">
        <f t="shared" si="8"/>
        <v>18264</v>
      </c>
      <c r="H573" s="21" t="s">
        <v>13</v>
      </c>
      <c r="I573" s="9" t="s">
        <v>3380</v>
      </c>
      <c r="J573" s="10" t="s">
        <v>3380</v>
      </c>
      <c r="K573" s="25"/>
    </row>
    <row r="574" spans="1:11" ht="30" x14ac:dyDescent="0.25">
      <c r="A574" s="3" t="s">
        <v>1167</v>
      </c>
      <c r="B574" s="4" t="s">
        <v>1168</v>
      </c>
      <c r="C574" s="5">
        <v>1850</v>
      </c>
      <c r="D574" s="6" t="s">
        <v>16</v>
      </c>
      <c r="E574" s="6" t="s">
        <v>17</v>
      </c>
      <c r="F574" s="7">
        <v>29221</v>
      </c>
      <c r="G574" s="8">
        <f t="shared" si="8"/>
        <v>29221</v>
      </c>
      <c r="H574" s="6" t="s">
        <v>13</v>
      </c>
      <c r="I574" s="9" t="s">
        <v>3380</v>
      </c>
      <c r="J574" s="10" t="s">
        <v>3380</v>
      </c>
      <c r="K574" s="17"/>
    </row>
    <row r="575" spans="1:11" x14ac:dyDescent="0.25">
      <c r="A575" s="3" t="s">
        <v>1169</v>
      </c>
      <c r="B575" s="4" t="s">
        <v>1170</v>
      </c>
      <c r="C575" s="5">
        <v>1330</v>
      </c>
      <c r="D575" s="6" t="s">
        <v>31</v>
      </c>
      <c r="E575" s="6" t="s">
        <v>17</v>
      </c>
      <c r="F575" s="7">
        <v>25569</v>
      </c>
      <c r="G575" s="8">
        <f t="shared" si="8"/>
        <v>25569</v>
      </c>
      <c r="H575" s="6" t="s">
        <v>13</v>
      </c>
      <c r="I575" s="9" t="s">
        <v>3380</v>
      </c>
      <c r="J575" s="10" t="s">
        <v>3380</v>
      </c>
      <c r="K575" s="11"/>
    </row>
    <row r="576" spans="1:11" x14ac:dyDescent="0.25">
      <c r="A576" s="18" t="s">
        <v>1171</v>
      </c>
      <c r="B576" s="19" t="s">
        <v>1172</v>
      </c>
      <c r="C576" s="5">
        <v>1376</v>
      </c>
      <c r="D576" s="21" t="s">
        <v>28</v>
      </c>
      <c r="E576" s="21" t="s">
        <v>17</v>
      </c>
      <c r="F576" s="22">
        <v>38091</v>
      </c>
      <c r="G576" s="23">
        <f t="shared" si="8"/>
        <v>38091</v>
      </c>
      <c r="H576" s="21" t="s">
        <v>13</v>
      </c>
      <c r="I576" s="9" t="s">
        <v>3380</v>
      </c>
      <c r="J576" s="10" t="s">
        <v>3380</v>
      </c>
      <c r="K576" s="25"/>
    </row>
    <row r="577" spans="1:11" ht="30" x14ac:dyDescent="0.25">
      <c r="A577" s="3" t="s">
        <v>1173</v>
      </c>
      <c r="B577" s="4" t="s">
        <v>1174</v>
      </c>
      <c r="C577" s="5">
        <v>17285</v>
      </c>
      <c r="D577" s="6" t="s">
        <v>16</v>
      </c>
      <c r="E577" s="6" t="s">
        <v>17</v>
      </c>
      <c r="F577" s="7">
        <v>32316</v>
      </c>
      <c r="G577" s="8">
        <f t="shared" si="8"/>
        <v>32316</v>
      </c>
      <c r="H577" s="6" t="s">
        <v>13</v>
      </c>
      <c r="I577" s="9" t="s">
        <v>3380</v>
      </c>
      <c r="J577" s="10" t="s">
        <v>3380</v>
      </c>
      <c r="K577" s="17"/>
    </row>
    <row r="578" spans="1:11" ht="30" x14ac:dyDescent="0.25">
      <c r="A578" s="3" t="s">
        <v>1175</v>
      </c>
      <c r="B578" s="4" t="s">
        <v>1176</v>
      </c>
      <c r="C578" s="14">
        <v>16648</v>
      </c>
      <c r="D578" s="6" t="s">
        <v>16</v>
      </c>
      <c r="E578" s="6" t="s">
        <v>17</v>
      </c>
      <c r="F578" s="7">
        <v>31027</v>
      </c>
      <c r="G578" s="8">
        <f t="shared" ref="G578:G641" si="9">F578</f>
        <v>31027</v>
      </c>
      <c r="H578" s="6" t="s">
        <v>13</v>
      </c>
      <c r="I578" s="9">
        <v>231680.274327986</v>
      </c>
      <c r="J578" s="10">
        <v>1048.37839806377</v>
      </c>
      <c r="K578" s="17"/>
    </row>
    <row r="579" spans="1:11" ht="30" x14ac:dyDescent="0.25">
      <c r="A579" s="3" t="s">
        <v>1177</v>
      </c>
      <c r="B579" s="4" t="s">
        <v>1178</v>
      </c>
      <c r="C579" s="5">
        <v>12492</v>
      </c>
      <c r="D579" s="6" t="s">
        <v>34</v>
      </c>
      <c r="E579" s="6" t="s">
        <v>17</v>
      </c>
      <c r="F579" s="7">
        <v>38113</v>
      </c>
      <c r="G579" s="8">
        <f t="shared" si="9"/>
        <v>38113</v>
      </c>
      <c r="H579" s="6" t="s">
        <v>13</v>
      </c>
      <c r="I579" s="9" t="s">
        <v>3380</v>
      </c>
      <c r="J579" s="10" t="s">
        <v>3380</v>
      </c>
      <c r="K579" s="17"/>
    </row>
    <row r="580" spans="1:11" ht="30" x14ac:dyDescent="0.25">
      <c r="A580" s="3" t="s">
        <v>1179</v>
      </c>
      <c r="B580" s="4" t="s">
        <v>1180</v>
      </c>
      <c r="C580" s="5">
        <v>72169</v>
      </c>
      <c r="D580" s="6" t="s">
        <v>37</v>
      </c>
      <c r="E580" s="6" t="s">
        <v>38</v>
      </c>
      <c r="F580" s="7">
        <v>39184</v>
      </c>
      <c r="G580" s="8">
        <f t="shared" si="9"/>
        <v>39184</v>
      </c>
      <c r="H580" s="6" t="s">
        <v>39</v>
      </c>
      <c r="I580" s="9" t="s">
        <v>3380</v>
      </c>
      <c r="J580" s="10" t="s">
        <v>3380</v>
      </c>
      <c r="K580" s="17"/>
    </row>
    <row r="581" spans="1:11" ht="30" x14ac:dyDescent="0.25">
      <c r="A581" s="3" t="s">
        <v>1181</v>
      </c>
      <c r="B581" s="4" t="s">
        <v>1182</v>
      </c>
      <c r="C581" s="5">
        <v>29185</v>
      </c>
      <c r="D581" s="6" t="s">
        <v>34</v>
      </c>
      <c r="E581" s="6" t="s">
        <v>17</v>
      </c>
      <c r="F581" s="7">
        <v>38275</v>
      </c>
      <c r="G581" s="8">
        <f t="shared" si="9"/>
        <v>38275</v>
      </c>
      <c r="H581" s="6" t="s">
        <v>13</v>
      </c>
      <c r="I581" s="9" t="s">
        <v>3380</v>
      </c>
      <c r="J581" s="10" t="s">
        <v>3380</v>
      </c>
      <c r="K581" s="17"/>
    </row>
    <row r="582" spans="1:11" ht="30" x14ac:dyDescent="0.25">
      <c r="A582" s="3" t="s">
        <v>1183</v>
      </c>
      <c r="B582" s="4" t="s">
        <v>1184</v>
      </c>
      <c r="C582" s="5">
        <v>32273</v>
      </c>
      <c r="D582" s="6" t="s">
        <v>28</v>
      </c>
      <c r="E582" s="6" t="s">
        <v>17</v>
      </c>
      <c r="F582" s="7">
        <v>38474</v>
      </c>
      <c r="G582" s="8">
        <f t="shared" si="9"/>
        <v>38474</v>
      </c>
      <c r="H582" s="6" t="s">
        <v>13</v>
      </c>
      <c r="I582" s="9" t="s">
        <v>3380</v>
      </c>
      <c r="J582" s="10" t="s">
        <v>3380</v>
      </c>
      <c r="K582" s="17"/>
    </row>
    <row r="583" spans="1:11" ht="30" x14ac:dyDescent="0.25">
      <c r="A583" s="3" t="s">
        <v>1185</v>
      </c>
      <c r="B583" s="4" t="s">
        <v>1186</v>
      </c>
      <c r="C583" s="5">
        <v>10572</v>
      </c>
      <c r="D583" s="6" t="s">
        <v>16</v>
      </c>
      <c r="E583" s="6" t="s">
        <v>17</v>
      </c>
      <c r="F583" s="7">
        <v>37148</v>
      </c>
      <c r="G583" s="8">
        <f t="shared" si="9"/>
        <v>37148</v>
      </c>
      <c r="H583" s="6" t="s">
        <v>13</v>
      </c>
      <c r="I583" s="9" t="s">
        <v>3380</v>
      </c>
      <c r="J583" s="10" t="s">
        <v>3380</v>
      </c>
      <c r="K583" s="17"/>
    </row>
    <row r="584" spans="1:11" ht="30" x14ac:dyDescent="0.25">
      <c r="A584" s="3" t="s">
        <v>1187</v>
      </c>
      <c r="B584" s="4" t="s">
        <v>1188</v>
      </c>
      <c r="C584" s="5">
        <v>2243</v>
      </c>
      <c r="D584" s="6" t="s">
        <v>28</v>
      </c>
      <c r="E584" s="6" t="s">
        <v>17</v>
      </c>
      <c r="F584" s="7">
        <v>31958</v>
      </c>
      <c r="G584" s="8">
        <f t="shared" si="9"/>
        <v>31958</v>
      </c>
      <c r="H584" s="6" t="s">
        <v>13</v>
      </c>
      <c r="I584" s="9" t="s">
        <v>3380</v>
      </c>
      <c r="J584" s="10" t="s">
        <v>3380</v>
      </c>
      <c r="K584" s="17"/>
    </row>
    <row r="585" spans="1:11" ht="30" x14ac:dyDescent="0.25">
      <c r="A585" s="3" t="s">
        <v>1189</v>
      </c>
      <c r="B585" s="4" t="s">
        <v>1190</v>
      </c>
      <c r="C585" s="14">
        <v>19207</v>
      </c>
      <c r="D585" s="6" t="s">
        <v>16</v>
      </c>
      <c r="E585" s="6" t="s">
        <v>17</v>
      </c>
      <c r="F585" s="7">
        <v>24737</v>
      </c>
      <c r="G585" s="8">
        <f t="shared" si="9"/>
        <v>24737</v>
      </c>
      <c r="H585" s="6" t="s">
        <v>13</v>
      </c>
      <c r="I585" s="9" t="s">
        <v>3380</v>
      </c>
      <c r="J585" s="10" t="s">
        <v>3380</v>
      </c>
      <c r="K585" s="17"/>
    </row>
    <row r="586" spans="1:11" ht="30" x14ac:dyDescent="0.25">
      <c r="A586" s="3" t="s">
        <v>1191</v>
      </c>
      <c r="B586" s="4" t="s">
        <v>1192</v>
      </c>
      <c r="C586" s="14">
        <v>1722</v>
      </c>
      <c r="D586" s="6" t="s">
        <v>16</v>
      </c>
      <c r="E586" s="6" t="s">
        <v>17</v>
      </c>
      <c r="F586" s="7">
        <v>25569</v>
      </c>
      <c r="G586" s="8">
        <f t="shared" si="9"/>
        <v>25569</v>
      </c>
      <c r="H586" s="6" t="s">
        <v>13</v>
      </c>
      <c r="I586" s="9" t="s">
        <v>3380</v>
      </c>
      <c r="J586" s="10" t="s">
        <v>3380</v>
      </c>
      <c r="K586" s="17"/>
    </row>
    <row r="587" spans="1:11" ht="30" x14ac:dyDescent="0.25">
      <c r="A587" s="3" t="s">
        <v>1193</v>
      </c>
      <c r="B587" s="4" t="s">
        <v>1194</v>
      </c>
      <c r="C587" s="14">
        <v>1745</v>
      </c>
      <c r="D587" s="6" t="s">
        <v>34</v>
      </c>
      <c r="E587" s="6" t="s">
        <v>17</v>
      </c>
      <c r="F587" s="7">
        <v>36850</v>
      </c>
      <c r="G587" s="8">
        <f t="shared" si="9"/>
        <v>36850</v>
      </c>
      <c r="H587" s="6" t="s">
        <v>13</v>
      </c>
      <c r="I587" s="9" t="s">
        <v>3380</v>
      </c>
      <c r="J587" s="10" t="s">
        <v>3380</v>
      </c>
      <c r="K587" s="17"/>
    </row>
    <row r="588" spans="1:11" ht="30" x14ac:dyDescent="0.25">
      <c r="A588" s="3" t="s">
        <v>1195</v>
      </c>
      <c r="B588" s="4" t="s">
        <v>1196</v>
      </c>
      <c r="C588" s="5">
        <v>14081</v>
      </c>
      <c r="D588" s="6" t="s">
        <v>34</v>
      </c>
      <c r="E588" s="6" t="s">
        <v>17</v>
      </c>
      <c r="F588" s="7">
        <v>38049</v>
      </c>
      <c r="G588" s="8">
        <f t="shared" si="9"/>
        <v>38049</v>
      </c>
      <c r="H588" s="6" t="s">
        <v>13</v>
      </c>
      <c r="I588" s="9" t="s">
        <v>3380</v>
      </c>
      <c r="J588" s="10" t="s">
        <v>3380</v>
      </c>
      <c r="K588" s="17"/>
    </row>
    <row r="589" spans="1:11" ht="30" x14ac:dyDescent="0.25">
      <c r="A589" s="3" t="s">
        <v>1197</v>
      </c>
      <c r="B589" s="4" t="s">
        <v>1198</v>
      </c>
      <c r="C589" s="14">
        <v>1110</v>
      </c>
      <c r="D589" s="6" t="s">
        <v>28</v>
      </c>
      <c r="E589" s="6" t="s">
        <v>17</v>
      </c>
      <c r="F589" s="7">
        <v>36901</v>
      </c>
      <c r="G589" s="8">
        <f t="shared" si="9"/>
        <v>36901</v>
      </c>
      <c r="H589" s="6" t="s">
        <v>13</v>
      </c>
      <c r="I589" s="9" t="s">
        <v>3380</v>
      </c>
      <c r="J589" s="10" t="s">
        <v>3380</v>
      </c>
      <c r="K589" s="17"/>
    </row>
    <row r="590" spans="1:11" ht="30" x14ac:dyDescent="0.25">
      <c r="A590" s="3" t="s">
        <v>1199</v>
      </c>
      <c r="B590" s="4" t="s">
        <v>1200</v>
      </c>
      <c r="C590" s="5">
        <v>1371</v>
      </c>
      <c r="D590" s="6" t="s">
        <v>28</v>
      </c>
      <c r="E590" s="6" t="s">
        <v>17</v>
      </c>
      <c r="F590" s="7">
        <v>29952</v>
      </c>
      <c r="G590" s="8">
        <f t="shared" si="9"/>
        <v>29952</v>
      </c>
      <c r="H590" s="6" t="s">
        <v>13</v>
      </c>
      <c r="I590" s="9" t="s">
        <v>3380</v>
      </c>
      <c r="J590" s="10" t="s">
        <v>3380</v>
      </c>
      <c r="K590" s="17"/>
    </row>
    <row r="591" spans="1:11" x14ac:dyDescent="0.25">
      <c r="A591" s="26" t="s">
        <v>1201</v>
      </c>
      <c r="B591" s="27" t="s">
        <v>1202</v>
      </c>
      <c r="C591" s="5">
        <v>1255</v>
      </c>
      <c r="D591" s="28" t="s">
        <v>28</v>
      </c>
      <c r="E591" s="28" t="s">
        <v>17</v>
      </c>
      <c r="F591" s="29">
        <v>28491</v>
      </c>
      <c r="G591" s="30">
        <f t="shared" si="9"/>
        <v>28491</v>
      </c>
      <c r="H591" s="28" t="s">
        <v>13</v>
      </c>
      <c r="I591" s="9" t="s">
        <v>3380</v>
      </c>
      <c r="J591" s="10" t="s">
        <v>3380</v>
      </c>
      <c r="K591" s="33"/>
    </row>
    <row r="592" spans="1:11" ht="30" x14ac:dyDescent="0.25">
      <c r="A592" s="3" t="s">
        <v>1203</v>
      </c>
      <c r="B592" s="4" t="s">
        <v>1204</v>
      </c>
      <c r="C592" s="14">
        <v>9922</v>
      </c>
      <c r="D592" s="6" t="s">
        <v>34</v>
      </c>
      <c r="E592" s="6" t="s">
        <v>17</v>
      </c>
      <c r="F592" s="7">
        <v>37575</v>
      </c>
      <c r="G592" s="8">
        <f t="shared" si="9"/>
        <v>37575</v>
      </c>
      <c r="H592" s="6" t="s">
        <v>13</v>
      </c>
      <c r="I592" s="9" t="s">
        <v>3380</v>
      </c>
      <c r="J592" s="10" t="s">
        <v>3380</v>
      </c>
      <c r="K592" s="17"/>
    </row>
    <row r="593" spans="1:11" ht="30" x14ac:dyDescent="0.25">
      <c r="A593" s="3" t="s">
        <v>1205</v>
      </c>
      <c r="B593" s="4" t="s">
        <v>1206</v>
      </c>
      <c r="C593" s="5">
        <v>1683</v>
      </c>
      <c r="D593" s="6" t="s">
        <v>28</v>
      </c>
      <c r="E593" s="6" t="s">
        <v>17</v>
      </c>
      <c r="F593" s="7">
        <v>33239</v>
      </c>
      <c r="G593" s="8">
        <f t="shared" si="9"/>
        <v>33239</v>
      </c>
      <c r="H593" s="6" t="s">
        <v>13</v>
      </c>
      <c r="I593" s="9" t="s">
        <v>3380</v>
      </c>
      <c r="J593" s="10" t="s">
        <v>3380</v>
      </c>
      <c r="K593" s="17"/>
    </row>
    <row r="594" spans="1:11" ht="30" x14ac:dyDescent="0.25">
      <c r="A594" s="3" t="s">
        <v>1207</v>
      </c>
      <c r="B594" s="4" t="s">
        <v>1208</v>
      </c>
      <c r="C594" s="5">
        <v>54563</v>
      </c>
      <c r="D594" s="6" t="s">
        <v>28</v>
      </c>
      <c r="E594" s="6" t="s">
        <v>17</v>
      </c>
      <c r="F594" s="7">
        <v>37138</v>
      </c>
      <c r="G594" s="8">
        <f t="shared" si="9"/>
        <v>37138</v>
      </c>
      <c r="H594" s="6" t="s">
        <v>13</v>
      </c>
      <c r="I594" s="9" t="s">
        <v>3380</v>
      </c>
      <c r="J594" s="10" t="s">
        <v>3380</v>
      </c>
      <c r="K594" s="17"/>
    </row>
    <row r="595" spans="1:11" ht="30" x14ac:dyDescent="0.25">
      <c r="A595" s="3" t="s">
        <v>1209</v>
      </c>
      <c r="B595" s="4" t="s">
        <v>1210</v>
      </c>
      <c r="C595" s="5">
        <v>89409</v>
      </c>
      <c r="D595" s="6" t="s">
        <v>16</v>
      </c>
      <c r="E595" s="6" t="s">
        <v>17</v>
      </c>
      <c r="F595" s="7">
        <v>39295</v>
      </c>
      <c r="G595" s="8">
        <f t="shared" si="9"/>
        <v>39295</v>
      </c>
      <c r="H595" s="6" t="s">
        <v>13</v>
      </c>
      <c r="I595" s="9" t="s">
        <v>3380</v>
      </c>
      <c r="J595" s="10" t="s">
        <v>3380</v>
      </c>
      <c r="K595" s="17"/>
    </row>
    <row r="596" spans="1:11" ht="30" x14ac:dyDescent="0.25">
      <c r="A596" s="3" t="s">
        <v>1211</v>
      </c>
      <c r="B596" s="4" t="s">
        <v>1212</v>
      </c>
      <c r="C596" s="5">
        <v>1909</v>
      </c>
      <c r="D596" s="6" t="s">
        <v>34</v>
      </c>
      <c r="E596" s="6" t="s">
        <v>17</v>
      </c>
      <c r="F596" s="7">
        <v>25569</v>
      </c>
      <c r="G596" s="8">
        <f t="shared" si="9"/>
        <v>25569</v>
      </c>
      <c r="H596" s="6" t="s">
        <v>13</v>
      </c>
      <c r="I596" s="9" t="s">
        <v>3380</v>
      </c>
      <c r="J596" s="10" t="s">
        <v>3380</v>
      </c>
      <c r="K596" s="17"/>
    </row>
    <row r="597" spans="1:11" ht="30" x14ac:dyDescent="0.25">
      <c r="A597" s="3" t="s">
        <v>1213</v>
      </c>
      <c r="B597" s="4" t="s">
        <v>1214</v>
      </c>
      <c r="C597" s="5">
        <v>54562</v>
      </c>
      <c r="D597" s="6" t="s">
        <v>31</v>
      </c>
      <c r="E597" s="6" t="s">
        <v>17</v>
      </c>
      <c r="F597" s="7">
        <v>39518</v>
      </c>
      <c r="G597" s="8">
        <f t="shared" si="9"/>
        <v>39518</v>
      </c>
      <c r="H597" s="6" t="s">
        <v>13</v>
      </c>
      <c r="I597" s="9" t="s">
        <v>3380</v>
      </c>
      <c r="J597" s="10" t="s">
        <v>3380</v>
      </c>
      <c r="K597" s="17"/>
    </row>
    <row r="598" spans="1:11" x14ac:dyDescent="0.25">
      <c r="A598" s="26" t="s">
        <v>1215</v>
      </c>
      <c r="B598" s="27" t="s">
        <v>1216</v>
      </c>
      <c r="C598" s="34">
        <v>1138</v>
      </c>
      <c r="D598" s="28" t="s">
        <v>31</v>
      </c>
      <c r="E598" s="28" t="s">
        <v>17</v>
      </c>
      <c r="F598" s="29">
        <v>29221</v>
      </c>
      <c r="G598" s="30">
        <f t="shared" si="9"/>
        <v>29221</v>
      </c>
      <c r="H598" s="28" t="s">
        <v>13</v>
      </c>
      <c r="I598" s="9" t="s">
        <v>3380</v>
      </c>
      <c r="J598" s="10" t="s">
        <v>3380</v>
      </c>
      <c r="K598" s="33"/>
    </row>
    <row r="599" spans="1:11" x14ac:dyDescent="0.25">
      <c r="A599" s="18" t="s">
        <v>1217</v>
      </c>
      <c r="B599" s="19" t="s">
        <v>1218</v>
      </c>
      <c r="C599" s="5">
        <v>20173</v>
      </c>
      <c r="D599" s="21" t="s">
        <v>34</v>
      </c>
      <c r="E599" s="21" t="s">
        <v>17</v>
      </c>
      <c r="F599" s="22">
        <v>20821</v>
      </c>
      <c r="G599" s="23">
        <f t="shared" si="9"/>
        <v>20821</v>
      </c>
      <c r="H599" s="21" t="s">
        <v>13</v>
      </c>
      <c r="I599" s="9" t="s">
        <v>3380</v>
      </c>
      <c r="J599" s="10" t="s">
        <v>3380</v>
      </c>
      <c r="K599" s="25"/>
    </row>
    <row r="600" spans="1:11" ht="30" x14ac:dyDescent="0.25">
      <c r="A600" s="3" t="s">
        <v>1219</v>
      </c>
      <c r="B600" s="4" t="s">
        <v>1220</v>
      </c>
      <c r="C600" s="14">
        <v>1204</v>
      </c>
      <c r="D600" s="6" t="s">
        <v>31</v>
      </c>
      <c r="E600" s="6" t="s">
        <v>17</v>
      </c>
      <c r="F600" s="7">
        <v>29221</v>
      </c>
      <c r="G600" s="8">
        <f t="shared" si="9"/>
        <v>29221</v>
      </c>
      <c r="H600" s="6" t="s">
        <v>13</v>
      </c>
      <c r="I600" s="9" t="s">
        <v>3380</v>
      </c>
      <c r="J600" s="10" t="s">
        <v>3380</v>
      </c>
      <c r="K600" s="17"/>
    </row>
    <row r="601" spans="1:11" ht="30" x14ac:dyDescent="0.25">
      <c r="A601" s="3" t="s">
        <v>1221</v>
      </c>
      <c r="B601" s="4" t="s">
        <v>1222</v>
      </c>
      <c r="C601" s="5">
        <v>16654</v>
      </c>
      <c r="D601" s="6" t="s">
        <v>16</v>
      </c>
      <c r="E601" s="6" t="s">
        <v>17</v>
      </c>
      <c r="F601" s="7">
        <v>26276</v>
      </c>
      <c r="G601" s="8">
        <f t="shared" si="9"/>
        <v>26276</v>
      </c>
      <c r="H601" s="6" t="s">
        <v>13</v>
      </c>
      <c r="I601" s="9" t="s">
        <v>3380</v>
      </c>
      <c r="J601" s="10" t="s">
        <v>3380</v>
      </c>
      <c r="K601" s="17"/>
    </row>
    <row r="602" spans="1:11" ht="30" x14ac:dyDescent="0.25">
      <c r="A602" s="3" t="s">
        <v>1223</v>
      </c>
      <c r="B602" s="4" t="s">
        <v>1224</v>
      </c>
      <c r="C602" s="5">
        <v>33889</v>
      </c>
      <c r="D602" s="6" t="s">
        <v>31</v>
      </c>
      <c r="E602" s="6" t="s">
        <v>17</v>
      </c>
      <c r="F602" s="7">
        <v>39983</v>
      </c>
      <c r="G602" s="8">
        <f t="shared" si="9"/>
        <v>39983</v>
      </c>
      <c r="H602" s="6" t="s">
        <v>13</v>
      </c>
      <c r="I602" s="9" t="s">
        <v>3380</v>
      </c>
      <c r="J602" s="10" t="s">
        <v>3380</v>
      </c>
      <c r="K602" s="17"/>
    </row>
    <row r="603" spans="1:11" ht="30" x14ac:dyDescent="0.25">
      <c r="A603" s="3" t="s">
        <v>1225</v>
      </c>
      <c r="B603" s="4" t="s">
        <v>1226</v>
      </c>
      <c r="C603" s="5">
        <v>1315</v>
      </c>
      <c r="D603" s="6" t="s">
        <v>16</v>
      </c>
      <c r="E603" s="6" t="s">
        <v>17</v>
      </c>
      <c r="F603" s="7">
        <v>29221</v>
      </c>
      <c r="G603" s="8">
        <f t="shared" si="9"/>
        <v>29221</v>
      </c>
      <c r="H603" s="6" t="s">
        <v>13</v>
      </c>
      <c r="I603" s="9" t="s">
        <v>3380</v>
      </c>
      <c r="J603" s="10" t="s">
        <v>3380</v>
      </c>
      <c r="K603" s="17"/>
    </row>
    <row r="604" spans="1:11" ht="30" x14ac:dyDescent="0.25">
      <c r="A604" s="3" t="s">
        <v>1227</v>
      </c>
      <c r="B604" s="4" t="s">
        <v>1228</v>
      </c>
      <c r="C604" s="14">
        <v>35489</v>
      </c>
      <c r="D604" s="6" t="s">
        <v>11</v>
      </c>
      <c r="E604" s="6" t="s">
        <v>12</v>
      </c>
      <c r="F604" s="7">
        <v>28843</v>
      </c>
      <c r="G604" s="8">
        <f t="shared" si="9"/>
        <v>28843</v>
      </c>
      <c r="H604" s="6" t="s">
        <v>776</v>
      </c>
      <c r="I604" s="9" t="s">
        <v>3380</v>
      </c>
      <c r="J604" s="10" t="s">
        <v>3380</v>
      </c>
      <c r="K604" s="11"/>
    </row>
    <row r="605" spans="1:11" ht="30" x14ac:dyDescent="0.25">
      <c r="A605" s="3" t="s">
        <v>1229</v>
      </c>
      <c r="B605" s="4" t="s">
        <v>1230</v>
      </c>
      <c r="C605" s="14">
        <v>1944</v>
      </c>
      <c r="D605" s="6" t="s">
        <v>34</v>
      </c>
      <c r="E605" s="6" t="s">
        <v>17</v>
      </c>
      <c r="F605" s="7">
        <v>18264</v>
      </c>
      <c r="G605" s="8">
        <f t="shared" si="9"/>
        <v>18264</v>
      </c>
      <c r="H605" s="6" t="s">
        <v>13</v>
      </c>
      <c r="I605" s="9">
        <v>451144.14</v>
      </c>
      <c r="J605" s="10">
        <v>4000</v>
      </c>
      <c r="K605" s="17"/>
    </row>
    <row r="606" spans="1:11" x14ac:dyDescent="0.25">
      <c r="A606" s="26" t="s">
        <v>1231</v>
      </c>
      <c r="B606" s="27" t="s">
        <v>1232</v>
      </c>
      <c r="C606" s="34">
        <v>1917</v>
      </c>
      <c r="D606" s="28" t="s">
        <v>31</v>
      </c>
      <c r="E606" s="28" t="s">
        <v>17</v>
      </c>
      <c r="F606" s="29">
        <v>27011</v>
      </c>
      <c r="G606" s="30">
        <f t="shared" si="9"/>
        <v>27011</v>
      </c>
      <c r="H606" s="28" t="s">
        <v>13</v>
      </c>
      <c r="I606" s="9" t="s">
        <v>3380</v>
      </c>
      <c r="J606" s="10" t="s">
        <v>3380</v>
      </c>
      <c r="K606" s="33"/>
    </row>
    <row r="607" spans="1:11" x14ac:dyDescent="0.25">
      <c r="A607" s="26" t="s">
        <v>1233</v>
      </c>
      <c r="B607" s="27" t="s">
        <v>1234</v>
      </c>
      <c r="C607" s="34">
        <v>1860</v>
      </c>
      <c r="D607" s="28" t="s">
        <v>31</v>
      </c>
      <c r="E607" s="28" t="s">
        <v>17</v>
      </c>
      <c r="F607" s="29">
        <v>38029</v>
      </c>
      <c r="G607" s="30">
        <f t="shared" si="9"/>
        <v>38029</v>
      </c>
      <c r="H607" s="28" t="s">
        <v>13</v>
      </c>
      <c r="I607" s="9" t="s">
        <v>3380</v>
      </c>
      <c r="J607" s="10" t="s">
        <v>3380</v>
      </c>
      <c r="K607" s="33"/>
    </row>
    <row r="608" spans="1:11" ht="30" x14ac:dyDescent="0.25">
      <c r="A608" s="3" t="s">
        <v>1235</v>
      </c>
      <c r="B608" s="4" t="s">
        <v>1236</v>
      </c>
      <c r="C608" s="14">
        <v>37169</v>
      </c>
      <c r="D608" s="6" t="s">
        <v>11</v>
      </c>
      <c r="E608" s="6" t="s">
        <v>12</v>
      </c>
      <c r="F608" s="7">
        <v>27046</v>
      </c>
      <c r="G608" s="8">
        <f t="shared" si="9"/>
        <v>27046</v>
      </c>
      <c r="H608" s="6" t="s">
        <v>776</v>
      </c>
      <c r="I608" s="9" t="s">
        <v>3380</v>
      </c>
      <c r="J608" s="10" t="s">
        <v>3380</v>
      </c>
      <c r="K608" s="17"/>
    </row>
    <row r="609" spans="1:11" ht="30" x14ac:dyDescent="0.25">
      <c r="A609" s="3" t="s">
        <v>1237</v>
      </c>
      <c r="B609" s="4" t="s">
        <v>1238</v>
      </c>
      <c r="C609" s="5">
        <v>2245</v>
      </c>
      <c r="D609" s="6" t="s">
        <v>16</v>
      </c>
      <c r="E609" s="6" t="s">
        <v>17</v>
      </c>
      <c r="F609" s="7">
        <v>37084</v>
      </c>
      <c r="G609" s="8">
        <f t="shared" si="9"/>
        <v>37084</v>
      </c>
      <c r="H609" s="6" t="s">
        <v>13</v>
      </c>
      <c r="I609" s="9" t="s">
        <v>3380</v>
      </c>
      <c r="J609" s="10" t="s">
        <v>3380</v>
      </c>
      <c r="K609" s="17"/>
    </row>
    <row r="610" spans="1:11" ht="30" x14ac:dyDescent="0.25">
      <c r="A610" s="3" t="s">
        <v>1239</v>
      </c>
      <c r="B610" s="4" t="s">
        <v>1240</v>
      </c>
      <c r="C610" s="5">
        <v>2001</v>
      </c>
      <c r="D610" s="6" t="s">
        <v>31</v>
      </c>
      <c r="E610" s="6" t="s">
        <v>17</v>
      </c>
      <c r="F610" s="7">
        <v>29952</v>
      </c>
      <c r="G610" s="8">
        <f t="shared" si="9"/>
        <v>29952</v>
      </c>
      <c r="H610" s="6" t="s">
        <v>13</v>
      </c>
      <c r="I610" s="9" t="s">
        <v>3380</v>
      </c>
      <c r="J610" s="10" t="s">
        <v>3380</v>
      </c>
      <c r="K610" s="17"/>
    </row>
    <row r="611" spans="1:11" ht="30" x14ac:dyDescent="0.25">
      <c r="A611" s="3" t="s">
        <v>1241</v>
      </c>
      <c r="B611" s="4" t="s">
        <v>1242</v>
      </c>
      <c r="C611" s="5">
        <v>1141</v>
      </c>
      <c r="D611" s="6" t="s">
        <v>31</v>
      </c>
      <c r="E611" s="6" t="s">
        <v>17</v>
      </c>
      <c r="F611" s="7">
        <v>40998</v>
      </c>
      <c r="G611" s="8">
        <f t="shared" si="9"/>
        <v>40998</v>
      </c>
      <c r="H611" s="6" t="s">
        <v>13</v>
      </c>
      <c r="I611" s="9" t="s">
        <v>3380</v>
      </c>
      <c r="J611" s="10" t="s">
        <v>3380</v>
      </c>
      <c r="K611" s="17"/>
    </row>
    <row r="612" spans="1:11" x14ac:dyDescent="0.25">
      <c r="A612" s="26" t="s">
        <v>1243</v>
      </c>
      <c r="B612" s="27" t="s">
        <v>1244</v>
      </c>
      <c r="C612" s="34">
        <v>1458</v>
      </c>
      <c r="D612" s="28" t="s">
        <v>34</v>
      </c>
      <c r="E612" s="28" t="s">
        <v>17</v>
      </c>
      <c r="F612" s="29">
        <v>29221</v>
      </c>
      <c r="G612" s="30">
        <f t="shared" si="9"/>
        <v>29221</v>
      </c>
      <c r="H612" s="28" t="s">
        <v>13</v>
      </c>
      <c r="I612" s="9" t="s">
        <v>3380</v>
      </c>
      <c r="J612" s="10" t="s">
        <v>3380</v>
      </c>
      <c r="K612" s="33"/>
    </row>
    <row r="613" spans="1:11" ht="30" x14ac:dyDescent="0.25">
      <c r="A613" s="3" t="s">
        <v>1245</v>
      </c>
      <c r="B613" s="4" t="s">
        <v>1246</v>
      </c>
      <c r="C613" s="5">
        <v>29844</v>
      </c>
      <c r="D613" s="6" t="s">
        <v>34</v>
      </c>
      <c r="E613" s="6" t="s">
        <v>17</v>
      </c>
      <c r="F613" s="7">
        <v>35584</v>
      </c>
      <c r="G613" s="8">
        <f t="shared" si="9"/>
        <v>35584</v>
      </c>
      <c r="H613" s="6" t="s">
        <v>13</v>
      </c>
      <c r="I613" s="9" t="s">
        <v>3380</v>
      </c>
      <c r="J613" s="10" t="s">
        <v>3380</v>
      </c>
      <c r="K613" s="17"/>
    </row>
    <row r="614" spans="1:11" x14ac:dyDescent="0.25">
      <c r="A614" s="18" t="s">
        <v>1247</v>
      </c>
      <c r="B614" s="19" t="s">
        <v>1248</v>
      </c>
      <c r="C614" s="5">
        <v>1987</v>
      </c>
      <c r="D614" s="21" t="s">
        <v>28</v>
      </c>
      <c r="E614" s="21" t="s">
        <v>17</v>
      </c>
      <c r="F614" s="22">
        <v>18264</v>
      </c>
      <c r="G614" s="23">
        <f t="shared" si="9"/>
        <v>18264</v>
      </c>
      <c r="H614" s="21" t="s">
        <v>13</v>
      </c>
      <c r="I614" s="9">
        <v>1246091.49</v>
      </c>
      <c r="J614" s="10">
        <v>4050</v>
      </c>
      <c r="K614" s="25"/>
    </row>
    <row r="615" spans="1:11" ht="30" x14ac:dyDescent="0.25">
      <c r="A615" s="3" t="s">
        <v>1249</v>
      </c>
      <c r="B615" s="4" t="s">
        <v>1250</v>
      </c>
      <c r="C615" s="5">
        <v>72097</v>
      </c>
      <c r="D615" s="6" t="s">
        <v>37</v>
      </c>
      <c r="E615" s="6" t="s">
        <v>38</v>
      </c>
      <c r="F615" s="7">
        <v>38491</v>
      </c>
      <c r="G615" s="8">
        <f t="shared" si="9"/>
        <v>38491</v>
      </c>
      <c r="H615" s="6" t="s">
        <v>39</v>
      </c>
      <c r="I615" s="9" t="s">
        <v>3380</v>
      </c>
      <c r="J615" s="10" t="s">
        <v>3380</v>
      </c>
      <c r="K615" s="17"/>
    </row>
    <row r="616" spans="1:11" x14ac:dyDescent="0.25">
      <c r="A616" s="26" t="s">
        <v>1251</v>
      </c>
      <c r="B616" s="27" t="s">
        <v>1252</v>
      </c>
      <c r="C616" s="34">
        <v>30546</v>
      </c>
      <c r="D616" s="28" t="s">
        <v>11</v>
      </c>
      <c r="E616" s="28" t="s">
        <v>12</v>
      </c>
      <c r="F616" s="29">
        <v>39294</v>
      </c>
      <c r="G616" s="30">
        <f t="shared" si="9"/>
        <v>39294</v>
      </c>
      <c r="H616" s="28" t="s">
        <v>39</v>
      </c>
      <c r="I616" s="9" t="s">
        <v>3380</v>
      </c>
      <c r="J616" s="10" t="s">
        <v>3380</v>
      </c>
      <c r="K616" s="33"/>
    </row>
    <row r="617" spans="1:11" ht="30" x14ac:dyDescent="0.25">
      <c r="A617" s="3" t="s">
        <v>1253</v>
      </c>
      <c r="B617" s="4" t="s">
        <v>1254</v>
      </c>
      <c r="C617" s="14">
        <v>54564</v>
      </c>
      <c r="D617" s="6" t="s">
        <v>11</v>
      </c>
      <c r="E617" s="6" t="s">
        <v>12</v>
      </c>
      <c r="F617" s="7">
        <v>37386</v>
      </c>
      <c r="G617" s="8">
        <f t="shared" si="9"/>
        <v>37386</v>
      </c>
      <c r="H617" s="6" t="s">
        <v>39</v>
      </c>
      <c r="I617" s="9" t="s">
        <v>3380</v>
      </c>
      <c r="J617" s="10" t="s">
        <v>3380</v>
      </c>
      <c r="K617" s="17"/>
    </row>
    <row r="618" spans="1:11" ht="30" x14ac:dyDescent="0.25">
      <c r="A618" s="3" t="s">
        <v>1255</v>
      </c>
      <c r="B618" s="4" t="s">
        <v>1256</v>
      </c>
      <c r="C618" s="5">
        <v>1939</v>
      </c>
      <c r="D618" s="6" t="s">
        <v>34</v>
      </c>
      <c r="E618" s="6" t="s">
        <v>17</v>
      </c>
      <c r="F618" s="7">
        <v>29221</v>
      </c>
      <c r="G618" s="8">
        <f t="shared" si="9"/>
        <v>29221</v>
      </c>
      <c r="H618" s="6" t="s">
        <v>13</v>
      </c>
      <c r="I618" s="9" t="s">
        <v>3380</v>
      </c>
      <c r="J618" s="10" t="s">
        <v>3380</v>
      </c>
      <c r="K618" s="17"/>
    </row>
    <row r="619" spans="1:11" ht="30" x14ac:dyDescent="0.25">
      <c r="A619" s="3" t="s">
        <v>1257</v>
      </c>
      <c r="B619" s="4" t="s">
        <v>1258</v>
      </c>
      <c r="C619" s="5">
        <v>1546</v>
      </c>
      <c r="D619" s="6" t="s">
        <v>28</v>
      </c>
      <c r="E619" s="6" t="s">
        <v>17</v>
      </c>
      <c r="F619" s="7">
        <v>25569</v>
      </c>
      <c r="G619" s="8">
        <f t="shared" si="9"/>
        <v>25569</v>
      </c>
      <c r="H619" s="6" t="s">
        <v>13</v>
      </c>
      <c r="I619" s="9" t="s">
        <v>3380</v>
      </c>
      <c r="J619" s="10" t="s">
        <v>3380</v>
      </c>
      <c r="K619" s="17"/>
    </row>
    <row r="620" spans="1:11" ht="30" x14ac:dyDescent="0.25">
      <c r="A620" s="3" t="s">
        <v>1259</v>
      </c>
      <c r="B620" s="4" t="s">
        <v>1260</v>
      </c>
      <c r="C620" s="5">
        <v>12807</v>
      </c>
      <c r="D620" s="6" t="s">
        <v>37</v>
      </c>
      <c r="E620" s="6" t="s">
        <v>38</v>
      </c>
      <c r="F620" s="7">
        <v>37818</v>
      </c>
      <c r="G620" s="8">
        <f t="shared" si="9"/>
        <v>37818</v>
      </c>
      <c r="H620" s="6" t="s">
        <v>39</v>
      </c>
      <c r="I620" s="9" t="s">
        <v>3380</v>
      </c>
      <c r="J620" s="10" t="s">
        <v>3380</v>
      </c>
      <c r="K620" s="17"/>
    </row>
    <row r="621" spans="1:11" ht="30" x14ac:dyDescent="0.25">
      <c r="A621" s="3" t="s">
        <v>1261</v>
      </c>
      <c r="B621" s="4" t="s">
        <v>1262</v>
      </c>
      <c r="C621" s="5">
        <v>48801</v>
      </c>
      <c r="D621" s="6" t="s">
        <v>37</v>
      </c>
      <c r="E621" s="6" t="s">
        <v>38</v>
      </c>
      <c r="F621" s="7">
        <v>37873</v>
      </c>
      <c r="G621" s="8">
        <f t="shared" si="9"/>
        <v>37873</v>
      </c>
      <c r="H621" s="6" t="s">
        <v>39</v>
      </c>
      <c r="I621" s="9" t="s">
        <v>3380</v>
      </c>
      <c r="J621" s="10" t="s">
        <v>3380</v>
      </c>
      <c r="K621" s="17"/>
    </row>
    <row r="622" spans="1:11" x14ac:dyDescent="0.25">
      <c r="A622" s="18" t="s">
        <v>1263</v>
      </c>
      <c r="B622" s="19" t="s">
        <v>1264</v>
      </c>
      <c r="C622" s="20">
        <v>1840</v>
      </c>
      <c r="D622" s="21" t="s">
        <v>16</v>
      </c>
      <c r="E622" s="21" t="s">
        <v>17</v>
      </c>
      <c r="F622" s="22">
        <v>18264</v>
      </c>
      <c r="G622" s="23">
        <f t="shared" si="9"/>
        <v>18264</v>
      </c>
      <c r="H622" s="21" t="s">
        <v>13</v>
      </c>
      <c r="I622" s="9" t="s">
        <v>3380</v>
      </c>
      <c r="J622" s="10" t="s">
        <v>3380</v>
      </c>
      <c r="K622" s="25"/>
    </row>
    <row r="623" spans="1:11" ht="30" x14ac:dyDescent="0.25">
      <c r="A623" s="3" t="s">
        <v>1265</v>
      </c>
      <c r="B623" s="4" t="s">
        <v>1266</v>
      </c>
      <c r="C623" s="5">
        <v>1579</v>
      </c>
      <c r="D623" s="6" t="s">
        <v>16</v>
      </c>
      <c r="E623" s="6" t="s">
        <v>17</v>
      </c>
      <c r="F623" s="7">
        <v>29221</v>
      </c>
      <c r="G623" s="8">
        <f t="shared" si="9"/>
        <v>29221</v>
      </c>
      <c r="H623" s="6" t="s">
        <v>13</v>
      </c>
      <c r="I623" s="9">
        <v>310867.90999999997</v>
      </c>
      <c r="J623" s="10">
        <v>1800</v>
      </c>
      <c r="K623" s="17"/>
    </row>
    <row r="624" spans="1:11" ht="30" x14ac:dyDescent="0.25">
      <c r="A624" s="3" t="s">
        <v>1267</v>
      </c>
      <c r="B624" s="4" t="s">
        <v>1268</v>
      </c>
      <c r="C624" s="5">
        <v>54565</v>
      </c>
      <c r="D624" s="6" t="s">
        <v>16</v>
      </c>
      <c r="E624" s="6" t="s">
        <v>17</v>
      </c>
      <c r="F624" s="7">
        <v>37312</v>
      </c>
      <c r="G624" s="8">
        <f t="shared" si="9"/>
        <v>37312</v>
      </c>
      <c r="H624" s="6" t="s">
        <v>13</v>
      </c>
      <c r="I624" s="9" t="s">
        <v>3380</v>
      </c>
      <c r="J624" s="10" t="s">
        <v>3380</v>
      </c>
      <c r="K624" s="17"/>
    </row>
    <row r="625" spans="1:11" ht="30" x14ac:dyDescent="0.25">
      <c r="A625" s="3" t="s">
        <v>1269</v>
      </c>
      <c r="B625" s="4" t="s">
        <v>1270</v>
      </c>
      <c r="C625" s="5">
        <v>18887</v>
      </c>
      <c r="D625" s="6" t="s">
        <v>31</v>
      </c>
      <c r="E625" s="6" t="s">
        <v>17</v>
      </c>
      <c r="F625" s="7">
        <v>32646</v>
      </c>
      <c r="G625" s="8">
        <f t="shared" si="9"/>
        <v>32646</v>
      </c>
      <c r="H625" s="6" t="s">
        <v>13</v>
      </c>
      <c r="I625" s="9" t="s">
        <v>3380</v>
      </c>
      <c r="J625" s="10" t="s">
        <v>3380</v>
      </c>
      <c r="K625" s="17"/>
    </row>
    <row r="626" spans="1:11" ht="30" x14ac:dyDescent="0.25">
      <c r="A626" s="3" t="s">
        <v>1271</v>
      </c>
      <c r="B626" s="4" t="s">
        <v>1272</v>
      </c>
      <c r="C626" s="14">
        <v>1509</v>
      </c>
      <c r="D626" s="6" t="s">
        <v>28</v>
      </c>
      <c r="E626" s="6" t="s">
        <v>17</v>
      </c>
      <c r="F626" s="7">
        <v>18264</v>
      </c>
      <c r="G626" s="8">
        <f t="shared" si="9"/>
        <v>18264</v>
      </c>
      <c r="H626" s="6" t="s">
        <v>13</v>
      </c>
      <c r="I626" s="9" t="s">
        <v>3380</v>
      </c>
      <c r="J626" s="10" t="s">
        <v>3380</v>
      </c>
      <c r="K626" s="17"/>
    </row>
    <row r="627" spans="1:11" ht="30" x14ac:dyDescent="0.25">
      <c r="A627" s="3" t="s">
        <v>1273</v>
      </c>
      <c r="B627" s="4" t="s">
        <v>1274</v>
      </c>
      <c r="C627" s="14">
        <v>1147</v>
      </c>
      <c r="D627" s="6" t="s">
        <v>34</v>
      </c>
      <c r="E627" s="6" t="s">
        <v>17</v>
      </c>
      <c r="F627" s="7">
        <v>37697</v>
      </c>
      <c r="G627" s="8">
        <f t="shared" si="9"/>
        <v>37697</v>
      </c>
      <c r="H627" s="6" t="s">
        <v>13</v>
      </c>
      <c r="I627" s="9" t="s">
        <v>3380</v>
      </c>
      <c r="J627" s="10" t="s">
        <v>3380</v>
      </c>
      <c r="K627" s="17"/>
    </row>
    <row r="628" spans="1:11" ht="30" x14ac:dyDescent="0.25">
      <c r="A628" s="3" t="s">
        <v>1275</v>
      </c>
      <c r="B628" s="4" t="s">
        <v>1276</v>
      </c>
      <c r="C628" s="5">
        <v>1879</v>
      </c>
      <c r="D628" s="6" t="s">
        <v>34</v>
      </c>
      <c r="E628" s="6" t="s">
        <v>17</v>
      </c>
      <c r="F628" s="7">
        <v>32617</v>
      </c>
      <c r="G628" s="8">
        <f t="shared" si="9"/>
        <v>32617</v>
      </c>
      <c r="H628" s="6" t="s">
        <v>13</v>
      </c>
      <c r="I628" s="9" t="s">
        <v>3380</v>
      </c>
      <c r="J628" s="10" t="s">
        <v>3380</v>
      </c>
      <c r="K628" s="17"/>
    </row>
    <row r="629" spans="1:11" ht="30" x14ac:dyDescent="0.25">
      <c r="A629" s="3" t="s">
        <v>1277</v>
      </c>
      <c r="B629" s="4" t="s">
        <v>1278</v>
      </c>
      <c r="C629" s="5">
        <v>10562</v>
      </c>
      <c r="D629" s="6" t="s">
        <v>11</v>
      </c>
      <c r="E629" s="6" t="s">
        <v>17</v>
      </c>
      <c r="F629" s="7">
        <v>37231</v>
      </c>
      <c r="G629" s="8">
        <f t="shared" si="9"/>
        <v>37231</v>
      </c>
      <c r="H629" s="6" t="s">
        <v>13</v>
      </c>
      <c r="I629" s="9" t="s">
        <v>3380</v>
      </c>
      <c r="J629" s="10" t="s">
        <v>3380</v>
      </c>
      <c r="K629" s="17"/>
    </row>
    <row r="630" spans="1:11" ht="30" x14ac:dyDescent="0.25">
      <c r="A630" s="3" t="s">
        <v>1279</v>
      </c>
      <c r="B630" s="4" t="s">
        <v>1280</v>
      </c>
      <c r="C630" s="5">
        <v>1533</v>
      </c>
      <c r="D630" s="6" t="s">
        <v>34</v>
      </c>
      <c r="E630" s="6" t="s">
        <v>17</v>
      </c>
      <c r="F630" s="7">
        <v>19725</v>
      </c>
      <c r="G630" s="8">
        <f t="shared" si="9"/>
        <v>19725</v>
      </c>
      <c r="H630" s="6" t="s">
        <v>13</v>
      </c>
      <c r="I630" s="9" t="s">
        <v>3380</v>
      </c>
      <c r="J630" s="10" t="s">
        <v>3380</v>
      </c>
      <c r="K630" s="17"/>
    </row>
    <row r="631" spans="1:11" ht="30" x14ac:dyDescent="0.25">
      <c r="A631" s="3" t="s">
        <v>1281</v>
      </c>
      <c r="B631" s="4" t="s">
        <v>1282</v>
      </c>
      <c r="C631" s="5">
        <v>12802</v>
      </c>
      <c r="D631" s="6" t="s">
        <v>34</v>
      </c>
      <c r="E631" s="6" t="s">
        <v>17</v>
      </c>
      <c r="F631" s="7">
        <v>38110</v>
      </c>
      <c r="G631" s="8">
        <f t="shared" si="9"/>
        <v>38110</v>
      </c>
      <c r="H631" s="6" t="s">
        <v>13</v>
      </c>
      <c r="I631" s="9" t="s">
        <v>3380</v>
      </c>
      <c r="J631" s="10" t="s">
        <v>3380</v>
      </c>
      <c r="K631" s="17"/>
    </row>
    <row r="632" spans="1:11" ht="30" x14ac:dyDescent="0.25">
      <c r="A632" s="3" t="s">
        <v>1283</v>
      </c>
      <c r="B632" s="4" t="s">
        <v>1284</v>
      </c>
      <c r="C632" s="5">
        <v>1196</v>
      </c>
      <c r="D632" s="6" t="s">
        <v>16</v>
      </c>
      <c r="E632" s="6" t="s">
        <v>17</v>
      </c>
      <c r="F632" s="7">
        <v>29221</v>
      </c>
      <c r="G632" s="8">
        <f t="shared" si="9"/>
        <v>29221</v>
      </c>
      <c r="H632" s="6" t="s">
        <v>13</v>
      </c>
      <c r="I632" s="9" t="s">
        <v>3380</v>
      </c>
      <c r="J632" s="10" t="s">
        <v>3380</v>
      </c>
      <c r="K632" s="17"/>
    </row>
    <row r="633" spans="1:11" ht="30" x14ac:dyDescent="0.25">
      <c r="A633" s="3" t="s">
        <v>1285</v>
      </c>
      <c r="B633" s="4" t="s">
        <v>1286</v>
      </c>
      <c r="C633" s="14">
        <v>1439</v>
      </c>
      <c r="D633" s="6" t="s">
        <v>16</v>
      </c>
      <c r="E633" s="6" t="s">
        <v>17</v>
      </c>
      <c r="F633" s="7">
        <v>29221</v>
      </c>
      <c r="G633" s="8">
        <f t="shared" si="9"/>
        <v>29221</v>
      </c>
      <c r="H633" s="6" t="s">
        <v>13</v>
      </c>
      <c r="I633" s="9" t="s">
        <v>3380</v>
      </c>
      <c r="J633" s="10" t="s">
        <v>3380</v>
      </c>
      <c r="K633" s="17"/>
    </row>
    <row r="634" spans="1:11" ht="30" x14ac:dyDescent="0.25">
      <c r="A634" s="3" t="s">
        <v>1287</v>
      </c>
      <c r="B634" s="4" t="s">
        <v>1288</v>
      </c>
      <c r="C634" s="5">
        <v>1063</v>
      </c>
      <c r="D634" s="6" t="s">
        <v>16</v>
      </c>
      <c r="E634" s="6" t="s">
        <v>17</v>
      </c>
      <c r="F634" s="7">
        <v>25569</v>
      </c>
      <c r="G634" s="8">
        <f t="shared" si="9"/>
        <v>25569</v>
      </c>
      <c r="H634" s="6" t="s">
        <v>13</v>
      </c>
      <c r="I634" s="9" t="s">
        <v>3380</v>
      </c>
      <c r="J634" s="10" t="s">
        <v>3380</v>
      </c>
      <c r="K634" s="17"/>
    </row>
    <row r="635" spans="1:11" ht="30" x14ac:dyDescent="0.25">
      <c r="A635" s="3" t="s">
        <v>1289</v>
      </c>
      <c r="B635" s="4" t="s">
        <v>1290</v>
      </c>
      <c r="C635" s="5">
        <v>1854</v>
      </c>
      <c r="D635" s="6" t="s">
        <v>16</v>
      </c>
      <c r="E635" s="6" t="s">
        <v>17</v>
      </c>
      <c r="F635" s="7">
        <v>29221</v>
      </c>
      <c r="G635" s="8">
        <f t="shared" si="9"/>
        <v>29221</v>
      </c>
      <c r="H635" s="6" t="s">
        <v>13</v>
      </c>
      <c r="I635" s="9" t="s">
        <v>3380</v>
      </c>
      <c r="J635" s="10" t="s">
        <v>3380</v>
      </c>
      <c r="K635" s="17"/>
    </row>
    <row r="636" spans="1:11" ht="30" x14ac:dyDescent="0.25">
      <c r="A636" s="3" t="s">
        <v>1291</v>
      </c>
      <c r="B636" s="4" t="s">
        <v>1292</v>
      </c>
      <c r="C636" s="5">
        <v>1190</v>
      </c>
      <c r="D636" s="6" t="s">
        <v>16</v>
      </c>
      <c r="E636" s="6" t="s">
        <v>17</v>
      </c>
      <c r="F636" s="7">
        <v>25569</v>
      </c>
      <c r="G636" s="8">
        <f t="shared" si="9"/>
        <v>25569</v>
      </c>
      <c r="H636" s="6" t="s">
        <v>13</v>
      </c>
      <c r="I636" s="9" t="s">
        <v>3380</v>
      </c>
      <c r="J636" s="10" t="s">
        <v>3380</v>
      </c>
      <c r="K636" s="17"/>
    </row>
    <row r="637" spans="1:11" ht="30" x14ac:dyDescent="0.25">
      <c r="A637" s="3" t="s">
        <v>1293</v>
      </c>
      <c r="B637" s="4" t="s">
        <v>1294</v>
      </c>
      <c r="C637" s="5">
        <v>1862</v>
      </c>
      <c r="D637" s="6" t="s">
        <v>31</v>
      </c>
      <c r="E637" s="6" t="s">
        <v>17</v>
      </c>
      <c r="F637" s="7">
        <v>29221</v>
      </c>
      <c r="G637" s="8">
        <f t="shared" si="9"/>
        <v>29221</v>
      </c>
      <c r="H637" s="6" t="s">
        <v>13</v>
      </c>
      <c r="I637" s="9" t="s">
        <v>3380</v>
      </c>
      <c r="J637" s="10" t="s">
        <v>3380</v>
      </c>
      <c r="K637" s="17"/>
    </row>
    <row r="638" spans="1:11" ht="30" x14ac:dyDescent="0.25">
      <c r="A638" s="3" t="s">
        <v>1295</v>
      </c>
      <c r="B638" s="4" t="s">
        <v>1296</v>
      </c>
      <c r="C638" s="5">
        <v>54169</v>
      </c>
      <c r="D638" s="6" t="s">
        <v>28</v>
      </c>
      <c r="E638" s="6" t="s">
        <v>17</v>
      </c>
      <c r="F638" s="7">
        <v>38562</v>
      </c>
      <c r="G638" s="8">
        <f t="shared" si="9"/>
        <v>38562</v>
      </c>
      <c r="H638" s="6" t="s">
        <v>13</v>
      </c>
      <c r="I638" s="9" t="s">
        <v>3380</v>
      </c>
      <c r="J638" s="10" t="s">
        <v>3380</v>
      </c>
      <c r="K638" s="17"/>
    </row>
    <row r="639" spans="1:11" ht="30" x14ac:dyDescent="0.25">
      <c r="A639" s="3" t="s">
        <v>1297</v>
      </c>
      <c r="B639" s="4" t="s">
        <v>1298</v>
      </c>
      <c r="C639" s="5">
        <v>1964</v>
      </c>
      <c r="D639" s="6" t="s">
        <v>11</v>
      </c>
      <c r="E639" s="6" t="s">
        <v>17</v>
      </c>
      <c r="F639" s="7">
        <v>34633</v>
      </c>
      <c r="G639" s="8">
        <f t="shared" si="9"/>
        <v>34633</v>
      </c>
      <c r="H639" s="6" t="s">
        <v>13</v>
      </c>
      <c r="I639" s="9" t="s">
        <v>3380</v>
      </c>
      <c r="J639" s="10" t="s">
        <v>3380</v>
      </c>
      <c r="K639" s="17"/>
    </row>
    <row r="640" spans="1:11" ht="30" x14ac:dyDescent="0.25">
      <c r="A640" s="3" t="s">
        <v>1299</v>
      </c>
      <c r="B640" s="4" t="s">
        <v>1300</v>
      </c>
      <c r="C640" s="5">
        <v>52945</v>
      </c>
      <c r="D640" s="6" t="s">
        <v>28</v>
      </c>
      <c r="E640" s="6" t="s">
        <v>17</v>
      </c>
      <c r="F640" s="7">
        <v>38548</v>
      </c>
      <c r="G640" s="8">
        <f t="shared" si="9"/>
        <v>38548</v>
      </c>
      <c r="H640" s="6" t="s">
        <v>13</v>
      </c>
      <c r="I640" s="9" t="s">
        <v>3380</v>
      </c>
      <c r="J640" s="10" t="s">
        <v>3380</v>
      </c>
      <c r="K640" s="17"/>
    </row>
    <row r="641" spans="1:11" x14ac:dyDescent="0.25">
      <c r="A641" s="3" t="s">
        <v>1301</v>
      </c>
      <c r="B641" s="4" t="s">
        <v>1302</v>
      </c>
      <c r="C641" s="5">
        <v>1861</v>
      </c>
      <c r="D641" s="6" t="s">
        <v>31</v>
      </c>
      <c r="E641" s="6" t="s">
        <v>17</v>
      </c>
      <c r="F641" s="7">
        <v>31048</v>
      </c>
      <c r="G641" s="8">
        <f t="shared" si="9"/>
        <v>31048</v>
      </c>
      <c r="H641" s="6" t="s">
        <v>13</v>
      </c>
      <c r="I641" s="9" t="s">
        <v>3380</v>
      </c>
      <c r="J641" s="10" t="s">
        <v>3380</v>
      </c>
      <c r="K641" s="11"/>
    </row>
    <row r="642" spans="1:11" ht="30" x14ac:dyDescent="0.25">
      <c r="A642" s="3" t="s">
        <v>1303</v>
      </c>
      <c r="B642" s="4" t="s">
        <v>1304</v>
      </c>
      <c r="C642" s="5">
        <v>1332</v>
      </c>
      <c r="D642" s="6" t="s">
        <v>31</v>
      </c>
      <c r="E642" s="6" t="s">
        <v>17</v>
      </c>
      <c r="F642" s="7">
        <v>28856</v>
      </c>
      <c r="G642" s="8">
        <f t="shared" ref="G642:G705" si="10">F642</f>
        <v>28856</v>
      </c>
      <c r="H642" s="6" t="s">
        <v>13</v>
      </c>
      <c r="I642" s="9" t="s">
        <v>3380</v>
      </c>
      <c r="J642" s="10" t="s">
        <v>3380</v>
      </c>
      <c r="K642" s="17"/>
    </row>
    <row r="643" spans="1:11" ht="30" x14ac:dyDescent="0.25">
      <c r="A643" s="3" t="s">
        <v>1305</v>
      </c>
      <c r="B643" s="4" t="s">
        <v>1306</v>
      </c>
      <c r="C643" s="5">
        <v>41329</v>
      </c>
      <c r="D643" s="6" t="s">
        <v>34</v>
      </c>
      <c r="E643" s="6" t="s">
        <v>17</v>
      </c>
      <c r="F643" s="7">
        <v>38639</v>
      </c>
      <c r="G643" s="8">
        <f t="shared" si="10"/>
        <v>38639</v>
      </c>
      <c r="H643" s="6" t="s">
        <v>13</v>
      </c>
      <c r="I643" s="9" t="s">
        <v>3380</v>
      </c>
      <c r="J643" s="10" t="s">
        <v>3380</v>
      </c>
      <c r="K643" s="17"/>
    </row>
    <row r="644" spans="1:11" ht="30" x14ac:dyDescent="0.25">
      <c r="A644" s="3" t="s">
        <v>1307</v>
      </c>
      <c r="B644" s="4" t="s">
        <v>1308</v>
      </c>
      <c r="C644" s="14">
        <v>54713</v>
      </c>
      <c r="D644" s="6" t="s">
        <v>34</v>
      </c>
      <c r="E644" s="6" t="s">
        <v>17</v>
      </c>
      <c r="F644" s="7">
        <v>39276</v>
      </c>
      <c r="G644" s="8">
        <f t="shared" si="10"/>
        <v>39276</v>
      </c>
      <c r="H644" s="6" t="s">
        <v>13</v>
      </c>
      <c r="I644" s="9" t="s">
        <v>3380</v>
      </c>
      <c r="J644" s="10" t="s">
        <v>3380</v>
      </c>
      <c r="K644" s="17"/>
    </row>
    <row r="645" spans="1:11" ht="30" x14ac:dyDescent="0.25">
      <c r="A645" s="3" t="s">
        <v>1309</v>
      </c>
      <c r="B645" s="4" t="s">
        <v>1310</v>
      </c>
      <c r="C645" s="14">
        <v>72110</v>
      </c>
      <c r="D645" s="6" t="s">
        <v>11</v>
      </c>
      <c r="E645" s="6" t="s">
        <v>17</v>
      </c>
      <c r="F645" s="7">
        <v>39169</v>
      </c>
      <c r="G645" s="8">
        <f t="shared" si="10"/>
        <v>39169</v>
      </c>
      <c r="H645" s="6" t="s">
        <v>13</v>
      </c>
      <c r="I645" s="9" t="s">
        <v>3380</v>
      </c>
      <c r="J645" s="10" t="s">
        <v>3380</v>
      </c>
      <c r="K645" s="17"/>
    </row>
    <row r="646" spans="1:11" ht="30" x14ac:dyDescent="0.25">
      <c r="A646" s="3" t="s">
        <v>1311</v>
      </c>
      <c r="B646" s="4" t="s">
        <v>1312</v>
      </c>
      <c r="C646" s="14">
        <v>72176</v>
      </c>
      <c r="D646" s="6" t="s">
        <v>11</v>
      </c>
      <c r="E646" s="6" t="s">
        <v>12</v>
      </c>
      <c r="F646" s="7">
        <v>39296</v>
      </c>
      <c r="G646" s="8">
        <f t="shared" si="10"/>
        <v>39296</v>
      </c>
      <c r="H646" s="6" t="s">
        <v>39</v>
      </c>
      <c r="I646" s="9" t="s">
        <v>3380</v>
      </c>
      <c r="J646" s="10" t="s">
        <v>3380</v>
      </c>
      <c r="K646" s="17"/>
    </row>
    <row r="647" spans="1:11" x14ac:dyDescent="0.25">
      <c r="A647" s="18" t="s">
        <v>1313</v>
      </c>
      <c r="B647" s="19" t="s">
        <v>1314</v>
      </c>
      <c r="C647" s="20">
        <v>1220</v>
      </c>
      <c r="D647" s="21" t="s">
        <v>31</v>
      </c>
      <c r="E647" s="21" t="s">
        <v>17</v>
      </c>
      <c r="F647" s="22">
        <v>25569</v>
      </c>
      <c r="G647" s="23">
        <f t="shared" si="10"/>
        <v>25569</v>
      </c>
      <c r="H647" s="21" t="s">
        <v>13</v>
      </c>
      <c r="I647" s="9" t="s">
        <v>3380</v>
      </c>
      <c r="J647" s="10" t="s">
        <v>3380</v>
      </c>
      <c r="K647" s="25"/>
    </row>
    <row r="648" spans="1:11" ht="30" x14ac:dyDescent="0.25">
      <c r="A648" s="3" t="s">
        <v>1315</v>
      </c>
      <c r="B648" s="4" t="s">
        <v>1316</v>
      </c>
      <c r="C648" s="5">
        <v>24321</v>
      </c>
      <c r="D648" s="6" t="s">
        <v>11</v>
      </c>
      <c r="E648" s="6" t="s">
        <v>17</v>
      </c>
      <c r="F648" s="7">
        <v>34182</v>
      </c>
      <c r="G648" s="8">
        <f t="shared" si="10"/>
        <v>34182</v>
      </c>
      <c r="H648" s="6" t="s">
        <v>13</v>
      </c>
      <c r="I648" s="9" t="s">
        <v>3380</v>
      </c>
      <c r="J648" s="10" t="s">
        <v>3380</v>
      </c>
      <c r="K648" s="17"/>
    </row>
    <row r="649" spans="1:11" ht="30" x14ac:dyDescent="0.25">
      <c r="A649" s="3" t="s">
        <v>1317</v>
      </c>
      <c r="B649" s="4" t="s">
        <v>1318</v>
      </c>
      <c r="C649" s="5">
        <v>1597</v>
      </c>
      <c r="D649" s="6" t="s">
        <v>28</v>
      </c>
      <c r="E649" s="6" t="s">
        <v>17</v>
      </c>
      <c r="F649" s="7">
        <v>38020</v>
      </c>
      <c r="G649" s="8">
        <f t="shared" si="10"/>
        <v>38020</v>
      </c>
      <c r="H649" s="6" t="s">
        <v>13</v>
      </c>
      <c r="I649" s="9" t="s">
        <v>3380</v>
      </c>
      <c r="J649" s="10" t="s">
        <v>3380</v>
      </c>
      <c r="K649" s="17"/>
    </row>
    <row r="650" spans="1:11" ht="30" x14ac:dyDescent="0.25">
      <c r="A650" s="3" t="s">
        <v>1319</v>
      </c>
      <c r="B650" s="4" t="s">
        <v>1320</v>
      </c>
      <c r="C650" s="14">
        <v>1185</v>
      </c>
      <c r="D650" s="6" t="s">
        <v>16</v>
      </c>
      <c r="E650" s="6" t="s">
        <v>17</v>
      </c>
      <c r="F650" s="7">
        <v>29221</v>
      </c>
      <c r="G650" s="8">
        <f t="shared" si="10"/>
        <v>29221</v>
      </c>
      <c r="H650" s="6" t="s">
        <v>13</v>
      </c>
      <c r="I650" s="9" t="s">
        <v>3380</v>
      </c>
      <c r="J650" s="10" t="s">
        <v>3380</v>
      </c>
      <c r="K650" s="17"/>
    </row>
    <row r="651" spans="1:11" x14ac:dyDescent="0.25">
      <c r="A651" s="18" t="s">
        <v>1321</v>
      </c>
      <c r="B651" s="19" t="s">
        <v>1322</v>
      </c>
      <c r="C651" s="20">
        <v>1121</v>
      </c>
      <c r="D651" s="21" t="s">
        <v>16</v>
      </c>
      <c r="E651" s="21" t="s">
        <v>17</v>
      </c>
      <c r="F651" s="22">
        <v>31048</v>
      </c>
      <c r="G651" s="23">
        <f t="shared" si="10"/>
        <v>31048</v>
      </c>
      <c r="H651" s="21" t="s">
        <v>13</v>
      </c>
      <c r="I651" s="9" t="s">
        <v>3380</v>
      </c>
      <c r="J651" s="10" t="s">
        <v>3380</v>
      </c>
      <c r="K651" s="25"/>
    </row>
    <row r="652" spans="1:11" ht="30" x14ac:dyDescent="0.25">
      <c r="A652" s="3" t="s">
        <v>1323</v>
      </c>
      <c r="B652" s="4" t="s">
        <v>1324</v>
      </c>
      <c r="C652" s="5">
        <v>54568</v>
      </c>
      <c r="D652" s="6" t="s">
        <v>16</v>
      </c>
      <c r="E652" s="6" t="s">
        <v>17</v>
      </c>
      <c r="F652" s="7">
        <v>38390</v>
      </c>
      <c r="G652" s="8">
        <f t="shared" si="10"/>
        <v>38390</v>
      </c>
      <c r="H652" s="6" t="s">
        <v>13</v>
      </c>
      <c r="I652" s="9" t="s">
        <v>3380</v>
      </c>
      <c r="J652" s="10" t="s">
        <v>3380</v>
      </c>
      <c r="K652" s="17"/>
    </row>
    <row r="653" spans="1:11" ht="30" x14ac:dyDescent="0.25">
      <c r="A653" s="3" t="s">
        <v>1325</v>
      </c>
      <c r="B653" s="4" t="s">
        <v>1326</v>
      </c>
      <c r="C653" s="5">
        <v>2022</v>
      </c>
      <c r="D653" s="6" t="s">
        <v>16</v>
      </c>
      <c r="E653" s="6" t="s">
        <v>17</v>
      </c>
      <c r="F653" s="7">
        <v>36020</v>
      </c>
      <c r="G653" s="8">
        <f t="shared" si="10"/>
        <v>36020</v>
      </c>
      <c r="H653" s="6" t="s">
        <v>13</v>
      </c>
      <c r="I653" s="9" t="s">
        <v>3380</v>
      </c>
      <c r="J653" s="10" t="s">
        <v>3380</v>
      </c>
      <c r="K653" s="17"/>
    </row>
    <row r="654" spans="1:11" x14ac:dyDescent="0.25">
      <c r="A654" s="26" t="s">
        <v>1327</v>
      </c>
      <c r="B654" s="27" t="s">
        <v>1328</v>
      </c>
      <c r="C654" s="5">
        <v>1134</v>
      </c>
      <c r="D654" s="28" t="s">
        <v>16</v>
      </c>
      <c r="E654" s="28" t="s">
        <v>17</v>
      </c>
      <c r="F654" s="29">
        <v>29221</v>
      </c>
      <c r="G654" s="30">
        <f t="shared" si="10"/>
        <v>29221</v>
      </c>
      <c r="H654" s="28" t="s">
        <v>13</v>
      </c>
      <c r="I654" s="9" t="s">
        <v>3380</v>
      </c>
      <c r="J654" s="10" t="s">
        <v>3380</v>
      </c>
      <c r="K654" s="33"/>
    </row>
    <row r="655" spans="1:11" x14ac:dyDescent="0.25">
      <c r="A655" s="42" t="s">
        <v>1329</v>
      </c>
      <c r="B655" s="43" t="s">
        <v>1330</v>
      </c>
      <c r="C655" s="5">
        <v>1869</v>
      </c>
      <c r="D655" s="44" t="s">
        <v>31</v>
      </c>
      <c r="E655" s="44" t="s">
        <v>17</v>
      </c>
      <c r="F655" s="45">
        <v>25569</v>
      </c>
      <c r="G655" s="30">
        <f t="shared" si="10"/>
        <v>25569</v>
      </c>
      <c r="H655" s="44" t="s">
        <v>13</v>
      </c>
      <c r="I655" s="9" t="s">
        <v>3380</v>
      </c>
      <c r="J655" s="10" t="s">
        <v>3380</v>
      </c>
      <c r="K655" s="33"/>
    </row>
    <row r="656" spans="1:11" ht="30" x14ac:dyDescent="0.25">
      <c r="A656" s="3" t="s">
        <v>1331</v>
      </c>
      <c r="B656" s="4" t="s">
        <v>1332</v>
      </c>
      <c r="C656" s="5">
        <v>54567</v>
      </c>
      <c r="D656" s="6" t="s">
        <v>28</v>
      </c>
      <c r="E656" s="6" t="s">
        <v>17</v>
      </c>
      <c r="F656" s="7">
        <v>38730</v>
      </c>
      <c r="G656" s="8">
        <f t="shared" si="10"/>
        <v>38730</v>
      </c>
      <c r="H656" s="6" t="s">
        <v>13</v>
      </c>
      <c r="I656" s="9" t="s">
        <v>3380</v>
      </c>
      <c r="J656" s="10" t="s">
        <v>3380</v>
      </c>
      <c r="K656" s="17"/>
    </row>
    <row r="657" spans="1:11" ht="30" x14ac:dyDescent="0.25">
      <c r="A657" s="3" t="s">
        <v>1333</v>
      </c>
      <c r="B657" s="4" t="s">
        <v>1334</v>
      </c>
      <c r="C657" s="5">
        <v>1510</v>
      </c>
      <c r="D657" s="6" t="s">
        <v>28</v>
      </c>
      <c r="E657" s="6" t="s">
        <v>17</v>
      </c>
      <c r="F657" s="7">
        <v>25569</v>
      </c>
      <c r="G657" s="8">
        <f t="shared" si="10"/>
        <v>25569</v>
      </c>
      <c r="H657" s="6" t="s">
        <v>13</v>
      </c>
      <c r="I657" s="9" t="s">
        <v>3380</v>
      </c>
      <c r="J657" s="10" t="s">
        <v>3380</v>
      </c>
      <c r="K657" s="17"/>
    </row>
    <row r="658" spans="1:11" ht="30" x14ac:dyDescent="0.25">
      <c r="A658" s="3" t="s">
        <v>1335</v>
      </c>
      <c r="B658" s="4" t="s">
        <v>1336</v>
      </c>
      <c r="C658" s="5">
        <v>1319</v>
      </c>
      <c r="D658" s="6" t="s">
        <v>16</v>
      </c>
      <c r="E658" s="6" t="s">
        <v>17</v>
      </c>
      <c r="F658" s="7">
        <v>31048</v>
      </c>
      <c r="G658" s="8">
        <f t="shared" si="10"/>
        <v>31048</v>
      </c>
      <c r="H658" s="6" t="s">
        <v>13</v>
      </c>
      <c r="I658" s="9" t="s">
        <v>3380</v>
      </c>
      <c r="J658" s="10" t="s">
        <v>3380</v>
      </c>
      <c r="K658" s="17"/>
    </row>
    <row r="659" spans="1:11" ht="30" x14ac:dyDescent="0.25">
      <c r="A659" s="3" t="s">
        <v>1337</v>
      </c>
      <c r="B659" s="4" t="s">
        <v>1338</v>
      </c>
      <c r="C659" s="5">
        <v>1777</v>
      </c>
      <c r="D659" s="6" t="s">
        <v>34</v>
      </c>
      <c r="E659" s="6" t="s">
        <v>17</v>
      </c>
      <c r="F659" s="7">
        <v>25569</v>
      </c>
      <c r="G659" s="8">
        <f t="shared" si="10"/>
        <v>25569</v>
      </c>
      <c r="H659" s="6" t="s">
        <v>13</v>
      </c>
      <c r="I659" s="9" t="s">
        <v>3380</v>
      </c>
      <c r="J659" s="10" t="s">
        <v>3380</v>
      </c>
      <c r="K659" s="17"/>
    </row>
    <row r="660" spans="1:11" ht="30" x14ac:dyDescent="0.25">
      <c r="A660" s="3" t="s">
        <v>1339</v>
      </c>
      <c r="B660" s="4" t="s">
        <v>1340</v>
      </c>
      <c r="C660" s="5">
        <v>1505</v>
      </c>
      <c r="D660" s="6" t="s">
        <v>28</v>
      </c>
      <c r="E660" s="6" t="s">
        <v>17</v>
      </c>
      <c r="F660" s="7">
        <v>32143</v>
      </c>
      <c r="G660" s="8">
        <f t="shared" si="10"/>
        <v>32143</v>
      </c>
      <c r="H660" s="6" t="s">
        <v>13</v>
      </c>
      <c r="I660" s="9" t="s">
        <v>3380</v>
      </c>
      <c r="J660" s="10" t="s">
        <v>3380</v>
      </c>
      <c r="K660" s="17"/>
    </row>
    <row r="661" spans="1:11" ht="30" x14ac:dyDescent="0.25">
      <c r="A661" s="3" t="s">
        <v>1341</v>
      </c>
      <c r="B661" s="4" t="s">
        <v>1342</v>
      </c>
      <c r="C661" s="5">
        <v>52561</v>
      </c>
      <c r="D661" s="6" t="s">
        <v>28</v>
      </c>
      <c r="E661" s="6" t="s">
        <v>17</v>
      </c>
      <c r="F661" s="7">
        <v>38292</v>
      </c>
      <c r="G661" s="8">
        <f t="shared" si="10"/>
        <v>38292</v>
      </c>
      <c r="H661" s="6" t="s">
        <v>13</v>
      </c>
      <c r="I661" s="9" t="s">
        <v>3380</v>
      </c>
      <c r="J661" s="10" t="s">
        <v>3380</v>
      </c>
      <c r="K661" s="17"/>
    </row>
    <row r="662" spans="1:11" ht="30" x14ac:dyDescent="0.25">
      <c r="A662" s="3" t="s">
        <v>1343</v>
      </c>
      <c r="B662" s="4" t="s">
        <v>1344</v>
      </c>
      <c r="C662" s="5">
        <v>21450</v>
      </c>
      <c r="D662" s="6" t="s">
        <v>31</v>
      </c>
      <c r="E662" s="6" t="s">
        <v>17</v>
      </c>
      <c r="F662" s="7">
        <v>29875</v>
      </c>
      <c r="G662" s="8">
        <f t="shared" si="10"/>
        <v>29875</v>
      </c>
      <c r="H662" s="6" t="s">
        <v>13</v>
      </c>
      <c r="I662" s="9" t="s">
        <v>3380</v>
      </c>
      <c r="J662" s="10" t="s">
        <v>3380</v>
      </c>
      <c r="K662" s="17"/>
    </row>
    <row r="663" spans="1:11" ht="30" x14ac:dyDescent="0.25">
      <c r="A663" s="3" t="s">
        <v>1345</v>
      </c>
      <c r="B663" s="4" t="s">
        <v>1346</v>
      </c>
      <c r="C663" s="5">
        <v>41681</v>
      </c>
      <c r="D663" s="6" t="s">
        <v>31</v>
      </c>
      <c r="E663" s="6" t="s">
        <v>17</v>
      </c>
      <c r="F663" s="7">
        <v>35887</v>
      </c>
      <c r="G663" s="8">
        <f t="shared" si="10"/>
        <v>35887</v>
      </c>
      <c r="H663" s="6" t="s">
        <v>13</v>
      </c>
      <c r="I663" s="9" t="s">
        <v>3380</v>
      </c>
      <c r="J663" s="10" t="s">
        <v>3380</v>
      </c>
      <c r="K663" s="17"/>
    </row>
    <row r="664" spans="1:11" ht="30" x14ac:dyDescent="0.25">
      <c r="A664" s="3" t="s">
        <v>1347</v>
      </c>
      <c r="B664" s="4" t="s">
        <v>1348</v>
      </c>
      <c r="C664" s="5">
        <v>21455</v>
      </c>
      <c r="D664" s="6" t="s">
        <v>31</v>
      </c>
      <c r="E664" s="6" t="s">
        <v>17</v>
      </c>
      <c r="F664" s="7">
        <v>36431</v>
      </c>
      <c r="G664" s="8">
        <f t="shared" si="10"/>
        <v>36431</v>
      </c>
      <c r="H664" s="6" t="s">
        <v>13</v>
      </c>
      <c r="I664" s="9" t="s">
        <v>3380</v>
      </c>
      <c r="J664" s="10" t="s">
        <v>3380</v>
      </c>
      <c r="K664" s="17"/>
    </row>
    <row r="665" spans="1:11" ht="30" x14ac:dyDescent="0.25">
      <c r="A665" s="3" t="s">
        <v>1349</v>
      </c>
      <c r="B665" s="4" t="s">
        <v>1350</v>
      </c>
      <c r="C665" s="5">
        <v>32257</v>
      </c>
      <c r="D665" s="6" t="s">
        <v>37</v>
      </c>
      <c r="E665" s="6" t="s">
        <v>38</v>
      </c>
      <c r="F665" s="7">
        <v>32093</v>
      </c>
      <c r="G665" s="8">
        <f t="shared" si="10"/>
        <v>32093</v>
      </c>
      <c r="H665" s="6" t="s">
        <v>39</v>
      </c>
      <c r="I665" s="9" t="s">
        <v>3380</v>
      </c>
      <c r="J665" s="10" t="s">
        <v>3380</v>
      </c>
      <c r="K665" s="17"/>
    </row>
    <row r="666" spans="1:11" ht="30" x14ac:dyDescent="0.25">
      <c r="A666" s="3" t="s">
        <v>1351</v>
      </c>
      <c r="B666" s="4" t="s">
        <v>1352</v>
      </c>
      <c r="C666" s="5">
        <v>54569</v>
      </c>
      <c r="D666" s="6" t="s">
        <v>11</v>
      </c>
      <c r="E666" s="6" t="s">
        <v>12</v>
      </c>
      <c r="F666" s="7">
        <v>38013</v>
      </c>
      <c r="G666" s="8">
        <f t="shared" si="10"/>
        <v>38013</v>
      </c>
      <c r="H666" s="6" t="s">
        <v>39</v>
      </c>
      <c r="I666" s="9" t="s">
        <v>3380</v>
      </c>
      <c r="J666" s="10" t="s">
        <v>3380</v>
      </c>
      <c r="K666" s="17"/>
    </row>
    <row r="667" spans="1:11" ht="30" x14ac:dyDescent="0.25">
      <c r="A667" s="3" t="s">
        <v>1353</v>
      </c>
      <c r="B667" s="4" t="s">
        <v>1354</v>
      </c>
      <c r="C667" s="5">
        <v>16004</v>
      </c>
      <c r="D667" s="6" t="s">
        <v>28</v>
      </c>
      <c r="E667" s="6" t="s">
        <v>17</v>
      </c>
      <c r="F667" s="7">
        <v>38308</v>
      </c>
      <c r="G667" s="8">
        <f t="shared" si="10"/>
        <v>38308</v>
      </c>
      <c r="H667" s="6" t="s">
        <v>13</v>
      </c>
      <c r="I667" s="9" t="s">
        <v>3380</v>
      </c>
      <c r="J667" s="10" t="s">
        <v>3380</v>
      </c>
      <c r="K667" s="17"/>
    </row>
    <row r="668" spans="1:11" ht="30" x14ac:dyDescent="0.25">
      <c r="A668" s="3" t="s">
        <v>1355</v>
      </c>
      <c r="B668" s="4" t="s">
        <v>1356</v>
      </c>
      <c r="C668" s="5">
        <v>9285</v>
      </c>
      <c r="D668" s="6" t="s">
        <v>28</v>
      </c>
      <c r="E668" s="6" t="s">
        <v>17</v>
      </c>
      <c r="F668" s="7">
        <v>37636</v>
      </c>
      <c r="G668" s="8">
        <f t="shared" si="10"/>
        <v>37636</v>
      </c>
      <c r="H668" s="6" t="s">
        <v>13</v>
      </c>
      <c r="I668" s="9" t="s">
        <v>3380</v>
      </c>
      <c r="J668" s="10" t="s">
        <v>3380</v>
      </c>
      <c r="K668" s="17"/>
    </row>
    <row r="669" spans="1:11" ht="30" x14ac:dyDescent="0.25">
      <c r="A669" s="3" t="s">
        <v>1357</v>
      </c>
      <c r="B669" s="4" t="s">
        <v>1358</v>
      </c>
      <c r="C669" s="5">
        <v>1363</v>
      </c>
      <c r="D669" s="6" t="s">
        <v>34</v>
      </c>
      <c r="E669" s="6" t="s">
        <v>17</v>
      </c>
      <c r="F669" s="7">
        <v>18264</v>
      </c>
      <c r="G669" s="8">
        <f t="shared" si="10"/>
        <v>18264</v>
      </c>
      <c r="H669" s="6" t="s">
        <v>13</v>
      </c>
      <c r="I669" s="9" t="s">
        <v>3380</v>
      </c>
      <c r="J669" s="10" t="s">
        <v>3380</v>
      </c>
      <c r="K669" s="17"/>
    </row>
    <row r="670" spans="1:11" ht="30" x14ac:dyDescent="0.25">
      <c r="A670" s="3" t="s">
        <v>1359</v>
      </c>
      <c r="B670" s="4" t="s">
        <v>1360</v>
      </c>
      <c r="C670" s="5">
        <v>27969</v>
      </c>
      <c r="D670" s="6" t="s">
        <v>31</v>
      </c>
      <c r="E670" s="6" t="s">
        <v>17</v>
      </c>
      <c r="F670" s="7">
        <v>34095</v>
      </c>
      <c r="G670" s="8">
        <f t="shared" si="10"/>
        <v>34095</v>
      </c>
      <c r="H670" s="6" t="s">
        <v>13</v>
      </c>
      <c r="I670" s="9" t="s">
        <v>3380</v>
      </c>
      <c r="J670" s="10" t="s">
        <v>3380</v>
      </c>
      <c r="K670" s="17"/>
    </row>
    <row r="671" spans="1:11" ht="30" x14ac:dyDescent="0.25">
      <c r="A671" s="12" t="s">
        <v>1361</v>
      </c>
      <c r="B671" s="4" t="s">
        <v>1362</v>
      </c>
      <c r="C671" s="14">
        <v>2068</v>
      </c>
      <c r="D671" s="6" t="s">
        <v>34</v>
      </c>
      <c r="E671" s="6" t="s">
        <v>17</v>
      </c>
      <c r="F671" s="7">
        <v>35838</v>
      </c>
      <c r="G671" s="8">
        <f t="shared" si="10"/>
        <v>35838</v>
      </c>
      <c r="H671" s="6" t="s">
        <v>13</v>
      </c>
      <c r="I671" s="9">
        <v>6192245.3400000008</v>
      </c>
      <c r="J671" s="10">
        <v>23500</v>
      </c>
      <c r="K671" s="17"/>
    </row>
    <row r="672" spans="1:11" ht="30" x14ac:dyDescent="0.25">
      <c r="A672" s="3" t="s">
        <v>1363</v>
      </c>
      <c r="B672" s="4" t="s">
        <v>1364</v>
      </c>
      <c r="C672" s="5">
        <v>27585</v>
      </c>
      <c r="D672" s="6" t="s">
        <v>31</v>
      </c>
      <c r="E672" s="6" t="s">
        <v>17</v>
      </c>
      <c r="F672" s="7">
        <v>39872</v>
      </c>
      <c r="G672" s="8">
        <f t="shared" si="10"/>
        <v>39872</v>
      </c>
      <c r="H672" s="6" t="s">
        <v>13</v>
      </c>
      <c r="I672" s="9" t="s">
        <v>3380</v>
      </c>
      <c r="J672" s="10" t="s">
        <v>3380</v>
      </c>
      <c r="K672" s="17"/>
    </row>
    <row r="673" spans="1:11" ht="30" x14ac:dyDescent="0.25">
      <c r="A673" s="3" t="s">
        <v>1365</v>
      </c>
      <c r="B673" s="4" t="s">
        <v>1366</v>
      </c>
      <c r="C673" s="5">
        <v>15051</v>
      </c>
      <c r="D673" s="6" t="s">
        <v>31</v>
      </c>
      <c r="E673" s="6" t="s">
        <v>17</v>
      </c>
      <c r="F673" s="7">
        <v>33137</v>
      </c>
      <c r="G673" s="8">
        <f t="shared" si="10"/>
        <v>33137</v>
      </c>
      <c r="H673" s="6" t="s">
        <v>13</v>
      </c>
      <c r="I673" s="9" t="s">
        <v>3380</v>
      </c>
      <c r="J673" s="10" t="s">
        <v>3380</v>
      </c>
      <c r="K673" s="17"/>
    </row>
    <row r="674" spans="1:11" ht="30" x14ac:dyDescent="0.25">
      <c r="A674" s="3" t="s">
        <v>1367</v>
      </c>
      <c r="B674" s="4" t="s">
        <v>1368</v>
      </c>
      <c r="C674" s="5">
        <v>1419</v>
      </c>
      <c r="D674" s="6" t="s">
        <v>34</v>
      </c>
      <c r="E674" s="6" t="s">
        <v>17</v>
      </c>
      <c r="F674" s="7">
        <v>24108</v>
      </c>
      <c r="G674" s="8">
        <f t="shared" si="10"/>
        <v>24108</v>
      </c>
      <c r="H674" s="6" t="s">
        <v>13</v>
      </c>
      <c r="I674" s="9">
        <v>49977.153320404395</v>
      </c>
      <c r="J674" s="10">
        <v>522.70451684515399</v>
      </c>
      <c r="K674" s="17"/>
    </row>
    <row r="675" spans="1:11" ht="30" x14ac:dyDescent="0.25">
      <c r="A675" s="3" t="s">
        <v>1369</v>
      </c>
      <c r="B675" s="4" t="s">
        <v>1370</v>
      </c>
      <c r="C675" s="14">
        <v>1370</v>
      </c>
      <c r="D675" s="6" t="s">
        <v>28</v>
      </c>
      <c r="E675" s="6" t="s">
        <v>17</v>
      </c>
      <c r="F675" s="7">
        <v>40591</v>
      </c>
      <c r="G675" s="8">
        <f t="shared" si="10"/>
        <v>40591</v>
      </c>
      <c r="H675" s="6" t="s">
        <v>13</v>
      </c>
      <c r="I675" s="9" t="s">
        <v>3380</v>
      </c>
      <c r="J675" s="10" t="s">
        <v>3380</v>
      </c>
      <c r="K675" s="17"/>
    </row>
    <row r="676" spans="1:11" ht="30" x14ac:dyDescent="0.25">
      <c r="A676" s="3" t="s">
        <v>1371</v>
      </c>
      <c r="B676" s="4" t="s">
        <v>1372</v>
      </c>
      <c r="C676" s="5">
        <v>1785</v>
      </c>
      <c r="D676" s="6" t="s">
        <v>28</v>
      </c>
      <c r="E676" s="6" t="s">
        <v>17</v>
      </c>
      <c r="F676" s="7">
        <v>36931</v>
      </c>
      <c r="G676" s="8">
        <f t="shared" si="10"/>
        <v>36931</v>
      </c>
      <c r="H676" s="6" t="s">
        <v>13</v>
      </c>
      <c r="I676" s="9" t="s">
        <v>3380</v>
      </c>
      <c r="J676" s="10" t="s">
        <v>3380</v>
      </c>
      <c r="K676" s="17"/>
    </row>
    <row r="677" spans="1:11" ht="30" x14ac:dyDescent="0.25">
      <c r="A677" s="3" t="s">
        <v>1373</v>
      </c>
      <c r="B677" s="4" t="s">
        <v>1374</v>
      </c>
      <c r="C677" s="14">
        <v>44561</v>
      </c>
      <c r="D677" s="6" t="s">
        <v>28</v>
      </c>
      <c r="E677" s="6" t="s">
        <v>17</v>
      </c>
      <c r="F677" s="7">
        <v>39029</v>
      </c>
      <c r="G677" s="8">
        <f t="shared" si="10"/>
        <v>39029</v>
      </c>
      <c r="H677" s="6" t="s">
        <v>13</v>
      </c>
      <c r="I677" s="9" t="s">
        <v>3380</v>
      </c>
      <c r="J677" s="10" t="s">
        <v>3380</v>
      </c>
      <c r="K677" s="17"/>
    </row>
    <row r="678" spans="1:11" ht="30" x14ac:dyDescent="0.25">
      <c r="A678" s="3" t="s">
        <v>1375</v>
      </c>
      <c r="B678" s="4" t="s">
        <v>1376</v>
      </c>
      <c r="C678" s="5">
        <v>19215</v>
      </c>
      <c r="D678" s="6" t="s">
        <v>16</v>
      </c>
      <c r="E678" s="6" t="s">
        <v>17</v>
      </c>
      <c r="F678" s="7">
        <v>35607</v>
      </c>
      <c r="G678" s="8">
        <f t="shared" si="10"/>
        <v>35607</v>
      </c>
      <c r="H678" s="6" t="s">
        <v>13</v>
      </c>
      <c r="I678" s="9" t="s">
        <v>3380</v>
      </c>
      <c r="J678" s="10" t="s">
        <v>3380</v>
      </c>
      <c r="K678" s="17"/>
    </row>
    <row r="679" spans="1:11" ht="30" x14ac:dyDescent="0.25">
      <c r="A679" s="3" t="s">
        <v>1377</v>
      </c>
      <c r="B679" s="4" t="s">
        <v>1378</v>
      </c>
      <c r="C679" s="5">
        <v>1247</v>
      </c>
      <c r="D679" s="6" t="s">
        <v>28</v>
      </c>
      <c r="E679" s="6" t="s">
        <v>17</v>
      </c>
      <c r="F679" s="7">
        <v>36342</v>
      </c>
      <c r="G679" s="8">
        <f t="shared" si="10"/>
        <v>36342</v>
      </c>
      <c r="H679" s="6" t="s">
        <v>13</v>
      </c>
      <c r="I679" s="9" t="s">
        <v>3380</v>
      </c>
      <c r="J679" s="10" t="s">
        <v>3380</v>
      </c>
      <c r="K679" s="17"/>
    </row>
    <row r="680" spans="1:11" ht="30" x14ac:dyDescent="0.25">
      <c r="A680" s="3" t="s">
        <v>1379</v>
      </c>
      <c r="B680" s="4" t="s">
        <v>1380</v>
      </c>
      <c r="C680" s="5">
        <v>54571</v>
      </c>
      <c r="D680" s="6" t="s">
        <v>16</v>
      </c>
      <c r="E680" s="6" t="s">
        <v>17</v>
      </c>
      <c r="F680" s="7">
        <v>25982</v>
      </c>
      <c r="G680" s="8">
        <f t="shared" si="10"/>
        <v>25982</v>
      </c>
      <c r="H680" s="6" t="s">
        <v>13</v>
      </c>
      <c r="I680" s="9" t="s">
        <v>3380</v>
      </c>
      <c r="J680" s="10" t="s">
        <v>3380</v>
      </c>
      <c r="K680" s="17"/>
    </row>
    <row r="681" spans="1:11" x14ac:dyDescent="0.25">
      <c r="A681" s="18" t="s">
        <v>1381</v>
      </c>
      <c r="B681" s="19" t="s">
        <v>1382</v>
      </c>
      <c r="C681" s="5">
        <v>1037</v>
      </c>
      <c r="D681" s="21" t="s">
        <v>31</v>
      </c>
      <c r="E681" s="21" t="s">
        <v>17</v>
      </c>
      <c r="F681" s="22">
        <v>29221</v>
      </c>
      <c r="G681" s="23">
        <f t="shared" si="10"/>
        <v>29221</v>
      </c>
      <c r="H681" s="21" t="s">
        <v>13</v>
      </c>
      <c r="I681" s="9" t="s">
        <v>3380</v>
      </c>
      <c r="J681" s="10" t="s">
        <v>3380</v>
      </c>
      <c r="K681" s="25"/>
    </row>
    <row r="682" spans="1:11" ht="30" x14ac:dyDescent="0.25">
      <c r="A682" s="3" t="s">
        <v>1383</v>
      </c>
      <c r="B682" s="4" t="s">
        <v>1384</v>
      </c>
      <c r="C682" s="5">
        <v>54572</v>
      </c>
      <c r="D682" s="6" t="s">
        <v>31</v>
      </c>
      <c r="E682" s="6" t="s">
        <v>17</v>
      </c>
      <c r="F682" s="7">
        <v>21602</v>
      </c>
      <c r="G682" s="8">
        <f t="shared" si="10"/>
        <v>21602</v>
      </c>
      <c r="H682" s="6" t="s">
        <v>13</v>
      </c>
      <c r="I682" s="9" t="s">
        <v>3380</v>
      </c>
      <c r="J682" s="10" t="s">
        <v>3380</v>
      </c>
      <c r="K682" s="17"/>
    </row>
    <row r="683" spans="1:11" ht="30" x14ac:dyDescent="0.25">
      <c r="A683" s="3" t="s">
        <v>1385</v>
      </c>
      <c r="B683" s="4" t="s">
        <v>1386</v>
      </c>
      <c r="C683" s="5">
        <v>18890</v>
      </c>
      <c r="D683" s="6" t="s">
        <v>28</v>
      </c>
      <c r="E683" s="6" t="s">
        <v>17</v>
      </c>
      <c r="F683" s="7">
        <v>38499</v>
      </c>
      <c r="G683" s="8">
        <f t="shared" si="10"/>
        <v>38499</v>
      </c>
      <c r="H683" s="6" t="s">
        <v>13</v>
      </c>
      <c r="I683" s="9" t="s">
        <v>3380</v>
      </c>
      <c r="J683" s="10" t="s">
        <v>3380</v>
      </c>
      <c r="K683" s="17"/>
    </row>
    <row r="684" spans="1:11" ht="30" x14ac:dyDescent="0.25">
      <c r="A684" s="3" t="s">
        <v>1387</v>
      </c>
      <c r="B684" s="4" t="s">
        <v>1388</v>
      </c>
      <c r="C684" s="14">
        <v>1910</v>
      </c>
      <c r="D684" s="6" t="s">
        <v>34</v>
      </c>
      <c r="E684" s="6" t="s">
        <v>17</v>
      </c>
      <c r="F684" s="7">
        <v>35907</v>
      </c>
      <c r="G684" s="8">
        <f t="shared" si="10"/>
        <v>35907</v>
      </c>
      <c r="H684" s="6" t="s">
        <v>13</v>
      </c>
      <c r="I684" s="9">
        <v>249384.62000000002</v>
      </c>
      <c r="J684" s="10">
        <v>1490</v>
      </c>
      <c r="K684" s="17"/>
    </row>
    <row r="685" spans="1:11" x14ac:dyDescent="0.25">
      <c r="A685" s="3" t="s">
        <v>1389</v>
      </c>
      <c r="B685" s="4" t="s">
        <v>1390</v>
      </c>
      <c r="C685" s="5">
        <v>52278</v>
      </c>
      <c r="D685" s="6" t="s">
        <v>37</v>
      </c>
      <c r="E685" s="6" t="s">
        <v>38</v>
      </c>
      <c r="F685" s="7">
        <v>34820</v>
      </c>
      <c r="G685" s="8">
        <f t="shared" si="10"/>
        <v>34820</v>
      </c>
      <c r="H685" s="6" t="s">
        <v>39</v>
      </c>
      <c r="I685" s="9" t="s">
        <v>3380</v>
      </c>
      <c r="J685" s="10" t="s">
        <v>3380</v>
      </c>
      <c r="K685" s="11"/>
    </row>
    <row r="686" spans="1:11" x14ac:dyDescent="0.25">
      <c r="A686" s="26" t="s">
        <v>1391</v>
      </c>
      <c r="B686" s="27" t="s">
        <v>1392</v>
      </c>
      <c r="C686" s="5">
        <v>1603</v>
      </c>
      <c r="D686" s="28" t="s">
        <v>16</v>
      </c>
      <c r="E686" s="28" t="s">
        <v>17</v>
      </c>
      <c r="F686" s="29">
        <v>29221</v>
      </c>
      <c r="G686" s="30">
        <f t="shared" si="10"/>
        <v>29221</v>
      </c>
      <c r="H686" s="28" t="s">
        <v>13</v>
      </c>
      <c r="I686" s="9" t="s">
        <v>3380</v>
      </c>
      <c r="J686" s="10" t="s">
        <v>3380</v>
      </c>
      <c r="K686" s="33"/>
    </row>
    <row r="687" spans="1:11" ht="30" x14ac:dyDescent="0.25">
      <c r="A687" s="3" t="s">
        <v>1393</v>
      </c>
      <c r="B687" s="4" t="s">
        <v>1394</v>
      </c>
      <c r="C687" s="5">
        <v>31298</v>
      </c>
      <c r="D687" s="6" t="s">
        <v>28</v>
      </c>
      <c r="E687" s="6" t="s">
        <v>17</v>
      </c>
      <c r="F687" s="7">
        <v>38025</v>
      </c>
      <c r="G687" s="8">
        <f t="shared" si="10"/>
        <v>38025</v>
      </c>
      <c r="H687" s="6" t="s">
        <v>13</v>
      </c>
      <c r="I687" s="9" t="s">
        <v>3380</v>
      </c>
      <c r="J687" s="10" t="s">
        <v>3380</v>
      </c>
      <c r="K687" s="17"/>
    </row>
    <row r="688" spans="1:11" ht="30" x14ac:dyDescent="0.25">
      <c r="A688" s="3" t="s">
        <v>1395</v>
      </c>
      <c r="B688" s="4" t="s">
        <v>1396</v>
      </c>
      <c r="C688" s="14">
        <v>52899</v>
      </c>
      <c r="D688" s="6" t="s">
        <v>28</v>
      </c>
      <c r="E688" s="6" t="s">
        <v>17</v>
      </c>
      <c r="F688" s="7">
        <v>38657</v>
      </c>
      <c r="G688" s="8">
        <f t="shared" si="10"/>
        <v>38657</v>
      </c>
      <c r="H688" s="6" t="s">
        <v>13</v>
      </c>
      <c r="I688" s="9" t="s">
        <v>3380</v>
      </c>
      <c r="J688" s="10" t="s">
        <v>3380</v>
      </c>
      <c r="K688" s="17"/>
    </row>
    <row r="689" spans="1:11" ht="30" x14ac:dyDescent="0.25">
      <c r="A689" s="3" t="s">
        <v>1397</v>
      </c>
      <c r="B689" s="4" t="s">
        <v>1398</v>
      </c>
      <c r="C689" s="5">
        <v>1385</v>
      </c>
      <c r="D689" s="6" t="s">
        <v>16</v>
      </c>
      <c r="E689" s="6" t="s">
        <v>17</v>
      </c>
      <c r="F689" s="7">
        <v>29221</v>
      </c>
      <c r="G689" s="8">
        <f t="shared" si="10"/>
        <v>29221</v>
      </c>
      <c r="H689" s="6" t="s">
        <v>13</v>
      </c>
      <c r="I689" s="9" t="s">
        <v>3380</v>
      </c>
      <c r="J689" s="10" t="s">
        <v>3380</v>
      </c>
      <c r="K689" s="17"/>
    </row>
    <row r="690" spans="1:11" x14ac:dyDescent="0.25">
      <c r="A690" s="26" t="s">
        <v>1399</v>
      </c>
      <c r="B690" s="27" t="s">
        <v>1400</v>
      </c>
      <c r="C690" s="34">
        <v>27873</v>
      </c>
      <c r="D690" s="28" t="s">
        <v>31</v>
      </c>
      <c r="E690" s="28" t="s">
        <v>17</v>
      </c>
      <c r="F690" s="29">
        <v>21979</v>
      </c>
      <c r="G690" s="30">
        <f t="shared" si="10"/>
        <v>21979</v>
      </c>
      <c r="H690" s="28" t="s">
        <v>13</v>
      </c>
      <c r="I690" s="9">
        <v>263267.53000000003</v>
      </c>
      <c r="J690" s="10">
        <v>720</v>
      </c>
      <c r="K690" s="33"/>
    </row>
    <row r="691" spans="1:11" ht="30" x14ac:dyDescent="0.25">
      <c r="A691" s="3" t="s">
        <v>1401</v>
      </c>
      <c r="B691" s="4" t="s">
        <v>1402</v>
      </c>
      <c r="C691" s="14">
        <v>1648</v>
      </c>
      <c r="D691" s="6" t="s">
        <v>28</v>
      </c>
      <c r="E691" s="6" t="s">
        <v>17</v>
      </c>
      <c r="F691" s="7">
        <v>30317</v>
      </c>
      <c r="G691" s="8">
        <f t="shared" si="10"/>
        <v>30317</v>
      </c>
      <c r="H691" s="6" t="s">
        <v>13</v>
      </c>
      <c r="I691" s="9" t="s">
        <v>3380</v>
      </c>
      <c r="J691" s="10" t="s">
        <v>3380</v>
      </c>
      <c r="K691" s="17"/>
    </row>
    <row r="692" spans="1:11" ht="30" x14ac:dyDescent="0.25">
      <c r="A692" s="3" t="s">
        <v>1403</v>
      </c>
      <c r="B692" s="4" t="s">
        <v>1404</v>
      </c>
      <c r="C692" s="14">
        <v>1384</v>
      </c>
      <c r="D692" s="6" t="s">
        <v>16</v>
      </c>
      <c r="E692" s="6" t="s">
        <v>17</v>
      </c>
      <c r="F692" s="7">
        <v>29221</v>
      </c>
      <c r="G692" s="8">
        <f t="shared" si="10"/>
        <v>29221</v>
      </c>
      <c r="H692" s="6" t="s">
        <v>13</v>
      </c>
      <c r="I692" s="9" t="s">
        <v>3380</v>
      </c>
      <c r="J692" s="10" t="s">
        <v>3380</v>
      </c>
      <c r="K692" s="17"/>
    </row>
    <row r="693" spans="1:11" ht="30" x14ac:dyDescent="0.25">
      <c r="A693" s="3" t="s">
        <v>1405</v>
      </c>
      <c r="B693" s="4" t="s">
        <v>1406</v>
      </c>
      <c r="C693" s="5">
        <v>54574</v>
      </c>
      <c r="D693" s="6" t="s">
        <v>1407</v>
      </c>
      <c r="E693" s="6" t="s">
        <v>17</v>
      </c>
      <c r="F693" s="7">
        <v>38189</v>
      </c>
      <c r="G693" s="8">
        <f t="shared" si="10"/>
        <v>38189</v>
      </c>
      <c r="H693" s="6" t="s">
        <v>13</v>
      </c>
      <c r="I693" s="9" t="s">
        <v>3380</v>
      </c>
      <c r="J693" s="10" t="s">
        <v>3380</v>
      </c>
      <c r="K693" s="17"/>
    </row>
    <row r="694" spans="1:11" ht="30" x14ac:dyDescent="0.25">
      <c r="A694" s="3" t="s">
        <v>1408</v>
      </c>
      <c r="B694" s="4" t="s">
        <v>1409</v>
      </c>
      <c r="C694" s="5">
        <v>1695</v>
      </c>
      <c r="D694" s="6" t="s">
        <v>28</v>
      </c>
      <c r="E694" s="6" t="s">
        <v>17</v>
      </c>
      <c r="F694" s="7">
        <v>29221</v>
      </c>
      <c r="G694" s="8">
        <f t="shared" si="10"/>
        <v>29221</v>
      </c>
      <c r="H694" s="6" t="s">
        <v>13</v>
      </c>
      <c r="I694" s="9" t="s">
        <v>3380</v>
      </c>
      <c r="J694" s="10" t="s">
        <v>3380</v>
      </c>
      <c r="K694" s="17"/>
    </row>
    <row r="695" spans="1:11" ht="30" x14ac:dyDescent="0.25">
      <c r="A695" s="3" t="s">
        <v>1410</v>
      </c>
      <c r="B695" s="4" t="s">
        <v>1411</v>
      </c>
      <c r="C695" s="14">
        <v>1529</v>
      </c>
      <c r="D695" s="6" t="s">
        <v>31</v>
      </c>
      <c r="E695" s="6" t="s">
        <v>17</v>
      </c>
      <c r="F695" s="7">
        <v>37072</v>
      </c>
      <c r="G695" s="8">
        <f t="shared" si="10"/>
        <v>37072</v>
      </c>
      <c r="H695" s="6" t="s">
        <v>13</v>
      </c>
      <c r="I695" s="9">
        <v>184355.3</v>
      </c>
      <c r="J695" s="10">
        <v>1490</v>
      </c>
      <c r="K695" s="17"/>
    </row>
    <row r="696" spans="1:11" ht="30" x14ac:dyDescent="0.25">
      <c r="A696" s="3" t="s">
        <v>1412</v>
      </c>
      <c r="B696" s="4" t="s">
        <v>1413</v>
      </c>
      <c r="C696" s="5">
        <v>2021</v>
      </c>
      <c r="D696" s="6" t="s">
        <v>16</v>
      </c>
      <c r="E696" s="6" t="s">
        <v>17</v>
      </c>
      <c r="F696" s="7">
        <v>29221</v>
      </c>
      <c r="G696" s="8">
        <f t="shared" si="10"/>
        <v>29221</v>
      </c>
      <c r="H696" s="6" t="s">
        <v>13</v>
      </c>
      <c r="I696" s="9" t="s">
        <v>3380</v>
      </c>
      <c r="J696" s="10" t="s">
        <v>3380</v>
      </c>
      <c r="K696" s="17"/>
    </row>
    <row r="697" spans="1:11" ht="30" x14ac:dyDescent="0.25">
      <c r="A697" s="3" t="s">
        <v>1414</v>
      </c>
      <c r="B697" s="4" t="s">
        <v>1415</v>
      </c>
      <c r="C697" s="5">
        <v>22081</v>
      </c>
      <c r="D697" s="6" t="s">
        <v>31</v>
      </c>
      <c r="E697" s="6" t="s">
        <v>17</v>
      </c>
      <c r="F697" s="7">
        <v>34025</v>
      </c>
      <c r="G697" s="8">
        <f t="shared" si="10"/>
        <v>34025</v>
      </c>
      <c r="H697" s="6" t="s">
        <v>13</v>
      </c>
      <c r="I697" s="9" t="s">
        <v>3380</v>
      </c>
      <c r="J697" s="10" t="s">
        <v>3380</v>
      </c>
      <c r="K697" s="17"/>
    </row>
    <row r="698" spans="1:11" ht="30" x14ac:dyDescent="0.25">
      <c r="A698" s="3" t="s">
        <v>1416</v>
      </c>
      <c r="B698" s="4" t="s">
        <v>1417</v>
      </c>
      <c r="C698" s="5">
        <v>1812</v>
      </c>
      <c r="D698" s="6" t="s">
        <v>28</v>
      </c>
      <c r="E698" s="6" t="s">
        <v>17</v>
      </c>
      <c r="F698" s="7">
        <v>29221</v>
      </c>
      <c r="G698" s="8">
        <f t="shared" si="10"/>
        <v>29221</v>
      </c>
      <c r="H698" s="6" t="s">
        <v>13</v>
      </c>
      <c r="I698" s="9" t="s">
        <v>3380</v>
      </c>
      <c r="J698" s="10" t="s">
        <v>3380</v>
      </c>
      <c r="K698" s="17"/>
    </row>
    <row r="699" spans="1:11" ht="30" x14ac:dyDescent="0.25">
      <c r="A699" s="3" t="s">
        <v>1418</v>
      </c>
      <c r="B699" s="4" t="s">
        <v>1419</v>
      </c>
      <c r="C699" s="14">
        <v>1635</v>
      </c>
      <c r="D699" s="6" t="s">
        <v>31</v>
      </c>
      <c r="E699" s="6" t="s">
        <v>17</v>
      </c>
      <c r="F699" s="7">
        <v>25569</v>
      </c>
      <c r="G699" s="8">
        <f t="shared" si="10"/>
        <v>25569</v>
      </c>
      <c r="H699" s="6" t="s">
        <v>13</v>
      </c>
      <c r="I699" s="9" t="s">
        <v>3380</v>
      </c>
      <c r="J699" s="10" t="s">
        <v>3380</v>
      </c>
      <c r="K699" s="17"/>
    </row>
    <row r="700" spans="1:11" ht="30" x14ac:dyDescent="0.25">
      <c r="A700" s="3" t="s">
        <v>1420</v>
      </c>
      <c r="B700" s="4" t="s">
        <v>1421</v>
      </c>
      <c r="C700" s="5">
        <v>11202</v>
      </c>
      <c r="D700" s="6" t="s">
        <v>37</v>
      </c>
      <c r="E700" s="6" t="s">
        <v>38</v>
      </c>
      <c r="F700" s="7">
        <v>37405</v>
      </c>
      <c r="G700" s="8">
        <f t="shared" si="10"/>
        <v>37405</v>
      </c>
      <c r="H700" s="6" t="s">
        <v>39</v>
      </c>
      <c r="I700" s="9" t="s">
        <v>3380</v>
      </c>
      <c r="J700" s="10" t="s">
        <v>3380</v>
      </c>
      <c r="K700" s="17"/>
    </row>
    <row r="701" spans="1:11" x14ac:dyDescent="0.25">
      <c r="A701" s="18" t="s">
        <v>1422</v>
      </c>
      <c r="B701" s="19" t="s">
        <v>1423</v>
      </c>
      <c r="C701" s="20">
        <v>1440</v>
      </c>
      <c r="D701" s="21" t="s">
        <v>16</v>
      </c>
      <c r="E701" s="21" t="s">
        <v>17</v>
      </c>
      <c r="F701" s="22">
        <v>25569</v>
      </c>
      <c r="G701" s="23">
        <f t="shared" si="10"/>
        <v>25569</v>
      </c>
      <c r="H701" s="21" t="s">
        <v>13</v>
      </c>
      <c r="I701" s="9" t="s">
        <v>3380</v>
      </c>
      <c r="J701" s="10" t="s">
        <v>3380</v>
      </c>
      <c r="K701" s="25"/>
    </row>
    <row r="702" spans="1:11" ht="30" x14ac:dyDescent="0.25">
      <c r="A702" s="3" t="s">
        <v>1424</v>
      </c>
      <c r="B702" s="4" t="s">
        <v>1425</v>
      </c>
      <c r="C702" s="5">
        <v>1677</v>
      </c>
      <c r="D702" s="6" t="s">
        <v>34</v>
      </c>
      <c r="E702" s="6" t="s">
        <v>17</v>
      </c>
      <c r="F702" s="7">
        <v>32143</v>
      </c>
      <c r="G702" s="8">
        <f t="shared" si="10"/>
        <v>32143</v>
      </c>
      <c r="H702" s="6" t="s">
        <v>13</v>
      </c>
      <c r="I702" s="9" t="s">
        <v>3380</v>
      </c>
      <c r="J702" s="10" t="s">
        <v>3380</v>
      </c>
      <c r="K702" s="17"/>
    </row>
    <row r="703" spans="1:11" ht="30" x14ac:dyDescent="0.25">
      <c r="A703" s="3" t="s">
        <v>1426</v>
      </c>
      <c r="B703" s="4" t="s">
        <v>1427</v>
      </c>
      <c r="C703" s="5">
        <v>16003</v>
      </c>
      <c r="D703" s="6" t="s">
        <v>31</v>
      </c>
      <c r="E703" s="6" t="s">
        <v>17</v>
      </c>
      <c r="F703" s="7">
        <v>32531</v>
      </c>
      <c r="G703" s="8">
        <f t="shared" si="10"/>
        <v>32531</v>
      </c>
      <c r="H703" s="6" t="s">
        <v>13</v>
      </c>
      <c r="I703" s="9" t="s">
        <v>3380</v>
      </c>
      <c r="J703" s="10" t="s">
        <v>3380</v>
      </c>
      <c r="K703" s="17"/>
    </row>
    <row r="704" spans="1:11" ht="30" x14ac:dyDescent="0.25">
      <c r="A704" s="3" t="s">
        <v>1428</v>
      </c>
      <c r="B704" s="4" t="s">
        <v>1429</v>
      </c>
      <c r="C704" s="5">
        <v>16001</v>
      </c>
      <c r="D704" s="6" t="s">
        <v>31</v>
      </c>
      <c r="E704" s="6" t="s">
        <v>17</v>
      </c>
      <c r="F704" s="7">
        <v>32531</v>
      </c>
      <c r="G704" s="8">
        <f t="shared" si="10"/>
        <v>32531</v>
      </c>
      <c r="H704" s="6" t="s">
        <v>13</v>
      </c>
      <c r="I704" s="9" t="s">
        <v>3380</v>
      </c>
      <c r="J704" s="10" t="s">
        <v>3380</v>
      </c>
      <c r="K704" s="17"/>
    </row>
    <row r="705" spans="1:11" ht="30" x14ac:dyDescent="0.25">
      <c r="A705" s="3" t="s">
        <v>1430</v>
      </c>
      <c r="B705" s="4" t="s">
        <v>1431</v>
      </c>
      <c r="C705" s="5">
        <v>1239</v>
      </c>
      <c r="D705" s="6" t="s">
        <v>34</v>
      </c>
      <c r="E705" s="6" t="s">
        <v>17</v>
      </c>
      <c r="F705" s="7">
        <v>30165</v>
      </c>
      <c r="G705" s="8">
        <f t="shared" si="10"/>
        <v>30165</v>
      </c>
      <c r="H705" s="6" t="s">
        <v>13</v>
      </c>
      <c r="I705" s="9" t="s">
        <v>3380</v>
      </c>
      <c r="J705" s="10" t="s">
        <v>3380</v>
      </c>
      <c r="K705" s="17"/>
    </row>
    <row r="706" spans="1:11" ht="30" x14ac:dyDescent="0.25">
      <c r="A706" s="3" t="s">
        <v>1432</v>
      </c>
      <c r="B706" s="4" t="s">
        <v>1433</v>
      </c>
      <c r="C706" s="5">
        <v>11201</v>
      </c>
      <c r="D706" s="6" t="s">
        <v>28</v>
      </c>
      <c r="E706" s="6" t="s">
        <v>17</v>
      </c>
      <c r="F706" s="7">
        <v>37959</v>
      </c>
      <c r="G706" s="8">
        <f t="shared" ref="G706:G769" si="11">F706</f>
        <v>37959</v>
      </c>
      <c r="H706" s="6" t="s">
        <v>13</v>
      </c>
      <c r="I706" s="9" t="s">
        <v>3380</v>
      </c>
      <c r="J706" s="10" t="s">
        <v>3380</v>
      </c>
      <c r="K706" s="17"/>
    </row>
    <row r="707" spans="1:11" ht="30" x14ac:dyDescent="0.25">
      <c r="A707" s="3" t="s">
        <v>1434</v>
      </c>
      <c r="B707" s="4" t="s">
        <v>1435</v>
      </c>
      <c r="C707" s="5">
        <v>10574</v>
      </c>
      <c r="D707" s="6" t="s">
        <v>31</v>
      </c>
      <c r="E707" s="6" t="s">
        <v>17</v>
      </c>
      <c r="F707" s="7">
        <v>37047</v>
      </c>
      <c r="G707" s="8">
        <f t="shared" si="11"/>
        <v>37047</v>
      </c>
      <c r="H707" s="6" t="s">
        <v>13</v>
      </c>
      <c r="I707" s="9" t="s">
        <v>3380</v>
      </c>
      <c r="J707" s="10" t="s">
        <v>3380</v>
      </c>
      <c r="K707" s="17"/>
    </row>
    <row r="708" spans="1:11" ht="30" x14ac:dyDescent="0.25">
      <c r="A708" s="3" t="s">
        <v>1436</v>
      </c>
      <c r="B708" s="4" t="s">
        <v>1437</v>
      </c>
      <c r="C708" s="5">
        <v>52898</v>
      </c>
      <c r="D708" s="6" t="s">
        <v>28</v>
      </c>
      <c r="E708" s="6" t="s">
        <v>17</v>
      </c>
      <c r="F708" s="7">
        <v>39295</v>
      </c>
      <c r="G708" s="8">
        <f t="shared" si="11"/>
        <v>39295</v>
      </c>
      <c r="H708" s="6" t="s">
        <v>13</v>
      </c>
      <c r="I708" s="9" t="s">
        <v>3380</v>
      </c>
      <c r="J708" s="10" t="s">
        <v>3380</v>
      </c>
      <c r="K708" s="17"/>
    </row>
    <row r="709" spans="1:11" ht="30" x14ac:dyDescent="0.25">
      <c r="A709" s="3" t="s">
        <v>1438</v>
      </c>
      <c r="B709" s="4" t="s">
        <v>1439</v>
      </c>
      <c r="C709" s="5">
        <v>136117</v>
      </c>
      <c r="D709" s="6" t="s">
        <v>34</v>
      </c>
      <c r="E709" s="6" t="s">
        <v>17</v>
      </c>
      <c r="F709" s="7">
        <v>29221</v>
      </c>
      <c r="G709" s="8">
        <f t="shared" si="11"/>
        <v>29221</v>
      </c>
      <c r="H709" s="6" t="s">
        <v>13</v>
      </c>
      <c r="I709" s="9" t="s">
        <v>3380</v>
      </c>
      <c r="J709" s="10" t="s">
        <v>3380</v>
      </c>
      <c r="K709" s="17"/>
    </row>
    <row r="710" spans="1:11" ht="30" x14ac:dyDescent="0.25">
      <c r="A710" s="3" t="s">
        <v>1440</v>
      </c>
      <c r="B710" s="4" t="s">
        <v>1441</v>
      </c>
      <c r="C710" s="5">
        <v>54576</v>
      </c>
      <c r="D710" s="6" t="s">
        <v>34</v>
      </c>
      <c r="E710" s="6" t="s">
        <v>17</v>
      </c>
      <c r="F710" s="7">
        <v>38930</v>
      </c>
      <c r="G710" s="8">
        <f t="shared" si="11"/>
        <v>38930</v>
      </c>
      <c r="H710" s="6" t="s">
        <v>13</v>
      </c>
      <c r="I710" s="9" t="s">
        <v>3380</v>
      </c>
      <c r="J710" s="10" t="s">
        <v>3380</v>
      </c>
      <c r="K710" s="17"/>
    </row>
    <row r="711" spans="1:11" ht="30" x14ac:dyDescent="0.25">
      <c r="A711" s="3" t="s">
        <v>1442</v>
      </c>
      <c r="B711" s="4" t="s">
        <v>1443</v>
      </c>
      <c r="C711" s="5">
        <v>1238</v>
      </c>
      <c r="D711" s="6" t="s">
        <v>34</v>
      </c>
      <c r="E711" s="6" t="s">
        <v>17</v>
      </c>
      <c r="F711" s="7">
        <v>29221</v>
      </c>
      <c r="G711" s="8">
        <f t="shared" si="11"/>
        <v>29221</v>
      </c>
      <c r="H711" s="6" t="s">
        <v>13</v>
      </c>
      <c r="I711" s="9" t="s">
        <v>3380</v>
      </c>
      <c r="J711" s="10" t="s">
        <v>3380</v>
      </c>
      <c r="K711" s="17"/>
    </row>
    <row r="712" spans="1:11" ht="30" x14ac:dyDescent="0.25">
      <c r="A712" s="3" t="s">
        <v>1444</v>
      </c>
      <c r="B712" s="4" t="s">
        <v>1445</v>
      </c>
      <c r="C712" s="5">
        <v>30161</v>
      </c>
      <c r="D712" s="6" t="s">
        <v>16</v>
      </c>
      <c r="E712" s="6" t="s">
        <v>17</v>
      </c>
      <c r="F712" s="7">
        <v>38945</v>
      </c>
      <c r="G712" s="8">
        <f t="shared" si="11"/>
        <v>38945</v>
      </c>
      <c r="H712" s="6" t="s">
        <v>13</v>
      </c>
      <c r="I712" s="9" t="s">
        <v>3380</v>
      </c>
      <c r="J712" s="10" t="s">
        <v>3380</v>
      </c>
      <c r="K712" s="17"/>
    </row>
    <row r="713" spans="1:11" ht="30" x14ac:dyDescent="0.25">
      <c r="A713" s="3" t="s">
        <v>1446</v>
      </c>
      <c r="B713" s="4" t="s">
        <v>1447</v>
      </c>
      <c r="C713" s="5">
        <v>54575</v>
      </c>
      <c r="D713" s="6" t="s">
        <v>31</v>
      </c>
      <c r="E713" s="6" t="s">
        <v>17</v>
      </c>
      <c r="F713" s="7">
        <v>38910</v>
      </c>
      <c r="G713" s="8">
        <f t="shared" si="11"/>
        <v>38910</v>
      </c>
      <c r="H713" s="6" t="s">
        <v>13</v>
      </c>
      <c r="I713" s="9" t="s">
        <v>3380</v>
      </c>
      <c r="J713" s="10" t="s">
        <v>3380</v>
      </c>
      <c r="K713" s="17"/>
    </row>
    <row r="714" spans="1:11" ht="30" x14ac:dyDescent="0.25">
      <c r="A714" s="3" t="s">
        <v>1448</v>
      </c>
      <c r="B714" s="4" t="s">
        <v>1449</v>
      </c>
      <c r="C714" s="5">
        <v>12482</v>
      </c>
      <c r="D714" s="6" t="s">
        <v>16</v>
      </c>
      <c r="E714" s="6" t="s">
        <v>17</v>
      </c>
      <c r="F714" s="7">
        <v>37145</v>
      </c>
      <c r="G714" s="8">
        <f t="shared" si="11"/>
        <v>37145</v>
      </c>
      <c r="H714" s="6" t="s">
        <v>13</v>
      </c>
      <c r="I714" s="9" t="s">
        <v>3380</v>
      </c>
      <c r="J714" s="10" t="s">
        <v>3380</v>
      </c>
      <c r="K714" s="17"/>
    </row>
    <row r="715" spans="1:11" ht="30" x14ac:dyDescent="0.25">
      <c r="A715" s="3" t="s">
        <v>1450</v>
      </c>
      <c r="B715" s="4" t="s">
        <v>1451</v>
      </c>
      <c r="C715" s="5">
        <v>1758</v>
      </c>
      <c r="D715" s="6" t="s">
        <v>31</v>
      </c>
      <c r="E715" s="6" t="s">
        <v>17</v>
      </c>
      <c r="F715" s="7">
        <v>29221</v>
      </c>
      <c r="G715" s="8">
        <f t="shared" si="11"/>
        <v>29221</v>
      </c>
      <c r="H715" s="6" t="s">
        <v>13</v>
      </c>
      <c r="I715" s="9" t="s">
        <v>3380</v>
      </c>
      <c r="J715" s="10" t="s">
        <v>3380</v>
      </c>
      <c r="K715" s="17"/>
    </row>
    <row r="716" spans="1:11" ht="30" x14ac:dyDescent="0.25">
      <c r="A716" s="3" t="s">
        <v>1452</v>
      </c>
      <c r="B716" s="4" t="s">
        <v>1453</v>
      </c>
      <c r="C716" s="5">
        <v>19209</v>
      </c>
      <c r="D716" s="6" t="s">
        <v>31</v>
      </c>
      <c r="E716" s="6" t="s">
        <v>17</v>
      </c>
      <c r="F716" s="7">
        <v>36528</v>
      </c>
      <c r="G716" s="8">
        <f t="shared" si="11"/>
        <v>36528</v>
      </c>
      <c r="H716" s="6" t="s">
        <v>13</v>
      </c>
      <c r="I716" s="9" t="s">
        <v>3380</v>
      </c>
      <c r="J716" s="10" t="s">
        <v>3380</v>
      </c>
      <c r="K716" s="17"/>
    </row>
    <row r="717" spans="1:11" ht="30" x14ac:dyDescent="0.25">
      <c r="A717" s="3" t="s">
        <v>1454</v>
      </c>
      <c r="B717" s="4" t="s">
        <v>1455</v>
      </c>
      <c r="C717" s="5">
        <v>16964</v>
      </c>
      <c r="D717" s="6" t="s">
        <v>31</v>
      </c>
      <c r="E717" s="6" t="s">
        <v>17</v>
      </c>
      <c r="F717" s="7">
        <v>25583</v>
      </c>
      <c r="G717" s="8">
        <f t="shared" si="11"/>
        <v>25583</v>
      </c>
      <c r="H717" s="6" t="s">
        <v>13</v>
      </c>
      <c r="I717" s="9" t="s">
        <v>3380</v>
      </c>
      <c r="J717" s="10" t="s">
        <v>3380</v>
      </c>
      <c r="K717" s="17"/>
    </row>
    <row r="718" spans="1:11" ht="30" x14ac:dyDescent="0.25">
      <c r="A718" s="3" t="s">
        <v>1456</v>
      </c>
      <c r="B718" s="4" t="s">
        <v>1457</v>
      </c>
      <c r="C718" s="5">
        <v>25921</v>
      </c>
      <c r="D718" s="6" t="s">
        <v>31</v>
      </c>
      <c r="E718" s="6" t="s">
        <v>17</v>
      </c>
      <c r="F718" s="7">
        <v>31685</v>
      </c>
      <c r="G718" s="8">
        <f t="shared" si="11"/>
        <v>31685</v>
      </c>
      <c r="H718" s="6" t="s">
        <v>13</v>
      </c>
      <c r="I718" s="9" t="s">
        <v>3380</v>
      </c>
      <c r="J718" s="10" t="s">
        <v>3380</v>
      </c>
      <c r="K718" s="17"/>
    </row>
    <row r="719" spans="1:11" ht="30" x14ac:dyDescent="0.25">
      <c r="A719" s="3" t="s">
        <v>1458</v>
      </c>
      <c r="B719" s="4" t="s">
        <v>1459</v>
      </c>
      <c r="C719" s="14">
        <v>18895</v>
      </c>
      <c r="D719" s="6" t="s">
        <v>31</v>
      </c>
      <c r="E719" s="6" t="s">
        <v>17</v>
      </c>
      <c r="F719" s="7">
        <v>28564</v>
      </c>
      <c r="G719" s="8">
        <f t="shared" si="11"/>
        <v>28564</v>
      </c>
      <c r="H719" s="6" t="s">
        <v>13</v>
      </c>
      <c r="I719" s="9" t="s">
        <v>3380</v>
      </c>
      <c r="J719" s="10" t="s">
        <v>3380</v>
      </c>
      <c r="K719" s="17"/>
    </row>
    <row r="720" spans="1:11" ht="30" x14ac:dyDescent="0.25">
      <c r="A720" s="3" t="s">
        <v>1460</v>
      </c>
      <c r="B720" s="4" t="s">
        <v>1461</v>
      </c>
      <c r="C720" s="5">
        <v>15363</v>
      </c>
      <c r="D720" s="6" t="s">
        <v>31</v>
      </c>
      <c r="E720" s="6" t="s">
        <v>17</v>
      </c>
      <c r="F720" s="7">
        <v>31331</v>
      </c>
      <c r="G720" s="8">
        <f t="shared" si="11"/>
        <v>31331</v>
      </c>
      <c r="H720" s="6" t="s">
        <v>13</v>
      </c>
      <c r="I720" s="9" t="s">
        <v>3380</v>
      </c>
      <c r="J720" s="10" t="s">
        <v>3380</v>
      </c>
      <c r="K720" s="17"/>
    </row>
    <row r="721" spans="1:11" ht="30" x14ac:dyDescent="0.25">
      <c r="A721" s="3" t="s">
        <v>1462</v>
      </c>
      <c r="B721" s="4" t="s">
        <v>1463</v>
      </c>
      <c r="C721" s="5">
        <v>15045</v>
      </c>
      <c r="D721" s="6" t="s">
        <v>31</v>
      </c>
      <c r="E721" s="6" t="s">
        <v>17</v>
      </c>
      <c r="F721" s="7">
        <v>30573</v>
      </c>
      <c r="G721" s="8">
        <f t="shared" si="11"/>
        <v>30573</v>
      </c>
      <c r="H721" s="6" t="s">
        <v>13</v>
      </c>
      <c r="I721" s="9" t="s">
        <v>3380</v>
      </c>
      <c r="J721" s="10" t="s">
        <v>3380</v>
      </c>
      <c r="K721" s="17"/>
    </row>
    <row r="722" spans="1:11" ht="30" x14ac:dyDescent="0.25">
      <c r="A722" s="3" t="s">
        <v>1464</v>
      </c>
      <c r="B722" s="4" t="s">
        <v>1465</v>
      </c>
      <c r="C722" s="5">
        <v>14728</v>
      </c>
      <c r="D722" s="6" t="s">
        <v>31</v>
      </c>
      <c r="E722" s="6" t="s">
        <v>17</v>
      </c>
      <c r="F722" s="7">
        <v>32143</v>
      </c>
      <c r="G722" s="8">
        <f t="shared" si="11"/>
        <v>32143</v>
      </c>
      <c r="H722" s="6" t="s">
        <v>13</v>
      </c>
      <c r="I722" s="9" t="s">
        <v>3380</v>
      </c>
      <c r="J722" s="10" t="s">
        <v>3380</v>
      </c>
      <c r="K722" s="17"/>
    </row>
    <row r="723" spans="1:11" ht="30" x14ac:dyDescent="0.25">
      <c r="A723" s="3" t="s">
        <v>1466</v>
      </c>
      <c r="B723" s="4" t="s">
        <v>1467</v>
      </c>
      <c r="C723" s="5">
        <v>1908</v>
      </c>
      <c r="D723" s="6" t="s">
        <v>34</v>
      </c>
      <c r="E723" s="6" t="s">
        <v>17</v>
      </c>
      <c r="F723" s="7">
        <v>29221</v>
      </c>
      <c r="G723" s="8">
        <f t="shared" si="11"/>
        <v>29221</v>
      </c>
      <c r="H723" s="6" t="s">
        <v>13</v>
      </c>
      <c r="I723" s="9" t="s">
        <v>3380</v>
      </c>
      <c r="J723" s="10" t="s">
        <v>3380</v>
      </c>
      <c r="K723" s="17"/>
    </row>
    <row r="724" spans="1:11" ht="30" x14ac:dyDescent="0.25">
      <c r="A724" s="3" t="s">
        <v>1468</v>
      </c>
      <c r="B724" s="4" t="s">
        <v>1469</v>
      </c>
      <c r="C724" s="5">
        <v>1114</v>
      </c>
      <c r="D724" s="6" t="s">
        <v>28</v>
      </c>
      <c r="E724" s="6" t="s">
        <v>17</v>
      </c>
      <c r="F724" s="7">
        <v>38677</v>
      </c>
      <c r="G724" s="8">
        <f t="shared" si="11"/>
        <v>38677</v>
      </c>
      <c r="H724" s="6" t="s">
        <v>13</v>
      </c>
      <c r="I724" s="9" t="s">
        <v>3380</v>
      </c>
      <c r="J724" s="10" t="s">
        <v>3380</v>
      </c>
      <c r="K724" s="17"/>
    </row>
    <row r="725" spans="1:11" ht="30" x14ac:dyDescent="0.25">
      <c r="A725" s="3" t="s">
        <v>1470</v>
      </c>
      <c r="B725" s="4" t="s">
        <v>1471</v>
      </c>
      <c r="C725" s="5">
        <v>25922</v>
      </c>
      <c r="D725" s="6" t="s">
        <v>28</v>
      </c>
      <c r="E725" s="6" t="s">
        <v>17</v>
      </c>
      <c r="F725" s="7">
        <v>20891</v>
      </c>
      <c r="G725" s="8">
        <f t="shared" si="11"/>
        <v>20891</v>
      </c>
      <c r="H725" s="6" t="s">
        <v>13</v>
      </c>
      <c r="I725" s="9" t="s">
        <v>3380</v>
      </c>
      <c r="J725" s="10" t="s">
        <v>3380</v>
      </c>
      <c r="K725" s="17"/>
    </row>
    <row r="726" spans="1:11" x14ac:dyDescent="0.25">
      <c r="A726" s="26" t="s">
        <v>1472</v>
      </c>
      <c r="B726" s="27" t="s">
        <v>1473</v>
      </c>
      <c r="C726" s="5">
        <v>1397</v>
      </c>
      <c r="D726" s="28" t="s">
        <v>34</v>
      </c>
      <c r="E726" s="28" t="s">
        <v>17</v>
      </c>
      <c r="F726" s="29">
        <v>18264</v>
      </c>
      <c r="G726" s="30">
        <f t="shared" si="11"/>
        <v>18264</v>
      </c>
      <c r="H726" s="28" t="s">
        <v>13</v>
      </c>
      <c r="I726" s="9" t="s">
        <v>3380</v>
      </c>
      <c r="J726" s="10" t="s">
        <v>3380</v>
      </c>
      <c r="K726" s="33"/>
    </row>
    <row r="727" spans="1:11" ht="30" x14ac:dyDescent="0.25">
      <c r="A727" s="3" t="s">
        <v>1474</v>
      </c>
      <c r="B727" s="4" t="s">
        <v>1475</v>
      </c>
      <c r="C727" s="5">
        <v>59969</v>
      </c>
      <c r="D727" s="6" t="s">
        <v>28</v>
      </c>
      <c r="E727" s="6" t="s">
        <v>17</v>
      </c>
      <c r="F727" s="7">
        <v>39234</v>
      </c>
      <c r="G727" s="8">
        <f t="shared" si="11"/>
        <v>39234</v>
      </c>
      <c r="H727" s="6" t="s">
        <v>13</v>
      </c>
      <c r="I727" s="9" t="s">
        <v>3380</v>
      </c>
      <c r="J727" s="10" t="s">
        <v>3380</v>
      </c>
      <c r="K727" s="17"/>
    </row>
    <row r="728" spans="1:11" ht="30" x14ac:dyDescent="0.25">
      <c r="A728" s="3" t="s">
        <v>1476</v>
      </c>
      <c r="B728" s="4" t="s">
        <v>1477</v>
      </c>
      <c r="C728" s="5">
        <v>19844</v>
      </c>
      <c r="D728" s="6" t="s">
        <v>28</v>
      </c>
      <c r="E728" s="6" t="s">
        <v>17</v>
      </c>
      <c r="F728" s="7">
        <v>38468</v>
      </c>
      <c r="G728" s="8">
        <f t="shared" si="11"/>
        <v>38468</v>
      </c>
      <c r="H728" s="6" t="s">
        <v>13</v>
      </c>
      <c r="I728" s="9" t="s">
        <v>3380</v>
      </c>
      <c r="J728" s="10" t="s">
        <v>3380</v>
      </c>
      <c r="K728" s="17"/>
    </row>
    <row r="729" spans="1:11" ht="30" x14ac:dyDescent="0.25">
      <c r="A729" s="3" t="s">
        <v>1478</v>
      </c>
      <c r="B729" s="4" t="s">
        <v>1479</v>
      </c>
      <c r="C729" s="14">
        <v>12808</v>
      </c>
      <c r="D729" s="6" t="s">
        <v>28</v>
      </c>
      <c r="E729" s="6" t="s">
        <v>17</v>
      </c>
      <c r="F729" s="7">
        <v>39569</v>
      </c>
      <c r="G729" s="8">
        <f t="shared" si="11"/>
        <v>39569</v>
      </c>
      <c r="H729" s="6" t="s">
        <v>13</v>
      </c>
      <c r="I729" s="9" t="s">
        <v>3380</v>
      </c>
      <c r="J729" s="10" t="s">
        <v>3380</v>
      </c>
      <c r="K729" s="17"/>
    </row>
    <row r="730" spans="1:11" ht="30" x14ac:dyDescent="0.25">
      <c r="A730" s="3" t="s">
        <v>1480</v>
      </c>
      <c r="B730" s="4" t="s">
        <v>1481</v>
      </c>
      <c r="C730" s="14">
        <v>1653</v>
      </c>
      <c r="D730" s="6" t="s">
        <v>28</v>
      </c>
      <c r="E730" s="6" t="s">
        <v>17</v>
      </c>
      <c r="F730" s="7">
        <v>29952</v>
      </c>
      <c r="G730" s="8">
        <f t="shared" si="11"/>
        <v>29952</v>
      </c>
      <c r="H730" s="6" t="s">
        <v>13</v>
      </c>
      <c r="I730" s="9" t="s">
        <v>3380</v>
      </c>
      <c r="J730" s="10" t="s">
        <v>3380</v>
      </c>
      <c r="K730" s="17"/>
    </row>
    <row r="731" spans="1:11" ht="30" x14ac:dyDescent="0.25">
      <c r="A731" s="3" t="s">
        <v>1482</v>
      </c>
      <c r="B731" s="4" t="s">
        <v>1483</v>
      </c>
      <c r="C731" s="14">
        <v>54577</v>
      </c>
      <c r="D731" s="6" t="s">
        <v>34</v>
      </c>
      <c r="E731" s="6" t="s">
        <v>17</v>
      </c>
      <c r="F731" s="7">
        <v>36847</v>
      </c>
      <c r="G731" s="8">
        <f t="shared" si="11"/>
        <v>36847</v>
      </c>
      <c r="H731" s="6" t="s">
        <v>13</v>
      </c>
      <c r="I731" s="9" t="s">
        <v>3380</v>
      </c>
      <c r="J731" s="10" t="s">
        <v>3380</v>
      </c>
      <c r="K731" s="17"/>
    </row>
    <row r="732" spans="1:11" ht="30" x14ac:dyDescent="0.25">
      <c r="A732" s="3" t="s">
        <v>1484</v>
      </c>
      <c r="B732" s="4" t="s">
        <v>1485</v>
      </c>
      <c r="C732" s="14">
        <v>1522</v>
      </c>
      <c r="D732" s="6" t="s">
        <v>16</v>
      </c>
      <c r="E732" s="6" t="s">
        <v>17</v>
      </c>
      <c r="F732" s="7">
        <v>24108</v>
      </c>
      <c r="G732" s="8">
        <f t="shared" si="11"/>
        <v>24108</v>
      </c>
      <c r="H732" s="6" t="s">
        <v>13</v>
      </c>
      <c r="I732" s="9" t="s">
        <v>3380</v>
      </c>
      <c r="J732" s="10" t="s">
        <v>3380</v>
      </c>
      <c r="K732" s="17"/>
    </row>
    <row r="733" spans="1:11" ht="30" x14ac:dyDescent="0.25">
      <c r="A733" s="3" t="s">
        <v>1486</v>
      </c>
      <c r="B733" s="4" t="s">
        <v>1487</v>
      </c>
      <c r="C733" s="5">
        <v>14736</v>
      </c>
      <c r="D733" s="6" t="s">
        <v>31</v>
      </c>
      <c r="E733" s="6" t="s">
        <v>17</v>
      </c>
      <c r="F733" s="7">
        <v>31253</v>
      </c>
      <c r="G733" s="8">
        <f t="shared" si="11"/>
        <v>31253</v>
      </c>
      <c r="H733" s="6" t="s">
        <v>13</v>
      </c>
      <c r="I733" s="9" t="s">
        <v>3380</v>
      </c>
      <c r="J733" s="10" t="s">
        <v>3380</v>
      </c>
      <c r="K733" s="17"/>
    </row>
    <row r="734" spans="1:11" ht="30" x14ac:dyDescent="0.25">
      <c r="A734" s="3" t="s">
        <v>1488</v>
      </c>
      <c r="B734" s="4" t="s">
        <v>1489</v>
      </c>
      <c r="C734" s="5">
        <v>1425</v>
      </c>
      <c r="D734" s="6" t="s">
        <v>31</v>
      </c>
      <c r="E734" s="6" t="s">
        <v>17</v>
      </c>
      <c r="F734" s="7">
        <v>31048</v>
      </c>
      <c r="G734" s="8">
        <f t="shared" si="11"/>
        <v>31048</v>
      </c>
      <c r="H734" s="6" t="s">
        <v>13</v>
      </c>
      <c r="I734" s="9" t="s">
        <v>3380</v>
      </c>
      <c r="J734" s="10" t="s">
        <v>3380</v>
      </c>
      <c r="K734" s="17"/>
    </row>
    <row r="735" spans="1:11" ht="30" x14ac:dyDescent="0.25">
      <c r="A735" s="3" t="s">
        <v>1490</v>
      </c>
      <c r="B735" s="4" t="s">
        <v>1491</v>
      </c>
      <c r="C735" s="5">
        <v>15369</v>
      </c>
      <c r="D735" s="6" t="s">
        <v>31</v>
      </c>
      <c r="E735" s="6" t="s">
        <v>17</v>
      </c>
      <c r="F735" s="7">
        <v>32531</v>
      </c>
      <c r="G735" s="8">
        <f t="shared" si="11"/>
        <v>32531</v>
      </c>
      <c r="H735" s="6" t="s">
        <v>13</v>
      </c>
      <c r="I735" s="9" t="s">
        <v>3380</v>
      </c>
      <c r="J735" s="10" t="s">
        <v>3380</v>
      </c>
      <c r="K735" s="17"/>
    </row>
    <row r="736" spans="1:11" ht="30" x14ac:dyDescent="0.25">
      <c r="A736" s="3" t="s">
        <v>1492</v>
      </c>
      <c r="B736" s="4" t="s">
        <v>1493</v>
      </c>
      <c r="C736" s="14">
        <v>52882</v>
      </c>
      <c r="D736" s="6" t="s">
        <v>34</v>
      </c>
      <c r="E736" s="6" t="s">
        <v>17</v>
      </c>
      <c r="F736" s="7">
        <v>36892</v>
      </c>
      <c r="G736" s="8">
        <f t="shared" si="11"/>
        <v>36892</v>
      </c>
      <c r="H736" s="6" t="s">
        <v>13</v>
      </c>
      <c r="I736" s="9">
        <v>299000</v>
      </c>
      <c r="J736" s="10">
        <v>3212.0857043523501</v>
      </c>
      <c r="K736" s="17"/>
    </row>
    <row r="737" spans="1:11" ht="30" x14ac:dyDescent="0.25">
      <c r="A737" s="3" t="s">
        <v>1494</v>
      </c>
      <c r="B737" s="4" t="s">
        <v>1495</v>
      </c>
      <c r="C737" s="5">
        <v>36769</v>
      </c>
      <c r="D737" s="6" t="s">
        <v>37</v>
      </c>
      <c r="E737" s="6" t="s">
        <v>38</v>
      </c>
      <c r="F737" s="7">
        <v>36640</v>
      </c>
      <c r="G737" s="8">
        <f t="shared" si="11"/>
        <v>36640</v>
      </c>
      <c r="H737" s="6" t="s">
        <v>39</v>
      </c>
      <c r="I737" s="9" t="s">
        <v>3380</v>
      </c>
      <c r="J737" s="10" t="s">
        <v>3380</v>
      </c>
      <c r="K737" s="17"/>
    </row>
    <row r="738" spans="1:11" ht="30" x14ac:dyDescent="0.25">
      <c r="A738" s="3" t="s">
        <v>1496</v>
      </c>
      <c r="B738" s="4" t="s">
        <v>1497</v>
      </c>
      <c r="C738" s="5">
        <v>54578</v>
      </c>
      <c r="D738" s="6" t="s">
        <v>34</v>
      </c>
      <c r="E738" s="6" t="s">
        <v>17</v>
      </c>
      <c r="F738" s="7">
        <v>37134</v>
      </c>
      <c r="G738" s="8">
        <f t="shared" si="11"/>
        <v>37134</v>
      </c>
      <c r="H738" s="6" t="s">
        <v>13</v>
      </c>
      <c r="I738" s="9" t="s">
        <v>3380</v>
      </c>
      <c r="J738" s="10" t="s">
        <v>3380</v>
      </c>
      <c r="K738" s="17"/>
    </row>
    <row r="739" spans="1:11" ht="30" x14ac:dyDescent="0.25">
      <c r="A739" s="3" t="s">
        <v>1498</v>
      </c>
      <c r="B739" s="4" t="s">
        <v>1499</v>
      </c>
      <c r="C739" s="5">
        <v>1175</v>
      </c>
      <c r="D739" s="6" t="s">
        <v>16</v>
      </c>
      <c r="E739" s="6" t="s">
        <v>17</v>
      </c>
      <c r="F739" s="7">
        <v>38529</v>
      </c>
      <c r="G739" s="8">
        <f t="shared" si="11"/>
        <v>38529</v>
      </c>
      <c r="H739" s="6" t="s">
        <v>13</v>
      </c>
      <c r="I739" s="9" t="s">
        <v>3380</v>
      </c>
      <c r="J739" s="10" t="s">
        <v>3380</v>
      </c>
      <c r="K739" s="17"/>
    </row>
    <row r="740" spans="1:11" x14ac:dyDescent="0.25">
      <c r="A740" s="18" t="s">
        <v>1500</v>
      </c>
      <c r="B740" s="19" t="s">
        <v>1501</v>
      </c>
      <c r="C740" s="5">
        <v>1417</v>
      </c>
      <c r="D740" s="21" t="s">
        <v>28</v>
      </c>
      <c r="E740" s="21" t="s">
        <v>17</v>
      </c>
      <c r="F740" s="22">
        <v>24473</v>
      </c>
      <c r="G740" s="23">
        <f t="shared" si="11"/>
        <v>24473</v>
      </c>
      <c r="H740" s="21" t="s">
        <v>13</v>
      </c>
      <c r="I740" s="9" t="s">
        <v>3380</v>
      </c>
      <c r="J740" s="10" t="s">
        <v>3380</v>
      </c>
      <c r="K740" s="25"/>
    </row>
    <row r="741" spans="1:11" ht="30" x14ac:dyDescent="0.25">
      <c r="A741" s="3" t="s">
        <v>1502</v>
      </c>
      <c r="B741" s="4" t="s">
        <v>1503</v>
      </c>
      <c r="C741" s="5">
        <v>1297</v>
      </c>
      <c r="D741" s="6" t="s">
        <v>31</v>
      </c>
      <c r="E741" s="6" t="s">
        <v>17</v>
      </c>
      <c r="F741" s="7">
        <v>29952</v>
      </c>
      <c r="G741" s="8">
        <f t="shared" si="11"/>
        <v>29952</v>
      </c>
      <c r="H741" s="6" t="s">
        <v>13</v>
      </c>
      <c r="I741" s="9" t="s">
        <v>3380</v>
      </c>
      <c r="J741" s="10" t="s">
        <v>3380</v>
      </c>
      <c r="K741" s="17"/>
    </row>
    <row r="742" spans="1:11" ht="30" x14ac:dyDescent="0.25">
      <c r="A742" s="3" t="s">
        <v>1504</v>
      </c>
      <c r="B742" s="4" t="s">
        <v>1505</v>
      </c>
      <c r="C742" s="14">
        <v>10886</v>
      </c>
      <c r="D742" s="6" t="s">
        <v>34</v>
      </c>
      <c r="E742" s="6" t="s">
        <v>17</v>
      </c>
      <c r="F742" s="7">
        <v>37719</v>
      </c>
      <c r="G742" s="8">
        <f t="shared" si="11"/>
        <v>37719</v>
      </c>
      <c r="H742" s="6" t="s">
        <v>13</v>
      </c>
      <c r="I742" s="9" t="s">
        <v>3380</v>
      </c>
      <c r="J742" s="10" t="s">
        <v>3380</v>
      </c>
      <c r="K742" s="17"/>
    </row>
    <row r="743" spans="1:11" ht="30" x14ac:dyDescent="0.25">
      <c r="A743" s="3" t="s">
        <v>1506</v>
      </c>
      <c r="B743" s="4" t="s">
        <v>1507</v>
      </c>
      <c r="C743" s="5">
        <v>2059</v>
      </c>
      <c r="D743" s="6" t="s">
        <v>34</v>
      </c>
      <c r="E743" s="6" t="s">
        <v>17</v>
      </c>
      <c r="F743" s="7">
        <v>32509</v>
      </c>
      <c r="G743" s="8">
        <f t="shared" si="11"/>
        <v>32509</v>
      </c>
      <c r="H743" s="6" t="s">
        <v>13</v>
      </c>
      <c r="I743" s="9" t="s">
        <v>3380</v>
      </c>
      <c r="J743" s="10" t="s">
        <v>3380</v>
      </c>
      <c r="K743" s="17"/>
    </row>
    <row r="744" spans="1:11" ht="30" x14ac:dyDescent="0.25">
      <c r="A744" s="3" t="s">
        <v>1508</v>
      </c>
      <c r="B744" s="4" t="s">
        <v>1509</v>
      </c>
      <c r="C744" s="14">
        <v>21442</v>
      </c>
      <c r="D744" s="6" t="s">
        <v>28</v>
      </c>
      <c r="E744" s="6" t="s">
        <v>17</v>
      </c>
      <c r="F744" s="7">
        <v>38036</v>
      </c>
      <c r="G744" s="8">
        <f t="shared" si="11"/>
        <v>38036</v>
      </c>
      <c r="H744" s="6" t="s">
        <v>13</v>
      </c>
      <c r="I744" s="9" t="s">
        <v>3380</v>
      </c>
      <c r="J744" s="10" t="s">
        <v>3380</v>
      </c>
      <c r="K744" s="17"/>
    </row>
    <row r="745" spans="1:11" ht="30" x14ac:dyDescent="0.25">
      <c r="A745" s="3" t="s">
        <v>1510</v>
      </c>
      <c r="B745" s="4" t="s">
        <v>1511</v>
      </c>
      <c r="C745" s="14">
        <v>33873</v>
      </c>
      <c r="D745" s="6" t="s">
        <v>28</v>
      </c>
      <c r="E745" s="6" t="s">
        <v>17</v>
      </c>
      <c r="F745" s="7">
        <v>39188</v>
      </c>
      <c r="G745" s="8">
        <f t="shared" si="11"/>
        <v>39188</v>
      </c>
      <c r="H745" s="6" t="s">
        <v>13</v>
      </c>
      <c r="I745" s="9" t="s">
        <v>3380</v>
      </c>
      <c r="J745" s="10" t="s">
        <v>3380</v>
      </c>
      <c r="K745" s="17"/>
    </row>
    <row r="746" spans="1:11" ht="30" x14ac:dyDescent="0.25">
      <c r="A746" s="3" t="s">
        <v>1512</v>
      </c>
      <c r="B746" s="4" t="s">
        <v>1513</v>
      </c>
      <c r="C746" s="5">
        <v>105750</v>
      </c>
      <c r="D746" s="6" t="s">
        <v>34</v>
      </c>
      <c r="E746" s="6" t="s">
        <v>17</v>
      </c>
      <c r="F746" s="7">
        <v>36526</v>
      </c>
      <c r="G746" s="8">
        <f t="shared" si="11"/>
        <v>36526</v>
      </c>
      <c r="H746" s="6" t="s">
        <v>13</v>
      </c>
      <c r="I746" s="9" t="s">
        <v>3380</v>
      </c>
      <c r="J746" s="10" t="s">
        <v>3380</v>
      </c>
      <c r="K746" s="17"/>
    </row>
    <row r="747" spans="1:11" ht="30" x14ac:dyDescent="0.25">
      <c r="A747" s="3" t="s">
        <v>1514</v>
      </c>
      <c r="B747" s="4" t="s">
        <v>1515</v>
      </c>
      <c r="C747" s="5">
        <v>54581</v>
      </c>
      <c r="D747" s="6" t="s">
        <v>34</v>
      </c>
      <c r="E747" s="6" t="s">
        <v>17</v>
      </c>
      <c r="F747" s="7">
        <v>40311</v>
      </c>
      <c r="G747" s="8">
        <f t="shared" si="11"/>
        <v>40311</v>
      </c>
      <c r="H747" s="6" t="s">
        <v>13</v>
      </c>
      <c r="I747" s="9" t="s">
        <v>3380</v>
      </c>
      <c r="J747" s="10" t="s">
        <v>3380</v>
      </c>
      <c r="K747" s="17"/>
    </row>
    <row r="748" spans="1:11" ht="30" x14ac:dyDescent="0.25">
      <c r="A748" s="3" t="s">
        <v>1516</v>
      </c>
      <c r="B748" s="4" t="s">
        <v>1517</v>
      </c>
      <c r="C748" s="5">
        <v>54582</v>
      </c>
      <c r="D748" s="6" t="s">
        <v>34</v>
      </c>
      <c r="E748" s="6" t="s">
        <v>17</v>
      </c>
      <c r="F748" s="7">
        <v>38718</v>
      </c>
      <c r="G748" s="8">
        <f t="shared" si="11"/>
        <v>38718</v>
      </c>
      <c r="H748" s="6" t="s">
        <v>13</v>
      </c>
      <c r="I748" s="9" t="s">
        <v>3380</v>
      </c>
      <c r="J748" s="10" t="s">
        <v>3380</v>
      </c>
      <c r="K748" s="17"/>
    </row>
    <row r="749" spans="1:11" ht="30" x14ac:dyDescent="0.25">
      <c r="A749" s="3" t="s">
        <v>1518</v>
      </c>
      <c r="B749" s="4" t="s">
        <v>1519</v>
      </c>
      <c r="C749" s="5">
        <v>54583</v>
      </c>
      <c r="D749" s="6" t="s">
        <v>34</v>
      </c>
      <c r="E749" s="6" t="s">
        <v>17</v>
      </c>
      <c r="F749" s="7">
        <v>38718</v>
      </c>
      <c r="G749" s="8">
        <f t="shared" si="11"/>
        <v>38718</v>
      </c>
      <c r="H749" s="6" t="s">
        <v>13</v>
      </c>
      <c r="I749" s="9" t="s">
        <v>3380</v>
      </c>
      <c r="J749" s="10" t="s">
        <v>3380</v>
      </c>
      <c r="K749" s="17"/>
    </row>
    <row r="750" spans="1:11" ht="30" x14ac:dyDescent="0.25">
      <c r="A750" s="3" t="s">
        <v>1520</v>
      </c>
      <c r="B750" s="4" t="s">
        <v>1521</v>
      </c>
      <c r="C750" s="5">
        <v>1157</v>
      </c>
      <c r="D750" s="6" t="s">
        <v>28</v>
      </c>
      <c r="E750" s="6" t="s">
        <v>17</v>
      </c>
      <c r="F750" s="7">
        <v>41699</v>
      </c>
      <c r="G750" s="8">
        <f t="shared" si="11"/>
        <v>41699</v>
      </c>
      <c r="H750" s="6" t="s">
        <v>13</v>
      </c>
      <c r="I750" s="9" t="s">
        <v>3380</v>
      </c>
      <c r="J750" s="10" t="s">
        <v>3380</v>
      </c>
      <c r="K750" s="17"/>
    </row>
    <row r="751" spans="1:11" ht="30" x14ac:dyDescent="0.25">
      <c r="A751" s="3" t="s">
        <v>1522</v>
      </c>
      <c r="B751" s="4" t="s">
        <v>1523</v>
      </c>
      <c r="C751" s="14">
        <v>52279</v>
      </c>
      <c r="D751" s="6" t="s">
        <v>37</v>
      </c>
      <c r="E751" s="6" t="s">
        <v>38</v>
      </c>
      <c r="F751" s="7">
        <v>37173</v>
      </c>
      <c r="G751" s="8">
        <f t="shared" si="11"/>
        <v>37173</v>
      </c>
      <c r="H751" s="6" t="s">
        <v>39</v>
      </c>
      <c r="I751" s="9" t="s">
        <v>3380</v>
      </c>
      <c r="J751" s="10" t="s">
        <v>3380</v>
      </c>
      <c r="K751" s="17"/>
    </row>
    <row r="752" spans="1:11" ht="30" x14ac:dyDescent="0.25">
      <c r="A752" s="3" t="s">
        <v>1524</v>
      </c>
      <c r="B752" s="4" t="s">
        <v>1525</v>
      </c>
      <c r="C752" s="5">
        <v>1416</v>
      </c>
      <c r="D752" s="6" t="s">
        <v>28</v>
      </c>
      <c r="E752" s="6" t="s">
        <v>17</v>
      </c>
      <c r="F752" s="7">
        <v>19725</v>
      </c>
      <c r="G752" s="8">
        <f t="shared" si="11"/>
        <v>19725</v>
      </c>
      <c r="H752" s="6" t="s">
        <v>13</v>
      </c>
      <c r="I752" s="9" t="s">
        <v>3380</v>
      </c>
      <c r="J752" s="10" t="s">
        <v>3380</v>
      </c>
      <c r="K752" s="17"/>
    </row>
    <row r="753" spans="1:11" ht="30" x14ac:dyDescent="0.25">
      <c r="A753" s="3" t="s">
        <v>1526</v>
      </c>
      <c r="B753" s="4" t="s">
        <v>1527</v>
      </c>
      <c r="C753" s="5">
        <v>1682</v>
      </c>
      <c r="D753" s="6" t="s">
        <v>28</v>
      </c>
      <c r="E753" s="6" t="s">
        <v>17</v>
      </c>
      <c r="F753" s="7">
        <v>29952</v>
      </c>
      <c r="G753" s="8">
        <f t="shared" si="11"/>
        <v>29952</v>
      </c>
      <c r="H753" s="6" t="s">
        <v>13</v>
      </c>
      <c r="I753" s="9" t="s">
        <v>3380</v>
      </c>
      <c r="J753" s="10" t="s">
        <v>3380</v>
      </c>
      <c r="K753" s="17"/>
    </row>
    <row r="754" spans="1:11" ht="30" x14ac:dyDescent="0.25">
      <c r="A754" s="3" t="s">
        <v>1528</v>
      </c>
      <c r="B754" s="4" t="s">
        <v>1529</v>
      </c>
      <c r="C754" s="5">
        <v>1644</v>
      </c>
      <c r="D754" s="6" t="s">
        <v>28</v>
      </c>
      <c r="E754" s="6" t="s">
        <v>17</v>
      </c>
      <c r="F754" s="7">
        <v>35796</v>
      </c>
      <c r="G754" s="8">
        <f t="shared" si="11"/>
        <v>35796</v>
      </c>
      <c r="H754" s="6" t="s">
        <v>13</v>
      </c>
      <c r="I754" s="9" t="s">
        <v>3380</v>
      </c>
      <c r="J754" s="10" t="s">
        <v>3380</v>
      </c>
      <c r="K754" s="17"/>
    </row>
    <row r="755" spans="1:11" ht="30" x14ac:dyDescent="0.25">
      <c r="A755" s="3" t="s">
        <v>1530</v>
      </c>
      <c r="B755" s="4" t="s">
        <v>1531</v>
      </c>
      <c r="C755" s="5">
        <v>1643</v>
      </c>
      <c r="D755" s="6" t="s">
        <v>28</v>
      </c>
      <c r="E755" s="6" t="s">
        <v>17</v>
      </c>
      <c r="F755" s="7">
        <v>34335</v>
      </c>
      <c r="G755" s="8">
        <f t="shared" si="11"/>
        <v>34335</v>
      </c>
      <c r="H755" s="6" t="s">
        <v>13</v>
      </c>
      <c r="I755" s="9" t="s">
        <v>3380</v>
      </c>
      <c r="J755" s="10" t="s">
        <v>3380</v>
      </c>
      <c r="K755" s="17"/>
    </row>
    <row r="756" spans="1:11" ht="30" x14ac:dyDescent="0.25">
      <c r="A756" s="3" t="s">
        <v>1532</v>
      </c>
      <c r="B756" s="4" t="s">
        <v>1533</v>
      </c>
      <c r="C756" s="5">
        <v>1541</v>
      </c>
      <c r="D756" s="6" t="s">
        <v>28</v>
      </c>
      <c r="E756" s="6" t="s">
        <v>17</v>
      </c>
      <c r="F756" s="7">
        <v>36374</v>
      </c>
      <c r="G756" s="8">
        <f t="shared" si="11"/>
        <v>36374</v>
      </c>
      <c r="H756" s="6" t="s">
        <v>13</v>
      </c>
      <c r="I756" s="9" t="s">
        <v>3380</v>
      </c>
      <c r="J756" s="10" t="s">
        <v>3380</v>
      </c>
      <c r="K756" s="17"/>
    </row>
    <row r="757" spans="1:11" ht="30" x14ac:dyDescent="0.25">
      <c r="A757" s="3" t="s">
        <v>1534</v>
      </c>
      <c r="B757" s="4" t="s">
        <v>1535</v>
      </c>
      <c r="C757" s="5">
        <v>72118</v>
      </c>
      <c r="D757" s="6" t="s">
        <v>28</v>
      </c>
      <c r="E757" s="6" t="s">
        <v>17</v>
      </c>
      <c r="F757" s="7">
        <v>39238</v>
      </c>
      <c r="G757" s="8">
        <f t="shared" si="11"/>
        <v>39238</v>
      </c>
      <c r="H757" s="6" t="s">
        <v>13</v>
      </c>
      <c r="I757" s="9" t="s">
        <v>3380</v>
      </c>
      <c r="J757" s="10" t="s">
        <v>3380</v>
      </c>
      <c r="K757" s="17"/>
    </row>
    <row r="758" spans="1:11" ht="30" x14ac:dyDescent="0.25">
      <c r="A758" s="3" t="s">
        <v>1536</v>
      </c>
      <c r="B758" s="4" t="s">
        <v>1537</v>
      </c>
      <c r="C758" s="5">
        <v>27922</v>
      </c>
      <c r="D758" s="6" t="s">
        <v>28</v>
      </c>
      <c r="E758" s="6" t="s">
        <v>17</v>
      </c>
      <c r="F758" s="7">
        <v>29074</v>
      </c>
      <c r="G758" s="8">
        <f t="shared" si="11"/>
        <v>29074</v>
      </c>
      <c r="H758" s="6" t="s">
        <v>13</v>
      </c>
      <c r="I758" s="9" t="s">
        <v>3380</v>
      </c>
      <c r="J758" s="10" t="s">
        <v>3380</v>
      </c>
      <c r="K758" s="17"/>
    </row>
    <row r="759" spans="1:11" ht="30" x14ac:dyDescent="0.25">
      <c r="A759" s="3" t="s">
        <v>1538</v>
      </c>
      <c r="B759" s="4" t="s">
        <v>1539</v>
      </c>
      <c r="C759" s="14">
        <v>52897</v>
      </c>
      <c r="D759" s="6" t="s">
        <v>11</v>
      </c>
      <c r="E759" s="6" t="s">
        <v>17</v>
      </c>
      <c r="F759" s="7">
        <v>39125</v>
      </c>
      <c r="G759" s="8">
        <f t="shared" si="11"/>
        <v>39125</v>
      </c>
      <c r="H759" s="6" t="s">
        <v>13</v>
      </c>
      <c r="I759" s="9" t="s">
        <v>3380</v>
      </c>
      <c r="J759" s="10" t="s">
        <v>3380</v>
      </c>
      <c r="K759" s="17"/>
    </row>
    <row r="760" spans="1:11" ht="30" x14ac:dyDescent="0.25">
      <c r="A760" s="3" t="s">
        <v>1540</v>
      </c>
      <c r="B760" s="4" t="s">
        <v>1541</v>
      </c>
      <c r="C760" s="5">
        <v>72117</v>
      </c>
      <c r="D760" s="6" t="s">
        <v>11</v>
      </c>
      <c r="E760" s="6" t="s">
        <v>17</v>
      </c>
      <c r="F760" s="7">
        <v>39175</v>
      </c>
      <c r="G760" s="8">
        <f t="shared" si="11"/>
        <v>39175</v>
      </c>
      <c r="H760" s="6" t="s">
        <v>13</v>
      </c>
      <c r="I760" s="9" t="s">
        <v>3380</v>
      </c>
      <c r="J760" s="10" t="s">
        <v>3380</v>
      </c>
      <c r="K760" s="17"/>
    </row>
    <row r="761" spans="1:11" ht="30" x14ac:dyDescent="0.25">
      <c r="A761" s="3" t="s">
        <v>1542</v>
      </c>
      <c r="B761" s="4" t="s">
        <v>1543</v>
      </c>
      <c r="C761" s="5">
        <v>1967</v>
      </c>
      <c r="D761" s="6" t="s">
        <v>16</v>
      </c>
      <c r="E761" s="6" t="s">
        <v>17</v>
      </c>
      <c r="F761" s="7">
        <v>18264</v>
      </c>
      <c r="G761" s="8">
        <f t="shared" si="11"/>
        <v>18264</v>
      </c>
      <c r="H761" s="6" t="s">
        <v>13</v>
      </c>
      <c r="I761" s="9" t="s">
        <v>3380</v>
      </c>
      <c r="J761" s="10" t="s">
        <v>3380</v>
      </c>
      <c r="K761" s="17"/>
    </row>
    <row r="762" spans="1:11" ht="30" x14ac:dyDescent="0.25">
      <c r="A762" s="3" t="s">
        <v>1544</v>
      </c>
      <c r="B762" s="4" t="s">
        <v>1545</v>
      </c>
      <c r="C762" s="5">
        <v>1981</v>
      </c>
      <c r="D762" s="6" t="s">
        <v>34</v>
      </c>
      <c r="E762" s="6" t="s">
        <v>17</v>
      </c>
      <c r="F762" s="7">
        <v>18264</v>
      </c>
      <c r="G762" s="8">
        <f t="shared" si="11"/>
        <v>18264</v>
      </c>
      <c r="H762" s="6" t="s">
        <v>13</v>
      </c>
      <c r="I762" s="9" t="s">
        <v>3380</v>
      </c>
      <c r="J762" s="10" t="s">
        <v>3380</v>
      </c>
      <c r="K762" s="17"/>
    </row>
    <row r="763" spans="1:11" ht="30" x14ac:dyDescent="0.25">
      <c r="A763" s="3" t="s">
        <v>1546</v>
      </c>
      <c r="B763" s="4" t="s">
        <v>1547</v>
      </c>
      <c r="C763" s="14">
        <v>1602</v>
      </c>
      <c r="D763" s="6" t="s">
        <v>34</v>
      </c>
      <c r="E763" s="6" t="s">
        <v>17</v>
      </c>
      <c r="F763" s="7">
        <v>31048</v>
      </c>
      <c r="G763" s="8">
        <f t="shared" si="11"/>
        <v>31048</v>
      </c>
      <c r="H763" s="6" t="s">
        <v>13</v>
      </c>
      <c r="I763" s="9">
        <v>496694.57</v>
      </c>
      <c r="J763" s="10">
        <v>2300</v>
      </c>
      <c r="K763" s="17"/>
    </row>
    <row r="764" spans="1:11" ht="30" x14ac:dyDescent="0.25">
      <c r="A764" s="3" t="s">
        <v>1548</v>
      </c>
      <c r="B764" s="4" t="s">
        <v>1549</v>
      </c>
      <c r="C764" s="5">
        <v>63777</v>
      </c>
      <c r="D764" s="6" t="s">
        <v>11</v>
      </c>
      <c r="E764" s="6" t="s">
        <v>12</v>
      </c>
      <c r="F764" s="7">
        <v>38871</v>
      </c>
      <c r="G764" s="8">
        <f t="shared" si="11"/>
        <v>38871</v>
      </c>
      <c r="H764" s="6" t="s">
        <v>39</v>
      </c>
      <c r="I764" s="9" t="s">
        <v>3380</v>
      </c>
      <c r="J764" s="10" t="s">
        <v>3380</v>
      </c>
      <c r="K764" s="17"/>
    </row>
    <row r="765" spans="1:11" ht="30" x14ac:dyDescent="0.25">
      <c r="A765" s="3" t="s">
        <v>1550</v>
      </c>
      <c r="B765" s="4" t="s">
        <v>1551</v>
      </c>
      <c r="C765" s="14">
        <v>1924</v>
      </c>
      <c r="D765" s="6" t="s">
        <v>31</v>
      </c>
      <c r="E765" s="6" t="s">
        <v>17</v>
      </c>
      <c r="F765" s="7">
        <v>35728</v>
      </c>
      <c r="G765" s="8">
        <f t="shared" si="11"/>
        <v>35728</v>
      </c>
      <c r="H765" s="6" t="s">
        <v>13</v>
      </c>
      <c r="I765" s="9" t="s">
        <v>3380</v>
      </c>
      <c r="J765" s="10" t="s">
        <v>3380</v>
      </c>
      <c r="K765" s="17"/>
    </row>
    <row r="766" spans="1:11" ht="30" x14ac:dyDescent="0.25">
      <c r="A766" s="3" t="s">
        <v>1552</v>
      </c>
      <c r="B766" s="4" t="s">
        <v>1553</v>
      </c>
      <c r="C766" s="5">
        <v>14729</v>
      </c>
      <c r="D766" s="6" t="s">
        <v>31</v>
      </c>
      <c r="E766" s="6" t="s">
        <v>17</v>
      </c>
      <c r="F766" s="7">
        <v>28823</v>
      </c>
      <c r="G766" s="8">
        <f t="shared" si="11"/>
        <v>28823</v>
      </c>
      <c r="H766" s="6" t="s">
        <v>13</v>
      </c>
      <c r="I766" s="9" t="s">
        <v>3380</v>
      </c>
      <c r="J766" s="10" t="s">
        <v>3380</v>
      </c>
      <c r="K766" s="17"/>
    </row>
    <row r="767" spans="1:11" ht="30" x14ac:dyDescent="0.25">
      <c r="A767" s="3" t="s">
        <v>1554</v>
      </c>
      <c r="B767" s="4" t="s">
        <v>1555</v>
      </c>
      <c r="C767" s="5">
        <v>23361</v>
      </c>
      <c r="D767" s="6" t="s">
        <v>34</v>
      </c>
      <c r="E767" s="6" t="s">
        <v>17</v>
      </c>
      <c r="F767" s="7">
        <v>38670</v>
      </c>
      <c r="G767" s="8">
        <f t="shared" si="11"/>
        <v>38670</v>
      </c>
      <c r="H767" s="6" t="s">
        <v>13</v>
      </c>
      <c r="I767" s="9" t="s">
        <v>3380</v>
      </c>
      <c r="J767" s="10" t="s">
        <v>3380</v>
      </c>
      <c r="K767" s="17"/>
    </row>
    <row r="768" spans="1:11" ht="30" x14ac:dyDescent="0.25">
      <c r="A768" s="3" t="s">
        <v>1556</v>
      </c>
      <c r="B768" s="4" t="s">
        <v>1557</v>
      </c>
      <c r="C768" s="5">
        <v>16655</v>
      </c>
      <c r="D768" s="6" t="s">
        <v>31</v>
      </c>
      <c r="E768" s="6" t="s">
        <v>17</v>
      </c>
      <c r="F768" s="7">
        <v>30503</v>
      </c>
      <c r="G768" s="8">
        <f t="shared" si="11"/>
        <v>30503</v>
      </c>
      <c r="H768" s="6" t="s">
        <v>13</v>
      </c>
      <c r="I768" s="9" t="s">
        <v>3380</v>
      </c>
      <c r="J768" s="10" t="s">
        <v>3380</v>
      </c>
      <c r="K768" s="17"/>
    </row>
    <row r="769" spans="1:11" ht="30" x14ac:dyDescent="0.25">
      <c r="A769" s="3" t="s">
        <v>1558</v>
      </c>
      <c r="B769" s="4" t="s">
        <v>1559</v>
      </c>
      <c r="C769" s="5">
        <v>52915</v>
      </c>
      <c r="D769" s="6" t="s">
        <v>28</v>
      </c>
      <c r="E769" s="6" t="s">
        <v>508</v>
      </c>
      <c r="F769" s="7">
        <v>39003</v>
      </c>
      <c r="G769" s="8">
        <f t="shared" si="11"/>
        <v>39003</v>
      </c>
      <c r="H769" s="6" t="s">
        <v>509</v>
      </c>
      <c r="I769" s="9" t="s">
        <v>3380</v>
      </c>
      <c r="J769" s="10" t="s">
        <v>3380</v>
      </c>
      <c r="K769" s="17"/>
    </row>
    <row r="770" spans="1:11" ht="30" x14ac:dyDescent="0.25">
      <c r="A770" s="3" t="s">
        <v>1560</v>
      </c>
      <c r="B770" s="4" t="s">
        <v>1561</v>
      </c>
      <c r="C770" s="5">
        <v>30615</v>
      </c>
      <c r="D770" s="6" t="s">
        <v>28</v>
      </c>
      <c r="E770" s="6" t="s">
        <v>508</v>
      </c>
      <c r="F770" s="7">
        <v>38460</v>
      </c>
      <c r="G770" s="8">
        <f t="shared" ref="G770:G833" si="12">F770</f>
        <v>38460</v>
      </c>
      <c r="H770" s="6" t="s">
        <v>509</v>
      </c>
      <c r="I770" s="9" t="s">
        <v>3380</v>
      </c>
      <c r="J770" s="10" t="s">
        <v>3380</v>
      </c>
      <c r="K770" s="17"/>
    </row>
    <row r="771" spans="1:11" ht="30" x14ac:dyDescent="0.25">
      <c r="A771" s="3" t="s">
        <v>1562</v>
      </c>
      <c r="B771" s="4" t="s">
        <v>1563</v>
      </c>
      <c r="C771" s="14">
        <v>30616</v>
      </c>
      <c r="D771" s="6" t="s">
        <v>28</v>
      </c>
      <c r="E771" s="6" t="s">
        <v>508</v>
      </c>
      <c r="F771" s="7">
        <v>40443</v>
      </c>
      <c r="G771" s="8">
        <f t="shared" si="12"/>
        <v>40443</v>
      </c>
      <c r="H771" s="6" t="s">
        <v>509</v>
      </c>
      <c r="I771" s="9" t="s">
        <v>3380</v>
      </c>
      <c r="J771" s="10" t="s">
        <v>3380</v>
      </c>
      <c r="K771" s="17"/>
    </row>
    <row r="772" spans="1:11" x14ac:dyDescent="0.25">
      <c r="A772" s="18" t="s">
        <v>1564</v>
      </c>
      <c r="B772" s="19" t="s">
        <v>1565</v>
      </c>
      <c r="C772" s="20">
        <v>54584</v>
      </c>
      <c r="D772" s="21" t="s">
        <v>11</v>
      </c>
      <c r="E772" s="21" t="s">
        <v>12</v>
      </c>
      <c r="F772" s="22">
        <v>39518</v>
      </c>
      <c r="G772" s="23">
        <f t="shared" si="12"/>
        <v>39518</v>
      </c>
      <c r="H772" s="21" t="s">
        <v>39</v>
      </c>
      <c r="I772" s="9" t="s">
        <v>3380</v>
      </c>
      <c r="J772" s="10" t="s">
        <v>3380</v>
      </c>
      <c r="K772" s="25"/>
    </row>
    <row r="773" spans="1:11" ht="30" x14ac:dyDescent="0.25">
      <c r="A773" s="3" t="s">
        <v>1566</v>
      </c>
      <c r="B773" s="4" t="s">
        <v>1567</v>
      </c>
      <c r="C773" s="5">
        <v>55137</v>
      </c>
      <c r="D773" s="6" t="s">
        <v>11</v>
      </c>
      <c r="E773" s="6" t="s">
        <v>12</v>
      </c>
      <c r="F773" s="7">
        <v>39085</v>
      </c>
      <c r="G773" s="8">
        <f t="shared" si="12"/>
        <v>39085</v>
      </c>
      <c r="H773" s="6" t="s">
        <v>39</v>
      </c>
      <c r="I773" s="9" t="s">
        <v>3380</v>
      </c>
      <c r="J773" s="10" t="s">
        <v>3380</v>
      </c>
      <c r="K773" s="17"/>
    </row>
    <row r="774" spans="1:11" ht="30" x14ac:dyDescent="0.25">
      <c r="A774" s="3" t="s">
        <v>1568</v>
      </c>
      <c r="B774" s="4" t="s">
        <v>1569</v>
      </c>
      <c r="C774" s="5">
        <v>54609</v>
      </c>
      <c r="D774" s="6" t="s">
        <v>28</v>
      </c>
      <c r="E774" s="6" t="s">
        <v>17</v>
      </c>
      <c r="F774" s="7">
        <v>38959</v>
      </c>
      <c r="G774" s="8">
        <f t="shared" si="12"/>
        <v>38959</v>
      </c>
      <c r="H774" s="6" t="s">
        <v>13</v>
      </c>
      <c r="I774" s="9" t="s">
        <v>3380</v>
      </c>
      <c r="J774" s="10" t="s">
        <v>3380</v>
      </c>
      <c r="K774" s="17"/>
    </row>
    <row r="775" spans="1:11" ht="30" x14ac:dyDescent="0.25">
      <c r="A775" s="3" t="s">
        <v>1570</v>
      </c>
      <c r="B775" s="4" t="s">
        <v>1571</v>
      </c>
      <c r="C775" s="5">
        <v>1536</v>
      </c>
      <c r="D775" s="6" t="s">
        <v>34</v>
      </c>
      <c r="E775" s="6" t="s">
        <v>17</v>
      </c>
      <c r="F775" s="7">
        <v>33970</v>
      </c>
      <c r="G775" s="8">
        <f t="shared" si="12"/>
        <v>33970</v>
      </c>
      <c r="H775" s="6" t="s">
        <v>13</v>
      </c>
      <c r="I775" s="9" t="s">
        <v>3380</v>
      </c>
      <c r="J775" s="10" t="s">
        <v>3380</v>
      </c>
      <c r="K775" s="17"/>
    </row>
    <row r="776" spans="1:11" ht="30" x14ac:dyDescent="0.25">
      <c r="A776" s="3" t="s">
        <v>1572</v>
      </c>
      <c r="B776" s="4" t="s">
        <v>1573</v>
      </c>
      <c r="C776" s="5">
        <v>1837</v>
      </c>
      <c r="D776" s="6" t="s">
        <v>16</v>
      </c>
      <c r="E776" s="6" t="s">
        <v>17</v>
      </c>
      <c r="F776" s="7">
        <v>27760</v>
      </c>
      <c r="G776" s="8">
        <f t="shared" si="12"/>
        <v>27760</v>
      </c>
      <c r="H776" s="6" t="s">
        <v>13</v>
      </c>
      <c r="I776" s="9" t="s">
        <v>3380</v>
      </c>
      <c r="J776" s="10" t="s">
        <v>3380</v>
      </c>
      <c r="K776" s="17"/>
    </row>
    <row r="777" spans="1:11" ht="30" x14ac:dyDescent="0.25">
      <c r="A777" s="3" t="s">
        <v>1574</v>
      </c>
      <c r="B777" s="4" t="s">
        <v>1575</v>
      </c>
      <c r="C777" s="5">
        <v>18884</v>
      </c>
      <c r="D777" s="6" t="s">
        <v>16</v>
      </c>
      <c r="E777" s="6" t="s">
        <v>17</v>
      </c>
      <c r="F777" s="7">
        <v>29073</v>
      </c>
      <c r="G777" s="8">
        <f t="shared" si="12"/>
        <v>29073</v>
      </c>
      <c r="H777" s="6" t="s">
        <v>13</v>
      </c>
      <c r="I777" s="9" t="s">
        <v>3380</v>
      </c>
      <c r="J777" s="10" t="s">
        <v>3380</v>
      </c>
      <c r="K777" s="17"/>
    </row>
    <row r="778" spans="1:11" ht="30" x14ac:dyDescent="0.25">
      <c r="A778" s="3" t="s">
        <v>1576</v>
      </c>
      <c r="B778" s="4" t="s">
        <v>1577</v>
      </c>
      <c r="C778" s="5">
        <v>54610</v>
      </c>
      <c r="D778" s="6" t="s">
        <v>16</v>
      </c>
      <c r="E778" s="6" t="s">
        <v>17</v>
      </c>
      <c r="F778" s="7">
        <v>36199</v>
      </c>
      <c r="G778" s="8">
        <f t="shared" si="12"/>
        <v>36199</v>
      </c>
      <c r="H778" s="6" t="s">
        <v>13</v>
      </c>
      <c r="I778" s="9" t="s">
        <v>3380</v>
      </c>
      <c r="J778" s="10" t="s">
        <v>3380</v>
      </c>
      <c r="K778" s="17"/>
    </row>
    <row r="779" spans="1:11" ht="30" x14ac:dyDescent="0.25">
      <c r="A779" s="3" t="s">
        <v>1578</v>
      </c>
      <c r="B779" s="4" t="s">
        <v>1579</v>
      </c>
      <c r="C779" s="5">
        <v>1622</v>
      </c>
      <c r="D779" s="6" t="s">
        <v>16</v>
      </c>
      <c r="E779" s="6" t="s">
        <v>17</v>
      </c>
      <c r="F779" s="7">
        <v>36199</v>
      </c>
      <c r="G779" s="8">
        <f t="shared" si="12"/>
        <v>36199</v>
      </c>
      <c r="H779" s="6" t="s">
        <v>13</v>
      </c>
      <c r="I779" s="9" t="s">
        <v>3380</v>
      </c>
      <c r="J779" s="10" t="s">
        <v>3380</v>
      </c>
      <c r="K779" s="17"/>
    </row>
    <row r="780" spans="1:11" ht="30" x14ac:dyDescent="0.25">
      <c r="A780" s="3" t="s">
        <v>1580</v>
      </c>
      <c r="B780" s="4" t="s">
        <v>1581</v>
      </c>
      <c r="C780" s="14">
        <v>2023</v>
      </c>
      <c r="D780" s="6" t="s">
        <v>16</v>
      </c>
      <c r="E780" s="6" t="s">
        <v>17</v>
      </c>
      <c r="F780" s="7">
        <v>29221</v>
      </c>
      <c r="G780" s="8">
        <f t="shared" si="12"/>
        <v>29221</v>
      </c>
      <c r="H780" s="6" t="s">
        <v>13</v>
      </c>
      <c r="I780" s="9" t="s">
        <v>3380</v>
      </c>
      <c r="J780" s="10" t="s">
        <v>3380</v>
      </c>
      <c r="K780" s="17"/>
    </row>
    <row r="781" spans="1:11" ht="30" x14ac:dyDescent="0.25">
      <c r="A781" s="3" t="s">
        <v>1582</v>
      </c>
      <c r="B781" s="4" t="s">
        <v>1583</v>
      </c>
      <c r="C781" s="5">
        <v>10889</v>
      </c>
      <c r="D781" s="6" t="s">
        <v>28</v>
      </c>
      <c r="E781" s="6" t="s">
        <v>17</v>
      </c>
      <c r="F781" s="7">
        <v>37889</v>
      </c>
      <c r="G781" s="8">
        <f t="shared" si="12"/>
        <v>37889</v>
      </c>
      <c r="H781" s="6" t="s">
        <v>13</v>
      </c>
      <c r="I781" s="9" t="s">
        <v>3380</v>
      </c>
      <c r="J781" s="10" t="s">
        <v>3380</v>
      </c>
      <c r="K781" s="17"/>
    </row>
    <row r="782" spans="1:11" ht="30" x14ac:dyDescent="0.25">
      <c r="A782" s="3" t="s">
        <v>1584</v>
      </c>
      <c r="B782" s="4" t="s">
        <v>1585</v>
      </c>
      <c r="C782" s="5">
        <v>67617</v>
      </c>
      <c r="D782" s="6" t="s">
        <v>28</v>
      </c>
      <c r="E782" s="6" t="s">
        <v>17</v>
      </c>
      <c r="F782" s="7">
        <v>39685</v>
      </c>
      <c r="G782" s="8">
        <f t="shared" si="12"/>
        <v>39685</v>
      </c>
      <c r="H782" s="6" t="s">
        <v>13</v>
      </c>
      <c r="I782" s="9" t="s">
        <v>3380</v>
      </c>
      <c r="J782" s="10" t="s">
        <v>3380</v>
      </c>
      <c r="K782" s="17"/>
    </row>
    <row r="783" spans="1:11" ht="30" x14ac:dyDescent="0.25">
      <c r="A783" s="3" t="s">
        <v>1586</v>
      </c>
      <c r="B783" s="4" t="s">
        <v>1587</v>
      </c>
      <c r="C783" s="5">
        <v>9923</v>
      </c>
      <c r="D783" s="6" t="s">
        <v>16</v>
      </c>
      <c r="E783" s="6" t="s">
        <v>17</v>
      </c>
      <c r="F783" s="7">
        <v>37209</v>
      </c>
      <c r="G783" s="8">
        <f t="shared" si="12"/>
        <v>37209</v>
      </c>
      <c r="H783" s="6" t="s">
        <v>13</v>
      </c>
      <c r="I783" s="9" t="s">
        <v>3380</v>
      </c>
      <c r="J783" s="10" t="s">
        <v>3380</v>
      </c>
      <c r="K783" s="17"/>
    </row>
    <row r="784" spans="1:11" ht="30" x14ac:dyDescent="0.25">
      <c r="A784" s="3" t="s">
        <v>1588</v>
      </c>
      <c r="B784" s="4" t="s">
        <v>1589</v>
      </c>
      <c r="C784" s="5">
        <v>1311</v>
      </c>
      <c r="D784" s="6" t="s">
        <v>16</v>
      </c>
      <c r="E784" s="6" t="s">
        <v>17</v>
      </c>
      <c r="F784" s="7">
        <v>27395</v>
      </c>
      <c r="G784" s="8">
        <f t="shared" si="12"/>
        <v>27395</v>
      </c>
      <c r="H784" s="6" t="s">
        <v>13</v>
      </c>
      <c r="I784" s="9" t="s">
        <v>3380</v>
      </c>
      <c r="J784" s="10" t="s">
        <v>3380</v>
      </c>
      <c r="K784" s="17"/>
    </row>
    <row r="785" spans="1:11" ht="30" x14ac:dyDescent="0.25">
      <c r="A785" s="3" t="s">
        <v>1590</v>
      </c>
      <c r="B785" s="4" t="s">
        <v>1591</v>
      </c>
      <c r="C785" s="5">
        <v>207527</v>
      </c>
      <c r="D785" s="6" t="s">
        <v>16</v>
      </c>
      <c r="E785" s="6" t="s">
        <v>17</v>
      </c>
      <c r="F785" s="7">
        <v>32143</v>
      </c>
      <c r="G785" s="8">
        <f t="shared" si="12"/>
        <v>32143</v>
      </c>
      <c r="H785" s="6" t="s">
        <v>13</v>
      </c>
      <c r="I785" s="9" t="s">
        <v>3380</v>
      </c>
      <c r="J785" s="10" t="s">
        <v>3380</v>
      </c>
      <c r="K785" s="17"/>
    </row>
    <row r="786" spans="1:11" ht="30" x14ac:dyDescent="0.25">
      <c r="A786" s="3" t="s">
        <v>1592</v>
      </c>
      <c r="B786" s="4" t="s">
        <v>1593</v>
      </c>
      <c r="C786" s="5">
        <v>1127</v>
      </c>
      <c r="D786" s="6" t="s">
        <v>16</v>
      </c>
      <c r="E786" s="6" t="s">
        <v>17</v>
      </c>
      <c r="F786" s="7">
        <v>25569</v>
      </c>
      <c r="G786" s="8">
        <f t="shared" si="12"/>
        <v>25569</v>
      </c>
      <c r="H786" s="6" t="s">
        <v>13</v>
      </c>
      <c r="I786" s="9" t="s">
        <v>3380</v>
      </c>
      <c r="J786" s="10" t="s">
        <v>3380</v>
      </c>
      <c r="K786" s="17"/>
    </row>
    <row r="787" spans="1:11" ht="30" x14ac:dyDescent="0.25">
      <c r="A787" s="3" t="s">
        <v>1594</v>
      </c>
      <c r="B787" s="4" t="s">
        <v>1595</v>
      </c>
      <c r="C787" s="14">
        <v>1123</v>
      </c>
      <c r="D787" s="6" t="s">
        <v>16</v>
      </c>
      <c r="E787" s="6" t="s">
        <v>17</v>
      </c>
      <c r="F787" s="7">
        <v>31048</v>
      </c>
      <c r="G787" s="8">
        <f t="shared" si="12"/>
        <v>31048</v>
      </c>
      <c r="H787" s="6" t="s">
        <v>13</v>
      </c>
      <c r="I787" s="9">
        <v>313188.31</v>
      </c>
      <c r="J787" s="10">
        <v>1370</v>
      </c>
      <c r="K787" s="17"/>
    </row>
    <row r="788" spans="1:11" ht="30" x14ac:dyDescent="0.25">
      <c r="A788" s="3" t="s">
        <v>1596</v>
      </c>
      <c r="B788" s="4" t="s">
        <v>1597</v>
      </c>
      <c r="C788" s="5">
        <v>9282</v>
      </c>
      <c r="D788" s="6" t="s">
        <v>28</v>
      </c>
      <c r="E788" s="6" t="s">
        <v>17</v>
      </c>
      <c r="F788" s="7">
        <v>37455</v>
      </c>
      <c r="G788" s="8">
        <f t="shared" si="12"/>
        <v>37455</v>
      </c>
      <c r="H788" s="6" t="s">
        <v>13</v>
      </c>
      <c r="I788" s="9" t="s">
        <v>3380</v>
      </c>
      <c r="J788" s="10" t="s">
        <v>3380</v>
      </c>
      <c r="K788" s="17"/>
    </row>
    <row r="789" spans="1:11" ht="30" x14ac:dyDescent="0.25">
      <c r="A789" s="3" t="s">
        <v>1598</v>
      </c>
      <c r="B789" s="4" t="s">
        <v>1599</v>
      </c>
      <c r="C789" s="5">
        <v>9283</v>
      </c>
      <c r="D789" s="6" t="s">
        <v>28</v>
      </c>
      <c r="E789" s="6" t="s">
        <v>17</v>
      </c>
      <c r="F789" s="7">
        <v>37180</v>
      </c>
      <c r="G789" s="8">
        <f t="shared" si="12"/>
        <v>37180</v>
      </c>
      <c r="H789" s="6" t="s">
        <v>13</v>
      </c>
      <c r="I789" s="9" t="s">
        <v>3380</v>
      </c>
      <c r="J789" s="10" t="s">
        <v>3380</v>
      </c>
      <c r="K789" s="17"/>
    </row>
    <row r="790" spans="1:11" ht="30" x14ac:dyDescent="0.25">
      <c r="A790" s="3" t="s">
        <v>1600</v>
      </c>
      <c r="B790" s="4" t="s">
        <v>1601</v>
      </c>
      <c r="C790" s="5">
        <v>1685</v>
      </c>
      <c r="D790" s="6" t="s">
        <v>28</v>
      </c>
      <c r="E790" s="6" t="s">
        <v>17</v>
      </c>
      <c r="F790" s="7">
        <v>29221</v>
      </c>
      <c r="G790" s="8">
        <f t="shared" si="12"/>
        <v>29221</v>
      </c>
      <c r="H790" s="6" t="s">
        <v>13</v>
      </c>
      <c r="I790" s="9" t="s">
        <v>3380</v>
      </c>
      <c r="J790" s="10" t="s">
        <v>3380</v>
      </c>
      <c r="K790" s="17"/>
    </row>
    <row r="791" spans="1:11" ht="30" x14ac:dyDescent="0.25">
      <c r="A791" s="3" t="s">
        <v>1602</v>
      </c>
      <c r="B791" s="4" t="s">
        <v>1603</v>
      </c>
      <c r="C791" s="5">
        <v>1254</v>
      </c>
      <c r="D791" s="6" t="s">
        <v>28</v>
      </c>
      <c r="E791" s="6" t="s">
        <v>17</v>
      </c>
      <c r="F791" s="7">
        <v>29952</v>
      </c>
      <c r="G791" s="8">
        <f t="shared" si="12"/>
        <v>29952</v>
      </c>
      <c r="H791" s="6" t="s">
        <v>13</v>
      </c>
      <c r="I791" s="9" t="s">
        <v>3380</v>
      </c>
      <c r="J791" s="10" t="s">
        <v>3380</v>
      </c>
      <c r="K791" s="17"/>
    </row>
    <row r="792" spans="1:11" ht="30" x14ac:dyDescent="0.25">
      <c r="A792" s="3" t="s">
        <v>1604</v>
      </c>
      <c r="B792" s="4" t="s">
        <v>1605</v>
      </c>
      <c r="C792" s="14">
        <v>30180</v>
      </c>
      <c r="D792" s="6" t="s">
        <v>28</v>
      </c>
      <c r="E792" s="6" t="s">
        <v>17</v>
      </c>
      <c r="F792" s="7">
        <v>35760</v>
      </c>
      <c r="G792" s="8">
        <f t="shared" si="12"/>
        <v>35760</v>
      </c>
      <c r="H792" s="6" t="s">
        <v>13</v>
      </c>
      <c r="I792" s="9" t="s">
        <v>3380</v>
      </c>
      <c r="J792" s="10" t="s">
        <v>3380</v>
      </c>
      <c r="K792" s="17"/>
    </row>
    <row r="793" spans="1:11" ht="30" x14ac:dyDescent="0.25">
      <c r="A793" s="3" t="s">
        <v>1606</v>
      </c>
      <c r="B793" s="4" t="s">
        <v>1607</v>
      </c>
      <c r="C793" s="5">
        <v>1651</v>
      </c>
      <c r="D793" s="6" t="s">
        <v>28</v>
      </c>
      <c r="E793" s="6" t="s">
        <v>17</v>
      </c>
      <c r="F793" s="7">
        <v>29221</v>
      </c>
      <c r="G793" s="8">
        <f t="shared" si="12"/>
        <v>29221</v>
      </c>
      <c r="H793" s="6" t="s">
        <v>13</v>
      </c>
      <c r="I793" s="9" t="s">
        <v>3380</v>
      </c>
      <c r="J793" s="10" t="s">
        <v>3380</v>
      </c>
      <c r="K793" s="17"/>
    </row>
    <row r="794" spans="1:11" ht="30" x14ac:dyDescent="0.25">
      <c r="A794" s="3" t="s">
        <v>1608</v>
      </c>
      <c r="B794" s="4" t="s">
        <v>1609</v>
      </c>
      <c r="C794" s="14">
        <v>2011</v>
      </c>
      <c r="D794" s="6" t="s">
        <v>16</v>
      </c>
      <c r="E794" s="6" t="s">
        <v>17</v>
      </c>
      <c r="F794" s="7">
        <v>29221</v>
      </c>
      <c r="G794" s="8">
        <f t="shared" si="12"/>
        <v>29221</v>
      </c>
      <c r="H794" s="6" t="s">
        <v>13</v>
      </c>
      <c r="I794" s="9" t="s">
        <v>3380</v>
      </c>
      <c r="J794" s="10" t="s">
        <v>3380</v>
      </c>
      <c r="K794" s="17"/>
    </row>
    <row r="795" spans="1:11" ht="30" x14ac:dyDescent="0.25">
      <c r="A795" s="3" t="s">
        <v>1610</v>
      </c>
      <c r="B795" s="4" t="s">
        <v>1611</v>
      </c>
      <c r="C795" s="14">
        <v>31937</v>
      </c>
      <c r="D795" s="6" t="s">
        <v>37</v>
      </c>
      <c r="E795" s="6" t="s">
        <v>38</v>
      </c>
      <c r="F795" s="7">
        <v>32176</v>
      </c>
      <c r="G795" s="8">
        <f t="shared" si="12"/>
        <v>32176</v>
      </c>
      <c r="H795" s="6" t="s">
        <v>39</v>
      </c>
      <c r="I795" s="9" t="s">
        <v>3380</v>
      </c>
      <c r="J795" s="10" t="s">
        <v>3380</v>
      </c>
      <c r="K795" s="17"/>
    </row>
    <row r="796" spans="1:11" x14ac:dyDescent="0.25">
      <c r="A796" s="18" t="s">
        <v>1612</v>
      </c>
      <c r="B796" s="19" t="s">
        <v>1613</v>
      </c>
      <c r="C796" s="5">
        <v>1960</v>
      </c>
      <c r="D796" s="21" t="s">
        <v>28</v>
      </c>
      <c r="E796" s="21" t="s">
        <v>17</v>
      </c>
      <c r="F796" s="22">
        <v>25569</v>
      </c>
      <c r="G796" s="23">
        <f t="shared" si="12"/>
        <v>25569</v>
      </c>
      <c r="H796" s="21" t="s">
        <v>13</v>
      </c>
      <c r="I796" s="9" t="s">
        <v>3380</v>
      </c>
      <c r="J796" s="10" t="s">
        <v>3380</v>
      </c>
      <c r="K796" s="25"/>
    </row>
    <row r="797" spans="1:11" ht="30" x14ac:dyDescent="0.25">
      <c r="A797" s="3" t="s">
        <v>1614</v>
      </c>
      <c r="B797" s="4" t="s">
        <v>1615</v>
      </c>
      <c r="C797" s="5">
        <v>54508</v>
      </c>
      <c r="D797" s="6" t="s">
        <v>31</v>
      </c>
      <c r="E797" s="6" t="s">
        <v>17</v>
      </c>
      <c r="F797" s="7">
        <v>38538</v>
      </c>
      <c r="G797" s="8">
        <f t="shared" si="12"/>
        <v>38538</v>
      </c>
      <c r="H797" s="6" t="s">
        <v>13</v>
      </c>
      <c r="I797" s="9" t="s">
        <v>3380</v>
      </c>
      <c r="J797" s="10" t="s">
        <v>3380</v>
      </c>
      <c r="K797" s="17"/>
    </row>
    <row r="798" spans="1:11" ht="30" x14ac:dyDescent="0.25">
      <c r="A798" s="3" t="s">
        <v>1616</v>
      </c>
      <c r="B798" s="4" t="s">
        <v>1617</v>
      </c>
      <c r="C798" s="14">
        <v>38193</v>
      </c>
      <c r="D798" s="6" t="s">
        <v>11</v>
      </c>
      <c r="E798" s="6" t="s">
        <v>12</v>
      </c>
      <c r="F798" s="7">
        <v>39297</v>
      </c>
      <c r="G798" s="8">
        <f t="shared" si="12"/>
        <v>39297</v>
      </c>
      <c r="H798" s="6" t="s">
        <v>776</v>
      </c>
      <c r="I798" s="9" t="s">
        <v>3380</v>
      </c>
      <c r="J798" s="10" t="s">
        <v>3380</v>
      </c>
      <c r="K798" s="17"/>
    </row>
    <row r="799" spans="1:11" ht="30" x14ac:dyDescent="0.25">
      <c r="A799" s="3" t="s">
        <v>1618</v>
      </c>
      <c r="B799" s="4" t="s">
        <v>1619</v>
      </c>
      <c r="C799" s="5">
        <v>2002</v>
      </c>
      <c r="D799" s="6" t="s">
        <v>31</v>
      </c>
      <c r="E799" s="6" t="s">
        <v>17</v>
      </c>
      <c r="F799" s="7">
        <v>31048</v>
      </c>
      <c r="G799" s="8">
        <f t="shared" si="12"/>
        <v>31048</v>
      </c>
      <c r="H799" s="6" t="s">
        <v>13</v>
      </c>
      <c r="I799" s="9" t="s">
        <v>3380</v>
      </c>
      <c r="J799" s="10" t="s">
        <v>3380</v>
      </c>
      <c r="K799" s="17"/>
    </row>
    <row r="800" spans="1:11" ht="30" x14ac:dyDescent="0.25">
      <c r="A800" s="3" t="s">
        <v>1620</v>
      </c>
      <c r="B800" s="4" t="s">
        <v>1621</v>
      </c>
      <c r="C800" s="5">
        <v>1267</v>
      </c>
      <c r="D800" s="6" t="s">
        <v>16</v>
      </c>
      <c r="E800" s="6" t="s">
        <v>17</v>
      </c>
      <c r="F800" s="7">
        <v>29221</v>
      </c>
      <c r="G800" s="8">
        <f t="shared" si="12"/>
        <v>29221</v>
      </c>
      <c r="H800" s="6" t="s">
        <v>13</v>
      </c>
      <c r="I800" s="9" t="s">
        <v>3380</v>
      </c>
      <c r="J800" s="10" t="s">
        <v>3380</v>
      </c>
      <c r="K800" s="17"/>
    </row>
    <row r="801" spans="1:11" x14ac:dyDescent="0.25">
      <c r="A801" s="18" t="s">
        <v>1622</v>
      </c>
      <c r="B801" s="19" t="s">
        <v>1623</v>
      </c>
      <c r="C801" s="20">
        <v>1432</v>
      </c>
      <c r="D801" s="21" t="s">
        <v>16</v>
      </c>
      <c r="E801" s="21" t="s">
        <v>17</v>
      </c>
      <c r="F801" s="22">
        <v>31048</v>
      </c>
      <c r="G801" s="23">
        <f t="shared" si="12"/>
        <v>31048</v>
      </c>
      <c r="H801" s="21" t="s">
        <v>13</v>
      </c>
      <c r="I801" s="9" t="s">
        <v>3380</v>
      </c>
      <c r="J801" s="10" t="s">
        <v>3380</v>
      </c>
      <c r="K801" s="25"/>
    </row>
    <row r="802" spans="1:11" ht="30" x14ac:dyDescent="0.25">
      <c r="A802" s="3" t="s">
        <v>1624</v>
      </c>
      <c r="B802" s="4" t="s">
        <v>1625</v>
      </c>
      <c r="C802" s="14">
        <v>1828</v>
      </c>
      <c r="D802" s="6" t="s">
        <v>31</v>
      </c>
      <c r="E802" s="6" t="s">
        <v>17</v>
      </c>
      <c r="F802" s="7">
        <v>29221</v>
      </c>
      <c r="G802" s="8">
        <f t="shared" si="12"/>
        <v>29221</v>
      </c>
      <c r="H802" s="6" t="s">
        <v>13</v>
      </c>
      <c r="I802" s="9" t="s">
        <v>3380</v>
      </c>
      <c r="J802" s="10" t="s">
        <v>3380</v>
      </c>
      <c r="K802" s="17"/>
    </row>
    <row r="803" spans="1:11" ht="30" x14ac:dyDescent="0.25">
      <c r="A803" s="3" t="s">
        <v>1626</v>
      </c>
      <c r="B803" s="4" t="s">
        <v>1627</v>
      </c>
      <c r="C803" s="5">
        <v>15047</v>
      </c>
      <c r="D803" s="6" t="s">
        <v>31</v>
      </c>
      <c r="E803" s="6" t="s">
        <v>17</v>
      </c>
      <c r="F803" s="7">
        <v>28557</v>
      </c>
      <c r="G803" s="8">
        <f t="shared" si="12"/>
        <v>28557</v>
      </c>
      <c r="H803" s="6" t="s">
        <v>13</v>
      </c>
      <c r="I803" s="9" t="s">
        <v>3380</v>
      </c>
      <c r="J803" s="10" t="s">
        <v>3380</v>
      </c>
      <c r="K803" s="17"/>
    </row>
    <row r="804" spans="1:11" ht="30" x14ac:dyDescent="0.25">
      <c r="A804" s="3" t="s">
        <v>1628</v>
      </c>
      <c r="B804" s="4" t="s">
        <v>1629</v>
      </c>
      <c r="C804" s="5">
        <v>12485</v>
      </c>
      <c r="D804" s="6" t="s">
        <v>28</v>
      </c>
      <c r="E804" s="6" t="s">
        <v>17</v>
      </c>
      <c r="F804" s="7">
        <v>37915</v>
      </c>
      <c r="G804" s="8">
        <f t="shared" si="12"/>
        <v>37915</v>
      </c>
      <c r="H804" s="6" t="s">
        <v>13</v>
      </c>
      <c r="I804" s="9" t="s">
        <v>3380</v>
      </c>
      <c r="J804" s="10" t="s">
        <v>3380</v>
      </c>
      <c r="K804" s="17"/>
    </row>
    <row r="805" spans="1:11" ht="30" x14ac:dyDescent="0.25">
      <c r="A805" s="3" t="s">
        <v>1630</v>
      </c>
      <c r="B805" s="4" t="s">
        <v>1631</v>
      </c>
      <c r="C805" s="5">
        <v>14082</v>
      </c>
      <c r="D805" s="6" t="s">
        <v>37</v>
      </c>
      <c r="E805" s="6" t="s">
        <v>38</v>
      </c>
      <c r="F805" s="7">
        <v>36987</v>
      </c>
      <c r="G805" s="8">
        <f t="shared" si="12"/>
        <v>36987</v>
      </c>
      <c r="H805" s="6" t="s">
        <v>39</v>
      </c>
      <c r="I805" s="9" t="s">
        <v>3380</v>
      </c>
      <c r="J805" s="10" t="s">
        <v>3380</v>
      </c>
      <c r="K805" s="17"/>
    </row>
    <row r="806" spans="1:11" ht="30" x14ac:dyDescent="0.25">
      <c r="A806" s="3" t="s">
        <v>1632</v>
      </c>
      <c r="B806" s="4" t="s">
        <v>1633</v>
      </c>
      <c r="C806" s="5">
        <v>21446</v>
      </c>
      <c r="D806" s="6" t="s">
        <v>28</v>
      </c>
      <c r="E806" s="6" t="s">
        <v>17</v>
      </c>
      <c r="F806" s="7">
        <v>38506</v>
      </c>
      <c r="G806" s="8">
        <f t="shared" si="12"/>
        <v>38506</v>
      </c>
      <c r="H806" s="6" t="s">
        <v>13</v>
      </c>
      <c r="I806" s="9" t="s">
        <v>3380</v>
      </c>
      <c r="J806" s="10" t="s">
        <v>3380</v>
      </c>
      <c r="K806" s="17"/>
    </row>
    <row r="807" spans="1:11" ht="30" x14ac:dyDescent="0.25">
      <c r="A807" s="3" t="s">
        <v>1634</v>
      </c>
      <c r="B807" s="4" t="s">
        <v>1635</v>
      </c>
      <c r="C807" s="14">
        <v>16644</v>
      </c>
      <c r="D807" s="6" t="s">
        <v>28</v>
      </c>
      <c r="E807" s="6" t="s">
        <v>17</v>
      </c>
      <c r="F807" s="7">
        <v>37964</v>
      </c>
      <c r="G807" s="8">
        <f t="shared" si="12"/>
        <v>37964</v>
      </c>
      <c r="H807" s="6" t="s">
        <v>13</v>
      </c>
      <c r="I807" s="9">
        <v>275017.58999999997</v>
      </c>
      <c r="J807" s="10">
        <v>2730</v>
      </c>
      <c r="K807" s="17"/>
    </row>
    <row r="808" spans="1:11" ht="30" x14ac:dyDescent="0.25">
      <c r="A808" s="3" t="s">
        <v>1636</v>
      </c>
      <c r="B808" s="4" t="s">
        <v>1637</v>
      </c>
      <c r="C808" s="5">
        <v>37090</v>
      </c>
      <c r="D808" s="6" t="s">
        <v>31</v>
      </c>
      <c r="E808" s="6" t="s">
        <v>17</v>
      </c>
      <c r="F808" s="7">
        <v>25876</v>
      </c>
      <c r="G808" s="8">
        <f t="shared" si="12"/>
        <v>25876</v>
      </c>
      <c r="H808" s="6" t="s">
        <v>13</v>
      </c>
      <c r="I808" s="9" t="s">
        <v>3380</v>
      </c>
      <c r="J808" s="10" t="s">
        <v>3380</v>
      </c>
      <c r="K808" s="17"/>
    </row>
    <row r="809" spans="1:11" ht="30" x14ac:dyDescent="0.25">
      <c r="A809" s="3" t="s">
        <v>1638</v>
      </c>
      <c r="B809" s="4" t="s">
        <v>1639</v>
      </c>
      <c r="C809" s="5">
        <v>1942</v>
      </c>
      <c r="D809" s="6" t="s">
        <v>28</v>
      </c>
      <c r="E809" s="6" t="s">
        <v>17</v>
      </c>
      <c r="F809" s="7">
        <v>29952</v>
      </c>
      <c r="G809" s="8">
        <f t="shared" si="12"/>
        <v>29952</v>
      </c>
      <c r="H809" s="6" t="s">
        <v>13</v>
      </c>
      <c r="I809" s="9" t="s">
        <v>3380</v>
      </c>
      <c r="J809" s="10" t="s">
        <v>3380</v>
      </c>
      <c r="K809" s="17"/>
    </row>
    <row r="810" spans="1:11" ht="30" x14ac:dyDescent="0.25">
      <c r="A810" s="3" t="s">
        <v>1640</v>
      </c>
      <c r="B810" s="4" t="s">
        <v>1641</v>
      </c>
      <c r="C810" s="5">
        <v>1040</v>
      </c>
      <c r="D810" s="6" t="s">
        <v>31</v>
      </c>
      <c r="E810" s="6" t="s">
        <v>17</v>
      </c>
      <c r="F810" s="7">
        <v>38323</v>
      </c>
      <c r="G810" s="8">
        <f t="shared" si="12"/>
        <v>38323</v>
      </c>
      <c r="H810" s="6" t="s">
        <v>13</v>
      </c>
      <c r="I810" s="9" t="s">
        <v>3380</v>
      </c>
      <c r="J810" s="10" t="s">
        <v>3380</v>
      </c>
      <c r="K810" s="17"/>
    </row>
    <row r="811" spans="1:11" ht="30" x14ac:dyDescent="0.25">
      <c r="A811" s="3" t="s">
        <v>1642</v>
      </c>
      <c r="B811" s="4" t="s">
        <v>1643</v>
      </c>
      <c r="C811" s="5">
        <v>1965</v>
      </c>
      <c r="D811" s="6" t="s">
        <v>11</v>
      </c>
      <c r="E811" s="6" t="s">
        <v>17</v>
      </c>
      <c r="F811" s="7">
        <v>36549</v>
      </c>
      <c r="G811" s="8">
        <f t="shared" si="12"/>
        <v>36549</v>
      </c>
      <c r="H811" s="6" t="s">
        <v>13</v>
      </c>
      <c r="I811" s="9" t="s">
        <v>3380</v>
      </c>
      <c r="J811" s="10" t="s">
        <v>3380</v>
      </c>
      <c r="K811" s="17"/>
    </row>
    <row r="812" spans="1:11" ht="30" x14ac:dyDescent="0.25">
      <c r="A812" s="3" t="s">
        <v>1644</v>
      </c>
      <c r="B812" s="4" t="s">
        <v>1645</v>
      </c>
      <c r="C812" s="14">
        <v>31633</v>
      </c>
      <c r="D812" s="6" t="s">
        <v>28</v>
      </c>
      <c r="E812" s="6" t="s">
        <v>508</v>
      </c>
      <c r="F812" s="7">
        <v>37739</v>
      </c>
      <c r="G812" s="8">
        <f t="shared" si="12"/>
        <v>37739</v>
      </c>
      <c r="H812" s="6" t="s">
        <v>509</v>
      </c>
      <c r="I812" s="9" t="s">
        <v>3380</v>
      </c>
      <c r="J812" s="10" t="s">
        <v>3380</v>
      </c>
      <c r="K812" s="17"/>
    </row>
    <row r="813" spans="1:11" ht="30" x14ac:dyDescent="0.25">
      <c r="A813" s="3" t="s">
        <v>1646</v>
      </c>
      <c r="B813" s="4" t="s">
        <v>1647</v>
      </c>
      <c r="C813" s="5">
        <v>13444</v>
      </c>
      <c r="D813" s="6" t="s">
        <v>34</v>
      </c>
      <c r="E813" s="6" t="s">
        <v>17</v>
      </c>
      <c r="F813" s="7">
        <v>37743</v>
      </c>
      <c r="G813" s="8">
        <f t="shared" si="12"/>
        <v>37743</v>
      </c>
      <c r="H813" s="6" t="s">
        <v>13</v>
      </c>
      <c r="I813" s="9" t="s">
        <v>3380</v>
      </c>
      <c r="J813" s="10" t="s">
        <v>3380</v>
      </c>
      <c r="K813" s="17"/>
    </row>
    <row r="814" spans="1:11" ht="30" x14ac:dyDescent="0.25">
      <c r="A814" s="3" t="s">
        <v>1648</v>
      </c>
      <c r="B814" s="4" t="s">
        <v>1649</v>
      </c>
      <c r="C814" s="5">
        <v>1234</v>
      </c>
      <c r="D814" s="6" t="s">
        <v>34</v>
      </c>
      <c r="E814" s="6" t="s">
        <v>17</v>
      </c>
      <c r="F814" s="7">
        <v>33345</v>
      </c>
      <c r="G814" s="8">
        <f t="shared" si="12"/>
        <v>33345</v>
      </c>
      <c r="H814" s="6" t="s">
        <v>13</v>
      </c>
      <c r="I814" s="9" t="s">
        <v>3380</v>
      </c>
      <c r="J814" s="10" t="s">
        <v>3380</v>
      </c>
      <c r="K814" s="17"/>
    </row>
    <row r="815" spans="1:11" ht="30" x14ac:dyDescent="0.25">
      <c r="A815" s="3" t="s">
        <v>1650</v>
      </c>
      <c r="B815" s="4" t="s">
        <v>1651</v>
      </c>
      <c r="C815" s="5">
        <v>1237</v>
      </c>
      <c r="D815" s="6" t="s">
        <v>34</v>
      </c>
      <c r="E815" s="6" t="s">
        <v>17</v>
      </c>
      <c r="F815" s="7">
        <v>36490</v>
      </c>
      <c r="G815" s="8">
        <f t="shared" si="12"/>
        <v>36490</v>
      </c>
      <c r="H815" s="6" t="s">
        <v>13</v>
      </c>
      <c r="I815" s="9" t="s">
        <v>3380</v>
      </c>
      <c r="J815" s="10" t="s">
        <v>3380</v>
      </c>
      <c r="K815" s="17"/>
    </row>
    <row r="816" spans="1:11" ht="30" x14ac:dyDescent="0.25">
      <c r="A816" s="3" t="s">
        <v>1652</v>
      </c>
      <c r="B816" s="4" t="s">
        <v>1653</v>
      </c>
      <c r="C816" s="5">
        <v>2247</v>
      </c>
      <c r="D816" s="6" t="s">
        <v>34</v>
      </c>
      <c r="E816" s="6" t="s">
        <v>17</v>
      </c>
      <c r="F816" s="7">
        <v>37257</v>
      </c>
      <c r="G816" s="8">
        <f t="shared" si="12"/>
        <v>37257</v>
      </c>
      <c r="H816" s="6" t="s">
        <v>13</v>
      </c>
      <c r="I816" s="9" t="s">
        <v>3380</v>
      </c>
      <c r="J816" s="10" t="s">
        <v>3380</v>
      </c>
      <c r="K816" s="17"/>
    </row>
    <row r="817" spans="1:11" ht="30" x14ac:dyDescent="0.25">
      <c r="A817" s="3" t="s">
        <v>1654</v>
      </c>
      <c r="B817" s="4" t="s">
        <v>1655</v>
      </c>
      <c r="C817" s="5">
        <v>20803</v>
      </c>
      <c r="D817" s="6" t="s">
        <v>31</v>
      </c>
      <c r="E817" s="6" t="s">
        <v>17</v>
      </c>
      <c r="F817" s="7">
        <v>27866</v>
      </c>
      <c r="G817" s="8">
        <f t="shared" si="12"/>
        <v>27866</v>
      </c>
      <c r="H817" s="6" t="s">
        <v>13</v>
      </c>
      <c r="I817" s="9" t="s">
        <v>3380</v>
      </c>
      <c r="J817" s="10" t="s">
        <v>3380</v>
      </c>
      <c r="K817" s="17"/>
    </row>
    <row r="818" spans="1:11" ht="30" x14ac:dyDescent="0.25">
      <c r="A818" s="3" t="s">
        <v>1656</v>
      </c>
      <c r="B818" s="4" t="s">
        <v>1657</v>
      </c>
      <c r="C818" s="5">
        <v>10570</v>
      </c>
      <c r="D818" s="6" t="s">
        <v>11</v>
      </c>
      <c r="E818" s="6" t="s">
        <v>17</v>
      </c>
      <c r="F818" s="7">
        <v>37595</v>
      </c>
      <c r="G818" s="8">
        <f t="shared" si="12"/>
        <v>37595</v>
      </c>
      <c r="H818" s="6" t="s">
        <v>13</v>
      </c>
      <c r="I818" s="9" t="s">
        <v>3380</v>
      </c>
      <c r="J818" s="10" t="s">
        <v>3380</v>
      </c>
      <c r="K818" s="17"/>
    </row>
    <row r="819" spans="1:11" ht="30" x14ac:dyDescent="0.25">
      <c r="A819" s="3" t="s">
        <v>1658</v>
      </c>
      <c r="B819" s="4" t="s">
        <v>1659</v>
      </c>
      <c r="C819" s="5">
        <v>1160</v>
      </c>
      <c r="D819" s="6" t="s">
        <v>31</v>
      </c>
      <c r="E819" s="6" t="s">
        <v>17</v>
      </c>
      <c r="F819" s="7">
        <v>25569</v>
      </c>
      <c r="G819" s="8">
        <f t="shared" si="12"/>
        <v>25569</v>
      </c>
      <c r="H819" s="6" t="s">
        <v>13</v>
      </c>
      <c r="I819" s="9" t="s">
        <v>3380</v>
      </c>
      <c r="J819" s="10" t="s">
        <v>3380</v>
      </c>
      <c r="K819" s="17"/>
    </row>
    <row r="820" spans="1:11" ht="30" x14ac:dyDescent="0.25">
      <c r="A820" s="3" t="s">
        <v>1660</v>
      </c>
      <c r="B820" s="4" t="s">
        <v>1661</v>
      </c>
      <c r="C820" s="5">
        <v>1053</v>
      </c>
      <c r="D820" s="6" t="s">
        <v>16</v>
      </c>
      <c r="E820" s="6" t="s">
        <v>17</v>
      </c>
      <c r="F820" s="7">
        <v>29221</v>
      </c>
      <c r="G820" s="8">
        <f t="shared" si="12"/>
        <v>29221</v>
      </c>
      <c r="H820" s="6" t="s">
        <v>13</v>
      </c>
      <c r="I820" s="9" t="s">
        <v>3380</v>
      </c>
      <c r="J820" s="10" t="s">
        <v>3380</v>
      </c>
      <c r="K820" s="17"/>
    </row>
    <row r="821" spans="1:11" ht="30" x14ac:dyDescent="0.25">
      <c r="A821" s="3" t="s">
        <v>1662</v>
      </c>
      <c r="B821" s="4" t="s">
        <v>1663</v>
      </c>
      <c r="C821" s="5">
        <v>1507</v>
      </c>
      <c r="D821" s="6" t="s">
        <v>28</v>
      </c>
      <c r="E821" s="6" t="s">
        <v>17</v>
      </c>
      <c r="F821" s="7">
        <v>19725</v>
      </c>
      <c r="G821" s="8">
        <f t="shared" si="12"/>
        <v>19725</v>
      </c>
      <c r="H821" s="6" t="s">
        <v>13</v>
      </c>
      <c r="I821" s="9" t="s">
        <v>3380</v>
      </c>
      <c r="J821" s="10" t="s">
        <v>3380</v>
      </c>
      <c r="K821" s="17"/>
    </row>
    <row r="822" spans="1:11" ht="30" x14ac:dyDescent="0.25">
      <c r="A822" s="3" t="s">
        <v>1664</v>
      </c>
      <c r="B822" s="4" t="s">
        <v>1665</v>
      </c>
      <c r="C822" s="5">
        <v>1403</v>
      </c>
      <c r="D822" s="6" t="s">
        <v>34</v>
      </c>
      <c r="E822" s="6" t="s">
        <v>17</v>
      </c>
      <c r="F822" s="7">
        <v>24108</v>
      </c>
      <c r="G822" s="8">
        <f t="shared" si="12"/>
        <v>24108</v>
      </c>
      <c r="H822" s="6" t="s">
        <v>13</v>
      </c>
      <c r="I822" s="9" t="s">
        <v>3380</v>
      </c>
      <c r="J822" s="10" t="s">
        <v>3380</v>
      </c>
      <c r="K822" s="17"/>
    </row>
    <row r="823" spans="1:11" ht="30" x14ac:dyDescent="0.25">
      <c r="A823" s="3" t="s">
        <v>1666</v>
      </c>
      <c r="B823" s="4" t="s">
        <v>1667</v>
      </c>
      <c r="C823" s="5">
        <v>19842</v>
      </c>
      <c r="D823" s="6" t="s">
        <v>16</v>
      </c>
      <c r="E823" s="6" t="s">
        <v>17</v>
      </c>
      <c r="F823" s="7">
        <v>33276</v>
      </c>
      <c r="G823" s="8">
        <f t="shared" si="12"/>
        <v>33276</v>
      </c>
      <c r="H823" s="6" t="s">
        <v>13</v>
      </c>
      <c r="I823" s="9" t="s">
        <v>3380</v>
      </c>
      <c r="J823" s="10" t="s">
        <v>3380</v>
      </c>
      <c r="K823" s="17"/>
    </row>
    <row r="824" spans="1:11" ht="30" x14ac:dyDescent="0.25">
      <c r="A824" s="3" t="s">
        <v>1668</v>
      </c>
      <c r="B824" s="4" t="s">
        <v>1669</v>
      </c>
      <c r="C824" s="5">
        <v>1474</v>
      </c>
      <c r="D824" s="6" t="s">
        <v>31</v>
      </c>
      <c r="E824" s="6" t="s">
        <v>17</v>
      </c>
      <c r="F824" s="7">
        <v>19725</v>
      </c>
      <c r="G824" s="8">
        <f t="shared" si="12"/>
        <v>19725</v>
      </c>
      <c r="H824" s="6" t="s">
        <v>13</v>
      </c>
      <c r="I824" s="9" t="s">
        <v>3380</v>
      </c>
      <c r="J824" s="10" t="s">
        <v>3380</v>
      </c>
      <c r="K824" s="17"/>
    </row>
    <row r="825" spans="1:11" ht="30" x14ac:dyDescent="0.25">
      <c r="A825" s="3" t="s">
        <v>1670</v>
      </c>
      <c r="B825" s="4" t="s">
        <v>1671</v>
      </c>
      <c r="C825" s="5">
        <v>1897</v>
      </c>
      <c r="D825" s="6" t="s">
        <v>31</v>
      </c>
      <c r="E825" s="6" t="s">
        <v>17</v>
      </c>
      <c r="F825" s="7">
        <v>32874</v>
      </c>
      <c r="G825" s="8">
        <f t="shared" si="12"/>
        <v>32874</v>
      </c>
      <c r="H825" s="6" t="s">
        <v>13</v>
      </c>
      <c r="I825" s="9" t="s">
        <v>3380</v>
      </c>
      <c r="J825" s="10" t="s">
        <v>3380</v>
      </c>
      <c r="K825" s="17"/>
    </row>
    <row r="826" spans="1:11" ht="30" x14ac:dyDescent="0.25">
      <c r="A826" s="3" t="s">
        <v>1672</v>
      </c>
      <c r="B826" s="4" t="s">
        <v>1673</v>
      </c>
      <c r="C826" s="5">
        <v>1066</v>
      </c>
      <c r="D826" s="6" t="s">
        <v>16</v>
      </c>
      <c r="E826" s="6" t="s">
        <v>17</v>
      </c>
      <c r="F826" s="7">
        <v>32874</v>
      </c>
      <c r="G826" s="8">
        <f t="shared" si="12"/>
        <v>32874</v>
      </c>
      <c r="H826" s="6" t="s">
        <v>13</v>
      </c>
      <c r="I826" s="9" t="s">
        <v>3380</v>
      </c>
      <c r="J826" s="10" t="s">
        <v>3380</v>
      </c>
      <c r="K826" s="17"/>
    </row>
    <row r="827" spans="1:11" ht="30" x14ac:dyDescent="0.25">
      <c r="A827" s="3" t="s">
        <v>1674</v>
      </c>
      <c r="B827" s="4" t="s">
        <v>1675</v>
      </c>
      <c r="C827" s="5">
        <v>1692</v>
      </c>
      <c r="D827" s="6" t="s">
        <v>28</v>
      </c>
      <c r="E827" s="6" t="s">
        <v>17</v>
      </c>
      <c r="F827" s="7">
        <v>19725</v>
      </c>
      <c r="G827" s="8">
        <f t="shared" si="12"/>
        <v>19725</v>
      </c>
      <c r="H827" s="6" t="s">
        <v>13</v>
      </c>
      <c r="I827" s="9" t="s">
        <v>3380</v>
      </c>
      <c r="J827" s="10" t="s">
        <v>3380</v>
      </c>
      <c r="K827" s="17"/>
    </row>
    <row r="828" spans="1:11" ht="30" x14ac:dyDescent="0.25">
      <c r="A828" s="3" t="s">
        <v>1676</v>
      </c>
      <c r="B828" s="4" t="s">
        <v>1677</v>
      </c>
      <c r="C828" s="5">
        <v>18568</v>
      </c>
      <c r="D828" s="6" t="s">
        <v>34</v>
      </c>
      <c r="E828" s="6" t="s">
        <v>17</v>
      </c>
      <c r="F828" s="7">
        <v>38546</v>
      </c>
      <c r="G828" s="8">
        <f t="shared" si="12"/>
        <v>38546</v>
      </c>
      <c r="H828" s="6" t="s">
        <v>13</v>
      </c>
      <c r="I828" s="9" t="s">
        <v>3380</v>
      </c>
      <c r="J828" s="10" t="s">
        <v>3380</v>
      </c>
      <c r="K828" s="17"/>
    </row>
    <row r="829" spans="1:11" ht="30" x14ac:dyDescent="0.25">
      <c r="A829" s="3" t="s">
        <v>1678</v>
      </c>
      <c r="B829" s="4" t="s">
        <v>1679</v>
      </c>
      <c r="C829" s="14">
        <v>1497</v>
      </c>
      <c r="D829" s="6" t="s">
        <v>28</v>
      </c>
      <c r="E829" s="6" t="s">
        <v>17</v>
      </c>
      <c r="F829" s="7">
        <v>29221</v>
      </c>
      <c r="G829" s="8">
        <f t="shared" si="12"/>
        <v>29221</v>
      </c>
      <c r="H829" s="6" t="s">
        <v>13</v>
      </c>
      <c r="I829" s="9" t="s">
        <v>3380</v>
      </c>
      <c r="J829" s="10" t="s">
        <v>3380</v>
      </c>
      <c r="K829" s="17"/>
    </row>
    <row r="830" spans="1:11" x14ac:dyDescent="0.25">
      <c r="A830" s="26" t="s">
        <v>1680</v>
      </c>
      <c r="B830" s="27" t="s">
        <v>1681</v>
      </c>
      <c r="C830" s="5">
        <v>1430</v>
      </c>
      <c r="D830" s="28" t="s">
        <v>16</v>
      </c>
      <c r="E830" s="28" t="s">
        <v>17</v>
      </c>
      <c r="F830" s="29">
        <v>29221</v>
      </c>
      <c r="G830" s="30">
        <f t="shared" si="12"/>
        <v>29221</v>
      </c>
      <c r="H830" s="28" t="s">
        <v>13</v>
      </c>
      <c r="I830" s="9" t="s">
        <v>3380</v>
      </c>
      <c r="J830" s="10" t="s">
        <v>3380</v>
      </c>
      <c r="K830" s="33"/>
    </row>
    <row r="831" spans="1:11" ht="30" x14ac:dyDescent="0.25">
      <c r="A831" s="3" t="s">
        <v>1682</v>
      </c>
      <c r="B831" s="4" t="s">
        <v>1683</v>
      </c>
      <c r="C831" s="5">
        <v>15042</v>
      </c>
      <c r="D831" s="6" t="s">
        <v>37</v>
      </c>
      <c r="E831" s="6" t="s">
        <v>38</v>
      </c>
      <c r="F831" s="7">
        <v>37831</v>
      </c>
      <c r="G831" s="8">
        <f t="shared" si="12"/>
        <v>37831</v>
      </c>
      <c r="H831" s="6" t="s">
        <v>39</v>
      </c>
      <c r="I831" s="9" t="s">
        <v>3380</v>
      </c>
      <c r="J831" s="10" t="s">
        <v>3380</v>
      </c>
      <c r="K831" s="17"/>
    </row>
    <row r="832" spans="1:11" ht="30" x14ac:dyDescent="0.25">
      <c r="A832" s="3" t="s">
        <v>1684</v>
      </c>
      <c r="B832" s="4" t="s">
        <v>1685</v>
      </c>
      <c r="C832" s="5">
        <v>13448</v>
      </c>
      <c r="D832" s="6" t="s">
        <v>16</v>
      </c>
      <c r="E832" s="6" t="s">
        <v>17</v>
      </c>
      <c r="F832" s="7">
        <v>38099</v>
      </c>
      <c r="G832" s="8">
        <f t="shared" si="12"/>
        <v>38099</v>
      </c>
      <c r="H832" s="6" t="s">
        <v>13</v>
      </c>
      <c r="I832" s="9" t="s">
        <v>3380</v>
      </c>
      <c r="J832" s="10" t="s">
        <v>3380</v>
      </c>
      <c r="K832" s="17"/>
    </row>
    <row r="833" spans="1:11" ht="30" x14ac:dyDescent="0.25">
      <c r="A833" s="3" t="s">
        <v>1686</v>
      </c>
      <c r="B833" s="4" t="s">
        <v>1687</v>
      </c>
      <c r="C833" s="5">
        <v>1895</v>
      </c>
      <c r="D833" s="6" t="s">
        <v>31</v>
      </c>
      <c r="E833" s="6" t="s">
        <v>17</v>
      </c>
      <c r="F833" s="7">
        <v>33604</v>
      </c>
      <c r="G833" s="8">
        <f t="shared" si="12"/>
        <v>33604</v>
      </c>
      <c r="H833" s="6" t="s">
        <v>13</v>
      </c>
      <c r="I833" s="9" t="s">
        <v>3380</v>
      </c>
      <c r="J833" s="10" t="s">
        <v>3380</v>
      </c>
      <c r="K833" s="17"/>
    </row>
    <row r="834" spans="1:11" ht="30" x14ac:dyDescent="0.25">
      <c r="A834" s="3" t="s">
        <v>1688</v>
      </c>
      <c r="B834" s="4" t="s">
        <v>1689</v>
      </c>
      <c r="C834" s="5">
        <v>1082</v>
      </c>
      <c r="D834" s="6" t="s">
        <v>34</v>
      </c>
      <c r="E834" s="6" t="s">
        <v>17</v>
      </c>
      <c r="F834" s="7">
        <v>36976</v>
      </c>
      <c r="G834" s="8">
        <f t="shared" ref="G834:G897" si="13">F834</f>
        <v>36976</v>
      </c>
      <c r="H834" s="6" t="s">
        <v>13</v>
      </c>
      <c r="I834" s="9" t="s">
        <v>3380</v>
      </c>
      <c r="J834" s="10" t="s">
        <v>3380</v>
      </c>
      <c r="K834" s="17"/>
    </row>
    <row r="835" spans="1:11" ht="30" x14ac:dyDescent="0.25">
      <c r="A835" s="3" t="s">
        <v>1690</v>
      </c>
      <c r="B835" s="4" t="s">
        <v>1691</v>
      </c>
      <c r="C835" s="5">
        <v>54612</v>
      </c>
      <c r="D835" s="6" t="s">
        <v>28</v>
      </c>
      <c r="E835" s="6" t="s">
        <v>17</v>
      </c>
      <c r="F835" s="7">
        <v>39099</v>
      </c>
      <c r="G835" s="8">
        <f t="shared" si="13"/>
        <v>39099</v>
      </c>
      <c r="H835" s="6" t="s">
        <v>13</v>
      </c>
      <c r="I835" s="9" t="s">
        <v>3380</v>
      </c>
      <c r="J835" s="10" t="s">
        <v>3380</v>
      </c>
      <c r="K835" s="17"/>
    </row>
    <row r="836" spans="1:11" ht="30" x14ac:dyDescent="0.25">
      <c r="A836" s="3" t="s">
        <v>1692</v>
      </c>
      <c r="B836" s="4" t="s">
        <v>1693</v>
      </c>
      <c r="C836" s="5">
        <v>54611</v>
      </c>
      <c r="D836" s="6" t="s">
        <v>28</v>
      </c>
      <c r="E836" s="6" t="s">
        <v>508</v>
      </c>
      <c r="F836" s="7">
        <v>38557</v>
      </c>
      <c r="G836" s="8">
        <f t="shared" si="13"/>
        <v>38557</v>
      </c>
      <c r="H836" s="6" t="s">
        <v>509</v>
      </c>
      <c r="I836" s="9" t="s">
        <v>3380</v>
      </c>
      <c r="J836" s="10" t="s">
        <v>3380</v>
      </c>
      <c r="K836" s="17"/>
    </row>
    <row r="837" spans="1:11" ht="30" x14ac:dyDescent="0.25">
      <c r="A837" s="3" t="s">
        <v>1694</v>
      </c>
      <c r="B837" s="4" t="s">
        <v>1695</v>
      </c>
      <c r="C837" s="5">
        <v>1521</v>
      </c>
      <c r="D837" s="6" t="s">
        <v>16</v>
      </c>
      <c r="E837" s="6" t="s">
        <v>17</v>
      </c>
      <c r="F837" s="7">
        <v>32874</v>
      </c>
      <c r="G837" s="8">
        <f t="shared" si="13"/>
        <v>32874</v>
      </c>
      <c r="H837" s="6" t="s">
        <v>13</v>
      </c>
      <c r="I837" s="9" t="s">
        <v>3380</v>
      </c>
      <c r="J837" s="10" t="s">
        <v>3380</v>
      </c>
      <c r="K837" s="17"/>
    </row>
    <row r="838" spans="1:11" ht="30" x14ac:dyDescent="0.25">
      <c r="A838" s="3" t="s">
        <v>1696</v>
      </c>
      <c r="B838" s="4" t="s">
        <v>1697</v>
      </c>
      <c r="C838" s="5">
        <v>15374</v>
      </c>
      <c r="D838" s="6" t="s">
        <v>16</v>
      </c>
      <c r="E838" s="6" t="s">
        <v>17</v>
      </c>
      <c r="F838" s="7">
        <v>25993</v>
      </c>
      <c r="G838" s="8">
        <f t="shared" si="13"/>
        <v>25993</v>
      </c>
      <c r="H838" s="6" t="s">
        <v>13</v>
      </c>
      <c r="I838" s="9" t="s">
        <v>3380</v>
      </c>
      <c r="J838" s="10" t="s">
        <v>3380</v>
      </c>
      <c r="K838" s="17"/>
    </row>
    <row r="839" spans="1:11" ht="30" x14ac:dyDescent="0.25">
      <c r="A839" s="3" t="s">
        <v>1698</v>
      </c>
      <c r="B839" s="4" t="s">
        <v>1699</v>
      </c>
      <c r="C839" s="5">
        <v>1654</v>
      </c>
      <c r="D839" s="6" t="s">
        <v>28</v>
      </c>
      <c r="E839" s="6" t="s">
        <v>17</v>
      </c>
      <c r="F839" s="7">
        <v>32509</v>
      </c>
      <c r="G839" s="8">
        <f t="shared" si="13"/>
        <v>32509</v>
      </c>
      <c r="H839" s="6" t="s">
        <v>13</v>
      </c>
      <c r="I839" s="9" t="s">
        <v>3380</v>
      </c>
      <c r="J839" s="10" t="s">
        <v>3380</v>
      </c>
      <c r="K839" s="17"/>
    </row>
    <row r="840" spans="1:11" ht="30" x14ac:dyDescent="0.25">
      <c r="A840" s="3" t="s">
        <v>1700</v>
      </c>
      <c r="B840" s="4" t="s">
        <v>1701</v>
      </c>
      <c r="C840" s="5">
        <v>1511</v>
      </c>
      <c r="D840" s="6" t="s">
        <v>28</v>
      </c>
      <c r="E840" s="6" t="s">
        <v>17</v>
      </c>
      <c r="F840" s="7">
        <v>32143</v>
      </c>
      <c r="G840" s="8">
        <f t="shared" si="13"/>
        <v>32143</v>
      </c>
      <c r="H840" s="6" t="s">
        <v>13</v>
      </c>
      <c r="I840" s="9" t="s">
        <v>3380</v>
      </c>
      <c r="J840" s="10" t="s">
        <v>3380</v>
      </c>
      <c r="K840" s="17"/>
    </row>
    <row r="841" spans="1:11" ht="30" x14ac:dyDescent="0.25">
      <c r="A841" s="3" t="s">
        <v>1702</v>
      </c>
      <c r="B841" s="4" t="s">
        <v>1703</v>
      </c>
      <c r="C841" s="5">
        <v>1994</v>
      </c>
      <c r="D841" s="6" t="s">
        <v>28</v>
      </c>
      <c r="E841" s="6" t="s">
        <v>17</v>
      </c>
      <c r="F841" s="7">
        <v>40373</v>
      </c>
      <c r="G841" s="8">
        <f t="shared" si="13"/>
        <v>40373</v>
      </c>
      <c r="H841" s="6" t="s">
        <v>13</v>
      </c>
      <c r="I841" s="9" t="s">
        <v>3380</v>
      </c>
      <c r="J841" s="10" t="s">
        <v>3380</v>
      </c>
      <c r="K841" s="17"/>
    </row>
    <row r="842" spans="1:11" ht="30" x14ac:dyDescent="0.25">
      <c r="A842" s="3" t="s">
        <v>1704</v>
      </c>
      <c r="B842" s="4" t="s">
        <v>1705</v>
      </c>
      <c r="C842" s="5">
        <v>91985</v>
      </c>
      <c r="D842" s="6" t="s">
        <v>37</v>
      </c>
      <c r="E842" s="6" t="s">
        <v>38</v>
      </c>
      <c r="F842" s="7">
        <v>39913</v>
      </c>
      <c r="G842" s="8">
        <f t="shared" si="13"/>
        <v>39913</v>
      </c>
      <c r="H842" s="6" t="s">
        <v>39</v>
      </c>
      <c r="I842" s="9" t="s">
        <v>3380</v>
      </c>
      <c r="J842" s="10" t="s">
        <v>3380</v>
      </c>
      <c r="K842" s="17"/>
    </row>
    <row r="843" spans="1:11" ht="30" x14ac:dyDescent="0.25">
      <c r="A843" s="3" t="s">
        <v>1706</v>
      </c>
      <c r="B843" s="4" t="s">
        <v>1707</v>
      </c>
      <c r="C843" s="14">
        <v>27537</v>
      </c>
      <c r="D843" s="6" t="s">
        <v>28</v>
      </c>
      <c r="E843" s="6" t="s">
        <v>17</v>
      </c>
      <c r="F843" s="7">
        <v>38001</v>
      </c>
      <c r="G843" s="8">
        <f t="shared" si="13"/>
        <v>38001</v>
      </c>
      <c r="H843" s="6" t="s">
        <v>13</v>
      </c>
      <c r="I843" s="9" t="s">
        <v>3380</v>
      </c>
      <c r="J843" s="10" t="s">
        <v>3380</v>
      </c>
      <c r="K843" s="17"/>
    </row>
    <row r="844" spans="1:11" ht="30" x14ac:dyDescent="0.25">
      <c r="A844" s="3" t="s">
        <v>1708</v>
      </c>
      <c r="B844" s="4" t="s">
        <v>1709</v>
      </c>
      <c r="C844" s="14">
        <v>1842</v>
      </c>
      <c r="D844" s="6" t="s">
        <v>16</v>
      </c>
      <c r="E844" s="6" t="s">
        <v>17</v>
      </c>
      <c r="F844" s="7">
        <v>36665</v>
      </c>
      <c r="G844" s="8">
        <f t="shared" si="13"/>
        <v>36665</v>
      </c>
      <c r="H844" s="6" t="s">
        <v>13</v>
      </c>
      <c r="I844" s="9" t="s">
        <v>3380</v>
      </c>
      <c r="J844" s="10" t="s">
        <v>3380</v>
      </c>
      <c r="K844" s="17"/>
    </row>
    <row r="845" spans="1:11" ht="30" x14ac:dyDescent="0.25">
      <c r="A845" s="3" t="s">
        <v>1710</v>
      </c>
      <c r="B845" s="4" t="s">
        <v>1711</v>
      </c>
      <c r="C845" s="14">
        <v>1613</v>
      </c>
      <c r="D845" s="6" t="s">
        <v>16</v>
      </c>
      <c r="E845" s="6" t="s">
        <v>17</v>
      </c>
      <c r="F845" s="7">
        <v>36096</v>
      </c>
      <c r="G845" s="8">
        <f t="shared" si="13"/>
        <v>36096</v>
      </c>
      <c r="H845" s="6" t="s">
        <v>13</v>
      </c>
      <c r="I845" s="9" t="s">
        <v>3380</v>
      </c>
      <c r="J845" s="10" t="s">
        <v>3380</v>
      </c>
      <c r="K845" s="17"/>
    </row>
    <row r="846" spans="1:11" ht="30" x14ac:dyDescent="0.25">
      <c r="A846" s="3" t="s">
        <v>1712</v>
      </c>
      <c r="B846" s="4" t="s">
        <v>1713</v>
      </c>
      <c r="C846" s="5">
        <v>1035</v>
      </c>
      <c r="D846" s="6" t="s">
        <v>31</v>
      </c>
      <c r="E846" s="6" t="s">
        <v>17</v>
      </c>
      <c r="F846" s="7">
        <v>29221</v>
      </c>
      <c r="G846" s="8">
        <f t="shared" si="13"/>
        <v>29221</v>
      </c>
      <c r="H846" s="6" t="s">
        <v>13</v>
      </c>
      <c r="I846" s="9" t="s">
        <v>3380</v>
      </c>
      <c r="J846" s="10" t="s">
        <v>3380</v>
      </c>
      <c r="K846" s="17"/>
    </row>
    <row r="847" spans="1:11" ht="30" x14ac:dyDescent="0.25">
      <c r="A847" s="3" t="s">
        <v>1714</v>
      </c>
      <c r="B847" s="4" t="s">
        <v>1715</v>
      </c>
      <c r="C847" s="14">
        <v>19843</v>
      </c>
      <c r="D847" s="6" t="s">
        <v>31</v>
      </c>
      <c r="E847" s="6" t="s">
        <v>17</v>
      </c>
      <c r="F847" s="7">
        <v>31246</v>
      </c>
      <c r="G847" s="8">
        <f t="shared" si="13"/>
        <v>31246</v>
      </c>
      <c r="H847" s="6" t="s">
        <v>13</v>
      </c>
      <c r="I847" s="9">
        <v>279719.96000000002</v>
      </c>
      <c r="J847" s="10">
        <v>680</v>
      </c>
      <c r="K847" s="17"/>
    </row>
    <row r="848" spans="1:11" ht="30" x14ac:dyDescent="0.25">
      <c r="A848" s="3" t="s">
        <v>1716</v>
      </c>
      <c r="B848" s="4" t="s">
        <v>1717</v>
      </c>
      <c r="C848" s="5">
        <v>54613</v>
      </c>
      <c r="D848" s="6" t="s">
        <v>11</v>
      </c>
      <c r="E848" s="6" t="s">
        <v>12</v>
      </c>
      <c r="F848" s="7">
        <v>36528</v>
      </c>
      <c r="G848" s="8">
        <f t="shared" si="13"/>
        <v>36528</v>
      </c>
      <c r="H848" s="6" t="s">
        <v>776</v>
      </c>
      <c r="I848" s="9" t="s">
        <v>3380</v>
      </c>
      <c r="J848" s="10" t="s">
        <v>3380</v>
      </c>
      <c r="K848" s="17"/>
    </row>
    <row r="849" spans="1:11" ht="30" x14ac:dyDescent="0.25">
      <c r="A849" s="3" t="s">
        <v>1718</v>
      </c>
      <c r="B849" s="4" t="s">
        <v>1719</v>
      </c>
      <c r="C849" s="47">
        <v>371644</v>
      </c>
      <c r="D849" s="6" t="s">
        <v>11</v>
      </c>
      <c r="E849" s="6" t="s">
        <v>12</v>
      </c>
      <c r="F849" s="7">
        <v>45495</v>
      </c>
      <c r="G849" s="8">
        <f t="shared" si="13"/>
        <v>45495</v>
      </c>
      <c r="H849" s="6" t="s">
        <v>776</v>
      </c>
      <c r="I849" s="9" t="s">
        <v>3380</v>
      </c>
      <c r="J849" s="10" t="s">
        <v>3380</v>
      </c>
      <c r="K849" s="11"/>
    </row>
    <row r="850" spans="1:11" ht="30" x14ac:dyDescent="0.25">
      <c r="A850" s="3" t="s">
        <v>1720</v>
      </c>
      <c r="B850" s="4" t="s">
        <v>1721</v>
      </c>
      <c r="C850" s="5">
        <v>54615</v>
      </c>
      <c r="D850" s="6" t="s">
        <v>11</v>
      </c>
      <c r="E850" s="6" t="s">
        <v>12</v>
      </c>
      <c r="F850" s="7">
        <v>38210</v>
      </c>
      <c r="G850" s="8">
        <f t="shared" si="13"/>
        <v>38210</v>
      </c>
      <c r="H850" s="6" t="s">
        <v>776</v>
      </c>
      <c r="I850" s="9" t="s">
        <v>3380</v>
      </c>
      <c r="J850" s="10" t="s">
        <v>3380</v>
      </c>
      <c r="K850" s="17"/>
    </row>
    <row r="851" spans="1:11" ht="30" x14ac:dyDescent="0.25">
      <c r="A851" s="3" t="s">
        <v>1722</v>
      </c>
      <c r="B851" s="4" t="s">
        <v>1723</v>
      </c>
      <c r="C851" s="5">
        <v>38449</v>
      </c>
      <c r="D851" s="6" t="s">
        <v>11</v>
      </c>
      <c r="E851" s="6" t="s">
        <v>12</v>
      </c>
      <c r="F851" s="7">
        <v>30678</v>
      </c>
      <c r="G851" s="8">
        <f t="shared" si="13"/>
        <v>30678</v>
      </c>
      <c r="H851" s="6" t="s">
        <v>776</v>
      </c>
      <c r="I851" s="9" t="s">
        <v>3380</v>
      </c>
      <c r="J851" s="10" t="s">
        <v>3380</v>
      </c>
      <c r="K851" s="17"/>
    </row>
    <row r="852" spans="1:11" ht="30" x14ac:dyDescent="0.25">
      <c r="A852" s="3" t="s">
        <v>1724</v>
      </c>
      <c r="B852" s="4" t="s">
        <v>1725</v>
      </c>
      <c r="C852" s="5">
        <v>38177</v>
      </c>
      <c r="D852" s="6" t="s">
        <v>11</v>
      </c>
      <c r="E852" s="6" t="s">
        <v>12</v>
      </c>
      <c r="F852" s="7">
        <v>29928</v>
      </c>
      <c r="G852" s="8">
        <f t="shared" si="13"/>
        <v>29928</v>
      </c>
      <c r="H852" s="6" t="s">
        <v>776</v>
      </c>
      <c r="I852" s="9" t="s">
        <v>3380</v>
      </c>
      <c r="J852" s="10" t="s">
        <v>3380</v>
      </c>
      <c r="K852" s="17"/>
    </row>
    <row r="853" spans="1:11" ht="30" x14ac:dyDescent="0.25">
      <c r="A853" s="3" t="s">
        <v>1726</v>
      </c>
      <c r="B853" s="4" t="s">
        <v>1727</v>
      </c>
      <c r="C853" s="5">
        <v>52306</v>
      </c>
      <c r="D853" s="6" t="s">
        <v>34</v>
      </c>
      <c r="E853" s="6" t="s">
        <v>17</v>
      </c>
      <c r="F853" s="7">
        <v>38576</v>
      </c>
      <c r="G853" s="8">
        <f t="shared" si="13"/>
        <v>38576</v>
      </c>
      <c r="H853" s="6" t="s">
        <v>13</v>
      </c>
      <c r="I853" s="9" t="s">
        <v>3380</v>
      </c>
      <c r="J853" s="10" t="s">
        <v>3380</v>
      </c>
      <c r="K853" s="17"/>
    </row>
    <row r="854" spans="1:11" ht="30" x14ac:dyDescent="0.25">
      <c r="A854" s="3" t="s">
        <v>1728</v>
      </c>
      <c r="B854" s="4" t="s">
        <v>1729</v>
      </c>
      <c r="C854" s="5">
        <v>52305</v>
      </c>
      <c r="D854" s="6" t="s">
        <v>34</v>
      </c>
      <c r="E854" s="6" t="s">
        <v>17</v>
      </c>
      <c r="F854" s="7">
        <v>38576</v>
      </c>
      <c r="G854" s="8">
        <f t="shared" si="13"/>
        <v>38576</v>
      </c>
      <c r="H854" s="6" t="s">
        <v>13</v>
      </c>
      <c r="I854" s="9" t="s">
        <v>3380</v>
      </c>
      <c r="J854" s="10" t="s">
        <v>3380</v>
      </c>
      <c r="K854" s="17"/>
    </row>
    <row r="855" spans="1:11" ht="30" x14ac:dyDescent="0.25">
      <c r="A855" s="3" t="s">
        <v>1730</v>
      </c>
      <c r="B855" s="4" t="s">
        <v>1731</v>
      </c>
      <c r="C855" s="5">
        <v>28881</v>
      </c>
      <c r="D855" s="6" t="s">
        <v>34</v>
      </c>
      <c r="E855" s="6" t="s">
        <v>17</v>
      </c>
      <c r="F855" s="7">
        <v>38595</v>
      </c>
      <c r="G855" s="8">
        <f t="shared" si="13"/>
        <v>38595</v>
      </c>
      <c r="H855" s="6" t="s">
        <v>13</v>
      </c>
      <c r="I855" s="9" t="s">
        <v>3380</v>
      </c>
      <c r="J855" s="10" t="s">
        <v>3380</v>
      </c>
      <c r="K855" s="17"/>
    </row>
    <row r="856" spans="1:11" ht="30" x14ac:dyDescent="0.25">
      <c r="A856" s="3" t="s">
        <v>1732</v>
      </c>
      <c r="B856" s="4" t="s">
        <v>1733</v>
      </c>
      <c r="C856" s="14">
        <v>14725</v>
      </c>
      <c r="D856" s="6" t="s">
        <v>31</v>
      </c>
      <c r="E856" s="6" t="s">
        <v>17</v>
      </c>
      <c r="F856" s="7">
        <v>23182</v>
      </c>
      <c r="G856" s="8">
        <f t="shared" si="13"/>
        <v>23182</v>
      </c>
      <c r="H856" s="6" t="s">
        <v>13</v>
      </c>
      <c r="I856" s="9" t="s">
        <v>3380</v>
      </c>
      <c r="J856" s="10" t="s">
        <v>3380</v>
      </c>
      <c r="K856" s="17"/>
    </row>
    <row r="857" spans="1:11" x14ac:dyDescent="0.25">
      <c r="A857" s="26" t="s">
        <v>1734</v>
      </c>
      <c r="B857" s="27" t="s">
        <v>1735</v>
      </c>
      <c r="C857" s="34">
        <v>2065</v>
      </c>
      <c r="D857" s="28" t="s">
        <v>34</v>
      </c>
      <c r="E857" s="28" t="s">
        <v>17</v>
      </c>
      <c r="F857" s="29">
        <v>18264</v>
      </c>
      <c r="G857" s="30">
        <f t="shared" si="13"/>
        <v>18264</v>
      </c>
      <c r="H857" s="28" t="s">
        <v>13</v>
      </c>
      <c r="I857" s="9" t="s">
        <v>3380</v>
      </c>
      <c r="J857" s="10" t="s">
        <v>3380</v>
      </c>
      <c r="K857" s="33"/>
    </row>
    <row r="858" spans="1:11" ht="30" x14ac:dyDescent="0.25">
      <c r="A858" s="3" t="s">
        <v>1736</v>
      </c>
      <c r="B858" s="4" t="s">
        <v>1737</v>
      </c>
      <c r="C858" s="14">
        <v>1596</v>
      </c>
      <c r="D858" s="6" t="s">
        <v>28</v>
      </c>
      <c r="E858" s="6" t="s">
        <v>17</v>
      </c>
      <c r="F858" s="7">
        <v>38777</v>
      </c>
      <c r="G858" s="8">
        <f t="shared" si="13"/>
        <v>38777</v>
      </c>
      <c r="H858" s="6" t="s">
        <v>13</v>
      </c>
      <c r="I858" s="9" t="s">
        <v>3380</v>
      </c>
      <c r="J858" s="10" t="s">
        <v>3380</v>
      </c>
      <c r="K858" s="17"/>
    </row>
    <row r="859" spans="1:11" ht="30" x14ac:dyDescent="0.25">
      <c r="A859" s="3" t="s">
        <v>1738</v>
      </c>
      <c r="B859" s="4" t="s">
        <v>1739</v>
      </c>
      <c r="C859" s="14">
        <v>54616</v>
      </c>
      <c r="D859" s="6" t="s">
        <v>16</v>
      </c>
      <c r="E859" s="6" t="s">
        <v>17</v>
      </c>
      <c r="F859" s="7">
        <v>36557</v>
      </c>
      <c r="G859" s="8">
        <f t="shared" si="13"/>
        <v>36557</v>
      </c>
      <c r="H859" s="6" t="s">
        <v>13</v>
      </c>
      <c r="I859" s="9" t="s">
        <v>3380</v>
      </c>
      <c r="J859" s="10" t="s">
        <v>3380</v>
      </c>
      <c r="K859" s="17"/>
    </row>
    <row r="860" spans="1:11" ht="30" x14ac:dyDescent="0.25">
      <c r="A860" s="3" t="s">
        <v>1740</v>
      </c>
      <c r="B860" s="4" t="s">
        <v>1741</v>
      </c>
      <c r="C860" s="5">
        <v>1199</v>
      </c>
      <c r="D860" s="6" t="s">
        <v>16</v>
      </c>
      <c r="E860" s="6" t="s">
        <v>17</v>
      </c>
      <c r="F860" s="7">
        <v>29952</v>
      </c>
      <c r="G860" s="8">
        <f t="shared" si="13"/>
        <v>29952</v>
      </c>
      <c r="H860" s="6" t="s">
        <v>13</v>
      </c>
      <c r="I860" s="9" t="s">
        <v>3380</v>
      </c>
      <c r="J860" s="10" t="s">
        <v>3380</v>
      </c>
      <c r="K860" s="17"/>
    </row>
    <row r="861" spans="1:11" ht="30" x14ac:dyDescent="0.25">
      <c r="A861" s="3" t="s">
        <v>1742</v>
      </c>
      <c r="B861" s="4" t="s">
        <v>1743</v>
      </c>
      <c r="C861" s="5">
        <v>18247</v>
      </c>
      <c r="D861" s="6" t="s">
        <v>16</v>
      </c>
      <c r="E861" s="6" t="s">
        <v>17</v>
      </c>
      <c r="F861" s="7">
        <v>21922</v>
      </c>
      <c r="G861" s="8">
        <f t="shared" si="13"/>
        <v>21922</v>
      </c>
      <c r="H861" s="6" t="s">
        <v>13</v>
      </c>
      <c r="I861" s="9" t="s">
        <v>3380</v>
      </c>
      <c r="J861" s="10" t="s">
        <v>3380</v>
      </c>
      <c r="K861" s="17"/>
    </row>
    <row r="862" spans="1:11" ht="30" x14ac:dyDescent="0.25">
      <c r="A862" s="3" t="s">
        <v>1744</v>
      </c>
      <c r="B862" s="4" t="s">
        <v>1745</v>
      </c>
      <c r="C862" s="5">
        <v>54617</v>
      </c>
      <c r="D862" s="6" t="s">
        <v>28</v>
      </c>
      <c r="E862" s="6" t="s">
        <v>17</v>
      </c>
      <c r="F862" s="7">
        <v>37242</v>
      </c>
      <c r="G862" s="8">
        <f t="shared" si="13"/>
        <v>37242</v>
      </c>
      <c r="H862" s="6" t="s">
        <v>13</v>
      </c>
      <c r="I862" s="9" t="s">
        <v>3380</v>
      </c>
      <c r="J862" s="10" t="s">
        <v>3380</v>
      </c>
      <c r="K862" s="17"/>
    </row>
    <row r="863" spans="1:11" ht="30" x14ac:dyDescent="0.25">
      <c r="A863" s="3" t="s">
        <v>1746</v>
      </c>
      <c r="B863" s="4" t="s">
        <v>1747</v>
      </c>
      <c r="C863" s="14">
        <v>72114</v>
      </c>
      <c r="D863" s="6" t="s">
        <v>11</v>
      </c>
      <c r="E863" s="6" t="s">
        <v>17</v>
      </c>
      <c r="F863" s="7">
        <v>39174</v>
      </c>
      <c r="G863" s="8">
        <f t="shared" si="13"/>
        <v>39174</v>
      </c>
      <c r="H863" s="6" t="s">
        <v>13</v>
      </c>
      <c r="I863" s="9" t="s">
        <v>3380</v>
      </c>
      <c r="J863" s="10" t="s">
        <v>3380</v>
      </c>
      <c r="K863" s="17"/>
    </row>
    <row r="864" spans="1:11" ht="30" x14ac:dyDescent="0.25">
      <c r="A864" s="3" t="s">
        <v>1748</v>
      </c>
      <c r="B864" s="4" t="s">
        <v>1749</v>
      </c>
      <c r="C864" s="5">
        <v>81697</v>
      </c>
      <c r="D864" s="6" t="s">
        <v>31</v>
      </c>
      <c r="E864" s="6" t="s">
        <v>17</v>
      </c>
      <c r="F864" s="7">
        <v>38987</v>
      </c>
      <c r="G864" s="8">
        <f t="shared" si="13"/>
        <v>38987</v>
      </c>
      <c r="H864" s="6" t="s">
        <v>13</v>
      </c>
      <c r="I864" s="9" t="s">
        <v>3380</v>
      </c>
      <c r="J864" s="10" t="s">
        <v>3380</v>
      </c>
      <c r="K864" s="17"/>
    </row>
    <row r="865" spans="1:11" ht="30" x14ac:dyDescent="0.25">
      <c r="A865" s="3" t="s">
        <v>1750</v>
      </c>
      <c r="B865" s="4" t="s">
        <v>1751</v>
      </c>
      <c r="C865" s="5">
        <v>43601</v>
      </c>
      <c r="D865" s="6" t="s">
        <v>31</v>
      </c>
      <c r="E865" s="6" t="s">
        <v>17</v>
      </c>
      <c r="F865" s="7">
        <v>33490</v>
      </c>
      <c r="G865" s="8">
        <f t="shared" si="13"/>
        <v>33490</v>
      </c>
      <c r="H865" s="6" t="s">
        <v>13</v>
      </c>
      <c r="I865" s="9" t="s">
        <v>3380</v>
      </c>
      <c r="J865" s="10" t="s">
        <v>3380</v>
      </c>
      <c r="K865" s="17"/>
    </row>
    <row r="866" spans="1:11" ht="30" x14ac:dyDescent="0.25">
      <c r="A866" s="3" t="s">
        <v>1752</v>
      </c>
      <c r="B866" s="4" t="s">
        <v>1753</v>
      </c>
      <c r="C866" s="14">
        <v>18246</v>
      </c>
      <c r="D866" s="6" t="s">
        <v>16</v>
      </c>
      <c r="E866" s="6" t="s">
        <v>17</v>
      </c>
      <c r="F866" s="7">
        <v>30468</v>
      </c>
      <c r="G866" s="8">
        <f t="shared" si="13"/>
        <v>30468</v>
      </c>
      <c r="H866" s="6" t="s">
        <v>13</v>
      </c>
      <c r="I866" s="9">
        <v>604556.55000000005</v>
      </c>
      <c r="J866" s="10">
        <v>900</v>
      </c>
      <c r="K866" s="17"/>
    </row>
    <row r="867" spans="1:11" ht="30" x14ac:dyDescent="0.25">
      <c r="A867" s="3" t="s">
        <v>1754</v>
      </c>
      <c r="B867" s="4" t="s">
        <v>1755</v>
      </c>
      <c r="C867" s="14">
        <v>10575</v>
      </c>
      <c r="D867" s="6" t="s">
        <v>28</v>
      </c>
      <c r="E867" s="6" t="s">
        <v>17</v>
      </c>
      <c r="F867" s="7">
        <v>37190</v>
      </c>
      <c r="G867" s="8">
        <f t="shared" si="13"/>
        <v>37190</v>
      </c>
      <c r="H867" s="6" t="s">
        <v>13</v>
      </c>
      <c r="I867" s="9" t="s">
        <v>3380</v>
      </c>
      <c r="J867" s="10" t="s">
        <v>3380</v>
      </c>
      <c r="K867" s="17"/>
    </row>
    <row r="868" spans="1:11" ht="30" x14ac:dyDescent="0.25">
      <c r="A868" s="3" t="s">
        <v>1756</v>
      </c>
      <c r="B868" s="4" t="s">
        <v>1757</v>
      </c>
      <c r="C868" s="14">
        <v>13445</v>
      </c>
      <c r="D868" s="6" t="s">
        <v>34</v>
      </c>
      <c r="E868" s="6" t="s">
        <v>17</v>
      </c>
      <c r="F868" s="7">
        <v>36678</v>
      </c>
      <c r="G868" s="8">
        <f t="shared" si="13"/>
        <v>36678</v>
      </c>
      <c r="H868" s="6" t="s">
        <v>13</v>
      </c>
      <c r="I868" s="9" t="s">
        <v>3380</v>
      </c>
      <c r="J868" s="10" t="s">
        <v>3380</v>
      </c>
      <c r="K868" s="17"/>
    </row>
    <row r="869" spans="1:11" ht="30" x14ac:dyDescent="0.25">
      <c r="A869" s="3" t="s">
        <v>1758</v>
      </c>
      <c r="B869" s="4" t="s">
        <v>1759</v>
      </c>
      <c r="C869" s="14">
        <v>48754</v>
      </c>
      <c r="D869" s="6" t="s">
        <v>34</v>
      </c>
      <c r="E869" s="6" t="s">
        <v>17</v>
      </c>
      <c r="F869" s="7">
        <v>38078</v>
      </c>
      <c r="G869" s="8">
        <f t="shared" si="13"/>
        <v>38078</v>
      </c>
      <c r="H869" s="6" t="s">
        <v>13</v>
      </c>
      <c r="I869" s="9">
        <v>1233260.8700000001</v>
      </c>
      <c r="J869" s="10">
        <v>4790</v>
      </c>
      <c r="K869" s="17"/>
    </row>
    <row r="870" spans="1:11" ht="30" x14ac:dyDescent="0.25">
      <c r="A870" s="3" t="s">
        <v>1760</v>
      </c>
      <c r="B870" s="4" t="s">
        <v>1761</v>
      </c>
      <c r="C870" s="5">
        <v>1500</v>
      </c>
      <c r="D870" s="6" t="s">
        <v>28</v>
      </c>
      <c r="E870" s="6" t="s">
        <v>17</v>
      </c>
      <c r="F870" s="7">
        <v>33379</v>
      </c>
      <c r="G870" s="8">
        <f t="shared" si="13"/>
        <v>33379</v>
      </c>
      <c r="H870" s="6" t="s">
        <v>13</v>
      </c>
      <c r="I870" s="9" t="s">
        <v>3380</v>
      </c>
      <c r="J870" s="10" t="s">
        <v>3380</v>
      </c>
      <c r="K870" s="17"/>
    </row>
    <row r="871" spans="1:11" ht="30" x14ac:dyDescent="0.25">
      <c r="A871" s="3" t="s">
        <v>1762</v>
      </c>
      <c r="B871" s="4" t="s">
        <v>1763</v>
      </c>
      <c r="C871" s="5">
        <v>72111</v>
      </c>
      <c r="D871" s="6" t="s">
        <v>11</v>
      </c>
      <c r="E871" s="6" t="s">
        <v>17</v>
      </c>
      <c r="F871" s="7">
        <v>39169</v>
      </c>
      <c r="G871" s="8">
        <f t="shared" si="13"/>
        <v>39169</v>
      </c>
      <c r="H871" s="6" t="s">
        <v>13</v>
      </c>
      <c r="I871" s="9" t="s">
        <v>3380</v>
      </c>
      <c r="J871" s="10" t="s">
        <v>3380</v>
      </c>
      <c r="K871" s="17"/>
    </row>
    <row r="872" spans="1:11" ht="30" x14ac:dyDescent="0.25">
      <c r="A872" s="3" t="s">
        <v>1764</v>
      </c>
      <c r="B872" s="4" t="s">
        <v>1765</v>
      </c>
      <c r="C872" s="5">
        <v>1259</v>
      </c>
      <c r="D872" s="6" t="s">
        <v>28</v>
      </c>
      <c r="E872" s="6" t="s">
        <v>17</v>
      </c>
      <c r="F872" s="7">
        <v>29952</v>
      </c>
      <c r="G872" s="8">
        <f t="shared" si="13"/>
        <v>29952</v>
      </c>
      <c r="H872" s="6" t="s">
        <v>13</v>
      </c>
      <c r="I872" s="9" t="s">
        <v>3380</v>
      </c>
      <c r="J872" s="10" t="s">
        <v>3380</v>
      </c>
      <c r="K872" s="17"/>
    </row>
    <row r="873" spans="1:11" ht="30" x14ac:dyDescent="0.25">
      <c r="A873" s="3" t="s">
        <v>1766</v>
      </c>
      <c r="B873" s="4" t="s">
        <v>1767</v>
      </c>
      <c r="C873" s="5">
        <v>1372</v>
      </c>
      <c r="D873" s="6" t="s">
        <v>28</v>
      </c>
      <c r="E873" s="6" t="s">
        <v>17</v>
      </c>
      <c r="F873" s="7">
        <v>36445</v>
      </c>
      <c r="G873" s="8">
        <f t="shared" si="13"/>
        <v>36445</v>
      </c>
      <c r="H873" s="6" t="s">
        <v>13</v>
      </c>
      <c r="I873" s="9" t="s">
        <v>3380</v>
      </c>
      <c r="J873" s="10" t="s">
        <v>3380</v>
      </c>
      <c r="K873" s="17"/>
    </row>
    <row r="874" spans="1:11" ht="30" x14ac:dyDescent="0.25">
      <c r="A874" s="3" t="s">
        <v>1768</v>
      </c>
      <c r="B874" s="4" t="s">
        <v>1769</v>
      </c>
      <c r="C874" s="5">
        <v>72113</v>
      </c>
      <c r="D874" s="6" t="s">
        <v>11</v>
      </c>
      <c r="E874" s="6" t="s">
        <v>17</v>
      </c>
      <c r="F874" s="7">
        <v>39174</v>
      </c>
      <c r="G874" s="8">
        <f t="shared" si="13"/>
        <v>39174</v>
      </c>
      <c r="H874" s="6" t="s">
        <v>13</v>
      </c>
      <c r="I874" s="9" t="s">
        <v>3380</v>
      </c>
      <c r="J874" s="10" t="s">
        <v>3380</v>
      </c>
      <c r="K874" s="17"/>
    </row>
    <row r="875" spans="1:11" ht="30" x14ac:dyDescent="0.25">
      <c r="A875" s="3" t="s">
        <v>1770</v>
      </c>
      <c r="B875" s="4" t="s">
        <v>1771</v>
      </c>
      <c r="C875" s="5">
        <v>45553</v>
      </c>
      <c r="D875" s="6" t="s">
        <v>31</v>
      </c>
      <c r="E875" s="6" t="s">
        <v>17</v>
      </c>
      <c r="F875" s="7">
        <v>33490</v>
      </c>
      <c r="G875" s="8">
        <f t="shared" si="13"/>
        <v>33490</v>
      </c>
      <c r="H875" s="6" t="s">
        <v>13</v>
      </c>
      <c r="I875" s="9" t="s">
        <v>3380</v>
      </c>
      <c r="J875" s="10" t="s">
        <v>3380</v>
      </c>
      <c r="K875" s="17"/>
    </row>
    <row r="876" spans="1:11" ht="30" x14ac:dyDescent="0.25">
      <c r="A876" s="3" t="s">
        <v>1772</v>
      </c>
      <c r="B876" s="4" t="s">
        <v>1773</v>
      </c>
      <c r="C876" s="5">
        <v>45521</v>
      </c>
      <c r="D876" s="6" t="s">
        <v>31</v>
      </c>
      <c r="E876" s="6" t="s">
        <v>17</v>
      </c>
      <c r="F876" s="7">
        <v>33490</v>
      </c>
      <c r="G876" s="8">
        <f t="shared" si="13"/>
        <v>33490</v>
      </c>
      <c r="H876" s="6" t="s">
        <v>13</v>
      </c>
      <c r="I876" s="9" t="s">
        <v>3380</v>
      </c>
      <c r="J876" s="10" t="s">
        <v>3380</v>
      </c>
      <c r="K876" s="17"/>
    </row>
    <row r="877" spans="1:11" ht="30" x14ac:dyDescent="0.25">
      <c r="A877" s="3" t="s">
        <v>1774</v>
      </c>
      <c r="B877" s="4" t="s">
        <v>1775</v>
      </c>
      <c r="C877" s="5">
        <v>42961</v>
      </c>
      <c r="D877" s="6" t="s">
        <v>31</v>
      </c>
      <c r="E877" s="6" t="s">
        <v>17</v>
      </c>
      <c r="F877" s="7">
        <v>33490</v>
      </c>
      <c r="G877" s="8">
        <f t="shared" si="13"/>
        <v>33490</v>
      </c>
      <c r="H877" s="6" t="s">
        <v>13</v>
      </c>
      <c r="I877" s="9" t="s">
        <v>3380</v>
      </c>
      <c r="J877" s="10" t="s">
        <v>3380</v>
      </c>
      <c r="K877" s="17"/>
    </row>
    <row r="878" spans="1:11" ht="30" x14ac:dyDescent="0.25">
      <c r="A878" s="3" t="s">
        <v>1776</v>
      </c>
      <c r="B878" s="4" t="s">
        <v>1777</v>
      </c>
      <c r="C878" s="5">
        <v>42321</v>
      </c>
      <c r="D878" s="6" t="s">
        <v>31</v>
      </c>
      <c r="E878" s="6" t="s">
        <v>17</v>
      </c>
      <c r="F878" s="7">
        <v>35016</v>
      </c>
      <c r="G878" s="8">
        <f t="shared" si="13"/>
        <v>35016</v>
      </c>
      <c r="H878" s="6" t="s">
        <v>13</v>
      </c>
      <c r="I878" s="9" t="s">
        <v>3380</v>
      </c>
      <c r="J878" s="10" t="s">
        <v>3380</v>
      </c>
      <c r="K878" s="17"/>
    </row>
    <row r="879" spans="1:11" ht="30" x14ac:dyDescent="0.25">
      <c r="A879" s="3" t="s">
        <v>1778</v>
      </c>
      <c r="B879" s="4" t="s">
        <v>1779</v>
      </c>
      <c r="C879" s="14">
        <v>32897</v>
      </c>
      <c r="D879" s="6" t="s">
        <v>16</v>
      </c>
      <c r="E879" s="6" t="s">
        <v>17</v>
      </c>
      <c r="F879" s="7">
        <v>38376</v>
      </c>
      <c r="G879" s="8">
        <f t="shared" si="13"/>
        <v>38376</v>
      </c>
      <c r="H879" s="6" t="s">
        <v>13</v>
      </c>
      <c r="I879" s="9" t="s">
        <v>3380</v>
      </c>
      <c r="J879" s="10" t="s">
        <v>3380</v>
      </c>
      <c r="K879" s="17"/>
    </row>
    <row r="880" spans="1:11" ht="30" x14ac:dyDescent="0.25">
      <c r="A880" s="3" t="s">
        <v>1780</v>
      </c>
      <c r="B880" s="4" t="s">
        <v>1781</v>
      </c>
      <c r="C880" s="5">
        <v>7043</v>
      </c>
      <c r="D880" s="6" t="s">
        <v>34</v>
      </c>
      <c r="E880" s="6" t="s">
        <v>17</v>
      </c>
      <c r="F880" s="7">
        <v>37209</v>
      </c>
      <c r="G880" s="8">
        <f t="shared" si="13"/>
        <v>37209</v>
      </c>
      <c r="H880" s="6" t="s">
        <v>13</v>
      </c>
      <c r="I880" s="9" t="s">
        <v>3380</v>
      </c>
      <c r="J880" s="10" t="s">
        <v>3380</v>
      </c>
      <c r="K880" s="17"/>
    </row>
    <row r="881" spans="1:11" ht="30" x14ac:dyDescent="0.25">
      <c r="A881" s="3" t="s">
        <v>1782</v>
      </c>
      <c r="B881" s="4" t="s">
        <v>1783</v>
      </c>
      <c r="C881" s="5">
        <v>10241</v>
      </c>
      <c r="D881" s="6" t="s">
        <v>11</v>
      </c>
      <c r="E881" s="6" t="s">
        <v>17</v>
      </c>
      <c r="F881" s="7">
        <v>37228</v>
      </c>
      <c r="G881" s="8">
        <f t="shared" si="13"/>
        <v>37228</v>
      </c>
      <c r="H881" s="6" t="s">
        <v>13</v>
      </c>
      <c r="I881" s="9" t="s">
        <v>3380</v>
      </c>
      <c r="J881" s="10" t="s">
        <v>3380</v>
      </c>
      <c r="K881" s="17"/>
    </row>
    <row r="882" spans="1:11" ht="30" x14ac:dyDescent="0.25">
      <c r="A882" s="3" t="s">
        <v>1784</v>
      </c>
      <c r="B882" s="4" t="s">
        <v>1785</v>
      </c>
      <c r="C882" s="5">
        <v>47442</v>
      </c>
      <c r="D882" s="6" t="s">
        <v>28</v>
      </c>
      <c r="E882" s="6" t="s">
        <v>17</v>
      </c>
      <c r="F882" s="7">
        <v>39415</v>
      </c>
      <c r="G882" s="8">
        <f t="shared" si="13"/>
        <v>39415</v>
      </c>
      <c r="H882" s="6" t="s">
        <v>13</v>
      </c>
      <c r="I882" s="9" t="s">
        <v>3380</v>
      </c>
      <c r="J882" s="10" t="s">
        <v>3380</v>
      </c>
      <c r="K882" s="17"/>
    </row>
    <row r="883" spans="1:11" ht="30" x14ac:dyDescent="0.25">
      <c r="A883" s="3" t="s">
        <v>1786</v>
      </c>
      <c r="B883" s="4" t="s">
        <v>1787</v>
      </c>
      <c r="C883" s="5">
        <v>54619</v>
      </c>
      <c r="D883" s="6" t="s">
        <v>28</v>
      </c>
      <c r="E883" s="6" t="s">
        <v>17</v>
      </c>
      <c r="F883" s="7">
        <v>36420</v>
      </c>
      <c r="G883" s="8">
        <f t="shared" si="13"/>
        <v>36420</v>
      </c>
      <c r="H883" s="6" t="s">
        <v>13</v>
      </c>
      <c r="I883" s="9" t="s">
        <v>3380</v>
      </c>
      <c r="J883" s="10" t="s">
        <v>3380</v>
      </c>
      <c r="K883" s="17"/>
    </row>
    <row r="884" spans="1:11" ht="30" x14ac:dyDescent="0.25">
      <c r="A884" s="3" t="s">
        <v>1788</v>
      </c>
      <c r="B884" s="4" t="s">
        <v>1789</v>
      </c>
      <c r="C884" s="5">
        <v>1791</v>
      </c>
      <c r="D884" s="6" t="s">
        <v>28</v>
      </c>
      <c r="E884" s="6" t="s">
        <v>17</v>
      </c>
      <c r="F884" s="7">
        <v>40198</v>
      </c>
      <c r="G884" s="8">
        <f t="shared" si="13"/>
        <v>40198</v>
      </c>
      <c r="H884" s="6" t="s">
        <v>13</v>
      </c>
      <c r="I884" s="9" t="s">
        <v>3380</v>
      </c>
      <c r="J884" s="10" t="s">
        <v>3380</v>
      </c>
      <c r="K884" s="17"/>
    </row>
    <row r="885" spans="1:11" ht="30" x14ac:dyDescent="0.25">
      <c r="A885" s="3" t="s">
        <v>1790</v>
      </c>
      <c r="B885" s="4" t="s">
        <v>1791</v>
      </c>
      <c r="C885" s="5">
        <v>1726</v>
      </c>
      <c r="D885" s="6" t="s">
        <v>16</v>
      </c>
      <c r="E885" s="6" t="s">
        <v>17</v>
      </c>
      <c r="F885" s="7">
        <v>27187</v>
      </c>
      <c r="G885" s="8">
        <f t="shared" si="13"/>
        <v>27187</v>
      </c>
      <c r="H885" s="6" t="s">
        <v>13</v>
      </c>
      <c r="I885" s="9" t="s">
        <v>3380</v>
      </c>
      <c r="J885" s="10" t="s">
        <v>3380</v>
      </c>
      <c r="K885" s="17"/>
    </row>
    <row r="886" spans="1:11" x14ac:dyDescent="0.25">
      <c r="A886" s="3" t="s">
        <v>1792</v>
      </c>
      <c r="B886" s="4" t="s">
        <v>1793</v>
      </c>
      <c r="C886" s="14">
        <v>1877</v>
      </c>
      <c r="D886" s="6" t="s">
        <v>34</v>
      </c>
      <c r="E886" s="6" t="s">
        <v>17</v>
      </c>
      <c r="F886" s="7">
        <v>29221</v>
      </c>
      <c r="G886" s="8">
        <f t="shared" si="13"/>
        <v>29221</v>
      </c>
      <c r="H886" s="6" t="s">
        <v>13</v>
      </c>
      <c r="I886" s="9" t="s">
        <v>3380</v>
      </c>
      <c r="J886" s="10" t="s">
        <v>3380</v>
      </c>
      <c r="K886" s="11"/>
    </row>
    <row r="887" spans="1:11" ht="30" x14ac:dyDescent="0.25">
      <c r="A887" s="3" t="s">
        <v>1794</v>
      </c>
      <c r="B887" s="4" t="s">
        <v>1795</v>
      </c>
      <c r="C887" s="14">
        <v>1571</v>
      </c>
      <c r="D887" s="6" t="s">
        <v>16</v>
      </c>
      <c r="E887" s="6" t="s">
        <v>17</v>
      </c>
      <c r="F887" s="7">
        <v>29952</v>
      </c>
      <c r="G887" s="8">
        <f t="shared" si="13"/>
        <v>29952</v>
      </c>
      <c r="H887" s="6" t="s">
        <v>13</v>
      </c>
      <c r="I887" s="9" t="s">
        <v>3380</v>
      </c>
      <c r="J887" s="10" t="s">
        <v>3380</v>
      </c>
      <c r="K887" s="17"/>
    </row>
    <row r="888" spans="1:11" ht="30" x14ac:dyDescent="0.25">
      <c r="A888" s="3" t="s">
        <v>1796</v>
      </c>
      <c r="B888" s="4" t="s">
        <v>1797</v>
      </c>
      <c r="C888" s="5">
        <v>1783</v>
      </c>
      <c r="D888" s="6" t="s">
        <v>28</v>
      </c>
      <c r="E888" s="6" t="s">
        <v>17</v>
      </c>
      <c r="F888" s="7">
        <v>36213</v>
      </c>
      <c r="G888" s="8">
        <f t="shared" si="13"/>
        <v>36213</v>
      </c>
      <c r="H888" s="6" t="s">
        <v>13</v>
      </c>
      <c r="I888" s="9" t="s">
        <v>3380</v>
      </c>
      <c r="J888" s="10" t="s">
        <v>3380</v>
      </c>
      <c r="K888" s="17"/>
    </row>
    <row r="889" spans="1:11" ht="30" x14ac:dyDescent="0.25">
      <c r="A889" s="3" t="s">
        <v>1798</v>
      </c>
      <c r="B889" s="4" t="s">
        <v>1799</v>
      </c>
      <c r="C889" s="14">
        <v>54620</v>
      </c>
      <c r="D889" s="6" t="s">
        <v>28</v>
      </c>
      <c r="E889" s="6" t="s">
        <v>17</v>
      </c>
      <c r="F889" s="7">
        <v>28481</v>
      </c>
      <c r="G889" s="8">
        <f t="shared" si="13"/>
        <v>28481</v>
      </c>
      <c r="H889" s="6" t="s">
        <v>13</v>
      </c>
      <c r="I889" s="9" t="s">
        <v>3380</v>
      </c>
      <c r="J889" s="10" t="s">
        <v>3380</v>
      </c>
      <c r="K889" s="17"/>
    </row>
    <row r="890" spans="1:11" ht="30" x14ac:dyDescent="0.25">
      <c r="A890" s="3" t="s">
        <v>1800</v>
      </c>
      <c r="B890" s="4" t="s">
        <v>1801</v>
      </c>
      <c r="C890" s="14">
        <v>2026</v>
      </c>
      <c r="D890" s="6" t="s">
        <v>16</v>
      </c>
      <c r="E890" s="6" t="s">
        <v>17</v>
      </c>
      <c r="F890" s="7">
        <v>35905</v>
      </c>
      <c r="G890" s="8">
        <f t="shared" si="13"/>
        <v>35905</v>
      </c>
      <c r="H890" s="6" t="s">
        <v>13</v>
      </c>
      <c r="I890" s="9">
        <v>40660.666244299893</v>
      </c>
      <c r="J890" s="10">
        <v>2221.01432733296</v>
      </c>
      <c r="K890" s="17"/>
    </row>
    <row r="891" spans="1:11" ht="30" x14ac:dyDescent="0.25">
      <c r="A891" s="3" t="s">
        <v>1802</v>
      </c>
      <c r="B891" s="4" t="s">
        <v>1803</v>
      </c>
      <c r="C891" s="5">
        <v>1074</v>
      </c>
      <c r="D891" s="6" t="s">
        <v>31</v>
      </c>
      <c r="E891" s="6" t="s">
        <v>17</v>
      </c>
      <c r="F891" s="7">
        <v>33834</v>
      </c>
      <c r="G891" s="8">
        <f t="shared" si="13"/>
        <v>33834</v>
      </c>
      <c r="H891" s="6" t="s">
        <v>13</v>
      </c>
      <c r="I891" s="9" t="s">
        <v>3380</v>
      </c>
      <c r="J891" s="10" t="s">
        <v>3380</v>
      </c>
      <c r="K891" s="17"/>
    </row>
    <row r="892" spans="1:11" ht="30" x14ac:dyDescent="0.25">
      <c r="A892" s="3" t="s">
        <v>1804</v>
      </c>
      <c r="B892" s="4" t="s">
        <v>1805</v>
      </c>
      <c r="C892" s="5">
        <v>1922</v>
      </c>
      <c r="D892" s="6" t="s">
        <v>31</v>
      </c>
      <c r="E892" s="6" t="s">
        <v>17</v>
      </c>
      <c r="F892" s="7">
        <v>35537</v>
      </c>
      <c r="G892" s="8">
        <f t="shared" si="13"/>
        <v>35537</v>
      </c>
      <c r="H892" s="6" t="s">
        <v>13</v>
      </c>
      <c r="I892" s="9" t="s">
        <v>3380</v>
      </c>
      <c r="J892" s="10" t="s">
        <v>3380</v>
      </c>
      <c r="K892" s="17"/>
    </row>
    <row r="893" spans="1:11" ht="30" x14ac:dyDescent="0.25">
      <c r="A893" s="3" t="s">
        <v>1806</v>
      </c>
      <c r="B893" s="4" t="s">
        <v>1807</v>
      </c>
      <c r="C893" s="5">
        <v>1873</v>
      </c>
      <c r="D893" s="6" t="s">
        <v>31</v>
      </c>
      <c r="E893" s="6" t="s">
        <v>17</v>
      </c>
      <c r="F893" s="7">
        <v>25569</v>
      </c>
      <c r="G893" s="8">
        <f t="shared" si="13"/>
        <v>25569</v>
      </c>
      <c r="H893" s="6" t="s">
        <v>13</v>
      </c>
      <c r="I893" s="9" t="s">
        <v>3380</v>
      </c>
      <c r="J893" s="10" t="s">
        <v>3380</v>
      </c>
      <c r="K893" s="17"/>
    </row>
    <row r="894" spans="1:11" ht="30" x14ac:dyDescent="0.25">
      <c r="A894" s="3" t="s">
        <v>1808</v>
      </c>
      <c r="B894" s="4" t="s">
        <v>1809</v>
      </c>
      <c r="C894" s="14">
        <v>1915</v>
      </c>
      <c r="D894" s="6" t="s">
        <v>34</v>
      </c>
      <c r="E894" s="6" t="s">
        <v>17</v>
      </c>
      <c r="F894" s="7">
        <v>29221</v>
      </c>
      <c r="G894" s="8">
        <f t="shared" si="13"/>
        <v>29221</v>
      </c>
      <c r="H894" s="6" t="s">
        <v>13</v>
      </c>
      <c r="I894" s="9">
        <v>381255.87</v>
      </c>
      <c r="J894" s="10">
        <v>1200</v>
      </c>
      <c r="K894" s="17"/>
    </row>
    <row r="895" spans="1:11" ht="30" x14ac:dyDescent="0.25">
      <c r="A895" s="3" t="s">
        <v>1810</v>
      </c>
      <c r="B895" s="4" t="s">
        <v>1811</v>
      </c>
      <c r="C895" s="5">
        <v>1675</v>
      </c>
      <c r="D895" s="6" t="s">
        <v>34</v>
      </c>
      <c r="E895" s="6" t="s">
        <v>17</v>
      </c>
      <c r="F895" s="7">
        <v>36719</v>
      </c>
      <c r="G895" s="8">
        <f t="shared" si="13"/>
        <v>36719</v>
      </c>
      <c r="H895" s="6" t="s">
        <v>13</v>
      </c>
      <c r="I895" s="9" t="s">
        <v>3380</v>
      </c>
      <c r="J895" s="10" t="s">
        <v>3380</v>
      </c>
      <c r="K895" s="17"/>
    </row>
    <row r="896" spans="1:11" ht="30" x14ac:dyDescent="0.25">
      <c r="A896" s="3" t="s">
        <v>1812</v>
      </c>
      <c r="B896" s="4" t="s">
        <v>1813</v>
      </c>
      <c r="C896" s="5">
        <v>54621</v>
      </c>
      <c r="D896" s="6" t="s">
        <v>34</v>
      </c>
      <c r="E896" s="6" t="s">
        <v>17</v>
      </c>
      <c r="F896" s="7">
        <v>39519</v>
      </c>
      <c r="G896" s="8">
        <f t="shared" si="13"/>
        <v>39519</v>
      </c>
      <c r="H896" s="6" t="s">
        <v>13</v>
      </c>
      <c r="I896" s="9" t="s">
        <v>3380</v>
      </c>
      <c r="J896" s="10" t="s">
        <v>3380</v>
      </c>
      <c r="K896" s="17"/>
    </row>
    <row r="897" spans="1:11" ht="30" x14ac:dyDescent="0.25">
      <c r="A897" s="3" t="s">
        <v>1814</v>
      </c>
      <c r="B897" s="4" t="s">
        <v>1815</v>
      </c>
      <c r="C897" s="5">
        <v>1365</v>
      </c>
      <c r="D897" s="6" t="s">
        <v>34</v>
      </c>
      <c r="E897" s="6" t="s">
        <v>17</v>
      </c>
      <c r="F897" s="7">
        <v>18264</v>
      </c>
      <c r="G897" s="8">
        <f t="shared" si="13"/>
        <v>18264</v>
      </c>
      <c r="H897" s="6" t="s">
        <v>13</v>
      </c>
      <c r="I897" s="9" t="s">
        <v>3380</v>
      </c>
      <c r="J897" s="10" t="s">
        <v>3380</v>
      </c>
      <c r="K897" s="17"/>
    </row>
    <row r="898" spans="1:11" ht="30" x14ac:dyDescent="0.25">
      <c r="A898" s="3" t="s">
        <v>1816</v>
      </c>
      <c r="B898" s="4" t="s">
        <v>1817</v>
      </c>
      <c r="C898" s="14">
        <v>55121</v>
      </c>
      <c r="D898" s="6" t="s">
        <v>34</v>
      </c>
      <c r="E898" s="6" t="s">
        <v>17</v>
      </c>
      <c r="F898" s="7">
        <v>34700</v>
      </c>
      <c r="G898" s="8">
        <f t="shared" ref="G898:G961" si="14">F898</f>
        <v>34700</v>
      </c>
      <c r="H898" s="6" t="s">
        <v>13</v>
      </c>
      <c r="I898" s="9" t="s">
        <v>3380</v>
      </c>
      <c r="J898" s="10" t="s">
        <v>3380</v>
      </c>
      <c r="K898" s="17"/>
    </row>
    <row r="899" spans="1:11" ht="30" x14ac:dyDescent="0.25">
      <c r="A899" s="3" t="s">
        <v>1818</v>
      </c>
      <c r="B899" s="4" t="s">
        <v>1819</v>
      </c>
      <c r="C899" s="14">
        <v>1674</v>
      </c>
      <c r="D899" s="6" t="s">
        <v>34</v>
      </c>
      <c r="E899" s="6" t="s">
        <v>17</v>
      </c>
      <c r="F899" s="7">
        <v>28126</v>
      </c>
      <c r="G899" s="8">
        <f t="shared" si="14"/>
        <v>28126</v>
      </c>
      <c r="H899" s="6" t="s">
        <v>13</v>
      </c>
      <c r="I899" s="9">
        <v>81514.233781550298</v>
      </c>
      <c r="J899" s="10">
        <v>1170</v>
      </c>
      <c r="K899" s="17"/>
    </row>
    <row r="900" spans="1:11" ht="30" x14ac:dyDescent="0.25">
      <c r="A900" s="3" t="s">
        <v>1820</v>
      </c>
      <c r="B900" s="4" t="s">
        <v>1821</v>
      </c>
      <c r="C900" s="14">
        <v>1041</v>
      </c>
      <c r="D900" s="6" t="s">
        <v>31</v>
      </c>
      <c r="E900" s="6" t="s">
        <v>17</v>
      </c>
      <c r="F900" s="7">
        <v>19725</v>
      </c>
      <c r="G900" s="8">
        <f t="shared" si="14"/>
        <v>19725</v>
      </c>
      <c r="H900" s="6" t="s">
        <v>13</v>
      </c>
      <c r="I900" s="9" t="s">
        <v>3380</v>
      </c>
      <c r="J900" s="10" t="s">
        <v>3380</v>
      </c>
      <c r="K900" s="17"/>
    </row>
    <row r="901" spans="1:11" ht="30" x14ac:dyDescent="0.25">
      <c r="A901" s="3" t="s">
        <v>1822</v>
      </c>
      <c r="B901" s="4" t="s">
        <v>1823</v>
      </c>
      <c r="C901" s="5">
        <v>1364</v>
      </c>
      <c r="D901" s="6" t="s">
        <v>34</v>
      </c>
      <c r="E901" s="6" t="s">
        <v>17</v>
      </c>
      <c r="F901" s="7">
        <v>25817</v>
      </c>
      <c r="G901" s="8">
        <f t="shared" si="14"/>
        <v>25817</v>
      </c>
      <c r="H901" s="6" t="s">
        <v>13</v>
      </c>
      <c r="I901" s="9" t="s">
        <v>3380</v>
      </c>
      <c r="J901" s="10" t="s">
        <v>3380</v>
      </c>
      <c r="K901" s="17"/>
    </row>
    <row r="902" spans="1:11" ht="30" x14ac:dyDescent="0.25">
      <c r="A902" s="3" t="s">
        <v>1824</v>
      </c>
      <c r="B902" s="4" t="s">
        <v>1825</v>
      </c>
      <c r="C902" s="5">
        <v>10569</v>
      </c>
      <c r="D902" s="6" t="s">
        <v>34</v>
      </c>
      <c r="E902" s="6" t="s">
        <v>17</v>
      </c>
      <c r="F902" s="7">
        <v>37460</v>
      </c>
      <c r="G902" s="8">
        <f t="shared" si="14"/>
        <v>37460</v>
      </c>
      <c r="H902" s="6" t="s">
        <v>13</v>
      </c>
      <c r="I902" s="9" t="s">
        <v>3380</v>
      </c>
      <c r="J902" s="10" t="s">
        <v>3380</v>
      </c>
      <c r="K902" s="17"/>
    </row>
    <row r="903" spans="1:11" ht="30" x14ac:dyDescent="0.25">
      <c r="A903" s="3" t="s">
        <v>1826</v>
      </c>
      <c r="B903" s="4" t="s">
        <v>1827</v>
      </c>
      <c r="C903" s="14">
        <v>1844</v>
      </c>
      <c r="D903" s="6" t="s">
        <v>31</v>
      </c>
      <c r="E903" s="6" t="s">
        <v>17</v>
      </c>
      <c r="F903" s="7">
        <v>29952</v>
      </c>
      <c r="G903" s="8">
        <f t="shared" si="14"/>
        <v>29952</v>
      </c>
      <c r="H903" s="6" t="s">
        <v>13</v>
      </c>
      <c r="I903" s="9" t="s">
        <v>3380</v>
      </c>
      <c r="J903" s="10" t="s">
        <v>3380</v>
      </c>
      <c r="K903" s="17"/>
    </row>
    <row r="904" spans="1:11" ht="30" x14ac:dyDescent="0.25">
      <c r="A904" s="3" t="s">
        <v>1828</v>
      </c>
      <c r="B904" s="4" t="s">
        <v>1829</v>
      </c>
      <c r="C904" s="5">
        <v>16649</v>
      </c>
      <c r="D904" s="6" t="s">
        <v>28</v>
      </c>
      <c r="E904" s="6" t="s">
        <v>17</v>
      </c>
      <c r="F904" s="7">
        <v>33337</v>
      </c>
      <c r="G904" s="8">
        <f t="shared" si="14"/>
        <v>33337</v>
      </c>
      <c r="H904" s="6" t="s">
        <v>13</v>
      </c>
      <c r="I904" s="9" t="s">
        <v>3380</v>
      </c>
      <c r="J904" s="10" t="s">
        <v>3380</v>
      </c>
      <c r="K904" s="17"/>
    </row>
    <row r="905" spans="1:11" ht="30" x14ac:dyDescent="0.25">
      <c r="A905" s="3" t="s">
        <v>1830</v>
      </c>
      <c r="B905" s="4" t="s">
        <v>1831</v>
      </c>
      <c r="C905" s="5">
        <v>25297</v>
      </c>
      <c r="D905" s="6" t="s">
        <v>28</v>
      </c>
      <c r="E905" s="6" t="s">
        <v>17</v>
      </c>
      <c r="F905" s="7">
        <v>31809</v>
      </c>
      <c r="G905" s="8">
        <f t="shared" si="14"/>
        <v>31809</v>
      </c>
      <c r="H905" s="6" t="s">
        <v>13</v>
      </c>
      <c r="I905" s="9" t="s">
        <v>3380</v>
      </c>
      <c r="J905" s="10" t="s">
        <v>3380</v>
      </c>
      <c r="K905" s="17"/>
    </row>
    <row r="906" spans="1:11" ht="30" x14ac:dyDescent="0.25">
      <c r="A906" s="3" t="s">
        <v>1832</v>
      </c>
      <c r="B906" s="4" t="s">
        <v>1833</v>
      </c>
      <c r="C906" s="5">
        <v>8005</v>
      </c>
      <c r="D906" s="6" t="s">
        <v>28</v>
      </c>
      <c r="E906" s="6" t="s">
        <v>17</v>
      </c>
      <c r="F906" s="7">
        <v>36937</v>
      </c>
      <c r="G906" s="8">
        <f t="shared" si="14"/>
        <v>36937</v>
      </c>
      <c r="H906" s="6" t="s">
        <v>13</v>
      </c>
      <c r="I906" s="9" t="s">
        <v>3380</v>
      </c>
      <c r="J906" s="10" t="s">
        <v>3380</v>
      </c>
      <c r="K906" s="17"/>
    </row>
    <row r="907" spans="1:11" ht="30" x14ac:dyDescent="0.25">
      <c r="A907" s="3" t="s">
        <v>1834</v>
      </c>
      <c r="B907" s="4" t="s">
        <v>1835</v>
      </c>
      <c r="C907" s="5">
        <v>1839</v>
      </c>
      <c r="D907" s="6" t="s">
        <v>16</v>
      </c>
      <c r="E907" s="6" t="s">
        <v>17</v>
      </c>
      <c r="F907" s="7">
        <v>29221</v>
      </c>
      <c r="G907" s="8">
        <f t="shared" si="14"/>
        <v>29221</v>
      </c>
      <c r="H907" s="6" t="s">
        <v>13</v>
      </c>
      <c r="I907" s="9" t="s">
        <v>3380</v>
      </c>
      <c r="J907" s="10" t="s">
        <v>3380</v>
      </c>
      <c r="K907" s="17"/>
    </row>
    <row r="908" spans="1:11" ht="30" x14ac:dyDescent="0.25">
      <c r="A908" s="3" t="s">
        <v>1836</v>
      </c>
      <c r="B908" s="4" t="s">
        <v>1837</v>
      </c>
      <c r="C908" s="5">
        <v>3526</v>
      </c>
      <c r="D908" s="6" t="s">
        <v>28</v>
      </c>
      <c r="E908" s="6" t="s">
        <v>17</v>
      </c>
      <c r="F908" s="7">
        <v>37201</v>
      </c>
      <c r="G908" s="8">
        <f t="shared" si="14"/>
        <v>37201</v>
      </c>
      <c r="H908" s="6" t="s">
        <v>13</v>
      </c>
      <c r="I908" s="9" t="s">
        <v>3380</v>
      </c>
      <c r="J908" s="10" t="s">
        <v>3380</v>
      </c>
      <c r="K908" s="17"/>
    </row>
    <row r="909" spans="1:11" ht="30" x14ac:dyDescent="0.25">
      <c r="A909" s="3" t="s">
        <v>1838</v>
      </c>
      <c r="B909" s="4" t="s">
        <v>1839</v>
      </c>
      <c r="C909" s="5">
        <v>72130</v>
      </c>
      <c r="D909" s="6" t="s">
        <v>34</v>
      </c>
      <c r="E909" s="6" t="s">
        <v>17</v>
      </c>
      <c r="F909" s="7">
        <v>38819</v>
      </c>
      <c r="G909" s="8">
        <f t="shared" si="14"/>
        <v>38819</v>
      </c>
      <c r="H909" s="6" t="s">
        <v>13</v>
      </c>
      <c r="I909" s="9" t="s">
        <v>3380</v>
      </c>
      <c r="J909" s="10" t="s">
        <v>3380</v>
      </c>
      <c r="K909" s="17"/>
    </row>
    <row r="910" spans="1:11" ht="30" x14ac:dyDescent="0.25">
      <c r="A910" s="3" t="s">
        <v>1840</v>
      </c>
      <c r="B910" s="4" t="s">
        <v>1841</v>
      </c>
      <c r="C910" s="5">
        <v>72170</v>
      </c>
      <c r="D910" s="6" t="s">
        <v>37</v>
      </c>
      <c r="E910" s="6" t="s">
        <v>38</v>
      </c>
      <c r="F910" s="7">
        <v>39184</v>
      </c>
      <c r="G910" s="8">
        <f t="shared" si="14"/>
        <v>39184</v>
      </c>
      <c r="H910" s="6" t="s">
        <v>39</v>
      </c>
      <c r="I910" s="9" t="s">
        <v>3380</v>
      </c>
      <c r="J910" s="10" t="s">
        <v>3380</v>
      </c>
      <c r="K910" s="17"/>
    </row>
    <row r="911" spans="1:11" ht="30" x14ac:dyDescent="0.25">
      <c r="A911" s="3" t="s">
        <v>1842</v>
      </c>
      <c r="B911" s="4" t="s">
        <v>1843</v>
      </c>
      <c r="C911" s="14">
        <v>72148</v>
      </c>
      <c r="D911" s="6" t="s">
        <v>11</v>
      </c>
      <c r="E911" s="6" t="s">
        <v>12</v>
      </c>
      <c r="F911" s="7">
        <v>39274</v>
      </c>
      <c r="G911" s="8">
        <f t="shared" si="14"/>
        <v>39274</v>
      </c>
      <c r="H911" s="6" t="s">
        <v>39</v>
      </c>
      <c r="I911" s="9">
        <v>165602.06</v>
      </c>
      <c r="J911" s="10">
        <v>1140</v>
      </c>
      <c r="K911" s="17"/>
    </row>
    <row r="912" spans="1:11" ht="30" x14ac:dyDescent="0.25">
      <c r="A912" s="3" t="s">
        <v>1844</v>
      </c>
      <c r="B912" s="4" t="s">
        <v>1845</v>
      </c>
      <c r="C912" s="5">
        <v>72149</v>
      </c>
      <c r="D912" s="6" t="s">
        <v>11</v>
      </c>
      <c r="E912" s="6" t="s">
        <v>12</v>
      </c>
      <c r="F912" s="7">
        <v>39274</v>
      </c>
      <c r="G912" s="8">
        <f t="shared" si="14"/>
        <v>39274</v>
      </c>
      <c r="H912" s="6" t="s">
        <v>39</v>
      </c>
      <c r="I912" s="9" t="s">
        <v>3380</v>
      </c>
      <c r="J912" s="10" t="s">
        <v>3380</v>
      </c>
      <c r="K912" s="17"/>
    </row>
    <row r="913" spans="1:11" ht="30" x14ac:dyDescent="0.25">
      <c r="A913" s="3" t="s">
        <v>1846</v>
      </c>
      <c r="B913" s="4" t="s">
        <v>1847</v>
      </c>
      <c r="C913" s="5">
        <v>15683</v>
      </c>
      <c r="D913" s="6" t="s">
        <v>31</v>
      </c>
      <c r="E913" s="6" t="s">
        <v>17</v>
      </c>
      <c r="F913" s="7">
        <v>28564</v>
      </c>
      <c r="G913" s="8">
        <f t="shared" si="14"/>
        <v>28564</v>
      </c>
      <c r="H913" s="6" t="s">
        <v>13</v>
      </c>
      <c r="I913" s="9" t="s">
        <v>3380</v>
      </c>
      <c r="J913" s="10" t="s">
        <v>3380</v>
      </c>
      <c r="K913" s="17"/>
    </row>
    <row r="914" spans="1:11" ht="30" x14ac:dyDescent="0.25">
      <c r="A914" s="3" t="s">
        <v>1848</v>
      </c>
      <c r="B914" s="4" t="s">
        <v>1849</v>
      </c>
      <c r="C914" s="5">
        <v>1122</v>
      </c>
      <c r="D914" s="6" t="s">
        <v>16</v>
      </c>
      <c r="E914" s="6" t="s">
        <v>17</v>
      </c>
      <c r="F914" s="7">
        <v>29221</v>
      </c>
      <c r="G914" s="8">
        <f t="shared" si="14"/>
        <v>29221</v>
      </c>
      <c r="H914" s="6" t="s">
        <v>13</v>
      </c>
      <c r="I914" s="9" t="s">
        <v>3380</v>
      </c>
      <c r="J914" s="10" t="s">
        <v>3380</v>
      </c>
      <c r="K914" s="17"/>
    </row>
    <row r="915" spans="1:11" ht="30" x14ac:dyDescent="0.25">
      <c r="A915" s="3" t="s">
        <v>1850</v>
      </c>
      <c r="B915" s="4" t="s">
        <v>1851</v>
      </c>
      <c r="C915" s="5">
        <v>52930</v>
      </c>
      <c r="D915" s="6" t="s">
        <v>34</v>
      </c>
      <c r="E915" s="6" t="s">
        <v>17</v>
      </c>
      <c r="F915" s="7">
        <v>39154</v>
      </c>
      <c r="G915" s="8">
        <f t="shared" si="14"/>
        <v>39154</v>
      </c>
      <c r="H915" s="6" t="s">
        <v>13</v>
      </c>
      <c r="I915" s="9" t="s">
        <v>3380</v>
      </c>
      <c r="J915" s="10" t="s">
        <v>3380</v>
      </c>
      <c r="K915" s="17"/>
    </row>
    <row r="916" spans="1:11" ht="30" x14ac:dyDescent="0.25">
      <c r="A916" s="3" t="s">
        <v>1852</v>
      </c>
      <c r="B916" s="4" t="s">
        <v>1853</v>
      </c>
      <c r="C916" s="14">
        <v>43924</v>
      </c>
      <c r="D916" s="6" t="s">
        <v>31</v>
      </c>
      <c r="E916" s="6" t="s">
        <v>17</v>
      </c>
      <c r="F916" s="7">
        <v>39428</v>
      </c>
      <c r="G916" s="8">
        <f t="shared" si="14"/>
        <v>39428</v>
      </c>
      <c r="H916" s="6" t="s">
        <v>13</v>
      </c>
      <c r="I916" s="9" t="s">
        <v>3380</v>
      </c>
      <c r="J916" s="10" t="s">
        <v>3380</v>
      </c>
      <c r="K916" s="17"/>
    </row>
    <row r="917" spans="1:11" ht="30" x14ac:dyDescent="0.25">
      <c r="A917" s="3" t="s">
        <v>1854</v>
      </c>
      <c r="B917" s="4" t="s">
        <v>1855</v>
      </c>
      <c r="C917" s="5">
        <v>12495</v>
      </c>
      <c r="D917" s="6" t="s">
        <v>37</v>
      </c>
      <c r="E917" s="6" t="s">
        <v>38</v>
      </c>
      <c r="F917" s="7">
        <v>36431</v>
      </c>
      <c r="G917" s="8">
        <f t="shared" si="14"/>
        <v>36431</v>
      </c>
      <c r="H917" s="6" t="s">
        <v>39</v>
      </c>
      <c r="I917" s="9" t="s">
        <v>3380</v>
      </c>
      <c r="J917" s="10" t="s">
        <v>3380</v>
      </c>
      <c r="K917" s="17"/>
    </row>
    <row r="918" spans="1:11" ht="30" x14ac:dyDescent="0.25">
      <c r="A918" s="3" t="s">
        <v>1856</v>
      </c>
      <c r="B918" s="4" t="s">
        <v>1857</v>
      </c>
      <c r="C918" s="14">
        <v>15366</v>
      </c>
      <c r="D918" s="6" t="s">
        <v>34</v>
      </c>
      <c r="E918" s="6" t="s">
        <v>17</v>
      </c>
      <c r="F918" s="7">
        <v>38387</v>
      </c>
      <c r="G918" s="8">
        <f t="shared" si="14"/>
        <v>38387</v>
      </c>
      <c r="H918" s="6" t="s">
        <v>13</v>
      </c>
      <c r="I918" s="9">
        <v>297419.84999999998</v>
      </c>
      <c r="J918" s="10">
        <v>1400</v>
      </c>
      <c r="K918" s="17"/>
    </row>
    <row r="919" spans="1:11" ht="30" x14ac:dyDescent="0.25">
      <c r="A919" s="3" t="s">
        <v>1858</v>
      </c>
      <c r="B919" s="4" t="s">
        <v>1859</v>
      </c>
      <c r="C919" s="14">
        <v>29845</v>
      </c>
      <c r="D919" s="6" t="s">
        <v>34</v>
      </c>
      <c r="E919" s="6" t="s">
        <v>17</v>
      </c>
      <c r="F919" s="7">
        <v>37561</v>
      </c>
      <c r="G919" s="8">
        <f t="shared" si="14"/>
        <v>37561</v>
      </c>
      <c r="H919" s="6" t="s">
        <v>13</v>
      </c>
      <c r="I919" s="9" t="s">
        <v>3380</v>
      </c>
      <c r="J919" s="10" t="s">
        <v>3380</v>
      </c>
      <c r="K919" s="17"/>
    </row>
    <row r="920" spans="1:11" x14ac:dyDescent="0.25">
      <c r="A920" s="26" t="s">
        <v>1860</v>
      </c>
      <c r="B920" s="27" t="s">
        <v>1861</v>
      </c>
      <c r="C920" s="5">
        <v>2053</v>
      </c>
      <c r="D920" s="28" t="s">
        <v>31</v>
      </c>
      <c r="E920" s="28" t="s">
        <v>17</v>
      </c>
      <c r="F920" s="29">
        <v>34145</v>
      </c>
      <c r="G920" s="30">
        <f t="shared" si="14"/>
        <v>34145</v>
      </c>
      <c r="H920" s="28" t="s">
        <v>13</v>
      </c>
      <c r="I920" s="9" t="s">
        <v>3380</v>
      </c>
      <c r="J920" s="10" t="s">
        <v>3380</v>
      </c>
      <c r="K920" s="33"/>
    </row>
    <row r="921" spans="1:11" x14ac:dyDescent="0.25">
      <c r="A921" s="3" t="s">
        <v>1862</v>
      </c>
      <c r="B921" s="4" t="s">
        <v>1863</v>
      </c>
      <c r="C921" s="5">
        <v>21772</v>
      </c>
      <c r="D921" s="6" t="s">
        <v>11</v>
      </c>
      <c r="E921" s="6" t="s">
        <v>12</v>
      </c>
      <c r="F921" s="7">
        <v>34913</v>
      </c>
      <c r="G921" s="8">
        <f t="shared" si="14"/>
        <v>34913</v>
      </c>
      <c r="H921" s="6" t="s">
        <v>39</v>
      </c>
      <c r="I921" s="9" t="s">
        <v>3380</v>
      </c>
      <c r="J921" s="10" t="s">
        <v>3380</v>
      </c>
      <c r="K921" s="11"/>
    </row>
    <row r="922" spans="1:11" x14ac:dyDescent="0.25">
      <c r="A922" s="3" t="s">
        <v>1864</v>
      </c>
      <c r="B922" s="4" t="s">
        <v>1865</v>
      </c>
      <c r="C922" s="5">
        <v>1813</v>
      </c>
      <c r="D922" s="6" t="s">
        <v>28</v>
      </c>
      <c r="E922" s="6" t="s">
        <v>17</v>
      </c>
      <c r="F922" s="7">
        <v>29221</v>
      </c>
      <c r="G922" s="8">
        <f t="shared" si="14"/>
        <v>29221</v>
      </c>
      <c r="H922" s="6" t="s">
        <v>13</v>
      </c>
      <c r="I922" s="9" t="s">
        <v>3380</v>
      </c>
      <c r="J922" s="10" t="s">
        <v>3380</v>
      </c>
      <c r="K922" s="11"/>
    </row>
    <row r="923" spans="1:11" ht="30" x14ac:dyDescent="0.25">
      <c r="A923" s="3" t="s">
        <v>1866</v>
      </c>
      <c r="B923" s="4" t="s">
        <v>1867</v>
      </c>
      <c r="C923" s="5">
        <v>31345</v>
      </c>
      <c r="D923" s="6" t="s">
        <v>31</v>
      </c>
      <c r="E923" s="6" t="s">
        <v>17</v>
      </c>
      <c r="F923" s="7">
        <v>33350</v>
      </c>
      <c r="G923" s="8">
        <f t="shared" si="14"/>
        <v>33350</v>
      </c>
      <c r="H923" s="6" t="s">
        <v>13</v>
      </c>
      <c r="I923" s="9" t="s">
        <v>3380</v>
      </c>
      <c r="J923" s="10" t="s">
        <v>3380</v>
      </c>
      <c r="K923" s="17"/>
    </row>
    <row r="924" spans="1:11" ht="30" x14ac:dyDescent="0.25">
      <c r="A924" s="3" t="s">
        <v>1868</v>
      </c>
      <c r="B924" s="4" t="s">
        <v>1869</v>
      </c>
      <c r="C924" s="5">
        <v>30980</v>
      </c>
      <c r="D924" s="6" t="s">
        <v>31</v>
      </c>
      <c r="E924" s="6" t="s">
        <v>17</v>
      </c>
      <c r="F924" s="7">
        <v>31324</v>
      </c>
      <c r="G924" s="8">
        <f t="shared" si="14"/>
        <v>31324</v>
      </c>
      <c r="H924" s="6" t="s">
        <v>13</v>
      </c>
      <c r="I924" s="9" t="s">
        <v>3380</v>
      </c>
      <c r="J924" s="10" t="s">
        <v>3380</v>
      </c>
      <c r="K924" s="17"/>
    </row>
    <row r="925" spans="1:11" ht="30" x14ac:dyDescent="0.25">
      <c r="A925" s="3" t="s">
        <v>1870</v>
      </c>
      <c r="B925" s="4" t="s">
        <v>1871</v>
      </c>
      <c r="C925" s="5">
        <v>1834</v>
      </c>
      <c r="D925" s="6" t="s">
        <v>31</v>
      </c>
      <c r="E925" s="6" t="s">
        <v>17</v>
      </c>
      <c r="F925" s="7">
        <v>35065</v>
      </c>
      <c r="G925" s="8">
        <f t="shared" si="14"/>
        <v>35065</v>
      </c>
      <c r="H925" s="6" t="s">
        <v>13</v>
      </c>
      <c r="I925" s="9" t="s">
        <v>3380</v>
      </c>
      <c r="J925" s="10" t="s">
        <v>3380</v>
      </c>
      <c r="K925" s="17"/>
    </row>
    <row r="926" spans="1:11" ht="30" x14ac:dyDescent="0.25">
      <c r="A926" s="3" t="s">
        <v>1872</v>
      </c>
      <c r="B926" s="4" t="s">
        <v>1873</v>
      </c>
      <c r="C926" s="5">
        <v>1770</v>
      </c>
      <c r="D926" s="6" t="s">
        <v>34</v>
      </c>
      <c r="E926" s="6" t="s">
        <v>17</v>
      </c>
      <c r="F926" s="7">
        <v>36445</v>
      </c>
      <c r="G926" s="8">
        <f t="shared" si="14"/>
        <v>36445</v>
      </c>
      <c r="H926" s="6" t="s">
        <v>13</v>
      </c>
      <c r="I926" s="9" t="s">
        <v>3380</v>
      </c>
      <c r="J926" s="10" t="s">
        <v>3380</v>
      </c>
      <c r="K926" s="17"/>
    </row>
    <row r="927" spans="1:11" ht="30" x14ac:dyDescent="0.25">
      <c r="A927" s="3" t="s">
        <v>1874</v>
      </c>
      <c r="B927" s="4" t="s">
        <v>1875</v>
      </c>
      <c r="C927" s="5">
        <v>14401</v>
      </c>
      <c r="D927" s="6" t="s">
        <v>28</v>
      </c>
      <c r="E927" s="6" t="s">
        <v>17</v>
      </c>
      <c r="F927" s="7">
        <v>38127</v>
      </c>
      <c r="G927" s="8">
        <f t="shared" si="14"/>
        <v>38127</v>
      </c>
      <c r="H927" s="6" t="s">
        <v>13</v>
      </c>
      <c r="I927" s="9" t="s">
        <v>3380</v>
      </c>
      <c r="J927" s="10" t="s">
        <v>3380</v>
      </c>
      <c r="K927" s="17"/>
    </row>
    <row r="928" spans="1:11" ht="30" x14ac:dyDescent="0.25">
      <c r="A928" s="3" t="s">
        <v>1876</v>
      </c>
      <c r="B928" s="4" t="s">
        <v>1877</v>
      </c>
      <c r="C928" s="5">
        <v>72150</v>
      </c>
      <c r="D928" s="6" t="s">
        <v>37</v>
      </c>
      <c r="E928" s="6" t="s">
        <v>38</v>
      </c>
      <c r="F928" s="7">
        <v>38800</v>
      </c>
      <c r="G928" s="8">
        <f t="shared" si="14"/>
        <v>38800</v>
      </c>
      <c r="H928" s="6" t="s">
        <v>39</v>
      </c>
      <c r="I928" s="9" t="s">
        <v>3380</v>
      </c>
      <c r="J928" s="10" t="s">
        <v>3380</v>
      </c>
      <c r="K928" s="17"/>
    </row>
    <row r="929" spans="1:11" ht="30" x14ac:dyDescent="0.25">
      <c r="A929" s="3" t="s">
        <v>1878</v>
      </c>
      <c r="B929" s="4" t="s">
        <v>1879</v>
      </c>
      <c r="C929" s="5">
        <v>1790</v>
      </c>
      <c r="D929" s="6" t="s">
        <v>28</v>
      </c>
      <c r="E929" s="6" t="s">
        <v>17</v>
      </c>
      <c r="F929" s="7">
        <v>25569</v>
      </c>
      <c r="G929" s="8">
        <f t="shared" si="14"/>
        <v>25569</v>
      </c>
      <c r="H929" s="6" t="s">
        <v>13</v>
      </c>
      <c r="I929" s="9" t="s">
        <v>3380</v>
      </c>
      <c r="J929" s="10" t="s">
        <v>3380</v>
      </c>
      <c r="K929" s="17"/>
    </row>
    <row r="930" spans="1:11" ht="30" x14ac:dyDescent="0.25">
      <c r="A930" s="3" t="s">
        <v>1880</v>
      </c>
      <c r="B930" s="4" t="s">
        <v>1881</v>
      </c>
      <c r="C930" s="5">
        <v>1949</v>
      </c>
      <c r="D930" s="6" t="s">
        <v>28</v>
      </c>
      <c r="E930" s="6" t="s">
        <v>17</v>
      </c>
      <c r="F930" s="7">
        <v>32509</v>
      </c>
      <c r="G930" s="8">
        <f t="shared" si="14"/>
        <v>32509</v>
      </c>
      <c r="H930" s="6" t="s">
        <v>13</v>
      </c>
      <c r="I930" s="9" t="s">
        <v>3380</v>
      </c>
      <c r="J930" s="10" t="s">
        <v>3380</v>
      </c>
      <c r="K930" s="17"/>
    </row>
    <row r="931" spans="1:11" ht="30" x14ac:dyDescent="0.25">
      <c r="A931" s="3" t="s">
        <v>1882</v>
      </c>
      <c r="B931" s="4" t="s">
        <v>1883</v>
      </c>
      <c r="C931" s="5">
        <v>52918</v>
      </c>
      <c r="D931" s="6" t="s">
        <v>28</v>
      </c>
      <c r="E931" s="6" t="s">
        <v>17</v>
      </c>
      <c r="F931" s="7">
        <v>39129</v>
      </c>
      <c r="G931" s="8">
        <f t="shared" si="14"/>
        <v>39129</v>
      </c>
      <c r="H931" s="6" t="s">
        <v>13</v>
      </c>
      <c r="I931" s="9" t="s">
        <v>3380</v>
      </c>
      <c r="J931" s="10" t="s">
        <v>3380</v>
      </c>
      <c r="K931" s="17"/>
    </row>
    <row r="932" spans="1:11" ht="30" x14ac:dyDescent="0.25">
      <c r="A932" s="3" t="s">
        <v>1884</v>
      </c>
      <c r="B932" s="4" t="s">
        <v>1885</v>
      </c>
      <c r="C932" s="14">
        <v>6406</v>
      </c>
      <c r="D932" s="6" t="s">
        <v>31</v>
      </c>
      <c r="E932" s="6" t="s">
        <v>17</v>
      </c>
      <c r="F932" s="7">
        <v>37021</v>
      </c>
      <c r="G932" s="8">
        <f t="shared" si="14"/>
        <v>37021</v>
      </c>
      <c r="H932" s="6" t="s">
        <v>13</v>
      </c>
      <c r="I932" s="9" t="s">
        <v>3380</v>
      </c>
      <c r="J932" s="10" t="s">
        <v>3380</v>
      </c>
      <c r="K932" s="17"/>
    </row>
    <row r="933" spans="1:11" x14ac:dyDescent="0.25">
      <c r="A933" s="18" t="s">
        <v>1886</v>
      </c>
      <c r="B933" s="19" t="s">
        <v>1887</v>
      </c>
      <c r="C933" s="20">
        <v>1380</v>
      </c>
      <c r="D933" s="21" t="s">
        <v>16</v>
      </c>
      <c r="E933" s="21" t="s">
        <v>17</v>
      </c>
      <c r="F933" s="22">
        <v>29221</v>
      </c>
      <c r="G933" s="23">
        <f t="shared" si="14"/>
        <v>29221</v>
      </c>
      <c r="H933" s="21" t="s">
        <v>13</v>
      </c>
      <c r="I933" s="9" t="s">
        <v>3380</v>
      </c>
      <c r="J933" s="10" t="s">
        <v>3380</v>
      </c>
      <c r="K933" s="25"/>
    </row>
    <row r="934" spans="1:11" ht="30" x14ac:dyDescent="0.25">
      <c r="A934" s="3" t="s">
        <v>1888</v>
      </c>
      <c r="B934" s="4" t="s">
        <v>1889</v>
      </c>
      <c r="C934" s="5">
        <v>1161</v>
      </c>
      <c r="D934" s="6" t="s">
        <v>31</v>
      </c>
      <c r="E934" s="6" t="s">
        <v>17</v>
      </c>
      <c r="F934" s="7">
        <v>29221</v>
      </c>
      <c r="G934" s="8">
        <f t="shared" si="14"/>
        <v>29221</v>
      </c>
      <c r="H934" s="6" t="s">
        <v>13</v>
      </c>
      <c r="I934" s="9" t="s">
        <v>3380</v>
      </c>
      <c r="J934" s="10" t="s">
        <v>3380</v>
      </c>
      <c r="K934" s="17"/>
    </row>
    <row r="935" spans="1:11" ht="30" x14ac:dyDescent="0.25">
      <c r="A935" s="3" t="s">
        <v>1890</v>
      </c>
      <c r="B935" s="4" t="s">
        <v>1891</v>
      </c>
      <c r="C935" s="5">
        <v>1702</v>
      </c>
      <c r="D935" s="6" t="s">
        <v>31</v>
      </c>
      <c r="E935" s="6" t="s">
        <v>17</v>
      </c>
      <c r="F935" s="7">
        <v>32141</v>
      </c>
      <c r="G935" s="8">
        <f t="shared" si="14"/>
        <v>32141</v>
      </c>
      <c r="H935" s="6" t="s">
        <v>13</v>
      </c>
      <c r="I935" s="9" t="s">
        <v>3380</v>
      </c>
      <c r="J935" s="10" t="s">
        <v>3380</v>
      </c>
      <c r="K935" s="17"/>
    </row>
    <row r="936" spans="1:11" ht="30" x14ac:dyDescent="0.25">
      <c r="A936" s="3" t="s">
        <v>1892</v>
      </c>
      <c r="B936" s="4" t="s">
        <v>1893</v>
      </c>
      <c r="C936" s="5">
        <v>1892</v>
      </c>
      <c r="D936" s="6" t="s">
        <v>31</v>
      </c>
      <c r="E936" s="6" t="s">
        <v>17</v>
      </c>
      <c r="F936" s="7">
        <v>38407</v>
      </c>
      <c r="G936" s="8">
        <f t="shared" si="14"/>
        <v>38407</v>
      </c>
      <c r="H936" s="6" t="s">
        <v>13</v>
      </c>
      <c r="I936" s="9" t="s">
        <v>3380</v>
      </c>
      <c r="J936" s="10" t="s">
        <v>3380</v>
      </c>
      <c r="K936" s="17"/>
    </row>
    <row r="937" spans="1:11" x14ac:dyDescent="0.25">
      <c r="A937" s="18" t="s">
        <v>1894</v>
      </c>
      <c r="B937" s="19" t="s">
        <v>1895</v>
      </c>
      <c r="C937" s="5">
        <v>1389</v>
      </c>
      <c r="D937" s="21" t="s">
        <v>31</v>
      </c>
      <c r="E937" s="21" t="s">
        <v>17</v>
      </c>
      <c r="F937" s="22">
        <v>33604</v>
      </c>
      <c r="G937" s="23">
        <f t="shared" si="14"/>
        <v>33604</v>
      </c>
      <c r="H937" s="21" t="s">
        <v>13</v>
      </c>
      <c r="I937" s="9">
        <v>382726.38999999996</v>
      </c>
      <c r="J937" s="10">
        <v>1750</v>
      </c>
      <c r="K937" s="25"/>
    </row>
    <row r="938" spans="1:11" ht="30" x14ac:dyDescent="0.25">
      <c r="A938" s="3" t="s">
        <v>1896</v>
      </c>
      <c r="B938" s="4" t="s">
        <v>1897</v>
      </c>
      <c r="C938" s="5">
        <v>1065</v>
      </c>
      <c r="D938" s="6" t="s">
        <v>16</v>
      </c>
      <c r="E938" s="6" t="s">
        <v>17</v>
      </c>
      <c r="F938" s="7">
        <v>29221</v>
      </c>
      <c r="G938" s="8">
        <f t="shared" si="14"/>
        <v>29221</v>
      </c>
      <c r="H938" s="6" t="s">
        <v>13</v>
      </c>
      <c r="I938" s="9" t="s">
        <v>3380</v>
      </c>
      <c r="J938" s="10" t="s">
        <v>3380</v>
      </c>
      <c r="K938" s="17"/>
    </row>
    <row r="939" spans="1:11" x14ac:dyDescent="0.25">
      <c r="A939" s="26" t="s">
        <v>1898</v>
      </c>
      <c r="B939" s="27" t="s">
        <v>1899</v>
      </c>
      <c r="C939" s="5">
        <v>15044</v>
      </c>
      <c r="D939" s="28" t="s">
        <v>31</v>
      </c>
      <c r="E939" s="28" t="s">
        <v>17</v>
      </c>
      <c r="F939" s="29">
        <v>31562</v>
      </c>
      <c r="G939" s="30">
        <f t="shared" si="14"/>
        <v>31562</v>
      </c>
      <c r="H939" s="28" t="s">
        <v>13</v>
      </c>
      <c r="I939" s="9" t="s">
        <v>3380</v>
      </c>
      <c r="J939" s="10" t="s">
        <v>3380</v>
      </c>
      <c r="K939" s="33"/>
    </row>
    <row r="940" spans="1:11" ht="30" x14ac:dyDescent="0.25">
      <c r="A940" s="3" t="s">
        <v>1900</v>
      </c>
      <c r="B940" s="4" t="s">
        <v>1901</v>
      </c>
      <c r="C940" s="5">
        <v>53218</v>
      </c>
      <c r="D940" s="6" t="s">
        <v>28</v>
      </c>
      <c r="E940" s="6" t="s">
        <v>17</v>
      </c>
      <c r="F940" s="7">
        <v>39083</v>
      </c>
      <c r="G940" s="8">
        <f t="shared" si="14"/>
        <v>39083</v>
      </c>
      <c r="H940" s="6" t="s">
        <v>13</v>
      </c>
      <c r="I940" s="9" t="s">
        <v>3380</v>
      </c>
      <c r="J940" s="10" t="s">
        <v>3380</v>
      </c>
      <c r="K940" s="17"/>
    </row>
    <row r="941" spans="1:11" ht="30" x14ac:dyDescent="0.25">
      <c r="A941" s="3" t="s">
        <v>1902</v>
      </c>
      <c r="B941" s="4" t="s">
        <v>1903</v>
      </c>
      <c r="C941" s="5">
        <v>1302</v>
      </c>
      <c r="D941" s="6" t="s">
        <v>16</v>
      </c>
      <c r="E941" s="6" t="s">
        <v>17</v>
      </c>
      <c r="F941" s="7">
        <v>32509</v>
      </c>
      <c r="G941" s="8">
        <f t="shared" si="14"/>
        <v>32509</v>
      </c>
      <c r="H941" s="6" t="s">
        <v>13</v>
      </c>
      <c r="I941" s="9" t="s">
        <v>3380</v>
      </c>
      <c r="J941" s="10" t="s">
        <v>3380</v>
      </c>
      <c r="K941" s="17"/>
    </row>
    <row r="942" spans="1:11" ht="30" x14ac:dyDescent="0.25">
      <c r="A942" s="3" t="s">
        <v>1904</v>
      </c>
      <c r="B942" s="4" t="s">
        <v>1905</v>
      </c>
      <c r="C942" s="5">
        <v>1045</v>
      </c>
      <c r="D942" s="6" t="s">
        <v>16</v>
      </c>
      <c r="E942" s="6" t="s">
        <v>17</v>
      </c>
      <c r="F942" s="7">
        <v>29221</v>
      </c>
      <c r="G942" s="8">
        <f t="shared" si="14"/>
        <v>29221</v>
      </c>
      <c r="H942" s="6" t="s">
        <v>13</v>
      </c>
      <c r="I942" s="9" t="s">
        <v>3380</v>
      </c>
      <c r="J942" s="10" t="s">
        <v>3380</v>
      </c>
      <c r="K942" s="17"/>
    </row>
    <row r="943" spans="1:11" ht="30" x14ac:dyDescent="0.25">
      <c r="A943" s="3" t="s">
        <v>1906</v>
      </c>
      <c r="B943" s="4" t="s">
        <v>1907</v>
      </c>
      <c r="C943" s="5">
        <v>72126</v>
      </c>
      <c r="D943" s="6" t="s">
        <v>28</v>
      </c>
      <c r="E943" s="6" t="s">
        <v>17</v>
      </c>
      <c r="F943" s="7">
        <v>39258</v>
      </c>
      <c r="G943" s="8">
        <f t="shared" si="14"/>
        <v>39258</v>
      </c>
      <c r="H943" s="6" t="s">
        <v>13</v>
      </c>
      <c r="I943" s="9" t="s">
        <v>3380</v>
      </c>
      <c r="J943" s="10" t="s">
        <v>3380</v>
      </c>
      <c r="K943" s="17"/>
    </row>
    <row r="944" spans="1:11" ht="30" x14ac:dyDescent="0.25">
      <c r="A944" s="3" t="s">
        <v>1908</v>
      </c>
      <c r="B944" s="4" t="s">
        <v>1909</v>
      </c>
      <c r="C944" s="5">
        <v>1866</v>
      </c>
      <c r="D944" s="6" t="s">
        <v>31</v>
      </c>
      <c r="E944" s="6" t="s">
        <v>17</v>
      </c>
      <c r="F944" s="7">
        <v>29221</v>
      </c>
      <c r="G944" s="8">
        <f t="shared" si="14"/>
        <v>29221</v>
      </c>
      <c r="H944" s="6" t="s">
        <v>13</v>
      </c>
      <c r="I944" s="9" t="s">
        <v>3380</v>
      </c>
      <c r="J944" s="10" t="s">
        <v>3380</v>
      </c>
      <c r="K944" s="17"/>
    </row>
    <row r="945" spans="1:11" ht="30" x14ac:dyDescent="0.25">
      <c r="A945" s="3" t="s">
        <v>1910</v>
      </c>
      <c r="B945" s="4" t="s">
        <v>19</v>
      </c>
      <c r="C945" s="5">
        <v>207526</v>
      </c>
      <c r="D945" s="6" t="s">
        <v>16</v>
      </c>
      <c r="E945" s="6" t="s">
        <v>17</v>
      </c>
      <c r="F945" s="7">
        <v>31846</v>
      </c>
      <c r="G945" s="8">
        <f t="shared" si="14"/>
        <v>31846</v>
      </c>
      <c r="H945" s="6" t="s">
        <v>13</v>
      </c>
      <c r="I945" s="9" t="s">
        <v>3380</v>
      </c>
      <c r="J945" s="10" t="s">
        <v>3380</v>
      </c>
      <c r="K945" s="17"/>
    </row>
    <row r="946" spans="1:11" ht="30" x14ac:dyDescent="0.25">
      <c r="A946" s="3" t="s">
        <v>1911</v>
      </c>
      <c r="B946" s="4" t="s">
        <v>1912</v>
      </c>
      <c r="C946" s="5">
        <v>17295</v>
      </c>
      <c r="D946" s="6" t="s">
        <v>16</v>
      </c>
      <c r="E946" s="6" t="s">
        <v>17</v>
      </c>
      <c r="F946" s="7">
        <v>34135</v>
      </c>
      <c r="G946" s="8">
        <f t="shared" si="14"/>
        <v>34135</v>
      </c>
      <c r="H946" s="6" t="s">
        <v>13</v>
      </c>
      <c r="I946" s="9" t="s">
        <v>3380</v>
      </c>
      <c r="J946" s="10" t="s">
        <v>3380</v>
      </c>
      <c r="K946" s="17"/>
    </row>
    <row r="947" spans="1:11" ht="30" x14ac:dyDescent="0.25">
      <c r="A947" s="3" t="s">
        <v>1913</v>
      </c>
      <c r="B947" s="4" t="s">
        <v>1914</v>
      </c>
      <c r="C947" s="14">
        <v>17293</v>
      </c>
      <c r="D947" s="6" t="s">
        <v>16</v>
      </c>
      <c r="E947" s="6" t="s">
        <v>17</v>
      </c>
      <c r="F947" s="7">
        <v>33350</v>
      </c>
      <c r="G947" s="8">
        <f t="shared" si="14"/>
        <v>33350</v>
      </c>
      <c r="H947" s="6" t="s">
        <v>13</v>
      </c>
      <c r="I947" s="9" t="s">
        <v>3380</v>
      </c>
      <c r="J947" s="10" t="s">
        <v>3380</v>
      </c>
      <c r="K947" s="17"/>
    </row>
    <row r="948" spans="1:11" ht="30" x14ac:dyDescent="0.25">
      <c r="A948" s="3" t="s">
        <v>1915</v>
      </c>
      <c r="B948" s="4" t="s">
        <v>1916</v>
      </c>
      <c r="C948" s="5">
        <v>1061</v>
      </c>
      <c r="D948" s="6" t="s">
        <v>16</v>
      </c>
      <c r="E948" s="6" t="s">
        <v>17</v>
      </c>
      <c r="F948" s="7">
        <v>36354</v>
      </c>
      <c r="G948" s="8">
        <f t="shared" si="14"/>
        <v>36354</v>
      </c>
      <c r="H948" s="6" t="s">
        <v>13</v>
      </c>
      <c r="I948" s="9" t="s">
        <v>3380</v>
      </c>
      <c r="J948" s="10" t="s">
        <v>3380</v>
      </c>
      <c r="K948" s="17"/>
    </row>
    <row r="949" spans="1:11" ht="30" x14ac:dyDescent="0.25">
      <c r="A949" s="3" t="s">
        <v>1917</v>
      </c>
      <c r="B949" s="4" t="s">
        <v>1918</v>
      </c>
      <c r="C949" s="14">
        <v>1318</v>
      </c>
      <c r="D949" s="6" t="s">
        <v>16</v>
      </c>
      <c r="E949" s="6" t="s">
        <v>17</v>
      </c>
      <c r="F949" s="7">
        <v>41451</v>
      </c>
      <c r="G949" s="8">
        <f t="shared" si="14"/>
        <v>41451</v>
      </c>
      <c r="H949" s="6" t="s">
        <v>13</v>
      </c>
      <c r="I949" s="9" t="s">
        <v>3380</v>
      </c>
      <c r="J949" s="10" t="s">
        <v>3380</v>
      </c>
      <c r="K949" s="17"/>
    </row>
    <row r="950" spans="1:11" ht="30" x14ac:dyDescent="0.25">
      <c r="A950" s="3" t="s">
        <v>1919</v>
      </c>
      <c r="B950" s="4" t="s">
        <v>1920</v>
      </c>
      <c r="C950" s="5">
        <v>1186</v>
      </c>
      <c r="D950" s="6" t="s">
        <v>16</v>
      </c>
      <c r="E950" s="6" t="s">
        <v>17</v>
      </c>
      <c r="F950" s="7">
        <v>25569</v>
      </c>
      <c r="G950" s="8">
        <f t="shared" si="14"/>
        <v>25569</v>
      </c>
      <c r="H950" s="6" t="s">
        <v>13</v>
      </c>
      <c r="I950" s="9" t="s">
        <v>3380</v>
      </c>
      <c r="J950" s="10" t="s">
        <v>3380</v>
      </c>
      <c r="K950" s="17"/>
    </row>
    <row r="951" spans="1:11" ht="30" x14ac:dyDescent="0.25">
      <c r="A951" s="3" t="s">
        <v>1921</v>
      </c>
      <c r="B951" s="4" t="s">
        <v>1922</v>
      </c>
      <c r="C951" s="5">
        <v>1381</v>
      </c>
      <c r="D951" s="6" t="s">
        <v>16</v>
      </c>
      <c r="E951" s="6" t="s">
        <v>17</v>
      </c>
      <c r="F951" s="7">
        <v>36362</v>
      </c>
      <c r="G951" s="8">
        <f t="shared" si="14"/>
        <v>36362</v>
      </c>
      <c r="H951" s="6" t="s">
        <v>13</v>
      </c>
      <c r="I951" s="9" t="s">
        <v>3380</v>
      </c>
      <c r="J951" s="10" t="s">
        <v>3380</v>
      </c>
      <c r="K951" s="17"/>
    </row>
    <row r="952" spans="1:11" ht="30" x14ac:dyDescent="0.25">
      <c r="A952" s="3" t="s">
        <v>1923</v>
      </c>
      <c r="B952" s="4" t="s">
        <v>1924</v>
      </c>
      <c r="C952" s="5">
        <v>1124</v>
      </c>
      <c r="D952" s="6" t="s">
        <v>16</v>
      </c>
      <c r="E952" s="6" t="s">
        <v>17</v>
      </c>
      <c r="F952" s="7">
        <v>29952</v>
      </c>
      <c r="G952" s="8">
        <f t="shared" si="14"/>
        <v>29952</v>
      </c>
      <c r="H952" s="6" t="s">
        <v>13</v>
      </c>
      <c r="I952" s="9" t="s">
        <v>3380</v>
      </c>
      <c r="J952" s="10" t="s">
        <v>3380</v>
      </c>
      <c r="K952" s="17"/>
    </row>
    <row r="953" spans="1:11" ht="30" x14ac:dyDescent="0.25">
      <c r="A953" s="3" t="s">
        <v>1925</v>
      </c>
      <c r="B953" s="4" t="s">
        <v>1926</v>
      </c>
      <c r="C953" s="5">
        <v>1039</v>
      </c>
      <c r="D953" s="6" t="s">
        <v>31</v>
      </c>
      <c r="E953" s="6" t="s">
        <v>17</v>
      </c>
      <c r="F953" s="7">
        <v>41306</v>
      </c>
      <c r="G953" s="8">
        <f t="shared" si="14"/>
        <v>41306</v>
      </c>
      <c r="H953" s="6" t="s">
        <v>13</v>
      </c>
      <c r="I953" s="9" t="s">
        <v>3380</v>
      </c>
      <c r="J953" s="10" t="s">
        <v>3380</v>
      </c>
      <c r="K953" s="17"/>
    </row>
    <row r="954" spans="1:11" x14ac:dyDescent="0.25">
      <c r="A954" s="18" t="s">
        <v>1927</v>
      </c>
      <c r="B954" s="19" t="s">
        <v>1928</v>
      </c>
      <c r="C954" s="5">
        <v>18562</v>
      </c>
      <c r="D954" s="21" t="s">
        <v>16</v>
      </c>
      <c r="E954" s="21" t="s">
        <v>17</v>
      </c>
      <c r="F954" s="22">
        <v>37960</v>
      </c>
      <c r="G954" s="23">
        <f t="shared" si="14"/>
        <v>37960</v>
      </c>
      <c r="H954" s="21" t="s">
        <v>13</v>
      </c>
      <c r="I954" s="9" t="s">
        <v>3380</v>
      </c>
      <c r="J954" s="10" t="s">
        <v>3380</v>
      </c>
      <c r="K954" s="25"/>
    </row>
    <row r="955" spans="1:11" ht="30" x14ac:dyDescent="0.25">
      <c r="A955" s="3" t="s">
        <v>1929</v>
      </c>
      <c r="B955" s="4" t="s">
        <v>1930</v>
      </c>
      <c r="C955" s="14">
        <v>1720</v>
      </c>
      <c r="D955" s="6" t="s">
        <v>16</v>
      </c>
      <c r="E955" s="6" t="s">
        <v>17</v>
      </c>
      <c r="F955" s="7">
        <v>35971</v>
      </c>
      <c r="G955" s="8">
        <f t="shared" si="14"/>
        <v>35971</v>
      </c>
      <c r="H955" s="6" t="s">
        <v>13</v>
      </c>
      <c r="I955" s="9" t="s">
        <v>3380</v>
      </c>
      <c r="J955" s="10" t="s">
        <v>3380</v>
      </c>
      <c r="K955" s="17"/>
    </row>
    <row r="956" spans="1:11" ht="30" x14ac:dyDescent="0.25">
      <c r="A956" s="3" t="s">
        <v>1931</v>
      </c>
      <c r="B956" s="4" t="s">
        <v>1932</v>
      </c>
      <c r="C956" s="5">
        <v>1313</v>
      </c>
      <c r="D956" s="6" t="s">
        <v>16</v>
      </c>
      <c r="E956" s="6" t="s">
        <v>17</v>
      </c>
      <c r="F956" s="7">
        <v>27395</v>
      </c>
      <c r="G956" s="8">
        <f t="shared" si="14"/>
        <v>27395</v>
      </c>
      <c r="H956" s="6" t="s">
        <v>13</v>
      </c>
      <c r="I956" s="9" t="s">
        <v>3380</v>
      </c>
      <c r="J956" s="10" t="s">
        <v>3380</v>
      </c>
      <c r="K956" s="17"/>
    </row>
    <row r="957" spans="1:11" ht="30" x14ac:dyDescent="0.25">
      <c r="A957" s="3" t="s">
        <v>1933</v>
      </c>
      <c r="B957" s="4" t="s">
        <v>1934</v>
      </c>
      <c r="C957" s="5">
        <v>37538</v>
      </c>
      <c r="D957" s="6" t="s">
        <v>11</v>
      </c>
      <c r="E957" s="6" t="s">
        <v>12</v>
      </c>
      <c r="F957" s="7">
        <v>39281</v>
      </c>
      <c r="G957" s="8">
        <f t="shared" si="14"/>
        <v>39281</v>
      </c>
      <c r="H957" s="6" t="s">
        <v>776</v>
      </c>
      <c r="I957" s="9" t="s">
        <v>3380</v>
      </c>
      <c r="J957" s="10" t="s">
        <v>3380</v>
      </c>
      <c r="K957" s="11"/>
    </row>
    <row r="958" spans="1:11" ht="30" x14ac:dyDescent="0.25">
      <c r="A958" s="3" t="s">
        <v>1935</v>
      </c>
      <c r="B958" s="4" t="s">
        <v>1936</v>
      </c>
      <c r="C958" s="5">
        <v>1294</v>
      </c>
      <c r="D958" s="6" t="s">
        <v>31</v>
      </c>
      <c r="E958" s="6" t="s">
        <v>17</v>
      </c>
      <c r="F958" s="7">
        <v>35831</v>
      </c>
      <c r="G958" s="8">
        <f t="shared" si="14"/>
        <v>35831</v>
      </c>
      <c r="H958" s="6" t="s">
        <v>13</v>
      </c>
      <c r="I958" s="9" t="s">
        <v>3380</v>
      </c>
      <c r="J958" s="10" t="s">
        <v>3380</v>
      </c>
      <c r="K958" s="17"/>
    </row>
    <row r="959" spans="1:11" ht="30" x14ac:dyDescent="0.25">
      <c r="A959" s="3" t="s">
        <v>1937</v>
      </c>
      <c r="B959" s="4" t="s">
        <v>1938</v>
      </c>
      <c r="C959" s="5">
        <v>1762</v>
      </c>
      <c r="D959" s="6" t="s">
        <v>31</v>
      </c>
      <c r="E959" s="6" t="s">
        <v>17</v>
      </c>
      <c r="F959" s="7">
        <v>38427</v>
      </c>
      <c r="G959" s="8">
        <f t="shared" si="14"/>
        <v>38427</v>
      </c>
      <c r="H959" s="6" t="s">
        <v>13</v>
      </c>
      <c r="I959" s="9" t="s">
        <v>3380</v>
      </c>
      <c r="J959" s="10" t="s">
        <v>3380</v>
      </c>
      <c r="K959" s="17"/>
    </row>
    <row r="960" spans="1:11" ht="30" x14ac:dyDescent="0.25">
      <c r="A960" s="3" t="s">
        <v>1939</v>
      </c>
      <c r="B960" s="4" t="s">
        <v>1940</v>
      </c>
      <c r="C960" s="14">
        <v>1090</v>
      </c>
      <c r="D960" s="6" t="s">
        <v>31</v>
      </c>
      <c r="E960" s="6" t="s">
        <v>17</v>
      </c>
      <c r="F960" s="7">
        <v>29221</v>
      </c>
      <c r="G960" s="8">
        <f t="shared" si="14"/>
        <v>29221</v>
      </c>
      <c r="H960" s="6" t="s">
        <v>13</v>
      </c>
      <c r="I960" s="9" t="s">
        <v>3380</v>
      </c>
      <c r="J960" s="10" t="s">
        <v>3380</v>
      </c>
      <c r="K960" s="17"/>
    </row>
    <row r="961" spans="1:11" ht="30" x14ac:dyDescent="0.25">
      <c r="A961" s="3" t="s">
        <v>1941</v>
      </c>
      <c r="B961" s="4" t="s">
        <v>1942</v>
      </c>
      <c r="C961" s="5">
        <v>1471</v>
      </c>
      <c r="D961" s="6" t="s">
        <v>31</v>
      </c>
      <c r="E961" s="6" t="s">
        <v>17</v>
      </c>
      <c r="F961" s="7">
        <v>29221</v>
      </c>
      <c r="G961" s="8">
        <f t="shared" si="14"/>
        <v>29221</v>
      </c>
      <c r="H961" s="6" t="s">
        <v>13</v>
      </c>
      <c r="I961" s="9" t="s">
        <v>3380</v>
      </c>
      <c r="J961" s="10" t="s">
        <v>3380</v>
      </c>
      <c r="K961" s="17"/>
    </row>
    <row r="962" spans="1:11" ht="30" x14ac:dyDescent="0.25">
      <c r="A962" s="3" t="s">
        <v>1943</v>
      </c>
      <c r="B962" s="4" t="s">
        <v>1944</v>
      </c>
      <c r="C962" s="5">
        <v>1923</v>
      </c>
      <c r="D962" s="6" t="s">
        <v>31</v>
      </c>
      <c r="E962" s="6" t="s">
        <v>17</v>
      </c>
      <c r="F962" s="7">
        <v>29221</v>
      </c>
      <c r="G962" s="8">
        <f t="shared" ref="G962:G1025" si="15">F962</f>
        <v>29221</v>
      </c>
      <c r="H962" s="6" t="s">
        <v>13</v>
      </c>
      <c r="I962" s="9" t="s">
        <v>3380</v>
      </c>
      <c r="J962" s="10" t="s">
        <v>3380</v>
      </c>
      <c r="K962" s="17"/>
    </row>
    <row r="963" spans="1:11" ht="30" x14ac:dyDescent="0.25">
      <c r="A963" s="3" t="s">
        <v>1945</v>
      </c>
      <c r="B963" s="4" t="s">
        <v>1946</v>
      </c>
      <c r="C963" s="14">
        <v>21764</v>
      </c>
      <c r="D963" s="6" t="s">
        <v>31</v>
      </c>
      <c r="E963" s="6" t="s">
        <v>17</v>
      </c>
      <c r="F963" s="7">
        <v>35576</v>
      </c>
      <c r="G963" s="8">
        <f t="shared" si="15"/>
        <v>35576</v>
      </c>
      <c r="H963" s="6" t="s">
        <v>13</v>
      </c>
      <c r="I963" s="9" t="s">
        <v>3380</v>
      </c>
      <c r="J963" s="10" t="s">
        <v>3380</v>
      </c>
      <c r="K963" s="17"/>
    </row>
    <row r="964" spans="1:11" ht="30" x14ac:dyDescent="0.25">
      <c r="A964" s="3" t="s">
        <v>1947</v>
      </c>
      <c r="B964" s="4" t="s">
        <v>1948</v>
      </c>
      <c r="C964" s="5">
        <v>1057</v>
      </c>
      <c r="D964" s="6" t="s">
        <v>31</v>
      </c>
      <c r="E964" s="6" t="s">
        <v>17</v>
      </c>
      <c r="F964" s="7">
        <v>35065</v>
      </c>
      <c r="G964" s="8">
        <f t="shared" si="15"/>
        <v>35065</v>
      </c>
      <c r="H964" s="6" t="s">
        <v>13</v>
      </c>
      <c r="I964" s="9">
        <v>62388.350395596295</v>
      </c>
      <c r="J964" s="10">
        <v>1061</v>
      </c>
      <c r="K964" s="17"/>
    </row>
    <row r="965" spans="1:11" ht="30" x14ac:dyDescent="0.25">
      <c r="A965" s="3" t="s">
        <v>1949</v>
      </c>
      <c r="B965" s="4" t="s">
        <v>1950</v>
      </c>
      <c r="C965" s="5">
        <v>38145</v>
      </c>
      <c r="D965" s="6" t="s">
        <v>11</v>
      </c>
      <c r="E965" s="6" t="s">
        <v>12</v>
      </c>
      <c r="F965" s="7">
        <v>39290</v>
      </c>
      <c r="G965" s="8">
        <f t="shared" si="15"/>
        <v>39290</v>
      </c>
      <c r="H965" s="6" t="s">
        <v>776</v>
      </c>
      <c r="I965" s="9" t="s">
        <v>3380</v>
      </c>
      <c r="J965" s="10" t="s">
        <v>3380</v>
      </c>
      <c r="K965" s="17"/>
    </row>
    <row r="966" spans="1:11" ht="30" x14ac:dyDescent="0.25">
      <c r="A966" s="3" t="s">
        <v>1951</v>
      </c>
      <c r="B966" s="4" t="s">
        <v>1952</v>
      </c>
      <c r="C966" s="14">
        <v>1203</v>
      </c>
      <c r="D966" s="6" t="s">
        <v>31</v>
      </c>
      <c r="E966" s="6" t="s">
        <v>17</v>
      </c>
      <c r="F966" s="7">
        <v>27395</v>
      </c>
      <c r="G966" s="8">
        <f t="shared" si="15"/>
        <v>27395</v>
      </c>
      <c r="H966" s="6" t="s">
        <v>13</v>
      </c>
      <c r="I966" s="9" t="s">
        <v>3380</v>
      </c>
      <c r="J966" s="10" t="s">
        <v>3380</v>
      </c>
      <c r="K966" s="17"/>
    </row>
    <row r="967" spans="1:11" ht="30" x14ac:dyDescent="0.25">
      <c r="A967" s="3" t="s">
        <v>1953</v>
      </c>
      <c r="B967" s="4" t="s">
        <v>1954</v>
      </c>
      <c r="C967" s="5">
        <v>1140</v>
      </c>
      <c r="D967" s="6" t="s">
        <v>31</v>
      </c>
      <c r="E967" s="6" t="s">
        <v>17</v>
      </c>
      <c r="F967" s="7">
        <v>25569</v>
      </c>
      <c r="G967" s="8">
        <f t="shared" si="15"/>
        <v>25569</v>
      </c>
      <c r="H967" s="6" t="s">
        <v>13</v>
      </c>
      <c r="I967" s="9" t="s">
        <v>3380</v>
      </c>
      <c r="J967" s="10" t="s">
        <v>3380</v>
      </c>
      <c r="K967" s="17"/>
    </row>
    <row r="968" spans="1:11" ht="30" x14ac:dyDescent="0.25">
      <c r="A968" s="3" t="s">
        <v>1955</v>
      </c>
      <c r="B968" s="4" t="s">
        <v>1956</v>
      </c>
      <c r="C968" s="5">
        <v>54624</v>
      </c>
      <c r="D968" s="6" t="s">
        <v>28</v>
      </c>
      <c r="E968" s="6" t="s">
        <v>17</v>
      </c>
      <c r="F968" s="7">
        <v>38199</v>
      </c>
      <c r="G968" s="8">
        <f t="shared" si="15"/>
        <v>38199</v>
      </c>
      <c r="H968" s="6" t="s">
        <v>13</v>
      </c>
      <c r="I968" s="9" t="s">
        <v>3380</v>
      </c>
      <c r="J968" s="10" t="s">
        <v>3380</v>
      </c>
      <c r="K968" s="17"/>
    </row>
    <row r="969" spans="1:11" ht="30" x14ac:dyDescent="0.25">
      <c r="A969" s="3" t="s">
        <v>1957</v>
      </c>
      <c r="B969" s="4" t="s">
        <v>1958</v>
      </c>
      <c r="C969" s="5">
        <v>1583</v>
      </c>
      <c r="D969" s="6" t="s">
        <v>31</v>
      </c>
      <c r="E969" s="6" t="s">
        <v>17</v>
      </c>
      <c r="F969" s="7">
        <v>25569</v>
      </c>
      <c r="G969" s="8">
        <f t="shared" si="15"/>
        <v>25569</v>
      </c>
      <c r="H969" s="6" t="s">
        <v>13</v>
      </c>
      <c r="I969" s="9" t="s">
        <v>3380</v>
      </c>
      <c r="J969" s="10" t="s">
        <v>3380</v>
      </c>
      <c r="K969" s="17"/>
    </row>
    <row r="970" spans="1:11" ht="30" x14ac:dyDescent="0.25">
      <c r="A970" s="3" t="s">
        <v>1959</v>
      </c>
      <c r="B970" s="4" t="s">
        <v>1960</v>
      </c>
      <c r="C970" s="14">
        <v>54623</v>
      </c>
      <c r="D970" s="6" t="s">
        <v>11</v>
      </c>
      <c r="E970" s="6" t="s">
        <v>12</v>
      </c>
      <c r="F970" s="7">
        <v>39107</v>
      </c>
      <c r="G970" s="8">
        <f t="shared" si="15"/>
        <v>39107</v>
      </c>
      <c r="H970" s="6" t="s">
        <v>39</v>
      </c>
      <c r="I970" s="9" t="s">
        <v>3380</v>
      </c>
      <c r="J970" s="10" t="s">
        <v>3380</v>
      </c>
      <c r="K970" s="17"/>
    </row>
    <row r="971" spans="1:11" ht="30" x14ac:dyDescent="0.25">
      <c r="A971" s="3" t="s">
        <v>1961</v>
      </c>
      <c r="B971" s="4" t="s">
        <v>1962</v>
      </c>
      <c r="C971" s="5">
        <v>17603</v>
      </c>
      <c r="D971" s="6" t="s">
        <v>31</v>
      </c>
      <c r="E971" s="6" t="s">
        <v>17</v>
      </c>
      <c r="F971" s="7">
        <v>30608</v>
      </c>
      <c r="G971" s="8">
        <f t="shared" si="15"/>
        <v>30608</v>
      </c>
      <c r="H971" s="6" t="s">
        <v>13</v>
      </c>
      <c r="I971" s="9" t="s">
        <v>3380</v>
      </c>
      <c r="J971" s="10" t="s">
        <v>3380</v>
      </c>
      <c r="K971" s="17"/>
    </row>
    <row r="972" spans="1:11" ht="30" x14ac:dyDescent="0.25">
      <c r="A972" s="3" t="s">
        <v>1963</v>
      </c>
      <c r="B972" s="4" t="s">
        <v>1964</v>
      </c>
      <c r="C972" s="5">
        <v>1508</v>
      </c>
      <c r="D972" s="6" t="s">
        <v>28</v>
      </c>
      <c r="E972" s="6" t="s">
        <v>17</v>
      </c>
      <c r="F972" s="7">
        <v>29221</v>
      </c>
      <c r="G972" s="8">
        <f t="shared" si="15"/>
        <v>29221</v>
      </c>
      <c r="H972" s="6" t="s">
        <v>13</v>
      </c>
      <c r="I972" s="9" t="s">
        <v>3380</v>
      </c>
      <c r="J972" s="10" t="s">
        <v>3380</v>
      </c>
      <c r="K972" s="17"/>
    </row>
    <row r="973" spans="1:11" ht="30" x14ac:dyDescent="0.25">
      <c r="A973" s="3" t="s">
        <v>1965</v>
      </c>
      <c r="B973" s="4" t="s">
        <v>1966</v>
      </c>
      <c r="C973" s="5">
        <v>1335</v>
      </c>
      <c r="D973" s="6" t="s">
        <v>31</v>
      </c>
      <c r="E973" s="6" t="s">
        <v>17</v>
      </c>
      <c r="F973" s="7">
        <v>25569</v>
      </c>
      <c r="G973" s="8">
        <f t="shared" si="15"/>
        <v>25569</v>
      </c>
      <c r="H973" s="6" t="s">
        <v>13</v>
      </c>
      <c r="I973" s="9" t="s">
        <v>3380</v>
      </c>
      <c r="J973" s="10" t="s">
        <v>3380</v>
      </c>
      <c r="K973" s="17"/>
    </row>
    <row r="974" spans="1:11" ht="30" x14ac:dyDescent="0.25">
      <c r="A974" s="3" t="s">
        <v>1967</v>
      </c>
      <c r="B974" s="4" t="s">
        <v>1968</v>
      </c>
      <c r="C974" s="5">
        <v>1558</v>
      </c>
      <c r="D974" s="6" t="s">
        <v>28</v>
      </c>
      <c r="E974" s="6" t="s">
        <v>17</v>
      </c>
      <c r="F974" s="7">
        <v>18264</v>
      </c>
      <c r="G974" s="8">
        <f t="shared" si="15"/>
        <v>18264</v>
      </c>
      <c r="H974" s="6" t="s">
        <v>13</v>
      </c>
      <c r="I974" s="9" t="s">
        <v>3380</v>
      </c>
      <c r="J974" s="10" t="s">
        <v>3380</v>
      </c>
      <c r="K974" s="17"/>
    </row>
    <row r="975" spans="1:11" ht="30" x14ac:dyDescent="0.25">
      <c r="A975" s="3" t="s">
        <v>1969</v>
      </c>
      <c r="B975" s="4" t="s">
        <v>1970</v>
      </c>
      <c r="C975" s="5">
        <v>10561</v>
      </c>
      <c r="D975" s="6" t="s">
        <v>34</v>
      </c>
      <c r="E975" s="6" t="s">
        <v>17</v>
      </c>
      <c r="F975" s="7">
        <v>37510</v>
      </c>
      <c r="G975" s="8">
        <f t="shared" si="15"/>
        <v>37510</v>
      </c>
      <c r="H975" s="6" t="s">
        <v>13</v>
      </c>
      <c r="I975" s="9" t="s">
        <v>3380</v>
      </c>
      <c r="J975" s="10" t="s">
        <v>3380</v>
      </c>
      <c r="K975" s="17"/>
    </row>
    <row r="976" spans="1:11" ht="30" x14ac:dyDescent="0.25">
      <c r="A976" s="3" t="s">
        <v>1971</v>
      </c>
      <c r="B976" s="4" t="s">
        <v>1972</v>
      </c>
      <c r="C976" s="5">
        <v>10567</v>
      </c>
      <c r="D976" s="6" t="s">
        <v>31</v>
      </c>
      <c r="E976" s="6" t="s">
        <v>17</v>
      </c>
      <c r="F976" s="7">
        <v>37537</v>
      </c>
      <c r="G976" s="8">
        <f t="shared" si="15"/>
        <v>37537</v>
      </c>
      <c r="H976" s="6" t="s">
        <v>13</v>
      </c>
      <c r="I976" s="9" t="s">
        <v>3380</v>
      </c>
      <c r="J976" s="10" t="s">
        <v>3380</v>
      </c>
      <c r="K976" s="17"/>
    </row>
    <row r="977" spans="1:11" x14ac:dyDescent="0.25">
      <c r="A977" s="18" t="s">
        <v>1973</v>
      </c>
      <c r="B977" s="19" t="s">
        <v>1974</v>
      </c>
      <c r="C977" s="20">
        <v>1721</v>
      </c>
      <c r="D977" s="21" t="s">
        <v>16</v>
      </c>
      <c r="E977" s="21" t="s">
        <v>17</v>
      </c>
      <c r="F977" s="22">
        <v>29221</v>
      </c>
      <c r="G977" s="23">
        <f t="shared" si="15"/>
        <v>29221</v>
      </c>
      <c r="H977" s="21" t="s">
        <v>13</v>
      </c>
      <c r="I977" s="9" t="s">
        <v>3380</v>
      </c>
      <c r="J977" s="10" t="s">
        <v>3380</v>
      </c>
      <c r="K977" s="25"/>
    </row>
    <row r="978" spans="1:11" ht="30" x14ac:dyDescent="0.25">
      <c r="A978" s="3" t="s">
        <v>1975</v>
      </c>
      <c r="B978" s="4" t="s">
        <v>1976</v>
      </c>
      <c r="C978" s="5">
        <v>1433</v>
      </c>
      <c r="D978" s="6" t="s">
        <v>16</v>
      </c>
      <c r="E978" s="6" t="s">
        <v>17</v>
      </c>
      <c r="F978" s="7">
        <v>25569</v>
      </c>
      <c r="G978" s="8">
        <f t="shared" si="15"/>
        <v>25569</v>
      </c>
      <c r="H978" s="6" t="s">
        <v>13</v>
      </c>
      <c r="I978" s="9" t="s">
        <v>3380</v>
      </c>
      <c r="J978" s="10" t="s">
        <v>3380</v>
      </c>
      <c r="K978" s="17"/>
    </row>
    <row r="979" spans="1:11" ht="30" x14ac:dyDescent="0.25">
      <c r="A979" s="3" t="s">
        <v>1977</v>
      </c>
      <c r="B979" s="4" t="s">
        <v>1978</v>
      </c>
      <c r="C979" s="5">
        <v>1283</v>
      </c>
      <c r="D979" s="6" t="s">
        <v>34</v>
      </c>
      <c r="E979" s="6" t="s">
        <v>17</v>
      </c>
      <c r="F979" s="7">
        <v>25569</v>
      </c>
      <c r="G979" s="8">
        <f t="shared" si="15"/>
        <v>25569</v>
      </c>
      <c r="H979" s="6" t="s">
        <v>13</v>
      </c>
      <c r="I979" s="9" t="s">
        <v>3380</v>
      </c>
      <c r="J979" s="10" t="s">
        <v>3380</v>
      </c>
      <c r="K979" s="17"/>
    </row>
    <row r="980" spans="1:11" ht="30" x14ac:dyDescent="0.25">
      <c r="A980" s="3" t="s">
        <v>1979</v>
      </c>
      <c r="B980" s="4" t="s">
        <v>1980</v>
      </c>
      <c r="C980" s="5">
        <v>37185</v>
      </c>
      <c r="D980" s="6" t="s">
        <v>11</v>
      </c>
      <c r="E980" s="6" t="s">
        <v>12</v>
      </c>
      <c r="F980" s="7">
        <v>35199</v>
      </c>
      <c r="G980" s="8">
        <f t="shared" si="15"/>
        <v>35199</v>
      </c>
      <c r="H980" s="6" t="s">
        <v>776</v>
      </c>
      <c r="I980" s="9" t="s">
        <v>3380</v>
      </c>
      <c r="J980" s="10" t="s">
        <v>3380</v>
      </c>
      <c r="K980" s="17"/>
    </row>
    <row r="981" spans="1:11" ht="30" x14ac:dyDescent="0.25">
      <c r="A981" s="3" t="s">
        <v>1981</v>
      </c>
      <c r="B981" s="4" t="s">
        <v>1982</v>
      </c>
      <c r="C981" s="5">
        <v>1291</v>
      </c>
      <c r="D981" s="6" t="s">
        <v>28</v>
      </c>
      <c r="E981" s="6" t="s">
        <v>17</v>
      </c>
      <c r="F981" s="7">
        <v>18264</v>
      </c>
      <c r="G981" s="8">
        <f t="shared" si="15"/>
        <v>18264</v>
      </c>
      <c r="H981" s="6" t="s">
        <v>13</v>
      </c>
      <c r="I981" s="9" t="s">
        <v>3380</v>
      </c>
      <c r="J981" s="10" t="s">
        <v>3380</v>
      </c>
      <c r="K981" s="17"/>
    </row>
    <row r="982" spans="1:11" x14ac:dyDescent="0.25">
      <c r="A982" s="26" t="s">
        <v>1983</v>
      </c>
      <c r="B982" s="27" t="s">
        <v>1984</v>
      </c>
      <c r="C982" s="34">
        <v>1838</v>
      </c>
      <c r="D982" s="28" t="s">
        <v>16</v>
      </c>
      <c r="E982" s="28" t="s">
        <v>17</v>
      </c>
      <c r="F982" s="29">
        <v>29221</v>
      </c>
      <c r="G982" s="30">
        <f t="shared" si="15"/>
        <v>29221</v>
      </c>
      <c r="H982" s="28" t="s">
        <v>13</v>
      </c>
      <c r="I982" s="9" t="s">
        <v>3380</v>
      </c>
      <c r="J982" s="10" t="s">
        <v>3380</v>
      </c>
      <c r="K982" s="33"/>
    </row>
    <row r="983" spans="1:11" ht="30" x14ac:dyDescent="0.25">
      <c r="A983" s="3" t="s">
        <v>1985</v>
      </c>
      <c r="B983" s="4" t="s">
        <v>1986</v>
      </c>
      <c r="C983" s="5">
        <v>1913</v>
      </c>
      <c r="D983" s="6" t="s">
        <v>34</v>
      </c>
      <c r="E983" s="6" t="s">
        <v>17</v>
      </c>
      <c r="F983" s="7">
        <v>33212</v>
      </c>
      <c r="G983" s="8">
        <f t="shared" si="15"/>
        <v>33212</v>
      </c>
      <c r="H983" s="6" t="s">
        <v>13</v>
      </c>
      <c r="I983" s="9" t="s">
        <v>3380</v>
      </c>
      <c r="J983" s="10" t="s">
        <v>3380</v>
      </c>
      <c r="K983" s="17"/>
    </row>
    <row r="984" spans="1:11" x14ac:dyDescent="0.25">
      <c r="A984" s="18" t="s">
        <v>1987</v>
      </c>
      <c r="B984" s="19" t="s">
        <v>1988</v>
      </c>
      <c r="C984" s="20">
        <v>17605</v>
      </c>
      <c r="D984" s="21" t="s">
        <v>16</v>
      </c>
      <c r="E984" s="21" t="s">
        <v>17</v>
      </c>
      <c r="F984" s="22">
        <v>32666</v>
      </c>
      <c r="G984" s="23">
        <f t="shared" si="15"/>
        <v>32666</v>
      </c>
      <c r="H984" s="21" t="s">
        <v>13</v>
      </c>
      <c r="I984" s="9" t="s">
        <v>3380</v>
      </c>
      <c r="J984" s="10" t="s">
        <v>3380</v>
      </c>
      <c r="K984" s="25"/>
    </row>
    <row r="985" spans="1:11" ht="30" x14ac:dyDescent="0.25">
      <c r="A985" s="3" t="s">
        <v>1989</v>
      </c>
      <c r="B985" s="4" t="s">
        <v>1990</v>
      </c>
      <c r="C985" s="5">
        <v>1100</v>
      </c>
      <c r="D985" s="6" t="s">
        <v>28</v>
      </c>
      <c r="E985" s="6" t="s">
        <v>17</v>
      </c>
      <c r="F985" s="7">
        <v>25569</v>
      </c>
      <c r="G985" s="8">
        <f t="shared" si="15"/>
        <v>25569</v>
      </c>
      <c r="H985" s="6" t="s">
        <v>13</v>
      </c>
      <c r="I985" s="9" t="s">
        <v>3380</v>
      </c>
      <c r="J985" s="10" t="s">
        <v>3380</v>
      </c>
      <c r="K985" s="17"/>
    </row>
    <row r="986" spans="1:11" ht="30" x14ac:dyDescent="0.25">
      <c r="A986" s="3" t="s">
        <v>1991</v>
      </c>
      <c r="B986" s="4" t="s">
        <v>1992</v>
      </c>
      <c r="C986" s="5">
        <v>36131</v>
      </c>
      <c r="D986" s="6" t="s">
        <v>11</v>
      </c>
      <c r="E986" s="6" t="s">
        <v>17</v>
      </c>
      <c r="F986" s="7">
        <v>32902</v>
      </c>
      <c r="G986" s="8">
        <f t="shared" si="15"/>
        <v>32902</v>
      </c>
      <c r="H986" s="6" t="s">
        <v>13</v>
      </c>
      <c r="I986" s="9" t="s">
        <v>3380</v>
      </c>
      <c r="J986" s="10" t="s">
        <v>3380</v>
      </c>
      <c r="K986" s="17"/>
    </row>
    <row r="987" spans="1:11" ht="30" x14ac:dyDescent="0.25">
      <c r="A987" s="3" t="s">
        <v>1993</v>
      </c>
      <c r="B987" s="4" t="s">
        <v>1994</v>
      </c>
      <c r="C987" s="5">
        <v>1763</v>
      </c>
      <c r="D987" s="6" t="s">
        <v>31</v>
      </c>
      <c r="E987" s="6" t="s">
        <v>17</v>
      </c>
      <c r="F987" s="7">
        <v>24108</v>
      </c>
      <c r="G987" s="8">
        <f t="shared" si="15"/>
        <v>24108</v>
      </c>
      <c r="H987" s="6" t="s">
        <v>13</v>
      </c>
      <c r="I987" s="9" t="s">
        <v>3380</v>
      </c>
      <c r="J987" s="10" t="s">
        <v>3380</v>
      </c>
      <c r="K987" s="17"/>
    </row>
    <row r="988" spans="1:11" ht="30" x14ac:dyDescent="0.25">
      <c r="A988" s="3" t="s">
        <v>1995</v>
      </c>
      <c r="B988" s="4" t="s">
        <v>1996</v>
      </c>
      <c r="C988" s="5">
        <v>1935</v>
      </c>
      <c r="D988" s="6" t="s">
        <v>34</v>
      </c>
      <c r="E988" s="6" t="s">
        <v>17</v>
      </c>
      <c r="F988" s="7">
        <v>29952</v>
      </c>
      <c r="G988" s="8">
        <f t="shared" si="15"/>
        <v>29952</v>
      </c>
      <c r="H988" s="6" t="s">
        <v>13</v>
      </c>
      <c r="I988" s="9" t="s">
        <v>3380</v>
      </c>
      <c r="J988" s="10" t="s">
        <v>3380</v>
      </c>
      <c r="K988" s="17"/>
    </row>
    <row r="989" spans="1:11" ht="30" x14ac:dyDescent="0.25">
      <c r="A989" s="3" t="s">
        <v>1997</v>
      </c>
      <c r="B989" s="4" t="s">
        <v>1998</v>
      </c>
      <c r="C989" s="5">
        <v>15681</v>
      </c>
      <c r="D989" s="6" t="s">
        <v>28</v>
      </c>
      <c r="E989" s="6" t="s">
        <v>17</v>
      </c>
      <c r="F989" s="7">
        <v>41360</v>
      </c>
      <c r="G989" s="8">
        <f t="shared" si="15"/>
        <v>41360</v>
      </c>
      <c r="H989" s="6" t="s">
        <v>13</v>
      </c>
      <c r="I989" s="9" t="s">
        <v>3380</v>
      </c>
      <c r="J989" s="10" t="s">
        <v>3380</v>
      </c>
      <c r="K989" s="17"/>
    </row>
    <row r="990" spans="1:11" ht="30" x14ac:dyDescent="0.25">
      <c r="A990" s="3" t="s">
        <v>1999</v>
      </c>
      <c r="B990" s="4" t="s">
        <v>2000</v>
      </c>
      <c r="C990" s="5">
        <v>18242</v>
      </c>
      <c r="D990" s="6" t="s">
        <v>31</v>
      </c>
      <c r="E990" s="6" t="s">
        <v>17</v>
      </c>
      <c r="F990" s="7">
        <v>32783</v>
      </c>
      <c r="G990" s="8">
        <f t="shared" si="15"/>
        <v>32783</v>
      </c>
      <c r="H990" s="6" t="s">
        <v>13</v>
      </c>
      <c r="I990" s="9" t="s">
        <v>3380</v>
      </c>
      <c r="J990" s="10" t="s">
        <v>3380</v>
      </c>
      <c r="K990" s="17"/>
    </row>
    <row r="991" spans="1:11" ht="30" x14ac:dyDescent="0.25">
      <c r="A991" s="3" t="s">
        <v>2001</v>
      </c>
      <c r="B991" s="4" t="s">
        <v>2002</v>
      </c>
      <c r="C991" s="5">
        <v>1246</v>
      </c>
      <c r="D991" s="6" t="s">
        <v>28</v>
      </c>
      <c r="E991" s="6" t="s">
        <v>17</v>
      </c>
      <c r="F991" s="7">
        <v>29221</v>
      </c>
      <c r="G991" s="8">
        <f t="shared" si="15"/>
        <v>29221</v>
      </c>
      <c r="H991" s="6" t="s">
        <v>13</v>
      </c>
      <c r="I991" s="9" t="s">
        <v>3380</v>
      </c>
      <c r="J991" s="10" t="s">
        <v>3380</v>
      </c>
      <c r="K991" s="17"/>
    </row>
    <row r="992" spans="1:11" ht="30" x14ac:dyDescent="0.25">
      <c r="A992" s="3" t="s">
        <v>2003</v>
      </c>
      <c r="B992" s="4" t="s">
        <v>2004</v>
      </c>
      <c r="C992" s="5">
        <v>29521</v>
      </c>
      <c r="D992" s="6" t="s">
        <v>31</v>
      </c>
      <c r="E992" s="6" t="s">
        <v>17</v>
      </c>
      <c r="F992" s="7">
        <v>30459</v>
      </c>
      <c r="G992" s="8">
        <f t="shared" si="15"/>
        <v>30459</v>
      </c>
      <c r="H992" s="6" t="s">
        <v>13</v>
      </c>
      <c r="I992" s="9" t="s">
        <v>3380</v>
      </c>
      <c r="J992" s="10" t="s">
        <v>3380</v>
      </c>
      <c r="K992" s="17"/>
    </row>
    <row r="993" spans="1:11" ht="30" x14ac:dyDescent="0.25">
      <c r="A993" s="3" t="s">
        <v>2005</v>
      </c>
      <c r="B993" s="4" t="s">
        <v>2006</v>
      </c>
      <c r="C993" s="5">
        <v>48097</v>
      </c>
      <c r="D993" s="6" t="s">
        <v>28</v>
      </c>
      <c r="E993" s="6" t="s">
        <v>17</v>
      </c>
      <c r="F993" s="7">
        <v>37895</v>
      </c>
      <c r="G993" s="8">
        <f t="shared" si="15"/>
        <v>37895</v>
      </c>
      <c r="H993" s="6" t="s">
        <v>13</v>
      </c>
      <c r="I993" s="9" t="s">
        <v>3380</v>
      </c>
      <c r="J993" s="10" t="s">
        <v>3380</v>
      </c>
      <c r="K993" s="17"/>
    </row>
    <row r="994" spans="1:11" ht="30" x14ac:dyDescent="0.25">
      <c r="A994" s="3" t="s">
        <v>2007</v>
      </c>
      <c r="B994" s="4" t="s">
        <v>2008</v>
      </c>
      <c r="C994" s="5">
        <v>72109</v>
      </c>
      <c r="D994" s="6" t="s">
        <v>11</v>
      </c>
      <c r="E994" s="6" t="s">
        <v>17</v>
      </c>
      <c r="F994" s="7">
        <v>39169</v>
      </c>
      <c r="G994" s="8">
        <f t="shared" si="15"/>
        <v>39169</v>
      </c>
      <c r="H994" s="6" t="s">
        <v>13</v>
      </c>
      <c r="I994" s="9" t="s">
        <v>3380</v>
      </c>
      <c r="J994" s="10" t="s">
        <v>3380</v>
      </c>
      <c r="K994" s="17"/>
    </row>
    <row r="995" spans="1:11" ht="30" x14ac:dyDescent="0.25">
      <c r="A995" s="3" t="s">
        <v>2009</v>
      </c>
      <c r="B995" s="4" t="s">
        <v>2010</v>
      </c>
      <c r="C995" s="14">
        <v>11841</v>
      </c>
      <c r="D995" s="6" t="s">
        <v>16</v>
      </c>
      <c r="E995" s="6" t="s">
        <v>17</v>
      </c>
      <c r="F995" s="7">
        <v>36892</v>
      </c>
      <c r="G995" s="8">
        <f t="shared" si="15"/>
        <v>36892</v>
      </c>
      <c r="H995" s="6" t="s">
        <v>13</v>
      </c>
      <c r="I995" s="9" t="s">
        <v>3380</v>
      </c>
      <c r="J995" s="10" t="s">
        <v>3380</v>
      </c>
      <c r="K995" s="17"/>
    </row>
    <row r="996" spans="1:11" x14ac:dyDescent="0.25">
      <c r="A996" s="18" t="s">
        <v>2011</v>
      </c>
      <c r="B996" s="19" t="s">
        <v>2012</v>
      </c>
      <c r="C996" s="20">
        <v>1104</v>
      </c>
      <c r="D996" s="21" t="s">
        <v>28</v>
      </c>
      <c r="E996" s="21" t="s">
        <v>17</v>
      </c>
      <c r="F996" s="22">
        <v>29952</v>
      </c>
      <c r="G996" s="23">
        <f t="shared" si="15"/>
        <v>29952</v>
      </c>
      <c r="H996" s="21" t="s">
        <v>13</v>
      </c>
      <c r="I996" s="9" t="s">
        <v>3380</v>
      </c>
      <c r="J996" s="10" t="s">
        <v>3380</v>
      </c>
      <c r="K996" s="25"/>
    </row>
    <row r="997" spans="1:11" x14ac:dyDescent="0.25">
      <c r="A997" s="3" t="s">
        <v>2013</v>
      </c>
      <c r="B997" s="4" t="s">
        <v>2014</v>
      </c>
      <c r="C997" s="5">
        <v>1563</v>
      </c>
      <c r="D997" s="6" t="s">
        <v>28</v>
      </c>
      <c r="E997" s="6" t="s">
        <v>17</v>
      </c>
      <c r="F997" s="7">
        <v>32143</v>
      </c>
      <c r="G997" s="8">
        <f t="shared" si="15"/>
        <v>32143</v>
      </c>
      <c r="H997" s="6" t="s">
        <v>13</v>
      </c>
      <c r="I997" s="9" t="s">
        <v>3380</v>
      </c>
      <c r="J997" s="10" t="s">
        <v>3380</v>
      </c>
      <c r="K997" s="11"/>
    </row>
    <row r="998" spans="1:11" ht="30" x14ac:dyDescent="0.25">
      <c r="A998" s="3" t="s">
        <v>2015</v>
      </c>
      <c r="B998" s="4" t="s">
        <v>2016</v>
      </c>
      <c r="C998" s="5">
        <v>1115</v>
      </c>
      <c r="D998" s="6" t="s">
        <v>28</v>
      </c>
      <c r="E998" s="6" t="s">
        <v>17</v>
      </c>
      <c r="F998" s="7">
        <v>34700</v>
      </c>
      <c r="G998" s="8">
        <f t="shared" si="15"/>
        <v>34700</v>
      </c>
      <c r="H998" s="6" t="s">
        <v>13</v>
      </c>
      <c r="I998" s="9" t="s">
        <v>3380</v>
      </c>
      <c r="J998" s="10" t="s">
        <v>3380</v>
      </c>
      <c r="K998" s="17"/>
    </row>
    <row r="999" spans="1:11" ht="30" x14ac:dyDescent="0.25">
      <c r="A999" s="3" t="s">
        <v>2017</v>
      </c>
      <c r="B999" s="4" t="s">
        <v>2018</v>
      </c>
      <c r="C999" s="5">
        <v>45201</v>
      </c>
      <c r="D999" s="6" t="s">
        <v>31</v>
      </c>
      <c r="E999" s="6" t="s">
        <v>17</v>
      </c>
      <c r="F999" s="7">
        <v>33490</v>
      </c>
      <c r="G999" s="8">
        <f t="shared" si="15"/>
        <v>33490</v>
      </c>
      <c r="H999" s="6" t="s">
        <v>13</v>
      </c>
      <c r="I999" s="9" t="s">
        <v>3380</v>
      </c>
      <c r="J999" s="10" t="s">
        <v>3380</v>
      </c>
      <c r="K999" s="17"/>
    </row>
    <row r="1000" spans="1:11" ht="30" x14ac:dyDescent="0.25">
      <c r="A1000" s="3" t="s">
        <v>2019</v>
      </c>
      <c r="B1000" s="4" t="s">
        <v>2020</v>
      </c>
      <c r="C1000" s="5">
        <v>44241</v>
      </c>
      <c r="D1000" s="6" t="s">
        <v>31</v>
      </c>
      <c r="E1000" s="6" t="s">
        <v>17</v>
      </c>
      <c r="F1000" s="7">
        <v>33490</v>
      </c>
      <c r="G1000" s="8">
        <f t="shared" si="15"/>
        <v>33490</v>
      </c>
      <c r="H1000" s="6" t="s">
        <v>13</v>
      </c>
      <c r="I1000" s="9" t="s">
        <v>3380</v>
      </c>
      <c r="J1000" s="10" t="s">
        <v>3380</v>
      </c>
      <c r="K1000" s="17"/>
    </row>
    <row r="1001" spans="1:11" ht="30" x14ac:dyDescent="0.25">
      <c r="A1001" s="3" t="s">
        <v>2021</v>
      </c>
      <c r="B1001" s="4" t="s">
        <v>2022</v>
      </c>
      <c r="C1001" s="5">
        <v>44881</v>
      </c>
      <c r="D1001" s="6" t="s">
        <v>31</v>
      </c>
      <c r="E1001" s="6" t="s">
        <v>17</v>
      </c>
      <c r="F1001" s="7">
        <v>33490</v>
      </c>
      <c r="G1001" s="8">
        <f t="shared" si="15"/>
        <v>33490</v>
      </c>
      <c r="H1001" s="6" t="s">
        <v>13</v>
      </c>
      <c r="I1001" s="9" t="s">
        <v>3380</v>
      </c>
      <c r="J1001" s="10" t="s">
        <v>3380</v>
      </c>
      <c r="K1001" s="17"/>
    </row>
    <row r="1002" spans="1:11" ht="30" x14ac:dyDescent="0.25">
      <c r="A1002" s="3" t="s">
        <v>2023</v>
      </c>
      <c r="B1002" s="4" t="s">
        <v>2024</v>
      </c>
      <c r="C1002" s="5">
        <v>2064</v>
      </c>
      <c r="D1002" s="6" t="s">
        <v>34</v>
      </c>
      <c r="E1002" s="6" t="s">
        <v>17</v>
      </c>
      <c r="F1002" s="7">
        <v>29221</v>
      </c>
      <c r="G1002" s="8">
        <f t="shared" si="15"/>
        <v>29221</v>
      </c>
      <c r="H1002" s="6" t="s">
        <v>13</v>
      </c>
      <c r="I1002" s="9" t="s">
        <v>3380</v>
      </c>
      <c r="J1002" s="10" t="s">
        <v>3380</v>
      </c>
      <c r="K1002" s="17"/>
    </row>
    <row r="1003" spans="1:11" ht="30" x14ac:dyDescent="0.25">
      <c r="A1003" s="3" t="s">
        <v>2025</v>
      </c>
      <c r="B1003" s="4" t="s">
        <v>2026</v>
      </c>
      <c r="C1003" s="5">
        <v>1774</v>
      </c>
      <c r="D1003" s="6" t="s">
        <v>34</v>
      </c>
      <c r="E1003" s="6" t="s">
        <v>17</v>
      </c>
      <c r="F1003" s="7">
        <v>36579</v>
      </c>
      <c r="G1003" s="8">
        <f t="shared" si="15"/>
        <v>36579</v>
      </c>
      <c r="H1003" s="6" t="s">
        <v>13</v>
      </c>
      <c r="I1003" s="9" t="s">
        <v>3380</v>
      </c>
      <c r="J1003" s="10" t="s">
        <v>3380</v>
      </c>
      <c r="K1003" s="17"/>
    </row>
    <row r="1004" spans="1:11" ht="30" x14ac:dyDescent="0.25">
      <c r="A1004" s="3" t="s">
        <v>2027</v>
      </c>
      <c r="B1004" s="4" t="s">
        <v>2028</v>
      </c>
      <c r="C1004" s="5">
        <v>54657</v>
      </c>
      <c r="D1004" s="6" t="s">
        <v>28</v>
      </c>
      <c r="E1004" s="6" t="s">
        <v>17</v>
      </c>
      <c r="F1004" s="7">
        <v>38355</v>
      </c>
      <c r="G1004" s="8">
        <f t="shared" si="15"/>
        <v>38355</v>
      </c>
      <c r="H1004" s="6" t="s">
        <v>13</v>
      </c>
      <c r="I1004" s="9" t="s">
        <v>3380</v>
      </c>
      <c r="J1004" s="10" t="s">
        <v>3380</v>
      </c>
      <c r="K1004" s="17"/>
    </row>
    <row r="1005" spans="1:11" ht="30" x14ac:dyDescent="0.25">
      <c r="A1005" s="3" t="s">
        <v>2029</v>
      </c>
      <c r="B1005" s="4" t="s">
        <v>2030</v>
      </c>
      <c r="C1005" s="5">
        <v>72131</v>
      </c>
      <c r="D1005" s="6" t="s">
        <v>34</v>
      </c>
      <c r="E1005" s="6" t="s">
        <v>17</v>
      </c>
      <c r="F1005" s="7">
        <v>39017</v>
      </c>
      <c r="G1005" s="8">
        <f t="shared" si="15"/>
        <v>39017</v>
      </c>
      <c r="H1005" s="6" t="s">
        <v>13</v>
      </c>
      <c r="I1005" s="9" t="s">
        <v>3380</v>
      </c>
      <c r="J1005" s="10" t="s">
        <v>3380</v>
      </c>
      <c r="K1005" s="17"/>
    </row>
    <row r="1006" spans="1:11" ht="30" x14ac:dyDescent="0.25">
      <c r="A1006" s="3" t="s">
        <v>2031</v>
      </c>
      <c r="B1006" s="4" t="s">
        <v>2032</v>
      </c>
      <c r="C1006" s="5">
        <v>10564</v>
      </c>
      <c r="D1006" s="6" t="s">
        <v>16</v>
      </c>
      <c r="E1006" s="6" t="s">
        <v>17</v>
      </c>
      <c r="F1006" s="7">
        <v>37312</v>
      </c>
      <c r="G1006" s="8">
        <f t="shared" si="15"/>
        <v>37312</v>
      </c>
      <c r="H1006" s="6" t="s">
        <v>13</v>
      </c>
      <c r="I1006" s="9" t="s">
        <v>3380</v>
      </c>
      <c r="J1006" s="10" t="s">
        <v>3380</v>
      </c>
      <c r="K1006" s="17"/>
    </row>
    <row r="1007" spans="1:11" ht="30" x14ac:dyDescent="0.25">
      <c r="A1007" s="3" t="s">
        <v>2033</v>
      </c>
      <c r="B1007" s="4" t="s">
        <v>2034</v>
      </c>
      <c r="C1007" s="5">
        <v>1728</v>
      </c>
      <c r="D1007" s="6" t="s">
        <v>16</v>
      </c>
      <c r="E1007" s="6" t="s">
        <v>17</v>
      </c>
      <c r="F1007" s="7">
        <v>29221</v>
      </c>
      <c r="G1007" s="8">
        <f t="shared" si="15"/>
        <v>29221</v>
      </c>
      <c r="H1007" s="6" t="s">
        <v>13</v>
      </c>
      <c r="I1007" s="9" t="s">
        <v>3380</v>
      </c>
      <c r="J1007" s="10" t="s">
        <v>3380</v>
      </c>
      <c r="K1007" s="17"/>
    </row>
    <row r="1008" spans="1:11" ht="30" x14ac:dyDescent="0.25">
      <c r="A1008" s="3" t="s">
        <v>2035</v>
      </c>
      <c r="B1008" s="4" t="s">
        <v>2036</v>
      </c>
      <c r="C1008" s="5">
        <v>1051</v>
      </c>
      <c r="D1008" s="6" t="s">
        <v>16</v>
      </c>
      <c r="E1008" s="6" t="s">
        <v>17</v>
      </c>
      <c r="F1008" s="7">
        <v>36355</v>
      </c>
      <c r="G1008" s="8">
        <f t="shared" si="15"/>
        <v>36355</v>
      </c>
      <c r="H1008" s="6" t="s">
        <v>13</v>
      </c>
      <c r="I1008" s="9" t="s">
        <v>3380</v>
      </c>
      <c r="J1008" s="10" t="s">
        <v>3380</v>
      </c>
      <c r="K1008" s="17"/>
    </row>
    <row r="1009" spans="1:11" ht="30" x14ac:dyDescent="0.25">
      <c r="A1009" s="3" t="s">
        <v>2037</v>
      </c>
      <c r="B1009" s="4" t="s">
        <v>2038</v>
      </c>
      <c r="C1009" s="5">
        <v>52949</v>
      </c>
      <c r="D1009" s="6" t="s">
        <v>34</v>
      </c>
      <c r="E1009" s="6" t="s">
        <v>17</v>
      </c>
      <c r="F1009" s="7">
        <v>39017</v>
      </c>
      <c r="G1009" s="8">
        <f t="shared" si="15"/>
        <v>39017</v>
      </c>
      <c r="H1009" s="6" t="s">
        <v>13</v>
      </c>
      <c r="I1009" s="9" t="s">
        <v>3380</v>
      </c>
      <c r="J1009" s="10" t="s">
        <v>3380</v>
      </c>
      <c r="K1009" s="17"/>
    </row>
    <row r="1010" spans="1:11" ht="30" x14ac:dyDescent="0.25">
      <c r="A1010" s="3" t="s">
        <v>2039</v>
      </c>
      <c r="B1010" s="4" t="s">
        <v>2040</v>
      </c>
      <c r="C1010" s="5">
        <v>17927</v>
      </c>
      <c r="D1010" s="6" t="s">
        <v>16</v>
      </c>
      <c r="E1010" s="6" t="s">
        <v>17</v>
      </c>
      <c r="F1010" s="7">
        <v>21178</v>
      </c>
      <c r="G1010" s="8">
        <f t="shared" si="15"/>
        <v>21178</v>
      </c>
      <c r="H1010" s="6" t="s">
        <v>13</v>
      </c>
      <c r="I1010" s="9" t="s">
        <v>3380</v>
      </c>
      <c r="J1010" s="10" t="s">
        <v>3380</v>
      </c>
      <c r="K1010" s="17"/>
    </row>
    <row r="1011" spans="1:11" ht="30" x14ac:dyDescent="0.25">
      <c r="A1011" s="3" t="s">
        <v>2041</v>
      </c>
      <c r="B1011" s="4" t="s">
        <v>2042</v>
      </c>
      <c r="C1011" s="5">
        <v>27569</v>
      </c>
      <c r="D1011" s="6" t="s">
        <v>11</v>
      </c>
      <c r="E1011" s="6" t="s">
        <v>12</v>
      </c>
      <c r="F1011" s="7">
        <v>36677</v>
      </c>
      <c r="G1011" s="8">
        <f t="shared" si="15"/>
        <v>36677</v>
      </c>
      <c r="H1011" s="6" t="s">
        <v>39</v>
      </c>
      <c r="I1011" s="9" t="s">
        <v>3380</v>
      </c>
      <c r="J1011" s="10" t="s">
        <v>3380</v>
      </c>
      <c r="K1011" s="17"/>
    </row>
    <row r="1012" spans="1:11" ht="30" x14ac:dyDescent="0.25">
      <c r="A1012" s="3" t="s">
        <v>2043</v>
      </c>
      <c r="B1012" s="4" t="s">
        <v>2044</v>
      </c>
      <c r="C1012" s="5">
        <v>54664</v>
      </c>
      <c r="D1012" s="6" t="s">
        <v>11</v>
      </c>
      <c r="E1012" s="6" t="s">
        <v>12</v>
      </c>
      <c r="F1012" s="7">
        <v>38013</v>
      </c>
      <c r="G1012" s="8">
        <f t="shared" si="15"/>
        <v>38013</v>
      </c>
      <c r="H1012" s="6" t="s">
        <v>39</v>
      </c>
      <c r="I1012" s="9" t="s">
        <v>3380</v>
      </c>
      <c r="J1012" s="10" t="s">
        <v>3380</v>
      </c>
      <c r="K1012" s="17"/>
    </row>
    <row r="1013" spans="1:11" ht="30" x14ac:dyDescent="0.25">
      <c r="A1013" s="3" t="s">
        <v>2045</v>
      </c>
      <c r="B1013" s="4" t="s">
        <v>2046</v>
      </c>
      <c r="C1013" s="5">
        <v>54665</v>
      </c>
      <c r="D1013" s="6" t="s">
        <v>11</v>
      </c>
      <c r="E1013" s="6" t="s">
        <v>12</v>
      </c>
      <c r="F1013" s="7">
        <v>37426</v>
      </c>
      <c r="G1013" s="8">
        <f t="shared" si="15"/>
        <v>37426</v>
      </c>
      <c r="H1013" s="6" t="s">
        <v>776</v>
      </c>
      <c r="I1013" s="9" t="s">
        <v>3380</v>
      </c>
      <c r="J1013" s="10" t="s">
        <v>3380</v>
      </c>
      <c r="K1013" s="17"/>
    </row>
    <row r="1014" spans="1:11" ht="30" x14ac:dyDescent="0.25">
      <c r="A1014" s="3" t="s">
        <v>2047</v>
      </c>
      <c r="B1014" s="4" t="s">
        <v>2048</v>
      </c>
      <c r="C1014" s="5">
        <v>1047</v>
      </c>
      <c r="D1014" s="6" t="s">
        <v>16</v>
      </c>
      <c r="E1014" s="6" t="s">
        <v>17</v>
      </c>
      <c r="F1014" s="7">
        <v>29221</v>
      </c>
      <c r="G1014" s="8">
        <f t="shared" si="15"/>
        <v>29221</v>
      </c>
      <c r="H1014" s="6" t="s">
        <v>13</v>
      </c>
      <c r="I1014" s="9" t="s">
        <v>3380</v>
      </c>
      <c r="J1014" s="10" t="s">
        <v>3380</v>
      </c>
      <c r="K1014" s="17"/>
    </row>
    <row r="1015" spans="1:11" ht="30" x14ac:dyDescent="0.25">
      <c r="A1015" s="3" t="s">
        <v>2049</v>
      </c>
      <c r="B1015" s="4" t="s">
        <v>2050</v>
      </c>
      <c r="C1015" s="14">
        <v>1424</v>
      </c>
      <c r="D1015" s="6" t="s">
        <v>16</v>
      </c>
      <c r="E1015" s="6" t="s">
        <v>17</v>
      </c>
      <c r="F1015" s="7">
        <v>29221</v>
      </c>
      <c r="G1015" s="8">
        <f t="shared" si="15"/>
        <v>29221</v>
      </c>
      <c r="H1015" s="6" t="s">
        <v>13</v>
      </c>
      <c r="I1015" s="9" t="s">
        <v>3380</v>
      </c>
      <c r="J1015" s="10" t="s">
        <v>3380</v>
      </c>
      <c r="K1015" s="17"/>
    </row>
    <row r="1016" spans="1:11" ht="30" x14ac:dyDescent="0.25">
      <c r="A1016" s="3" t="s">
        <v>2051</v>
      </c>
      <c r="B1016" s="4" t="s">
        <v>2052</v>
      </c>
      <c r="C1016" s="14">
        <v>13122</v>
      </c>
      <c r="D1016" s="6" t="s">
        <v>11</v>
      </c>
      <c r="E1016" s="6" t="s">
        <v>17</v>
      </c>
      <c r="F1016" s="7">
        <v>38243</v>
      </c>
      <c r="G1016" s="8">
        <f t="shared" si="15"/>
        <v>38243</v>
      </c>
      <c r="H1016" s="6" t="s">
        <v>13</v>
      </c>
      <c r="I1016" s="9" t="s">
        <v>3380</v>
      </c>
      <c r="J1016" s="10" t="s">
        <v>3380</v>
      </c>
      <c r="K1016" s="17"/>
    </row>
    <row r="1017" spans="1:11" ht="30" x14ac:dyDescent="0.25">
      <c r="A1017" s="3" t="s">
        <v>2053</v>
      </c>
      <c r="B1017" s="4" t="s">
        <v>2054</v>
      </c>
      <c r="C1017" s="5">
        <v>25601</v>
      </c>
      <c r="D1017" s="6" t="s">
        <v>11</v>
      </c>
      <c r="E1017" s="6" t="s">
        <v>17</v>
      </c>
      <c r="F1017" s="7">
        <v>35004</v>
      </c>
      <c r="G1017" s="8">
        <f t="shared" si="15"/>
        <v>35004</v>
      </c>
      <c r="H1017" s="6" t="s">
        <v>13</v>
      </c>
      <c r="I1017" s="9" t="s">
        <v>3380</v>
      </c>
      <c r="J1017" s="10" t="s">
        <v>3380</v>
      </c>
      <c r="K1017" s="17"/>
    </row>
    <row r="1018" spans="1:11" ht="30" x14ac:dyDescent="0.25">
      <c r="A1018" s="3" t="s">
        <v>2055</v>
      </c>
      <c r="B1018" s="4" t="s">
        <v>2056</v>
      </c>
      <c r="C1018" s="5">
        <v>1711</v>
      </c>
      <c r="D1018" s="6" t="s">
        <v>16</v>
      </c>
      <c r="E1018" s="6" t="s">
        <v>17</v>
      </c>
      <c r="F1018" s="7">
        <v>29221</v>
      </c>
      <c r="G1018" s="8">
        <f t="shared" si="15"/>
        <v>29221</v>
      </c>
      <c r="H1018" s="6" t="s">
        <v>13</v>
      </c>
      <c r="I1018" s="9" t="s">
        <v>3380</v>
      </c>
      <c r="J1018" s="10" t="s">
        <v>3380</v>
      </c>
      <c r="K1018" s="17"/>
    </row>
    <row r="1019" spans="1:11" ht="30" x14ac:dyDescent="0.25">
      <c r="A1019" s="3" t="s">
        <v>2057</v>
      </c>
      <c r="B1019" s="4" t="s">
        <v>2058</v>
      </c>
      <c r="C1019" s="14">
        <v>19213</v>
      </c>
      <c r="D1019" s="6" t="s">
        <v>16</v>
      </c>
      <c r="E1019" s="6" t="s">
        <v>17</v>
      </c>
      <c r="F1019" s="7">
        <v>33162</v>
      </c>
      <c r="G1019" s="8">
        <f t="shared" si="15"/>
        <v>33162</v>
      </c>
      <c r="H1019" s="6" t="s">
        <v>13</v>
      </c>
      <c r="I1019" s="9" t="s">
        <v>3380</v>
      </c>
      <c r="J1019" s="10" t="s">
        <v>3380</v>
      </c>
      <c r="K1019" s="17"/>
    </row>
    <row r="1020" spans="1:11" ht="30" x14ac:dyDescent="0.25">
      <c r="A1020" s="3" t="s">
        <v>2059</v>
      </c>
      <c r="B1020" s="4" t="s">
        <v>2060</v>
      </c>
      <c r="C1020" s="5">
        <v>2013</v>
      </c>
      <c r="D1020" s="6" t="s">
        <v>16</v>
      </c>
      <c r="E1020" s="6" t="s">
        <v>17</v>
      </c>
      <c r="F1020" s="7">
        <v>30317</v>
      </c>
      <c r="G1020" s="8">
        <f t="shared" si="15"/>
        <v>30317</v>
      </c>
      <c r="H1020" s="6" t="s">
        <v>13</v>
      </c>
      <c r="I1020" s="9" t="s">
        <v>3380</v>
      </c>
      <c r="J1020" s="10" t="s">
        <v>3380</v>
      </c>
      <c r="K1020" s="17"/>
    </row>
    <row r="1021" spans="1:11" ht="30" x14ac:dyDescent="0.25">
      <c r="A1021" s="3" t="s">
        <v>2061</v>
      </c>
      <c r="B1021" s="4" t="s">
        <v>2062</v>
      </c>
      <c r="C1021" s="5">
        <v>1717</v>
      </c>
      <c r="D1021" s="6" t="s">
        <v>16</v>
      </c>
      <c r="E1021" s="6" t="s">
        <v>17</v>
      </c>
      <c r="F1021" s="7">
        <v>31734</v>
      </c>
      <c r="G1021" s="8">
        <f t="shared" si="15"/>
        <v>31734</v>
      </c>
      <c r="H1021" s="6" t="s">
        <v>13</v>
      </c>
      <c r="I1021" s="9">
        <v>1037962.8600000001</v>
      </c>
      <c r="J1021" s="10">
        <v>3150</v>
      </c>
      <c r="K1021" s="17"/>
    </row>
    <row r="1022" spans="1:11" ht="30" x14ac:dyDescent="0.25">
      <c r="A1022" s="3" t="s">
        <v>2063</v>
      </c>
      <c r="B1022" s="4" t="s">
        <v>2064</v>
      </c>
      <c r="C1022" s="14">
        <v>54689</v>
      </c>
      <c r="D1022" s="6" t="s">
        <v>16</v>
      </c>
      <c r="E1022" s="6" t="s">
        <v>17</v>
      </c>
      <c r="F1022" s="7">
        <v>29221</v>
      </c>
      <c r="G1022" s="8">
        <f t="shared" si="15"/>
        <v>29221</v>
      </c>
      <c r="H1022" s="6" t="s">
        <v>13</v>
      </c>
      <c r="I1022" s="9" t="s">
        <v>3380</v>
      </c>
      <c r="J1022" s="10" t="s">
        <v>3380</v>
      </c>
      <c r="K1022" s="17"/>
    </row>
    <row r="1023" spans="1:11" ht="30" x14ac:dyDescent="0.25">
      <c r="A1023" s="3" t="s">
        <v>2065</v>
      </c>
      <c r="B1023" s="4" t="s">
        <v>2066</v>
      </c>
      <c r="C1023" s="5">
        <v>17923</v>
      </c>
      <c r="D1023" s="6" t="s">
        <v>16</v>
      </c>
      <c r="E1023" s="6" t="s">
        <v>17</v>
      </c>
      <c r="F1023" s="7">
        <v>30243</v>
      </c>
      <c r="G1023" s="8">
        <f t="shared" si="15"/>
        <v>30243</v>
      </c>
      <c r="H1023" s="6" t="s">
        <v>13</v>
      </c>
      <c r="I1023" s="9" t="s">
        <v>3380</v>
      </c>
      <c r="J1023" s="10" t="s">
        <v>3380</v>
      </c>
      <c r="K1023" s="17"/>
    </row>
    <row r="1024" spans="1:11" ht="30" x14ac:dyDescent="0.25">
      <c r="A1024" s="3" t="s">
        <v>2067</v>
      </c>
      <c r="B1024" s="4" t="s">
        <v>2068</v>
      </c>
      <c r="C1024" s="5">
        <v>18243</v>
      </c>
      <c r="D1024" s="6" t="s">
        <v>16</v>
      </c>
      <c r="E1024" s="6" t="s">
        <v>17</v>
      </c>
      <c r="F1024" s="7">
        <v>30706</v>
      </c>
      <c r="G1024" s="8">
        <f t="shared" si="15"/>
        <v>30706</v>
      </c>
      <c r="H1024" s="6" t="s">
        <v>13</v>
      </c>
      <c r="I1024" s="9" t="s">
        <v>3380</v>
      </c>
      <c r="J1024" s="10" t="s">
        <v>3380</v>
      </c>
      <c r="K1024" s="17"/>
    </row>
    <row r="1025" spans="1:11" ht="30" x14ac:dyDescent="0.25">
      <c r="A1025" s="3" t="s">
        <v>2069</v>
      </c>
      <c r="B1025" s="4" t="s">
        <v>2070</v>
      </c>
      <c r="C1025" s="14">
        <v>19212</v>
      </c>
      <c r="D1025" s="6" t="s">
        <v>16</v>
      </c>
      <c r="E1025" s="6" t="s">
        <v>17</v>
      </c>
      <c r="F1025" s="7">
        <v>33108</v>
      </c>
      <c r="G1025" s="8">
        <f t="shared" si="15"/>
        <v>33108</v>
      </c>
      <c r="H1025" s="6" t="s">
        <v>13</v>
      </c>
      <c r="I1025" s="9" t="s">
        <v>3380</v>
      </c>
      <c r="J1025" s="10" t="s">
        <v>3380</v>
      </c>
      <c r="K1025" s="17"/>
    </row>
    <row r="1026" spans="1:11" ht="30" x14ac:dyDescent="0.25">
      <c r="A1026" s="3" t="s">
        <v>2071</v>
      </c>
      <c r="B1026" s="4" t="s">
        <v>2072</v>
      </c>
      <c r="C1026" s="14">
        <v>1322</v>
      </c>
      <c r="D1026" s="6" t="s">
        <v>16</v>
      </c>
      <c r="E1026" s="6" t="s">
        <v>17</v>
      </c>
      <c r="F1026" s="7">
        <v>29221</v>
      </c>
      <c r="G1026" s="8">
        <f t="shared" ref="G1026:G1089" si="16">F1026</f>
        <v>29221</v>
      </c>
      <c r="H1026" s="6" t="s">
        <v>13</v>
      </c>
      <c r="I1026" s="9">
        <v>320536.73</v>
      </c>
      <c r="J1026" s="10">
        <v>900</v>
      </c>
      <c r="K1026" s="17"/>
    </row>
    <row r="1027" spans="1:11" ht="30" x14ac:dyDescent="0.25">
      <c r="A1027" s="3" t="s">
        <v>2073</v>
      </c>
      <c r="B1027" s="4" t="s">
        <v>2074</v>
      </c>
      <c r="C1027" s="5">
        <v>1519</v>
      </c>
      <c r="D1027" s="6" t="s">
        <v>11</v>
      </c>
      <c r="E1027" s="6" t="s">
        <v>17</v>
      </c>
      <c r="F1027" s="7">
        <v>36600</v>
      </c>
      <c r="G1027" s="8">
        <f t="shared" si="16"/>
        <v>36600</v>
      </c>
      <c r="H1027" s="6" t="s">
        <v>13</v>
      </c>
      <c r="I1027" s="9" t="s">
        <v>3380</v>
      </c>
      <c r="J1027" s="10" t="s">
        <v>3380</v>
      </c>
      <c r="K1027" s="17"/>
    </row>
    <row r="1028" spans="1:11" ht="30" x14ac:dyDescent="0.25">
      <c r="A1028" s="3" t="s">
        <v>2075</v>
      </c>
      <c r="B1028" s="4" t="s">
        <v>2076</v>
      </c>
      <c r="C1028" s="5">
        <v>52905</v>
      </c>
      <c r="D1028" s="6" t="s">
        <v>34</v>
      </c>
      <c r="E1028" s="6" t="s">
        <v>17</v>
      </c>
      <c r="F1028" s="7">
        <v>39209</v>
      </c>
      <c r="G1028" s="8">
        <f t="shared" si="16"/>
        <v>39209</v>
      </c>
      <c r="H1028" s="6" t="s">
        <v>13</v>
      </c>
      <c r="I1028" s="9" t="s">
        <v>3380</v>
      </c>
      <c r="J1028" s="10" t="s">
        <v>3380</v>
      </c>
      <c r="K1028" s="17"/>
    </row>
    <row r="1029" spans="1:11" x14ac:dyDescent="0.25">
      <c r="A1029" s="26" t="s">
        <v>2077</v>
      </c>
      <c r="B1029" s="27" t="s">
        <v>2078</v>
      </c>
      <c r="C1029" s="5">
        <v>54690</v>
      </c>
      <c r="D1029" s="28" t="s">
        <v>31</v>
      </c>
      <c r="E1029" s="28" t="s">
        <v>17</v>
      </c>
      <c r="F1029" s="29">
        <v>39735</v>
      </c>
      <c r="G1029" s="30">
        <f t="shared" si="16"/>
        <v>39735</v>
      </c>
      <c r="H1029" s="28" t="s">
        <v>13</v>
      </c>
      <c r="I1029" s="9" t="s">
        <v>3380</v>
      </c>
      <c r="J1029" s="10" t="s">
        <v>3380</v>
      </c>
      <c r="K1029" s="33"/>
    </row>
    <row r="1030" spans="1:11" ht="30" x14ac:dyDescent="0.25">
      <c r="A1030" s="3" t="s">
        <v>2079</v>
      </c>
      <c r="B1030" s="4" t="s">
        <v>2080</v>
      </c>
      <c r="C1030" s="14">
        <v>1227</v>
      </c>
      <c r="D1030" s="6" t="s">
        <v>31</v>
      </c>
      <c r="E1030" s="6" t="s">
        <v>17</v>
      </c>
      <c r="F1030" s="7">
        <v>39735</v>
      </c>
      <c r="G1030" s="8">
        <f t="shared" si="16"/>
        <v>39735</v>
      </c>
      <c r="H1030" s="6" t="s">
        <v>13</v>
      </c>
      <c r="I1030" s="9">
        <v>1462275.1900000002</v>
      </c>
      <c r="J1030" s="10">
        <v>6000</v>
      </c>
      <c r="K1030" s="17"/>
    </row>
    <row r="1031" spans="1:11" ht="30" x14ac:dyDescent="0.25">
      <c r="A1031" s="3" t="s">
        <v>2081</v>
      </c>
      <c r="B1031" s="4" t="s">
        <v>2082</v>
      </c>
      <c r="C1031" s="14">
        <v>1542</v>
      </c>
      <c r="D1031" s="6" t="s">
        <v>28</v>
      </c>
      <c r="E1031" s="6" t="s">
        <v>17</v>
      </c>
      <c r="F1031" s="7">
        <v>35065</v>
      </c>
      <c r="G1031" s="8">
        <f t="shared" si="16"/>
        <v>35065</v>
      </c>
      <c r="H1031" s="6" t="s">
        <v>13</v>
      </c>
      <c r="I1031" s="9">
        <v>232623.18</v>
      </c>
      <c r="J1031" s="10">
        <v>2050</v>
      </c>
      <c r="K1031" s="17"/>
    </row>
    <row r="1032" spans="1:11" ht="30" x14ac:dyDescent="0.25">
      <c r="A1032" s="3" t="s">
        <v>2083</v>
      </c>
      <c r="B1032" s="4" t="s">
        <v>2084</v>
      </c>
      <c r="C1032" s="14">
        <v>72147</v>
      </c>
      <c r="D1032" s="6" t="s">
        <v>11</v>
      </c>
      <c r="E1032" s="6" t="s">
        <v>12</v>
      </c>
      <c r="F1032" s="7">
        <v>36923</v>
      </c>
      <c r="G1032" s="8">
        <f t="shared" si="16"/>
        <v>36923</v>
      </c>
      <c r="H1032" s="6" t="s">
        <v>39</v>
      </c>
      <c r="I1032" s="9" t="s">
        <v>3380</v>
      </c>
      <c r="J1032" s="10" t="s">
        <v>3380</v>
      </c>
      <c r="K1032" s="17"/>
    </row>
    <row r="1033" spans="1:11" ht="30" x14ac:dyDescent="0.25">
      <c r="A1033" s="3" t="s">
        <v>2085</v>
      </c>
      <c r="B1033" s="4" t="s">
        <v>2086</v>
      </c>
      <c r="C1033" s="14">
        <v>41713</v>
      </c>
      <c r="D1033" s="6" t="s">
        <v>11</v>
      </c>
      <c r="E1033" s="6" t="s">
        <v>17</v>
      </c>
      <c r="F1033" s="7">
        <v>36419</v>
      </c>
      <c r="G1033" s="8">
        <f t="shared" si="16"/>
        <v>36419</v>
      </c>
      <c r="H1033" s="6" t="s">
        <v>13</v>
      </c>
      <c r="I1033" s="9" t="s">
        <v>3380</v>
      </c>
      <c r="J1033" s="10" t="s">
        <v>3380</v>
      </c>
      <c r="K1033" s="17"/>
    </row>
    <row r="1034" spans="1:11" ht="30" x14ac:dyDescent="0.25">
      <c r="A1034" s="3" t="s">
        <v>2087</v>
      </c>
      <c r="B1034" s="4" t="s">
        <v>2088</v>
      </c>
      <c r="C1034" s="5">
        <v>52290</v>
      </c>
      <c r="D1034" s="6" t="s">
        <v>37</v>
      </c>
      <c r="E1034" s="6" t="s">
        <v>38</v>
      </c>
      <c r="F1034" s="7">
        <v>37970</v>
      </c>
      <c r="G1034" s="8">
        <f t="shared" si="16"/>
        <v>37970</v>
      </c>
      <c r="H1034" s="6" t="s">
        <v>39</v>
      </c>
      <c r="I1034" s="9" t="s">
        <v>3380</v>
      </c>
      <c r="J1034" s="10" t="s">
        <v>3380</v>
      </c>
      <c r="K1034" s="17"/>
    </row>
    <row r="1035" spans="1:11" ht="30" x14ac:dyDescent="0.25">
      <c r="A1035" s="3" t="s">
        <v>2089</v>
      </c>
      <c r="B1035" s="4" t="s">
        <v>2090</v>
      </c>
      <c r="C1035" s="14">
        <v>30543</v>
      </c>
      <c r="D1035" s="6" t="s">
        <v>37</v>
      </c>
      <c r="E1035" s="6" t="s">
        <v>38</v>
      </c>
      <c r="F1035" s="7">
        <v>38132</v>
      </c>
      <c r="G1035" s="8">
        <f t="shared" si="16"/>
        <v>38132</v>
      </c>
      <c r="H1035" s="6" t="s">
        <v>39</v>
      </c>
      <c r="I1035" s="9" t="s">
        <v>3380</v>
      </c>
      <c r="J1035" s="10" t="s">
        <v>3380</v>
      </c>
      <c r="K1035" s="17"/>
    </row>
    <row r="1036" spans="1:11" ht="30" x14ac:dyDescent="0.25">
      <c r="A1036" s="3" t="s">
        <v>2091</v>
      </c>
      <c r="B1036" s="4" t="s">
        <v>2092</v>
      </c>
      <c r="C1036" s="5">
        <v>52291</v>
      </c>
      <c r="D1036" s="6" t="s">
        <v>37</v>
      </c>
      <c r="E1036" s="6" t="s">
        <v>38</v>
      </c>
      <c r="F1036" s="7">
        <v>38132</v>
      </c>
      <c r="G1036" s="8">
        <f t="shared" si="16"/>
        <v>38132</v>
      </c>
      <c r="H1036" s="6" t="s">
        <v>39</v>
      </c>
      <c r="I1036" s="9" t="s">
        <v>3380</v>
      </c>
      <c r="J1036" s="10" t="s">
        <v>3380</v>
      </c>
      <c r="K1036" s="17"/>
    </row>
    <row r="1037" spans="1:11" ht="30" x14ac:dyDescent="0.25">
      <c r="A1037" s="3" t="s">
        <v>2093</v>
      </c>
      <c r="B1037" s="4" t="s">
        <v>2094</v>
      </c>
      <c r="C1037" s="5">
        <v>52292</v>
      </c>
      <c r="D1037" s="6" t="s">
        <v>37</v>
      </c>
      <c r="E1037" s="6" t="s">
        <v>38</v>
      </c>
      <c r="F1037" s="7">
        <v>39475</v>
      </c>
      <c r="G1037" s="8">
        <f t="shared" si="16"/>
        <v>39475</v>
      </c>
      <c r="H1037" s="6" t="s">
        <v>39</v>
      </c>
      <c r="I1037" s="9" t="s">
        <v>3380</v>
      </c>
      <c r="J1037" s="10" t="s">
        <v>3380</v>
      </c>
      <c r="K1037" s="17"/>
    </row>
    <row r="1038" spans="1:11" ht="30" x14ac:dyDescent="0.25">
      <c r="A1038" s="3" t="s">
        <v>2095</v>
      </c>
      <c r="B1038" s="4" t="s">
        <v>2096</v>
      </c>
      <c r="C1038" s="5">
        <v>47138</v>
      </c>
      <c r="D1038" s="6" t="s">
        <v>37</v>
      </c>
      <c r="E1038" s="6" t="s">
        <v>38</v>
      </c>
      <c r="F1038" s="7">
        <v>38687</v>
      </c>
      <c r="G1038" s="8">
        <f t="shared" si="16"/>
        <v>38687</v>
      </c>
      <c r="H1038" s="6" t="s">
        <v>39</v>
      </c>
      <c r="I1038" s="9" t="s">
        <v>3380</v>
      </c>
      <c r="J1038" s="10" t="s">
        <v>3380</v>
      </c>
      <c r="K1038" s="17"/>
    </row>
    <row r="1039" spans="1:11" ht="30" x14ac:dyDescent="0.25">
      <c r="A1039" s="3" t="s">
        <v>2097</v>
      </c>
      <c r="B1039" s="4" t="s">
        <v>2098</v>
      </c>
      <c r="C1039" s="5">
        <v>33217</v>
      </c>
      <c r="D1039" s="6" t="s">
        <v>37</v>
      </c>
      <c r="E1039" s="6" t="s">
        <v>38</v>
      </c>
      <c r="F1039" s="7">
        <v>35517</v>
      </c>
      <c r="G1039" s="8">
        <f t="shared" si="16"/>
        <v>35517</v>
      </c>
      <c r="H1039" s="6" t="s">
        <v>39</v>
      </c>
      <c r="I1039" s="9" t="s">
        <v>3380</v>
      </c>
      <c r="J1039" s="10" t="s">
        <v>3380</v>
      </c>
      <c r="K1039" s="17"/>
    </row>
    <row r="1040" spans="1:11" ht="30" x14ac:dyDescent="0.25">
      <c r="A1040" s="3" t="s">
        <v>2099</v>
      </c>
      <c r="B1040" s="4" t="s">
        <v>2100</v>
      </c>
      <c r="C1040" s="5">
        <v>1316</v>
      </c>
      <c r="D1040" s="6" t="s">
        <v>16</v>
      </c>
      <c r="E1040" s="6" t="s">
        <v>17</v>
      </c>
      <c r="F1040" s="7">
        <v>31048</v>
      </c>
      <c r="G1040" s="8">
        <f t="shared" si="16"/>
        <v>31048</v>
      </c>
      <c r="H1040" s="6" t="s">
        <v>13</v>
      </c>
      <c r="I1040" s="9" t="s">
        <v>3380</v>
      </c>
      <c r="J1040" s="10" t="s">
        <v>3380</v>
      </c>
      <c r="K1040" s="17"/>
    </row>
    <row r="1041" spans="1:11" ht="30" x14ac:dyDescent="0.25">
      <c r="A1041" s="3" t="s">
        <v>2101</v>
      </c>
      <c r="B1041" s="4" t="s">
        <v>2102</v>
      </c>
      <c r="C1041" s="14">
        <v>1619</v>
      </c>
      <c r="D1041" s="6" t="s">
        <v>16</v>
      </c>
      <c r="E1041" s="6" t="s">
        <v>17</v>
      </c>
      <c r="F1041" s="7">
        <v>29221</v>
      </c>
      <c r="G1041" s="8">
        <f t="shared" si="16"/>
        <v>29221</v>
      </c>
      <c r="H1041" s="6" t="s">
        <v>13</v>
      </c>
      <c r="I1041" s="9">
        <v>227753.38999999998</v>
      </c>
      <c r="J1041" s="10">
        <v>2400</v>
      </c>
      <c r="K1041" s="17"/>
    </row>
    <row r="1042" spans="1:11" ht="30" x14ac:dyDescent="0.25">
      <c r="A1042" s="3" t="s">
        <v>2103</v>
      </c>
      <c r="B1042" s="4" t="s">
        <v>2104</v>
      </c>
      <c r="C1042" s="5">
        <v>1447</v>
      </c>
      <c r="D1042" s="6" t="s">
        <v>16</v>
      </c>
      <c r="E1042" s="6" t="s">
        <v>17</v>
      </c>
      <c r="F1042" s="7">
        <v>25569</v>
      </c>
      <c r="G1042" s="8">
        <f t="shared" si="16"/>
        <v>25569</v>
      </c>
      <c r="H1042" s="6" t="s">
        <v>13</v>
      </c>
      <c r="I1042" s="9" t="s">
        <v>3380</v>
      </c>
      <c r="J1042" s="10" t="s">
        <v>3380</v>
      </c>
      <c r="K1042" s="17"/>
    </row>
    <row r="1043" spans="1:11" ht="30" x14ac:dyDescent="0.25">
      <c r="A1043" s="3" t="s">
        <v>2105</v>
      </c>
      <c r="B1043" s="4" t="s">
        <v>2106</v>
      </c>
      <c r="C1043" s="14">
        <v>1169</v>
      </c>
      <c r="D1043" s="6" t="s">
        <v>31</v>
      </c>
      <c r="E1043" s="6" t="s">
        <v>17</v>
      </c>
      <c r="F1043" s="7">
        <v>35065</v>
      </c>
      <c r="G1043" s="8">
        <f t="shared" si="16"/>
        <v>35065</v>
      </c>
      <c r="H1043" s="6" t="s">
        <v>13</v>
      </c>
      <c r="I1043" s="9" t="s">
        <v>3380</v>
      </c>
      <c r="J1043" s="10" t="s">
        <v>3380</v>
      </c>
      <c r="K1043" s="17"/>
    </row>
    <row r="1044" spans="1:11" ht="30" x14ac:dyDescent="0.25">
      <c r="A1044" s="3" t="s">
        <v>2107</v>
      </c>
      <c r="B1044" s="4" t="s">
        <v>2108</v>
      </c>
      <c r="C1044" s="5">
        <v>14723</v>
      </c>
      <c r="D1044" s="6" t="s">
        <v>11</v>
      </c>
      <c r="E1044" s="6" t="s">
        <v>17</v>
      </c>
      <c r="F1044" s="7">
        <v>38274</v>
      </c>
      <c r="G1044" s="8">
        <f t="shared" si="16"/>
        <v>38274</v>
      </c>
      <c r="H1044" s="6" t="s">
        <v>13</v>
      </c>
      <c r="I1044" s="9" t="s">
        <v>3380</v>
      </c>
      <c r="J1044" s="10" t="s">
        <v>3380</v>
      </c>
      <c r="K1044" s="17"/>
    </row>
    <row r="1045" spans="1:11" ht="30" x14ac:dyDescent="0.25">
      <c r="A1045" s="3" t="s">
        <v>2109</v>
      </c>
      <c r="B1045" s="4" t="s">
        <v>2110</v>
      </c>
      <c r="C1045" s="5">
        <v>54692</v>
      </c>
      <c r="D1045" s="6" t="s">
        <v>11</v>
      </c>
      <c r="E1045" s="6" t="s">
        <v>17</v>
      </c>
      <c r="F1045" s="7">
        <v>38976</v>
      </c>
      <c r="G1045" s="8">
        <f t="shared" si="16"/>
        <v>38976</v>
      </c>
      <c r="H1045" s="6" t="s">
        <v>13</v>
      </c>
      <c r="I1045" s="9" t="s">
        <v>3380</v>
      </c>
      <c r="J1045" s="10" t="s">
        <v>3380</v>
      </c>
      <c r="K1045" s="17"/>
    </row>
    <row r="1046" spans="1:11" x14ac:dyDescent="0.25">
      <c r="A1046" s="18" t="s">
        <v>2111</v>
      </c>
      <c r="B1046" s="19" t="s">
        <v>2112</v>
      </c>
      <c r="C1046" s="20">
        <v>54691</v>
      </c>
      <c r="D1046" s="21" t="s">
        <v>11</v>
      </c>
      <c r="E1046" s="21" t="s">
        <v>12</v>
      </c>
      <c r="F1046" s="22">
        <v>36826</v>
      </c>
      <c r="G1046" s="23">
        <f t="shared" si="16"/>
        <v>36826</v>
      </c>
      <c r="H1046" s="21" t="s">
        <v>39</v>
      </c>
      <c r="I1046" s="9" t="s">
        <v>3380</v>
      </c>
      <c r="J1046" s="10" t="s">
        <v>3380</v>
      </c>
      <c r="K1046" s="25"/>
    </row>
    <row r="1047" spans="1:11" ht="30" x14ac:dyDescent="0.25">
      <c r="A1047" s="3" t="s">
        <v>2113</v>
      </c>
      <c r="B1047" s="4" t="s">
        <v>2114</v>
      </c>
      <c r="C1047" s="5">
        <v>1572</v>
      </c>
      <c r="D1047" s="6" t="s">
        <v>16</v>
      </c>
      <c r="E1047" s="6" t="s">
        <v>17</v>
      </c>
      <c r="F1047" s="7">
        <v>18264</v>
      </c>
      <c r="G1047" s="8">
        <f t="shared" si="16"/>
        <v>18264</v>
      </c>
      <c r="H1047" s="6" t="s">
        <v>13</v>
      </c>
      <c r="I1047" s="9" t="s">
        <v>3380</v>
      </c>
      <c r="J1047" s="10" t="s">
        <v>3380</v>
      </c>
      <c r="K1047" s="17"/>
    </row>
    <row r="1048" spans="1:11" ht="30" x14ac:dyDescent="0.25">
      <c r="A1048" s="3" t="s">
        <v>2115</v>
      </c>
      <c r="B1048" s="4" t="s">
        <v>2116</v>
      </c>
      <c r="C1048" s="5">
        <v>51601</v>
      </c>
      <c r="D1048" s="6" t="s">
        <v>37</v>
      </c>
      <c r="E1048" s="6" t="s">
        <v>38</v>
      </c>
      <c r="F1048" s="7">
        <v>33682</v>
      </c>
      <c r="G1048" s="8">
        <f t="shared" si="16"/>
        <v>33682</v>
      </c>
      <c r="H1048" s="6" t="s">
        <v>39</v>
      </c>
      <c r="I1048" s="9" t="s">
        <v>3380</v>
      </c>
      <c r="J1048" s="10" t="s">
        <v>3380</v>
      </c>
      <c r="K1048" s="17"/>
    </row>
    <row r="1049" spans="1:11" x14ac:dyDescent="0.25">
      <c r="A1049" s="3" t="s">
        <v>2117</v>
      </c>
      <c r="B1049" s="4" t="s">
        <v>2118</v>
      </c>
      <c r="C1049" s="14">
        <v>46161</v>
      </c>
      <c r="D1049" s="6" t="s">
        <v>11</v>
      </c>
      <c r="E1049" s="6" t="s">
        <v>17</v>
      </c>
      <c r="F1049" s="7">
        <v>39133</v>
      </c>
      <c r="G1049" s="8">
        <f t="shared" si="16"/>
        <v>39133</v>
      </c>
      <c r="H1049" s="6" t="s">
        <v>13</v>
      </c>
      <c r="I1049" s="9">
        <v>96000</v>
      </c>
      <c r="J1049" s="10">
        <v>1485.0567212968899</v>
      </c>
      <c r="K1049" s="11"/>
    </row>
    <row r="1050" spans="1:11" ht="30" x14ac:dyDescent="0.25">
      <c r="A1050" s="3" t="s">
        <v>2119</v>
      </c>
      <c r="B1050" s="4" t="s">
        <v>2120</v>
      </c>
      <c r="C1050" s="14">
        <v>21767</v>
      </c>
      <c r="D1050" s="6" t="s">
        <v>31</v>
      </c>
      <c r="E1050" s="6" t="s">
        <v>17</v>
      </c>
      <c r="F1050" s="7">
        <v>38771</v>
      </c>
      <c r="G1050" s="8">
        <f t="shared" si="16"/>
        <v>38771</v>
      </c>
      <c r="H1050" s="6" t="s">
        <v>13</v>
      </c>
      <c r="I1050" s="9" t="s">
        <v>3380</v>
      </c>
      <c r="J1050" s="10" t="s">
        <v>3380</v>
      </c>
      <c r="K1050" s="17"/>
    </row>
    <row r="1051" spans="1:11" ht="30" x14ac:dyDescent="0.25">
      <c r="A1051" s="3" t="s">
        <v>2121</v>
      </c>
      <c r="B1051" s="4" t="s">
        <v>2122</v>
      </c>
      <c r="C1051" s="5">
        <v>22721</v>
      </c>
      <c r="D1051" s="6" t="s">
        <v>31</v>
      </c>
      <c r="E1051" s="6" t="s">
        <v>17</v>
      </c>
      <c r="F1051" s="7">
        <v>38783</v>
      </c>
      <c r="G1051" s="8">
        <f t="shared" si="16"/>
        <v>38783</v>
      </c>
      <c r="H1051" s="6" t="s">
        <v>13</v>
      </c>
      <c r="I1051" s="9" t="s">
        <v>3380</v>
      </c>
      <c r="J1051" s="10" t="s">
        <v>3380</v>
      </c>
      <c r="K1051" s="17"/>
    </row>
    <row r="1052" spans="1:11" ht="30" x14ac:dyDescent="0.25">
      <c r="A1052" s="12" t="s">
        <v>2123</v>
      </c>
      <c r="B1052" s="4" t="s">
        <v>2124</v>
      </c>
      <c r="C1052" s="14">
        <v>1156</v>
      </c>
      <c r="D1052" s="6" t="s">
        <v>34</v>
      </c>
      <c r="E1052" s="6" t="s">
        <v>17</v>
      </c>
      <c r="F1052" s="7">
        <v>35590</v>
      </c>
      <c r="G1052" s="8">
        <f t="shared" si="16"/>
        <v>35590</v>
      </c>
      <c r="H1052" s="6" t="s">
        <v>13</v>
      </c>
      <c r="I1052" s="9">
        <v>1705608.6</v>
      </c>
      <c r="J1052" s="10">
        <v>18500</v>
      </c>
      <c r="K1052" s="17"/>
    </row>
    <row r="1053" spans="1:11" ht="30" x14ac:dyDescent="0.25">
      <c r="A1053" s="3" t="s">
        <v>2125</v>
      </c>
      <c r="B1053" s="4" t="s">
        <v>2126</v>
      </c>
      <c r="C1053" s="14">
        <v>1299</v>
      </c>
      <c r="D1053" s="6" t="s">
        <v>31</v>
      </c>
      <c r="E1053" s="6" t="s">
        <v>17</v>
      </c>
      <c r="F1053" s="7">
        <v>18264</v>
      </c>
      <c r="G1053" s="8">
        <f t="shared" si="16"/>
        <v>18264</v>
      </c>
      <c r="H1053" s="6" t="s">
        <v>13</v>
      </c>
      <c r="I1053" s="9">
        <v>461211.98</v>
      </c>
      <c r="J1053" s="10">
        <v>1260</v>
      </c>
      <c r="K1053" s="17"/>
    </row>
    <row r="1054" spans="1:11" ht="30" x14ac:dyDescent="0.25">
      <c r="A1054" s="3" t="s">
        <v>2127</v>
      </c>
      <c r="B1054" s="4" t="s">
        <v>2128</v>
      </c>
      <c r="C1054" s="5">
        <v>28545</v>
      </c>
      <c r="D1054" s="6" t="s">
        <v>28</v>
      </c>
      <c r="E1054" s="6" t="s">
        <v>17</v>
      </c>
      <c r="F1054" s="7">
        <v>38547</v>
      </c>
      <c r="G1054" s="8">
        <f t="shared" si="16"/>
        <v>38547</v>
      </c>
      <c r="H1054" s="6" t="s">
        <v>13</v>
      </c>
      <c r="I1054" s="9" t="s">
        <v>3380</v>
      </c>
      <c r="J1054" s="10" t="s">
        <v>3380</v>
      </c>
      <c r="K1054" s="17"/>
    </row>
    <row r="1055" spans="1:11" ht="30" x14ac:dyDescent="0.25">
      <c r="A1055" s="3" t="s">
        <v>2129</v>
      </c>
      <c r="B1055" s="4" t="s">
        <v>2130</v>
      </c>
      <c r="C1055" s="5">
        <v>24369</v>
      </c>
      <c r="D1055" s="6" t="s">
        <v>31</v>
      </c>
      <c r="E1055" s="6" t="s">
        <v>17</v>
      </c>
      <c r="F1055" s="7">
        <v>33023</v>
      </c>
      <c r="G1055" s="8">
        <f t="shared" si="16"/>
        <v>33023</v>
      </c>
      <c r="H1055" s="6" t="s">
        <v>13</v>
      </c>
      <c r="I1055" s="9" t="s">
        <v>3380</v>
      </c>
      <c r="J1055" s="10" t="s">
        <v>3380</v>
      </c>
      <c r="K1055" s="17"/>
    </row>
    <row r="1056" spans="1:11" ht="30" x14ac:dyDescent="0.25">
      <c r="A1056" s="3" t="s">
        <v>2131</v>
      </c>
      <c r="B1056" s="4" t="s">
        <v>2132</v>
      </c>
      <c r="C1056" s="5">
        <v>30659</v>
      </c>
      <c r="D1056" s="6" t="s">
        <v>34</v>
      </c>
      <c r="E1056" s="6" t="s">
        <v>17</v>
      </c>
      <c r="F1056" s="7">
        <v>38804</v>
      </c>
      <c r="G1056" s="8">
        <f t="shared" si="16"/>
        <v>38804</v>
      </c>
      <c r="H1056" s="6" t="s">
        <v>13</v>
      </c>
      <c r="I1056" s="9" t="s">
        <v>3380</v>
      </c>
      <c r="J1056" s="10" t="s">
        <v>3380</v>
      </c>
      <c r="K1056" s="17"/>
    </row>
    <row r="1057" spans="1:11" ht="30" x14ac:dyDescent="0.25">
      <c r="A1057" s="3" t="s">
        <v>2133</v>
      </c>
      <c r="B1057" s="4" t="s">
        <v>2134</v>
      </c>
      <c r="C1057" s="14">
        <v>2060</v>
      </c>
      <c r="D1057" s="6" t="s">
        <v>34</v>
      </c>
      <c r="E1057" s="6" t="s">
        <v>17</v>
      </c>
      <c r="F1057" s="7">
        <v>35632</v>
      </c>
      <c r="G1057" s="8">
        <f t="shared" si="16"/>
        <v>35632</v>
      </c>
      <c r="H1057" s="6" t="s">
        <v>13</v>
      </c>
      <c r="I1057" s="9" t="s">
        <v>3380</v>
      </c>
      <c r="J1057" s="10" t="s">
        <v>3380</v>
      </c>
      <c r="K1057" s="17"/>
    </row>
    <row r="1058" spans="1:11" ht="30" x14ac:dyDescent="0.25">
      <c r="A1058" s="3" t="s">
        <v>2135</v>
      </c>
      <c r="B1058" s="4" t="s">
        <v>2136</v>
      </c>
      <c r="C1058" s="14">
        <v>10894</v>
      </c>
      <c r="D1058" s="6" t="s">
        <v>28</v>
      </c>
      <c r="E1058" s="6" t="s">
        <v>17</v>
      </c>
      <c r="F1058" s="7">
        <v>37608</v>
      </c>
      <c r="G1058" s="8">
        <f t="shared" si="16"/>
        <v>37608</v>
      </c>
      <c r="H1058" s="6" t="s">
        <v>13</v>
      </c>
      <c r="I1058" s="9" t="s">
        <v>3380</v>
      </c>
      <c r="J1058" s="10" t="s">
        <v>3380</v>
      </c>
      <c r="K1058" s="17"/>
    </row>
    <row r="1059" spans="1:11" ht="30" x14ac:dyDescent="0.25">
      <c r="A1059" s="3" t="s">
        <v>2137</v>
      </c>
      <c r="B1059" s="4" t="s">
        <v>2138</v>
      </c>
      <c r="C1059" s="5">
        <v>2004</v>
      </c>
      <c r="D1059" s="6" t="s">
        <v>16</v>
      </c>
      <c r="E1059" s="6" t="s">
        <v>17</v>
      </c>
      <c r="F1059" s="7">
        <v>25569</v>
      </c>
      <c r="G1059" s="8">
        <f t="shared" si="16"/>
        <v>25569</v>
      </c>
      <c r="H1059" s="6" t="s">
        <v>13</v>
      </c>
      <c r="I1059" s="9" t="s">
        <v>3380</v>
      </c>
      <c r="J1059" s="10" t="s">
        <v>3380</v>
      </c>
      <c r="K1059" s="17"/>
    </row>
    <row r="1060" spans="1:11" ht="30" x14ac:dyDescent="0.25">
      <c r="A1060" s="3" t="s">
        <v>2139</v>
      </c>
      <c r="B1060" s="4" t="s">
        <v>2140</v>
      </c>
      <c r="C1060" s="5">
        <v>54693</v>
      </c>
      <c r="D1060" s="6" t="s">
        <v>28</v>
      </c>
      <c r="E1060" s="6" t="s">
        <v>508</v>
      </c>
      <c r="F1060" s="7">
        <v>37573</v>
      </c>
      <c r="G1060" s="8">
        <f t="shared" si="16"/>
        <v>37573</v>
      </c>
      <c r="H1060" s="6" t="s">
        <v>509</v>
      </c>
      <c r="I1060" s="9" t="s">
        <v>3380</v>
      </c>
      <c r="J1060" s="10" t="s">
        <v>3380</v>
      </c>
      <c r="K1060" s="17"/>
    </row>
    <row r="1061" spans="1:11" ht="30" x14ac:dyDescent="0.25">
      <c r="A1061" s="3" t="s">
        <v>2141</v>
      </c>
      <c r="B1061" s="4" t="s">
        <v>2142</v>
      </c>
      <c r="C1061" s="14">
        <v>1795</v>
      </c>
      <c r="D1061" s="6" t="s">
        <v>16</v>
      </c>
      <c r="E1061" s="6" t="s">
        <v>17</v>
      </c>
      <c r="F1061" s="7">
        <v>29952</v>
      </c>
      <c r="G1061" s="8">
        <f t="shared" si="16"/>
        <v>29952</v>
      </c>
      <c r="H1061" s="6" t="s">
        <v>13</v>
      </c>
      <c r="I1061" s="9" t="s">
        <v>3380</v>
      </c>
      <c r="J1061" s="10" t="s">
        <v>3380</v>
      </c>
      <c r="K1061" s="17"/>
    </row>
    <row r="1062" spans="1:11" ht="30" x14ac:dyDescent="0.25">
      <c r="A1062" s="3" t="s">
        <v>2143</v>
      </c>
      <c r="B1062" s="4" t="s">
        <v>2144</v>
      </c>
      <c r="C1062" s="5">
        <v>52242</v>
      </c>
      <c r="D1062" s="6" t="s">
        <v>37</v>
      </c>
      <c r="E1062" s="6" t="s">
        <v>38</v>
      </c>
      <c r="F1062" s="7">
        <v>39175</v>
      </c>
      <c r="G1062" s="8">
        <f t="shared" si="16"/>
        <v>39175</v>
      </c>
      <c r="H1062" s="6" t="s">
        <v>39</v>
      </c>
      <c r="I1062" s="9" t="s">
        <v>3380</v>
      </c>
      <c r="J1062" s="10" t="s">
        <v>3380</v>
      </c>
      <c r="K1062" s="17"/>
    </row>
    <row r="1063" spans="1:11" x14ac:dyDescent="0.25">
      <c r="A1063" s="26" t="s">
        <v>2145</v>
      </c>
      <c r="B1063" s="27" t="s">
        <v>2146</v>
      </c>
      <c r="C1063" s="34">
        <v>20170</v>
      </c>
      <c r="D1063" s="28" t="s">
        <v>34</v>
      </c>
      <c r="E1063" s="28" t="s">
        <v>17</v>
      </c>
      <c r="F1063" s="29">
        <v>20821</v>
      </c>
      <c r="G1063" s="30">
        <f t="shared" si="16"/>
        <v>20821</v>
      </c>
      <c r="H1063" s="28" t="s">
        <v>13</v>
      </c>
      <c r="I1063" s="9" t="s">
        <v>3380</v>
      </c>
      <c r="J1063" s="10" t="s">
        <v>3380</v>
      </c>
      <c r="K1063" s="33"/>
    </row>
    <row r="1064" spans="1:11" ht="30" x14ac:dyDescent="0.25">
      <c r="A1064" s="3" t="s">
        <v>2147</v>
      </c>
      <c r="B1064" s="4" t="s">
        <v>2148</v>
      </c>
      <c r="C1064" s="5">
        <v>49681</v>
      </c>
      <c r="D1064" s="6" t="s">
        <v>28</v>
      </c>
      <c r="E1064" s="6" t="s">
        <v>17</v>
      </c>
      <c r="F1064" s="7">
        <v>38899</v>
      </c>
      <c r="G1064" s="8">
        <f t="shared" si="16"/>
        <v>38899</v>
      </c>
      <c r="H1064" s="6" t="s">
        <v>13</v>
      </c>
      <c r="I1064" s="9" t="s">
        <v>3380</v>
      </c>
      <c r="J1064" s="10" t="s">
        <v>3380</v>
      </c>
      <c r="K1064" s="17"/>
    </row>
    <row r="1065" spans="1:11" x14ac:dyDescent="0.25">
      <c r="A1065" s="3" t="s">
        <v>2149</v>
      </c>
      <c r="B1065" s="4" t="s">
        <v>2150</v>
      </c>
      <c r="C1065" s="5">
        <v>1958</v>
      </c>
      <c r="D1065" s="6" t="s">
        <v>28</v>
      </c>
      <c r="E1065" s="6" t="s">
        <v>17</v>
      </c>
      <c r="F1065" s="7">
        <v>19725</v>
      </c>
      <c r="G1065" s="8">
        <f t="shared" si="16"/>
        <v>19725</v>
      </c>
      <c r="H1065" s="6" t="s">
        <v>13</v>
      </c>
      <c r="I1065" s="9" t="s">
        <v>3380</v>
      </c>
      <c r="J1065" s="10" t="s">
        <v>3380</v>
      </c>
      <c r="K1065" s="11"/>
    </row>
    <row r="1066" spans="1:11" ht="30" x14ac:dyDescent="0.25">
      <c r="A1066" s="3" t="s">
        <v>2151</v>
      </c>
      <c r="B1066" s="4" t="s">
        <v>2152</v>
      </c>
      <c r="C1066" s="5">
        <v>10571</v>
      </c>
      <c r="D1066" s="6" t="s">
        <v>28</v>
      </c>
      <c r="E1066" s="6" t="s">
        <v>17</v>
      </c>
      <c r="F1066" s="7">
        <v>37312</v>
      </c>
      <c r="G1066" s="8">
        <f t="shared" si="16"/>
        <v>37312</v>
      </c>
      <c r="H1066" s="6" t="s">
        <v>13</v>
      </c>
      <c r="I1066" s="9" t="s">
        <v>3380</v>
      </c>
      <c r="J1066" s="10" t="s">
        <v>3380</v>
      </c>
      <c r="K1066" s="17"/>
    </row>
    <row r="1067" spans="1:11" ht="30" x14ac:dyDescent="0.25">
      <c r="A1067" s="3" t="s">
        <v>2153</v>
      </c>
      <c r="B1067" s="4" t="s">
        <v>2154</v>
      </c>
      <c r="C1067" s="5">
        <v>19523</v>
      </c>
      <c r="D1067" s="6" t="s">
        <v>16</v>
      </c>
      <c r="E1067" s="6" t="s">
        <v>17</v>
      </c>
      <c r="F1067" s="7">
        <v>38507</v>
      </c>
      <c r="G1067" s="8">
        <f t="shared" si="16"/>
        <v>38507</v>
      </c>
      <c r="H1067" s="6" t="s">
        <v>13</v>
      </c>
      <c r="I1067" s="9" t="s">
        <v>3380</v>
      </c>
      <c r="J1067" s="10" t="s">
        <v>3380</v>
      </c>
      <c r="K1067" s="17"/>
    </row>
    <row r="1068" spans="1:11" ht="30" x14ac:dyDescent="0.25">
      <c r="A1068" s="3" t="s">
        <v>2155</v>
      </c>
      <c r="B1068" s="4" t="s">
        <v>2156</v>
      </c>
      <c r="C1068" s="5">
        <v>10887</v>
      </c>
      <c r="D1068" s="6" t="s">
        <v>34</v>
      </c>
      <c r="E1068" s="6" t="s">
        <v>17</v>
      </c>
      <c r="F1068" s="7">
        <v>37768</v>
      </c>
      <c r="G1068" s="8">
        <f t="shared" si="16"/>
        <v>37768</v>
      </c>
      <c r="H1068" s="6" t="s">
        <v>13</v>
      </c>
      <c r="I1068" s="9" t="s">
        <v>3380</v>
      </c>
      <c r="J1068" s="10" t="s">
        <v>3380</v>
      </c>
      <c r="K1068" s="17"/>
    </row>
    <row r="1069" spans="1:11" x14ac:dyDescent="0.25">
      <c r="A1069" s="3" t="s">
        <v>2157</v>
      </c>
      <c r="B1069" s="4" t="s">
        <v>2158</v>
      </c>
      <c r="C1069" s="14">
        <v>52355</v>
      </c>
      <c r="D1069" s="6" t="s">
        <v>31</v>
      </c>
      <c r="E1069" s="6" t="s">
        <v>17</v>
      </c>
      <c r="F1069" s="7">
        <v>39476</v>
      </c>
      <c r="G1069" s="8">
        <f t="shared" si="16"/>
        <v>39476</v>
      </c>
      <c r="H1069" s="6" t="s">
        <v>13</v>
      </c>
      <c r="I1069" s="9" t="s">
        <v>3380</v>
      </c>
      <c r="J1069" s="10" t="s">
        <v>3380</v>
      </c>
      <c r="K1069" s="11"/>
    </row>
    <row r="1070" spans="1:11" ht="30" x14ac:dyDescent="0.25">
      <c r="A1070" s="3" t="s">
        <v>2159</v>
      </c>
      <c r="B1070" s="4" t="s">
        <v>2160</v>
      </c>
      <c r="C1070" s="5">
        <v>1634</v>
      </c>
      <c r="D1070" s="6" t="s">
        <v>31</v>
      </c>
      <c r="E1070" s="6" t="s">
        <v>17</v>
      </c>
      <c r="F1070" s="7">
        <v>18264</v>
      </c>
      <c r="G1070" s="8">
        <f t="shared" si="16"/>
        <v>18264</v>
      </c>
      <c r="H1070" s="6" t="s">
        <v>13</v>
      </c>
      <c r="I1070" s="9" t="s">
        <v>3380</v>
      </c>
      <c r="J1070" s="10" t="s">
        <v>3380</v>
      </c>
      <c r="K1070" s="17"/>
    </row>
    <row r="1071" spans="1:11" ht="30" x14ac:dyDescent="0.25">
      <c r="A1071" s="3" t="s">
        <v>2161</v>
      </c>
      <c r="B1071" s="4" t="s">
        <v>2162</v>
      </c>
      <c r="C1071" s="14">
        <v>1059</v>
      </c>
      <c r="D1071" s="6" t="s">
        <v>16</v>
      </c>
      <c r="E1071" s="6" t="s">
        <v>17</v>
      </c>
      <c r="F1071" s="7">
        <v>31048</v>
      </c>
      <c r="G1071" s="8">
        <f t="shared" si="16"/>
        <v>31048</v>
      </c>
      <c r="H1071" s="6" t="s">
        <v>13</v>
      </c>
      <c r="I1071" s="9" t="s">
        <v>3380</v>
      </c>
      <c r="J1071" s="10" t="s">
        <v>3380</v>
      </c>
      <c r="K1071" s="17"/>
    </row>
    <row r="1072" spans="1:11" ht="30" x14ac:dyDescent="0.25">
      <c r="A1072" s="3" t="s">
        <v>2163</v>
      </c>
      <c r="B1072" s="4" t="s">
        <v>2164</v>
      </c>
      <c r="C1072" s="5">
        <v>2015</v>
      </c>
      <c r="D1072" s="6" t="s">
        <v>16</v>
      </c>
      <c r="E1072" s="6" t="s">
        <v>17</v>
      </c>
      <c r="F1072" s="7">
        <v>29221</v>
      </c>
      <c r="G1072" s="8">
        <f t="shared" si="16"/>
        <v>29221</v>
      </c>
      <c r="H1072" s="6" t="s">
        <v>13</v>
      </c>
      <c r="I1072" s="9" t="s">
        <v>3380</v>
      </c>
      <c r="J1072" s="10" t="s">
        <v>3380</v>
      </c>
      <c r="K1072" s="17"/>
    </row>
    <row r="1073" spans="1:11" ht="30" x14ac:dyDescent="0.25">
      <c r="A1073" s="3" t="s">
        <v>2165</v>
      </c>
      <c r="B1073" s="4" t="s">
        <v>2166</v>
      </c>
      <c r="C1073" s="14">
        <v>52914</v>
      </c>
      <c r="D1073" s="6" t="s">
        <v>31</v>
      </c>
      <c r="E1073" s="6" t="s">
        <v>17</v>
      </c>
      <c r="F1073" s="7">
        <v>38854</v>
      </c>
      <c r="G1073" s="8">
        <f t="shared" si="16"/>
        <v>38854</v>
      </c>
      <c r="H1073" s="6" t="s">
        <v>13</v>
      </c>
      <c r="I1073" s="9" t="s">
        <v>3380</v>
      </c>
      <c r="J1073" s="10" t="s">
        <v>3380</v>
      </c>
      <c r="K1073" s="17"/>
    </row>
    <row r="1074" spans="1:11" ht="30" x14ac:dyDescent="0.25">
      <c r="A1074" s="3" t="s">
        <v>2167</v>
      </c>
      <c r="B1074" s="4" t="s">
        <v>2168</v>
      </c>
      <c r="C1074" s="5">
        <v>2043</v>
      </c>
      <c r="D1074" s="6" t="s">
        <v>34</v>
      </c>
      <c r="E1074" s="6" t="s">
        <v>17</v>
      </c>
      <c r="F1074" s="7">
        <v>29221</v>
      </c>
      <c r="G1074" s="8">
        <f t="shared" si="16"/>
        <v>29221</v>
      </c>
      <c r="H1074" s="6" t="s">
        <v>13</v>
      </c>
      <c r="I1074" s="9" t="s">
        <v>3380</v>
      </c>
      <c r="J1074" s="10" t="s">
        <v>3380</v>
      </c>
      <c r="K1074" s="17"/>
    </row>
    <row r="1075" spans="1:11" ht="30" x14ac:dyDescent="0.25">
      <c r="A1075" s="3" t="s">
        <v>2169</v>
      </c>
      <c r="B1075" s="4" t="s">
        <v>2170</v>
      </c>
      <c r="C1075" s="5">
        <v>72171</v>
      </c>
      <c r="D1075" s="6" t="s">
        <v>16</v>
      </c>
      <c r="E1075" s="6" t="s">
        <v>17</v>
      </c>
      <c r="F1075" s="7">
        <v>38630</v>
      </c>
      <c r="G1075" s="8">
        <f t="shared" si="16"/>
        <v>38630</v>
      </c>
      <c r="H1075" s="6" t="s">
        <v>13</v>
      </c>
      <c r="I1075" s="9" t="s">
        <v>3380</v>
      </c>
      <c r="J1075" s="10" t="s">
        <v>3380</v>
      </c>
      <c r="K1075" s="17"/>
    </row>
    <row r="1076" spans="1:11" ht="30" x14ac:dyDescent="0.25">
      <c r="A1076" s="3" t="s">
        <v>2171</v>
      </c>
      <c r="B1076" s="4" t="s">
        <v>2172</v>
      </c>
      <c r="C1076" s="5">
        <v>1920</v>
      </c>
      <c r="D1076" s="6" t="s">
        <v>31</v>
      </c>
      <c r="E1076" s="6" t="s">
        <v>17</v>
      </c>
      <c r="F1076" s="7">
        <v>29221</v>
      </c>
      <c r="G1076" s="8">
        <f t="shared" si="16"/>
        <v>29221</v>
      </c>
      <c r="H1076" s="6" t="s">
        <v>13</v>
      </c>
      <c r="I1076" s="9" t="s">
        <v>3380</v>
      </c>
      <c r="J1076" s="10" t="s">
        <v>3380</v>
      </c>
      <c r="K1076" s="17"/>
    </row>
    <row r="1077" spans="1:11" ht="30" x14ac:dyDescent="0.25">
      <c r="A1077" s="3" t="s">
        <v>2173</v>
      </c>
      <c r="B1077" s="4" t="s">
        <v>2174</v>
      </c>
      <c r="C1077" s="14">
        <v>1615</v>
      </c>
      <c r="D1077" s="6" t="s">
        <v>31</v>
      </c>
      <c r="E1077" s="6" t="s">
        <v>17</v>
      </c>
      <c r="F1077" s="7">
        <v>29221</v>
      </c>
      <c r="G1077" s="8">
        <f t="shared" si="16"/>
        <v>29221</v>
      </c>
      <c r="H1077" s="6" t="s">
        <v>13</v>
      </c>
      <c r="I1077" s="9">
        <v>696150.03</v>
      </c>
      <c r="J1077" s="10">
        <v>1700</v>
      </c>
      <c r="K1077" s="17"/>
    </row>
    <row r="1078" spans="1:11" ht="30" x14ac:dyDescent="0.25">
      <c r="A1078" s="3" t="s">
        <v>2175</v>
      </c>
      <c r="B1078" s="4" t="s">
        <v>2176</v>
      </c>
      <c r="C1078" s="5">
        <v>1650</v>
      </c>
      <c r="D1078" s="6" t="s">
        <v>28</v>
      </c>
      <c r="E1078" s="6" t="s">
        <v>17</v>
      </c>
      <c r="F1078" s="7">
        <v>29587</v>
      </c>
      <c r="G1078" s="8">
        <f t="shared" si="16"/>
        <v>29587</v>
      </c>
      <c r="H1078" s="6" t="s">
        <v>13</v>
      </c>
      <c r="I1078" s="9" t="s">
        <v>3380</v>
      </c>
      <c r="J1078" s="10" t="s">
        <v>3380</v>
      </c>
      <c r="K1078" s="17"/>
    </row>
    <row r="1079" spans="1:11" ht="30" x14ac:dyDescent="0.25">
      <c r="A1079" s="3" t="s">
        <v>2177</v>
      </c>
      <c r="B1079" s="4" t="s">
        <v>2178</v>
      </c>
      <c r="C1079" s="5">
        <v>1512</v>
      </c>
      <c r="D1079" s="6" t="s">
        <v>28</v>
      </c>
      <c r="E1079" s="6" t="s">
        <v>17</v>
      </c>
      <c r="F1079" s="7">
        <v>31778</v>
      </c>
      <c r="G1079" s="8">
        <f t="shared" si="16"/>
        <v>31778</v>
      </c>
      <c r="H1079" s="6" t="s">
        <v>13</v>
      </c>
      <c r="I1079" s="9" t="s">
        <v>3380</v>
      </c>
      <c r="J1079" s="10" t="s">
        <v>3380</v>
      </c>
      <c r="K1079" s="17"/>
    </row>
    <row r="1080" spans="1:11" ht="30" x14ac:dyDescent="0.25">
      <c r="A1080" s="3" t="s">
        <v>2179</v>
      </c>
      <c r="B1080" s="4" t="s">
        <v>2180</v>
      </c>
      <c r="C1080" s="5">
        <v>1852</v>
      </c>
      <c r="D1080" s="6" t="s">
        <v>16</v>
      </c>
      <c r="E1080" s="6" t="s">
        <v>17</v>
      </c>
      <c r="F1080" s="7">
        <v>25569</v>
      </c>
      <c r="G1080" s="8">
        <f t="shared" si="16"/>
        <v>25569</v>
      </c>
      <c r="H1080" s="6" t="s">
        <v>13</v>
      </c>
      <c r="I1080" s="9" t="s">
        <v>3380</v>
      </c>
      <c r="J1080" s="10" t="s">
        <v>3380</v>
      </c>
      <c r="K1080" s="17"/>
    </row>
    <row r="1081" spans="1:11" x14ac:dyDescent="0.25">
      <c r="A1081" s="18" t="s">
        <v>2181</v>
      </c>
      <c r="B1081" s="19" t="s">
        <v>2182</v>
      </c>
      <c r="C1081" s="5">
        <v>1552</v>
      </c>
      <c r="D1081" s="21" t="s">
        <v>28</v>
      </c>
      <c r="E1081" s="21" t="s">
        <v>17</v>
      </c>
      <c r="F1081" s="22">
        <v>28126</v>
      </c>
      <c r="G1081" s="23">
        <f t="shared" si="16"/>
        <v>28126</v>
      </c>
      <c r="H1081" s="21" t="s">
        <v>13</v>
      </c>
      <c r="I1081" s="9" t="s">
        <v>3380</v>
      </c>
      <c r="J1081" s="10" t="s">
        <v>3380</v>
      </c>
      <c r="K1081" s="25"/>
    </row>
    <row r="1082" spans="1:11" ht="30" x14ac:dyDescent="0.25">
      <c r="A1082" s="12" t="s">
        <v>2183</v>
      </c>
      <c r="B1082" s="4" t="s">
        <v>2184</v>
      </c>
      <c r="C1082" s="14">
        <v>1276</v>
      </c>
      <c r="D1082" s="6" t="s">
        <v>34</v>
      </c>
      <c r="E1082" s="6" t="s">
        <v>17</v>
      </c>
      <c r="F1082" s="7">
        <v>24108</v>
      </c>
      <c r="G1082" s="8">
        <f t="shared" si="16"/>
        <v>24108</v>
      </c>
      <c r="H1082" s="6" t="s">
        <v>13</v>
      </c>
      <c r="I1082" s="9">
        <v>8275871.3399999999</v>
      </c>
      <c r="J1082" s="10">
        <v>46000</v>
      </c>
      <c r="K1082" s="17"/>
    </row>
    <row r="1083" spans="1:11" ht="30" x14ac:dyDescent="0.25">
      <c r="A1083" s="3" t="s">
        <v>2185</v>
      </c>
      <c r="B1083" s="4" t="s">
        <v>2186</v>
      </c>
      <c r="C1083" s="5">
        <v>1530</v>
      </c>
      <c r="D1083" s="6" t="s">
        <v>34</v>
      </c>
      <c r="E1083" s="6" t="s">
        <v>17</v>
      </c>
      <c r="F1083" s="7">
        <v>18264</v>
      </c>
      <c r="G1083" s="8">
        <f t="shared" si="16"/>
        <v>18264</v>
      </c>
      <c r="H1083" s="6" t="s">
        <v>13</v>
      </c>
      <c r="I1083" s="9">
        <v>209196.65</v>
      </c>
      <c r="J1083" s="10">
        <v>800</v>
      </c>
      <c r="K1083" s="17"/>
    </row>
    <row r="1084" spans="1:11" ht="30" x14ac:dyDescent="0.25">
      <c r="A1084" s="3" t="s">
        <v>2187</v>
      </c>
      <c r="B1084" s="4" t="s">
        <v>2188</v>
      </c>
      <c r="C1084" s="14">
        <v>17925</v>
      </c>
      <c r="D1084" s="6" t="s">
        <v>28</v>
      </c>
      <c r="E1084" s="6" t="s">
        <v>17</v>
      </c>
      <c r="F1084" s="7">
        <v>39995</v>
      </c>
      <c r="G1084" s="8">
        <f t="shared" si="16"/>
        <v>39995</v>
      </c>
      <c r="H1084" s="6" t="s">
        <v>13</v>
      </c>
      <c r="I1084" s="9">
        <v>424532.38</v>
      </c>
      <c r="J1084" s="10">
        <v>1490</v>
      </c>
      <c r="K1084" s="17"/>
    </row>
    <row r="1085" spans="1:11" ht="30" x14ac:dyDescent="0.25">
      <c r="A1085" s="3" t="s">
        <v>2189</v>
      </c>
      <c r="B1085" s="4" t="s">
        <v>2190</v>
      </c>
      <c r="C1085" s="5">
        <v>1734</v>
      </c>
      <c r="D1085" s="6" t="s">
        <v>16</v>
      </c>
      <c r="E1085" s="6" t="s">
        <v>17</v>
      </c>
      <c r="F1085" s="7">
        <v>29221</v>
      </c>
      <c r="G1085" s="8">
        <f t="shared" si="16"/>
        <v>29221</v>
      </c>
      <c r="H1085" s="6" t="s">
        <v>13</v>
      </c>
      <c r="I1085" s="9" t="s">
        <v>3380</v>
      </c>
      <c r="J1085" s="10" t="s">
        <v>3380</v>
      </c>
      <c r="K1085" s="17"/>
    </row>
    <row r="1086" spans="1:11" ht="30" x14ac:dyDescent="0.25">
      <c r="A1086" s="3" t="s">
        <v>2191</v>
      </c>
      <c r="B1086" s="4" t="s">
        <v>2192</v>
      </c>
      <c r="C1086" s="5">
        <v>1559</v>
      </c>
      <c r="D1086" s="6" t="s">
        <v>28</v>
      </c>
      <c r="E1086" s="6" t="s">
        <v>17</v>
      </c>
      <c r="F1086" s="7">
        <v>28856</v>
      </c>
      <c r="G1086" s="8">
        <f t="shared" si="16"/>
        <v>28856</v>
      </c>
      <c r="H1086" s="6" t="s">
        <v>13</v>
      </c>
      <c r="I1086" s="9" t="s">
        <v>3380</v>
      </c>
      <c r="J1086" s="10" t="s">
        <v>3380</v>
      </c>
      <c r="K1086" s="17"/>
    </row>
    <row r="1087" spans="1:11" ht="30" x14ac:dyDescent="0.25">
      <c r="A1087" s="3" t="s">
        <v>2193</v>
      </c>
      <c r="B1087" s="4" t="s">
        <v>2194</v>
      </c>
      <c r="C1087" s="5">
        <v>1628</v>
      </c>
      <c r="D1087" s="6" t="s">
        <v>16</v>
      </c>
      <c r="E1087" s="6" t="s">
        <v>17</v>
      </c>
      <c r="F1087" s="7">
        <v>36617</v>
      </c>
      <c r="G1087" s="8">
        <f t="shared" si="16"/>
        <v>36617</v>
      </c>
      <c r="H1087" s="6" t="s">
        <v>13</v>
      </c>
      <c r="I1087" s="9" t="s">
        <v>3380</v>
      </c>
      <c r="J1087" s="10" t="s">
        <v>3380</v>
      </c>
      <c r="K1087" s="17"/>
    </row>
    <row r="1088" spans="1:11" x14ac:dyDescent="0.25">
      <c r="A1088" s="18" t="s">
        <v>2195</v>
      </c>
      <c r="B1088" s="19" t="s">
        <v>2196</v>
      </c>
      <c r="C1088" s="5">
        <v>50001</v>
      </c>
      <c r="D1088" s="21" t="s">
        <v>11</v>
      </c>
      <c r="E1088" s="21" t="s">
        <v>12</v>
      </c>
      <c r="F1088" s="22">
        <v>39294</v>
      </c>
      <c r="G1088" s="23">
        <f t="shared" si="16"/>
        <v>39294</v>
      </c>
      <c r="H1088" s="21" t="s">
        <v>39</v>
      </c>
      <c r="I1088" s="9" t="s">
        <v>3380</v>
      </c>
      <c r="J1088" s="10" t="s">
        <v>3380</v>
      </c>
      <c r="K1088" s="25"/>
    </row>
    <row r="1089" spans="1:11" ht="30" x14ac:dyDescent="0.25">
      <c r="A1089" s="3" t="s">
        <v>2197</v>
      </c>
      <c r="B1089" s="4" t="s">
        <v>2198</v>
      </c>
      <c r="C1089" s="5">
        <v>1377</v>
      </c>
      <c r="D1089" s="6" t="s">
        <v>28</v>
      </c>
      <c r="E1089" s="6" t="s">
        <v>17</v>
      </c>
      <c r="F1089" s="7">
        <v>25569</v>
      </c>
      <c r="G1089" s="8">
        <f t="shared" si="16"/>
        <v>25569</v>
      </c>
      <c r="H1089" s="6" t="s">
        <v>13</v>
      </c>
      <c r="I1089" s="9" t="s">
        <v>3380</v>
      </c>
      <c r="J1089" s="10" t="s">
        <v>3380</v>
      </c>
      <c r="K1089" s="17"/>
    </row>
    <row r="1090" spans="1:11" ht="30" x14ac:dyDescent="0.25">
      <c r="A1090" s="3" t="s">
        <v>2199</v>
      </c>
      <c r="B1090" s="4" t="s">
        <v>2200</v>
      </c>
      <c r="C1090" s="5">
        <v>54695</v>
      </c>
      <c r="D1090" s="6" t="s">
        <v>28</v>
      </c>
      <c r="E1090" s="6" t="s">
        <v>17</v>
      </c>
      <c r="F1090" s="7">
        <v>39520</v>
      </c>
      <c r="G1090" s="8">
        <f t="shared" ref="G1090:G1153" si="17">F1090</f>
        <v>39520</v>
      </c>
      <c r="H1090" s="6" t="s">
        <v>13</v>
      </c>
      <c r="I1090" s="9" t="s">
        <v>3380</v>
      </c>
      <c r="J1090" s="10" t="s">
        <v>3380</v>
      </c>
      <c r="K1090" s="17"/>
    </row>
    <row r="1091" spans="1:11" x14ac:dyDescent="0.25">
      <c r="A1091" s="18" t="s">
        <v>2201</v>
      </c>
      <c r="B1091" s="19" t="s">
        <v>2202</v>
      </c>
      <c r="C1091" s="20">
        <v>1271</v>
      </c>
      <c r="D1091" s="21" t="s">
        <v>16</v>
      </c>
      <c r="E1091" s="21" t="s">
        <v>17</v>
      </c>
      <c r="F1091" s="22">
        <v>29221</v>
      </c>
      <c r="G1091" s="23">
        <f t="shared" si="17"/>
        <v>29221</v>
      </c>
      <c r="H1091" s="21" t="s">
        <v>13</v>
      </c>
      <c r="I1091" s="9" t="s">
        <v>3380</v>
      </c>
      <c r="J1091" s="10" t="s">
        <v>3380</v>
      </c>
      <c r="K1091" s="25"/>
    </row>
    <row r="1092" spans="1:11" ht="30" x14ac:dyDescent="0.25">
      <c r="A1092" s="3" t="s">
        <v>2203</v>
      </c>
      <c r="B1092" s="4" t="s">
        <v>2204</v>
      </c>
      <c r="C1092" s="5">
        <v>1827</v>
      </c>
      <c r="D1092" s="6" t="s">
        <v>31</v>
      </c>
      <c r="E1092" s="6" t="s">
        <v>17</v>
      </c>
      <c r="F1092" s="7">
        <v>18264</v>
      </c>
      <c r="G1092" s="8">
        <f t="shared" si="17"/>
        <v>18264</v>
      </c>
      <c r="H1092" s="6" t="s">
        <v>13</v>
      </c>
      <c r="I1092" s="9" t="s">
        <v>3380</v>
      </c>
      <c r="J1092" s="10" t="s">
        <v>3380</v>
      </c>
      <c r="K1092" s="17"/>
    </row>
    <row r="1093" spans="1:11" ht="30" x14ac:dyDescent="0.25">
      <c r="A1093" s="3" t="s">
        <v>2205</v>
      </c>
      <c r="B1093" s="4" t="s">
        <v>2206</v>
      </c>
      <c r="C1093" s="5">
        <v>1830</v>
      </c>
      <c r="D1093" s="6" t="s">
        <v>31</v>
      </c>
      <c r="E1093" s="6" t="s">
        <v>17</v>
      </c>
      <c r="F1093" s="7">
        <v>29221</v>
      </c>
      <c r="G1093" s="8">
        <f t="shared" si="17"/>
        <v>29221</v>
      </c>
      <c r="H1093" s="6" t="s">
        <v>13</v>
      </c>
      <c r="I1093" s="9" t="s">
        <v>3380</v>
      </c>
      <c r="J1093" s="10" t="s">
        <v>3380</v>
      </c>
      <c r="K1093" s="17"/>
    </row>
    <row r="1094" spans="1:11" ht="30" x14ac:dyDescent="0.25">
      <c r="A1094" s="3" t="s">
        <v>2207</v>
      </c>
      <c r="B1094" s="4" t="s">
        <v>2208</v>
      </c>
      <c r="C1094" s="5">
        <v>1724</v>
      </c>
      <c r="D1094" s="6" t="s">
        <v>16</v>
      </c>
      <c r="E1094" s="6" t="s">
        <v>17</v>
      </c>
      <c r="F1094" s="7">
        <v>31048</v>
      </c>
      <c r="G1094" s="8">
        <f t="shared" si="17"/>
        <v>31048</v>
      </c>
      <c r="H1094" s="6" t="s">
        <v>13</v>
      </c>
      <c r="I1094" s="9" t="s">
        <v>3380</v>
      </c>
      <c r="J1094" s="10" t="s">
        <v>3380</v>
      </c>
      <c r="K1094" s="17"/>
    </row>
    <row r="1095" spans="1:11" ht="30" x14ac:dyDescent="0.25">
      <c r="A1095" s="3" t="s">
        <v>2209</v>
      </c>
      <c r="B1095" s="4" t="s">
        <v>2210</v>
      </c>
      <c r="C1095" s="5">
        <v>1807</v>
      </c>
      <c r="D1095" s="6" t="s">
        <v>28</v>
      </c>
      <c r="E1095" s="6" t="s">
        <v>17</v>
      </c>
      <c r="F1095" s="7">
        <v>29221</v>
      </c>
      <c r="G1095" s="8">
        <f t="shared" si="17"/>
        <v>29221</v>
      </c>
      <c r="H1095" s="6" t="s">
        <v>13</v>
      </c>
      <c r="I1095" s="9" t="s">
        <v>3380</v>
      </c>
      <c r="J1095" s="10" t="s">
        <v>3380</v>
      </c>
      <c r="K1095" s="17"/>
    </row>
    <row r="1096" spans="1:11" ht="30" x14ac:dyDescent="0.25">
      <c r="A1096" s="3" t="s">
        <v>2211</v>
      </c>
      <c r="B1096" s="4" t="s">
        <v>2212</v>
      </c>
      <c r="C1096" s="5">
        <v>21447</v>
      </c>
      <c r="D1096" s="6" t="s">
        <v>11</v>
      </c>
      <c r="E1096" s="6" t="s">
        <v>12</v>
      </c>
      <c r="F1096" s="7">
        <v>32356</v>
      </c>
      <c r="G1096" s="8">
        <f t="shared" si="17"/>
        <v>32356</v>
      </c>
      <c r="H1096" s="6" t="s">
        <v>39</v>
      </c>
      <c r="I1096" s="9" t="s">
        <v>3380</v>
      </c>
      <c r="J1096" s="10" t="s">
        <v>3380</v>
      </c>
      <c r="K1096" s="17"/>
    </row>
    <row r="1097" spans="1:11" ht="30" x14ac:dyDescent="0.25">
      <c r="A1097" s="3" t="s">
        <v>2213</v>
      </c>
      <c r="B1097" s="4" t="s">
        <v>2214</v>
      </c>
      <c r="C1097" s="14">
        <v>33537</v>
      </c>
      <c r="D1097" s="6" t="s">
        <v>37</v>
      </c>
      <c r="E1097" s="6" t="s">
        <v>38</v>
      </c>
      <c r="F1097" s="7">
        <v>38322</v>
      </c>
      <c r="G1097" s="8">
        <f t="shared" si="17"/>
        <v>38322</v>
      </c>
      <c r="H1097" s="6" t="s">
        <v>39</v>
      </c>
      <c r="I1097" s="9" t="s">
        <v>3380</v>
      </c>
      <c r="J1097" s="10" t="s">
        <v>3380</v>
      </c>
      <c r="K1097" s="17"/>
    </row>
    <row r="1098" spans="1:11" ht="30" x14ac:dyDescent="0.25">
      <c r="A1098" s="3" t="s">
        <v>2215</v>
      </c>
      <c r="B1098" s="4" t="s">
        <v>2216</v>
      </c>
      <c r="C1098" s="5">
        <v>1195</v>
      </c>
      <c r="D1098" s="6" t="s">
        <v>16</v>
      </c>
      <c r="E1098" s="6" t="s">
        <v>17</v>
      </c>
      <c r="F1098" s="7">
        <v>36356</v>
      </c>
      <c r="G1098" s="8">
        <f t="shared" si="17"/>
        <v>36356</v>
      </c>
      <c r="H1098" s="6" t="s">
        <v>13</v>
      </c>
      <c r="I1098" s="9" t="s">
        <v>3380</v>
      </c>
      <c r="J1098" s="10" t="s">
        <v>3380</v>
      </c>
      <c r="K1098" s="17"/>
    </row>
    <row r="1099" spans="1:11" ht="30" x14ac:dyDescent="0.25">
      <c r="A1099" s="3" t="s">
        <v>2217</v>
      </c>
      <c r="B1099" s="4" t="s">
        <v>2218</v>
      </c>
      <c r="C1099" s="5">
        <v>1111</v>
      </c>
      <c r="D1099" s="6" t="s">
        <v>28</v>
      </c>
      <c r="E1099" s="6" t="s">
        <v>17</v>
      </c>
      <c r="F1099" s="7">
        <v>27395</v>
      </c>
      <c r="G1099" s="8">
        <f t="shared" si="17"/>
        <v>27395</v>
      </c>
      <c r="H1099" s="6" t="s">
        <v>13</v>
      </c>
      <c r="I1099" s="9">
        <v>675938.82816540101</v>
      </c>
      <c r="J1099" s="10">
        <v>2800</v>
      </c>
      <c r="K1099" s="17"/>
    </row>
    <row r="1100" spans="1:11" ht="30" x14ac:dyDescent="0.25">
      <c r="A1100" s="3" t="s">
        <v>2219</v>
      </c>
      <c r="B1100" s="4" t="s">
        <v>2220</v>
      </c>
      <c r="C1100" s="14">
        <v>1375</v>
      </c>
      <c r="D1100" s="6" t="s">
        <v>28</v>
      </c>
      <c r="E1100" s="6" t="s">
        <v>17</v>
      </c>
      <c r="F1100" s="7">
        <v>23743</v>
      </c>
      <c r="G1100" s="8">
        <f t="shared" si="17"/>
        <v>23743</v>
      </c>
      <c r="H1100" s="6" t="s">
        <v>13</v>
      </c>
      <c r="I1100" s="9" t="s">
        <v>3380</v>
      </c>
      <c r="J1100" s="10" t="s">
        <v>3380</v>
      </c>
      <c r="K1100" s="17"/>
    </row>
    <row r="1101" spans="1:11" ht="30" x14ac:dyDescent="0.25">
      <c r="A1101" s="3" t="s">
        <v>2221</v>
      </c>
      <c r="B1101" s="4" t="s">
        <v>2222</v>
      </c>
      <c r="C1101" s="5">
        <v>52916</v>
      </c>
      <c r="D1101" s="6" t="s">
        <v>11</v>
      </c>
      <c r="E1101" s="6" t="s">
        <v>17</v>
      </c>
      <c r="F1101" s="7">
        <v>39133</v>
      </c>
      <c r="G1101" s="8">
        <f t="shared" si="17"/>
        <v>39133</v>
      </c>
      <c r="H1101" s="6" t="s">
        <v>13</v>
      </c>
      <c r="I1101" s="9" t="s">
        <v>3380</v>
      </c>
      <c r="J1101" s="10" t="s">
        <v>3380</v>
      </c>
      <c r="K1101" s="17"/>
    </row>
    <row r="1102" spans="1:11" ht="30" x14ac:dyDescent="0.25">
      <c r="A1102" s="3" t="s">
        <v>2223</v>
      </c>
      <c r="B1102" s="4" t="s">
        <v>2224</v>
      </c>
      <c r="C1102" s="5">
        <v>1581</v>
      </c>
      <c r="D1102" s="6" t="s">
        <v>31</v>
      </c>
      <c r="E1102" s="6" t="s">
        <v>17</v>
      </c>
      <c r="F1102" s="7">
        <v>25569</v>
      </c>
      <c r="G1102" s="8">
        <f t="shared" si="17"/>
        <v>25569</v>
      </c>
      <c r="H1102" s="6" t="s">
        <v>13</v>
      </c>
      <c r="I1102" s="9" t="s">
        <v>3380</v>
      </c>
      <c r="J1102" s="10" t="s">
        <v>3380</v>
      </c>
      <c r="K1102" s="17"/>
    </row>
    <row r="1103" spans="1:11" ht="30" x14ac:dyDescent="0.25">
      <c r="A1103" s="3" t="s">
        <v>2225</v>
      </c>
      <c r="B1103" s="4" t="s">
        <v>2226</v>
      </c>
      <c r="C1103" s="5">
        <v>1746</v>
      </c>
      <c r="D1103" s="6" t="s">
        <v>34</v>
      </c>
      <c r="E1103" s="6" t="s">
        <v>17</v>
      </c>
      <c r="F1103" s="7">
        <v>29221</v>
      </c>
      <c r="G1103" s="8">
        <f t="shared" si="17"/>
        <v>29221</v>
      </c>
      <c r="H1103" s="6" t="s">
        <v>13</v>
      </c>
      <c r="I1103" s="9" t="s">
        <v>3380</v>
      </c>
      <c r="J1103" s="10" t="s">
        <v>3380</v>
      </c>
      <c r="K1103" s="17"/>
    </row>
    <row r="1104" spans="1:11" ht="30" x14ac:dyDescent="0.25">
      <c r="A1104" s="3" t="s">
        <v>2227</v>
      </c>
      <c r="B1104" s="4" t="s">
        <v>2228</v>
      </c>
      <c r="C1104" s="5">
        <v>12806</v>
      </c>
      <c r="D1104" s="6" t="s">
        <v>16</v>
      </c>
      <c r="E1104" s="6" t="s">
        <v>17</v>
      </c>
      <c r="F1104" s="7">
        <v>37790</v>
      </c>
      <c r="G1104" s="8">
        <f t="shared" si="17"/>
        <v>37790</v>
      </c>
      <c r="H1104" s="6" t="s">
        <v>13</v>
      </c>
      <c r="I1104" s="9">
        <v>166793.92306779302</v>
      </c>
      <c r="J1104" s="10">
        <v>2375.2079014455699</v>
      </c>
      <c r="K1104" s="17"/>
    </row>
    <row r="1105" spans="1:11" ht="30" x14ac:dyDescent="0.25">
      <c r="A1105" s="3" t="s">
        <v>2229</v>
      </c>
      <c r="B1105" s="4" t="s">
        <v>2230</v>
      </c>
      <c r="C1105" s="14">
        <v>1426</v>
      </c>
      <c r="D1105" s="6" t="s">
        <v>16</v>
      </c>
      <c r="E1105" s="6" t="s">
        <v>17</v>
      </c>
      <c r="F1105" s="7">
        <v>29952</v>
      </c>
      <c r="G1105" s="8">
        <f t="shared" si="17"/>
        <v>29952</v>
      </c>
      <c r="H1105" s="6" t="s">
        <v>13</v>
      </c>
      <c r="I1105" s="9" t="s">
        <v>3380</v>
      </c>
      <c r="J1105" s="10" t="s">
        <v>3380</v>
      </c>
      <c r="K1105" s="17"/>
    </row>
    <row r="1106" spans="1:11" ht="30" x14ac:dyDescent="0.25">
      <c r="A1106" s="3" t="s">
        <v>2231</v>
      </c>
      <c r="B1106" s="4" t="s">
        <v>2232</v>
      </c>
      <c r="C1106" s="14">
        <v>1612</v>
      </c>
      <c r="D1106" s="6" t="s">
        <v>16</v>
      </c>
      <c r="E1106" s="6" t="s">
        <v>17</v>
      </c>
      <c r="F1106" s="7">
        <v>29952</v>
      </c>
      <c r="G1106" s="8">
        <f t="shared" si="17"/>
        <v>29952</v>
      </c>
      <c r="H1106" s="6" t="s">
        <v>13</v>
      </c>
      <c r="I1106" s="9" t="s">
        <v>3380</v>
      </c>
      <c r="J1106" s="10" t="s">
        <v>3380</v>
      </c>
      <c r="K1106" s="17"/>
    </row>
    <row r="1107" spans="1:11" ht="30" x14ac:dyDescent="0.25">
      <c r="A1107" s="3" t="s">
        <v>2233</v>
      </c>
      <c r="B1107" s="4" t="s">
        <v>2234</v>
      </c>
      <c r="C1107" s="14">
        <v>29843</v>
      </c>
      <c r="D1107" s="6" t="s">
        <v>16</v>
      </c>
      <c r="E1107" s="6" t="s">
        <v>17</v>
      </c>
      <c r="F1107" s="7">
        <v>38258</v>
      </c>
      <c r="G1107" s="8">
        <f t="shared" si="17"/>
        <v>38258</v>
      </c>
      <c r="H1107" s="6" t="s">
        <v>13</v>
      </c>
      <c r="I1107" s="9">
        <v>462275.51</v>
      </c>
      <c r="J1107" s="10">
        <v>1500</v>
      </c>
      <c r="K1107" s="17"/>
    </row>
    <row r="1108" spans="1:11" x14ac:dyDescent="0.25">
      <c r="A1108" s="18" t="s">
        <v>2235</v>
      </c>
      <c r="B1108" s="19" t="s">
        <v>2236</v>
      </c>
      <c r="C1108" s="5">
        <v>377644</v>
      </c>
      <c r="D1108" s="21" t="s">
        <v>31</v>
      </c>
      <c r="E1108" s="21" t="s">
        <v>17</v>
      </c>
      <c r="F1108" s="22">
        <v>45555</v>
      </c>
      <c r="G1108" s="23">
        <f t="shared" si="17"/>
        <v>45555</v>
      </c>
      <c r="H1108" s="21" t="s">
        <v>13</v>
      </c>
      <c r="I1108" s="9">
        <v>404226.79433188</v>
      </c>
      <c r="J1108" s="10">
        <v>700</v>
      </c>
      <c r="K1108" s="25"/>
    </row>
    <row r="1109" spans="1:11" ht="30" x14ac:dyDescent="0.25">
      <c r="A1109" s="3" t="s">
        <v>2237</v>
      </c>
      <c r="B1109" s="4" t="s">
        <v>2238</v>
      </c>
      <c r="C1109" s="5">
        <v>26257</v>
      </c>
      <c r="D1109" s="6" t="s">
        <v>28</v>
      </c>
      <c r="E1109" s="6" t="s">
        <v>17</v>
      </c>
      <c r="F1109" s="7">
        <v>36412</v>
      </c>
      <c r="G1109" s="8">
        <f t="shared" si="17"/>
        <v>36412</v>
      </c>
      <c r="H1109" s="6" t="s">
        <v>13</v>
      </c>
      <c r="I1109" s="9" t="s">
        <v>3380</v>
      </c>
      <c r="J1109" s="10" t="s">
        <v>3380</v>
      </c>
      <c r="K1109" s="17"/>
    </row>
    <row r="1110" spans="1:11" ht="30" x14ac:dyDescent="0.25">
      <c r="A1110" s="3" t="s">
        <v>2239</v>
      </c>
      <c r="B1110" s="4" t="s">
        <v>2240</v>
      </c>
      <c r="C1110" s="5">
        <v>8961</v>
      </c>
      <c r="D1110" s="6" t="s">
        <v>28</v>
      </c>
      <c r="E1110" s="6" t="s">
        <v>17</v>
      </c>
      <c r="F1110" s="7">
        <v>37712</v>
      </c>
      <c r="G1110" s="8">
        <f t="shared" si="17"/>
        <v>37712</v>
      </c>
      <c r="H1110" s="6" t="s">
        <v>13</v>
      </c>
      <c r="I1110" s="9" t="s">
        <v>3380</v>
      </c>
      <c r="J1110" s="10" t="s">
        <v>3380</v>
      </c>
      <c r="K1110" s="17"/>
    </row>
    <row r="1111" spans="1:11" ht="30" x14ac:dyDescent="0.25">
      <c r="A1111" s="3" t="s">
        <v>2241</v>
      </c>
      <c r="B1111" s="4" t="s">
        <v>2242</v>
      </c>
      <c r="C1111" s="5">
        <v>8964</v>
      </c>
      <c r="D1111" s="6" t="s">
        <v>28</v>
      </c>
      <c r="E1111" s="6" t="s">
        <v>17</v>
      </c>
      <c r="F1111" s="7">
        <v>37725</v>
      </c>
      <c r="G1111" s="8">
        <f t="shared" si="17"/>
        <v>37725</v>
      </c>
      <c r="H1111" s="6" t="s">
        <v>13</v>
      </c>
      <c r="I1111" s="9" t="s">
        <v>3380</v>
      </c>
      <c r="J1111" s="10" t="s">
        <v>3380</v>
      </c>
      <c r="K1111" s="17"/>
    </row>
    <row r="1112" spans="1:11" ht="30" x14ac:dyDescent="0.25">
      <c r="A1112" s="3" t="s">
        <v>2243</v>
      </c>
      <c r="B1112" s="4" t="s">
        <v>2244</v>
      </c>
      <c r="C1112" s="14">
        <v>1582</v>
      </c>
      <c r="D1112" s="6" t="s">
        <v>31</v>
      </c>
      <c r="E1112" s="6" t="s">
        <v>17</v>
      </c>
      <c r="F1112" s="7">
        <v>29221</v>
      </c>
      <c r="G1112" s="8">
        <f t="shared" si="17"/>
        <v>29221</v>
      </c>
      <c r="H1112" s="6" t="s">
        <v>13</v>
      </c>
      <c r="I1112" s="9" t="s">
        <v>3380</v>
      </c>
      <c r="J1112" s="10" t="s">
        <v>3380</v>
      </c>
      <c r="K1112" s="17"/>
    </row>
    <row r="1113" spans="1:11" ht="30" x14ac:dyDescent="0.25">
      <c r="A1113" s="3" t="s">
        <v>2245</v>
      </c>
      <c r="B1113" s="4" t="s">
        <v>2246</v>
      </c>
      <c r="C1113" s="5">
        <v>54697</v>
      </c>
      <c r="D1113" s="6" t="s">
        <v>31</v>
      </c>
      <c r="E1113" s="6" t="s">
        <v>17</v>
      </c>
      <c r="F1113" s="7">
        <v>35583</v>
      </c>
      <c r="G1113" s="8">
        <f t="shared" si="17"/>
        <v>35583</v>
      </c>
      <c r="H1113" s="6" t="s">
        <v>13</v>
      </c>
      <c r="I1113" s="9" t="s">
        <v>3380</v>
      </c>
      <c r="J1113" s="10" t="s">
        <v>3380</v>
      </c>
      <c r="K1113" s="17"/>
    </row>
    <row r="1114" spans="1:11" ht="30" x14ac:dyDescent="0.25">
      <c r="A1114" s="3" t="s">
        <v>2247</v>
      </c>
      <c r="B1114" s="4" t="s">
        <v>2248</v>
      </c>
      <c r="C1114" s="5">
        <v>10576</v>
      </c>
      <c r="D1114" s="6" t="s">
        <v>34</v>
      </c>
      <c r="E1114" s="6" t="s">
        <v>17</v>
      </c>
      <c r="F1114" s="7">
        <v>37006</v>
      </c>
      <c r="G1114" s="8">
        <f t="shared" si="17"/>
        <v>37006</v>
      </c>
      <c r="H1114" s="6" t="s">
        <v>13</v>
      </c>
      <c r="I1114" s="9" t="s">
        <v>3380</v>
      </c>
      <c r="J1114" s="10" t="s">
        <v>3380</v>
      </c>
      <c r="K1114" s="17"/>
    </row>
    <row r="1115" spans="1:11" ht="30" x14ac:dyDescent="0.25">
      <c r="A1115" s="3" t="s">
        <v>2249</v>
      </c>
      <c r="B1115" s="4" t="s">
        <v>2250</v>
      </c>
      <c r="C1115" s="14">
        <v>1351</v>
      </c>
      <c r="D1115" s="6" t="s">
        <v>31</v>
      </c>
      <c r="E1115" s="6" t="s">
        <v>17</v>
      </c>
      <c r="F1115" s="7">
        <v>31560</v>
      </c>
      <c r="G1115" s="8">
        <f t="shared" si="17"/>
        <v>31560</v>
      </c>
      <c r="H1115" s="6" t="s">
        <v>13</v>
      </c>
      <c r="I1115" s="9">
        <v>403029.78</v>
      </c>
      <c r="J1115" s="10">
        <v>1930</v>
      </c>
      <c r="K1115" s="17"/>
    </row>
    <row r="1116" spans="1:11" ht="30" x14ac:dyDescent="0.25">
      <c r="A1116" s="3" t="s">
        <v>2251</v>
      </c>
      <c r="B1116" s="4" t="s">
        <v>2252</v>
      </c>
      <c r="C1116" s="5">
        <v>1701</v>
      </c>
      <c r="D1116" s="6" t="s">
        <v>31</v>
      </c>
      <c r="E1116" s="6" t="s">
        <v>17</v>
      </c>
      <c r="F1116" s="7">
        <v>29952</v>
      </c>
      <c r="G1116" s="8">
        <f t="shared" si="17"/>
        <v>29952</v>
      </c>
      <c r="H1116" s="6" t="s">
        <v>13</v>
      </c>
      <c r="I1116" s="9">
        <v>544161.75</v>
      </c>
      <c r="J1116" s="10">
        <v>2560</v>
      </c>
      <c r="K1116" s="17"/>
    </row>
    <row r="1117" spans="1:11" ht="30" x14ac:dyDescent="0.25">
      <c r="A1117" s="3" t="s">
        <v>2253</v>
      </c>
      <c r="B1117" s="4" t="s">
        <v>2254</v>
      </c>
      <c r="C1117" s="14">
        <v>21761</v>
      </c>
      <c r="D1117" s="6" t="s">
        <v>11</v>
      </c>
      <c r="E1117" s="6" t="s">
        <v>12</v>
      </c>
      <c r="F1117" s="7">
        <v>31935</v>
      </c>
      <c r="G1117" s="8">
        <f t="shared" si="17"/>
        <v>31935</v>
      </c>
      <c r="H1117" s="6" t="s">
        <v>39</v>
      </c>
      <c r="I1117" s="9" t="s">
        <v>3380</v>
      </c>
      <c r="J1117" s="10" t="s">
        <v>3380</v>
      </c>
      <c r="K1117" s="17"/>
    </row>
    <row r="1118" spans="1:11" ht="30" x14ac:dyDescent="0.25">
      <c r="A1118" s="3" t="s">
        <v>2255</v>
      </c>
      <c r="B1118" s="4" t="s">
        <v>2256</v>
      </c>
      <c r="C1118" s="5">
        <v>1880</v>
      </c>
      <c r="D1118" s="6" t="s">
        <v>34</v>
      </c>
      <c r="E1118" s="6" t="s">
        <v>17</v>
      </c>
      <c r="F1118" s="7">
        <v>29952</v>
      </c>
      <c r="G1118" s="8">
        <f t="shared" si="17"/>
        <v>29952</v>
      </c>
      <c r="H1118" s="6" t="s">
        <v>13</v>
      </c>
      <c r="I1118" s="9" t="s">
        <v>3380</v>
      </c>
      <c r="J1118" s="10" t="s">
        <v>3380</v>
      </c>
      <c r="K1118" s="17"/>
    </row>
    <row r="1119" spans="1:11" ht="30" x14ac:dyDescent="0.25">
      <c r="A1119" s="3" t="s">
        <v>2257</v>
      </c>
      <c r="B1119" s="4" t="s">
        <v>2258</v>
      </c>
      <c r="C1119" s="5">
        <v>1671</v>
      </c>
      <c r="D1119" s="6" t="s">
        <v>31</v>
      </c>
      <c r="E1119" s="6" t="s">
        <v>17</v>
      </c>
      <c r="F1119" s="7">
        <v>25569</v>
      </c>
      <c r="G1119" s="8">
        <f t="shared" si="17"/>
        <v>25569</v>
      </c>
      <c r="H1119" s="6" t="s">
        <v>13</v>
      </c>
      <c r="I1119" s="9" t="s">
        <v>3380</v>
      </c>
      <c r="J1119" s="10" t="s">
        <v>3380</v>
      </c>
      <c r="K1119" s="17"/>
    </row>
    <row r="1120" spans="1:11" ht="30" x14ac:dyDescent="0.25">
      <c r="A1120" s="3" t="s">
        <v>2259</v>
      </c>
      <c r="B1120" s="4" t="s">
        <v>2260</v>
      </c>
      <c r="C1120" s="5">
        <v>9281</v>
      </c>
      <c r="D1120" s="6" t="s">
        <v>28</v>
      </c>
      <c r="E1120" s="6" t="s">
        <v>17</v>
      </c>
      <c r="F1120" s="7">
        <v>37697</v>
      </c>
      <c r="G1120" s="8">
        <f t="shared" si="17"/>
        <v>37697</v>
      </c>
      <c r="H1120" s="6" t="s">
        <v>13</v>
      </c>
      <c r="I1120" s="9" t="s">
        <v>3380</v>
      </c>
      <c r="J1120" s="10" t="s">
        <v>3380</v>
      </c>
      <c r="K1120" s="17"/>
    </row>
    <row r="1121" spans="1:11" ht="30" x14ac:dyDescent="0.25">
      <c r="A1121" s="3" t="s">
        <v>2261</v>
      </c>
      <c r="B1121" s="4" t="s">
        <v>2262</v>
      </c>
      <c r="C1121" s="5">
        <v>29825</v>
      </c>
      <c r="D1121" s="6" t="s">
        <v>31</v>
      </c>
      <c r="E1121" s="6" t="s">
        <v>17</v>
      </c>
      <c r="F1121" s="7">
        <v>25143</v>
      </c>
      <c r="G1121" s="8">
        <f t="shared" si="17"/>
        <v>25143</v>
      </c>
      <c r="H1121" s="6" t="s">
        <v>13</v>
      </c>
      <c r="I1121" s="9" t="s">
        <v>3380</v>
      </c>
      <c r="J1121" s="10" t="s">
        <v>3380</v>
      </c>
      <c r="K1121" s="17"/>
    </row>
    <row r="1122" spans="1:11" ht="30" x14ac:dyDescent="0.25">
      <c r="A1122" s="3" t="s">
        <v>2263</v>
      </c>
      <c r="B1122" s="4" t="s">
        <v>2264</v>
      </c>
      <c r="C1122" s="14">
        <v>54698</v>
      </c>
      <c r="D1122" s="6" t="s">
        <v>31</v>
      </c>
      <c r="E1122" s="6" t="s">
        <v>17</v>
      </c>
      <c r="F1122" s="7">
        <v>32492</v>
      </c>
      <c r="G1122" s="8">
        <f t="shared" si="17"/>
        <v>32492</v>
      </c>
      <c r="H1122" s="6" t="s">
        <v>13</v>
      </c>
      <c r="I1122" s="9" t="s">
        <v>3380</v>
      </c>
      <c r="J1122" s="10" t="s">
        <v>3380</v>
      </c>
      <c r="K1122" s="17"/>
    </row>
    <row r="1123" spans="1:11" x14ac:dyDescent="0.25">
      <c r="A1123" s="18" t="s">
        <v>2265</v>
      </c>
      <c r="B1123" s="19" t="s">
        <v>2266</v>
      </c>
      <c r="C1123" s="5">
        <v>15364</v>
      </c>
      <c r="D1123" s="21" t="s">
        <v>31</v>
      </c>
      <c r="E1123" s="21" t="s">
        <v>17</v>
      </c>
      <c r="F1123" s="22">
        <v>26599</v>
      </c>
      <c r="G1123" s="23">
        <f t="shared" si="17"/>
        <v>26599</v>
      </c>
      <c r="H1123" s="21" t="s">
        <v>13</v>
      </c>
      <c r="I1123" s="9" t="s">
        <v>3380</v>
      </c>
      <c r="J1123" s="10" t="s">
        <v>3380</v>
      </c>
      <c r="K1123" s="25"/>
    </row>
    <row r="1124" spans="1:11" ht="30" x14ac:dyDescent="0.25">
      <c r="A1124" s="3" t="s">
        <v>2267</v>
      </c>
      <c r="B1124" s="4" t="s">
        <v>2268</v>
      </c>
      <c r="C1124" s="5">
        <v>31361</v>
      </c>
      <c r="D1124" s="6" t="s">
        <v>31</v>
      </c>
      <c r="E1124" s="6" t="s">
        <v>17</v>
      </c>
      <c r="F1124" s="7">
        <v>26100</v>
      </c>
      <c r="G1124" s="8">
        <f t="shared" si="17"/>
        <v>26100</v>
      </c>
      <c r="H1124" s="6" t="s">
        <v>13</v>
      </c>
      <c r="I1124" s="9" t="s">
        <v>3380</v>
      </c>
      <c r="J1124" s="10" t="s">
        <v>3380</v>
      </c>
      <c r="K1124" s="17"/>
    </row>
    <row r="1125" spans="1:11" ht="30" x14ac:dyDescent="0.25">
      <c r="A1125" s="3" t="s">
        <v>2269</v>
      </c>
      <c r="B1125" s="4" t="s">
        <v>2270</v>
      </c>
      <c r="C1125" s="5">
        <v>29505</v>
      </c>
      <c r="D1125" s="6" t="s">
        <v>31</v>
      </c>
      <c r="E1125" s="6" t="s">
        <v>17</v>
      </c>
      <c r="F1125" s="7">
        <v>29517</v>
      </c>
      <c r="G1125" s="8">
        <f t="shared" si="17"/>
        <v>29517</v>
      </c>
      <c r="H1125" s="6" t="s">
        <v>13</v>
      </c>
      <c r="I1125" s="9" t="s">
        <v>3380</v>
      </c>
      <c r="J1125" s="10" t="s">
        <v>3380</v>
      </c>
      <c r="K1125" s="17"/>
    </row>
    <row r="1126" spans="1:11" x14ac:dyDescent="0.25">
      <c r="A1126" s="26" t="s">
        <v>2271</v>
      </c>
      <c r="B1126" s="27" t="s">
        <v>2272</v>
      </c>
      <c r="C1126" s="34">
        <v>54699</v>
      </c>
      <c r="D1126" s="28" t="s">
        <v>31</v>
      </c>
      <c r="E1126" s="28" t="s">
        <v>17</v>
      </c>
      <c r="F1126" s="29">
        <v>33512</v>
      </c>
      <c r="G1126" s="30">
        <f t="shared" si="17"/>
        <v>33512</v>
      </c>
      <c r="H1126" s="28" t="s">
        <v>13</v>
      </c>
      <c r="I1126" s="9" t="s">
        <v>3380</v>
      </c>
      <c r="J1126" s="10" t="s">
        <v>3380</v>
      </c>
      <c r="K1126" s="33"/>
    </row>
    <row r="1127" spans="1:11" ht="30" x14ac:dyDescent="0.25">
      <c r="A1127" s="3" t="s">
        <v>2273</v>
      </c>
      <c r="B1127" s="4" t="s">
        <v>2274</v>
      </c>
      <c r="C1127" s="14">
        <v>13121</v>
      </c>
      <c r="D1127" s="6" t="s">
        <v>31</v>
      </c>
      <c r="E1127" s="6" t="s">
        <v>17</v>
      </c>
      <c r="F1127" s="7">
        <v>32360</v>
      </c>
      <c r="G1127" s="8">
        <f t="shared" si="17"/>
        <v>32360</v>
      </c>
      <c r="H1127" s="6" t="s">
        <v>13</v>
      </c>
      <c r="I1127" s="9" t="s">
        <v>3380</v>
      </c>
      <c r="J1127" s="10" t="s">
        <v>3380</v>
      </c>
      <c r="K1127" s="17"/>
    </row>
    <row r="1128" spans="1:11" ht="30" x14ac:dyDescent="0.25">
      <c r="A1128" s="3" t="s">
        <v>2275</v>
      </c>
      <c r="B1128" s="4" t="s">
        <v>2276</v>
      </c>
      <c r="C1128" s="5">
        <v>1580</v>
      </c>
      <c r="D1128" s="6" t="s">
        <v>31</v>
      </c>
      <c r="E1128" s="6" t="s">
        <v>17</v>
      </c>
      <c r="F1128" s="7">
        <v>31058</v>
      </c>
      <c r="G1128" s="8">
        <f t="shared" si="17"/>
        <v>31058</v>
      </c>
      <c r="H1128" s="6" t="s">
        <v>13</v>
      </c>
      <c r="I1128" s="9" t="s">
        <v>3380</v>
      </c>
      <c r="J1128" s="10" t="s">
        <v>3380</v>
      </c>
      <c r="K1128" s="17"/>
    </row>
    <row r="1129" spans="1:11" ht="30" x14ac:dyDescent="0.25">
      <c r="A1129" s="3" t="s">
        <v>2277</v>
      </c>
      <c r="B1129" s="4" t="s">
        <v>2278</v>
      </c>
      <c r="C1129" s="5">
        <v>1926</v>
      </c>
      <c r="D1129" s="6" t="s">
        <v>31</v>
      </c>
      <c r="E1129" s="6" t="s">
        <v>17</v>
      </c>
      <c r="F1129" s="7">
        <v>29221</v>
      </c>
      <c r="G1129" s="8">
        <f t="shared" si="17"/>
        <v>29221</v>
      </c>
      <c r="H1129" s="6" t="s">
        <v>13</v>
      </c>
      <c r="I1129" s="9" t="s">
        <v>3380</v>
      </c>
      <c r="J1129" s="10" t="s">
        <v>3380</v>
      </c>
      <c r="K1129" s="17"/>
    </row>
    <row r="1130" spans="1:11" ht="30" x14ac:dyDescent="0.25">
      <c r="A1130" s="3" t="s">
        <v>2279</v>
      </c>
      <c r="B1130" s="4" t="s">
        <v>2280</v>
      </c>
      <c r="C1130" s="5">
        <v>15373</v>
      </c>
      <c r="D1130" s="6" t="s">
        <v>16</v>
      </c>
      <c r="E1130" s="6" t="s">
        <v>17</v>
      </c>
      <c r="F1130" s="7">
        <v>25883</v>
      </c>
      <c r="G1130" s="8">
        <f t="shared" si="17"/>
        <v>25883</v>
      </c>
      <c r="H1130" s="6" t="s">
        <v>13</v>
      </c>
      <c r="I1130" s="9" t="s">
        <v>3380</v>
      </c>
      <c r="J1130" s="10" t="s">
        <v>3380</v>
      </c>
      <c r="K1130" s="17"/>
    </row>
    <row r="1131" spans="1:11" ht="30" x14ac:dyDescent="0.25">
      <c r="A1131" s="3" t="s">
        <v>2281</v>
      </c>
      <c r="B1131" s="4" t="s">
        <v>2282</v>
      </c>
      <c r="C1131" s="5">
        <v>15691</v>
      </c>
      <c r="D1131" s="6" t="s">
        <v>31</v>
      </c>
      <c r="E1131" s="6" t="s">
        <v>17</v>
      </c>
      <c r="F1131" s="7">
        <v>26501</v>
      </c>
      <c r="G1131" s="8">
        <f t="shared" si="17"/>
        <v>26501</v>
      </c>
      <c r="H1131" s="6" t="s">
        <v>13</v>
      </c>
      <c r="I1131" s="9" t="s">
        <v>3380</v>
      </c>
      <c r="J1131" s="10" t="s">
        <v>3380</v>
      </c>
      <c r="K1131" s="17"/>
    </row>
    <row r="1132" spans="1:11" ht="30" x14ac:dyDescent="0.25">
      <c r="A1132" s="3" t="s">
        <v>2283</v>
      </c>
      <c r="B1132" s="4" t="s">
        <v>2284</v>
      </c>
      <c r="C1132" s="5">
        <v>1835</v>
      </c>
      <c r="D1132" s="6" t="s">
        <v>31</v>
      </c>
      <c r="E1132" s="6" t="s">
        <v>17</v>
      </c>
      <c r="F1132" s="7">
        <v>25569</v>
      </c>
      <c r="G1132" s="8">
        <f t="shared" si="17"/>
        <v>25569</v>
      </c>
      <c r="H1132" s="6" t="s">
        <v>13</v>
      </c>
      <c r="I1132" s="9" t="s">
        <v>3380</v>
      </c>
      <c r="J1132" s="10" t="s">
        <v>3380</v>
      </c>
      <c r="K1132" s="17"/>
    </row>
    <row r="1133" spans="1:11" x14ac:dyDescent="0.25">
      <c r="A1133" s="12" t="s">
        <v>2285</v>
      </c>
      <c r="B1133" s="4" t="s">
        <v>2286</v>
      </c>
      <c r="C1133" s="14">
        <v>2054</v>
      </c>
      <c r="D1133" s="6" t="s">
        <v>31</v>
      </c>
      <c r="E1133" s="6" t="s">
        <v>17</v>
      </c>
      <c r="F1133" s="7">
        <v>29952</v>
      </c>
      <c r="G1133" s="8">
        <f t="shared" si="17"/>
        <v>29952</v>
      </c>
      <c r="H1133" s="6" t="s">
        <v>13</v>
      </c>
      <c r="I1133" s="9">
        <v>3916588.26</v>
      </c>
      <c r="J1133" s="10">
        <v>28500</v>
      </c>
      <c r="K1133" s="17"/>
    </row>
    <row r="1134" spans="1:11" ht="30" x14ac:dyDescent="0.25">
      <c r="A1134" s="3" t="s">
        <v>2287</v>
      </c>
      <c r="B1134" s="4" t="s">
        <v>2288</v>
      </c>
      <c r="C1134" s="5">
        <v>1815</v>
      </c>
      <c r="D1134" s="6" t="s">
        <v>28</v>
      </c>
      <c r="E1134" s="6" t="s">
        <v>17</v>
      </c>
      <c r="F1134" s="7">
        <v>36510</v>
      </c>
      <c r="G1134" s="8">
        <f t="shared" si="17"/>
        <v>36510</v>
      </c>
      <c r="H1134" s="6" t="s">
        <v>13</v>
      </c>
      <c r="I1134" s="9" t="s">
        <v>3380</v>
      </c>
      <c r="J1134" s="10" t="s">
        <v>3380</v>
      </c>
      <c r="K1134" s="17"/>
    </row>
    <row r="1135" spans="1:11" x14ac:dyDescent="0.25">
      <c r="A1135" s="3" t="s">
        <v>2289</v>
      </c>
      <c r="B1135" s="4" t="s">
        <v>2290</v>
      </c>
      <c r="C1135" s="5">
        <v>54700</v>
      </c>
      <c r="D1135" s="6" t="s">
        <v>37</v>
      </c>
      <c r="E1135" s="6" t="s">
        <v>17</v>
      </c>
      <c r="F1135" s="7">
        <v>39037</v>
      </c>
      <c r="G1135" s="8">
        <f t="shared" si="17"/>
        <v>39037</v>
      </c>
      <c r="H1135" s="6" t="s">
        <v>39</v>
      </c>
      <c r="I1135" s="9" t="s">
        <v>3380</v>
      </c>
      <c r="J1135" s="10" t="s">
        <v>3380</v>
      </c>
      <c r="K1135" s="11"/>
    </row>
    <row r="1136" spans="1:11" ht="30" x14ac:dyDescent="0.25">
      <c r="A1136" s="3" t="s">
        <v>2291</v>
      </c>
      <c r="B1136" s="4" t="s">
        <v>2292</v>
      </c>
      <c r="C1136" s="5">
        <v>72124</v>
      </c>
      <c r="D1136" s="6" t="s">
        <v>11</v>
      </c>
      <c r="E1136" s="6" t="s">
        <v>17</v>
      </c>
      <c r="F1136" s="7">
        <v>39184</v>
      </c>
      <c r="G1136" s="8">
        <f t="shared" si="17"/>
        <v>39184</v>
      </c>
      <c r="H1136" s="6" t="s">
        <v>13</v>
      </c>
      <c r="I1136" s="9" t="s">
        <v>3380</v>
      </c>
      <c r="J1136" s="10" t="s">
        <v>3380</v>
      </c>
      <c r="K1136" s="17"/>
    </row>
    <row r="1137" spans="1:11" ht="30" x14ac:dyDescent="0.25">
      <c r="A1137" s="3" t="s">
        <v>2293</v>
      </c>
      <c r="B1137" s="4" t="s">
        <v>2294</v>
      </c>
      <c r="C1137" s="5">
        <v>16642</v>
      </c>
      <c r="D1137" s="6" t="s">
        <v>16</v>
      </c>
      <c r="E1137" s="6" t="s">
        <v>17</v>
      </c>
      <c r="F1137" s="7">
        <v>29007</v>
      </c>
      <c r="G1137" s="8">
        <f t="shared" si="17"/>
        <v>29007</v>
      </c>
      <c r="H1137" s="6" t="s">
        <v>13</v>
      </c>
      <c r="I1137" s="9" t="s">
        <v>3380</v>
      </c>
      <c r="J1137" s="10" t="s">
        <v>3380</v>
      </c>
      <c r="K1137" s="17"/>
    </row>
    <row r="1138" spans="1:11" ht="30" x14ac:dyDescent="0.25">
      <c r="A1138" s="3" t="s">
        <v>2295</v>
      </c>
      <c r="B1138" s="4" t="s">
        <v>2296</v>
      </c>
      <c r="C1138" s="5">
        <v>10882</v>
      </c>
      <c r="D1138" s="6" t="s">
        <v>34</v>
      </c>
      <c r="E1138" s="6" t="s">
        <v>17</v>
      </c>
      <c r="F1138" s="7">
        <v>37843</v>
      </c>
      <c r="G1138" s="8">
        <f t="shared" si="17"/>
        <v>37843</v>
      </c>
      <c r="H1138" s="6" t="s">
        <v>13</v>
      </c>
      <c r="I1138" s="9" t="s">
        <v>3380</v>
      </c>
      <c r="J1138" s="10" t="s">
        <v>3380</v>
      </c>
      <c r="K1138" s="17"/>
    </row>
    <row r="1139" spans="1:11" x14ac:dyDescent="0.25">
      <c r="A1139" s="26" t="s">
        <v>2297</v>
      </c>
      <c r="B1139" s="27" t="s">
        <v>2298</v>
      </c>
      <c r="C1139" s="34">
        <v>54702</v>
      </c>
      <c r="D1139" s="28" t="s">
        <v>16</v>
      </c>
      <c r="E1139" s="28" t="s">
        <v>17</v>
      </c>
      <c r="F1139" s="29">
        <v>39520</v>
      </c>
      <c r="G1139" s="30">
        <f t="shared" si="17"/>
        <v>39520</v>
      </c>
      <c r="H1139" s="28" t="s">
        <v>13</v>
      </c>
      <c r="I1139" s="9" t="s">
        <v>3380</v>
      </c>
      <c r="J1139" s="10" t="s">
        <v>3380</v>
      </c>
      <c r="K1139" s="33"/>
    </row>
    <row r="1140" spans="1:11" ht="30" x14ac:dyDescent="0.25">
      <c r="A1140" s="3" t="s">
        <v>2299</v>
      </c>
      <c r="B1140" s="4" t="s">
        <v>2300</v>
      </c>
      <c r="C1140" s="5">
        <v>11842</v>
      </c>
      <c r="D1140" s="6" t="s">
        <v>28</v>
      </c>
      <c r="E1140" s="6" t="s">
        <v>17</v>
      </c>
      <c r="F1140" s="7">
        <v>37978</v>
      </c>
      <c r="G1140" s="8">
        <f t="shared" si="17"/>
        <v>37978</v>
      </c>
      <c r="H1140" s="6" t="s">
        <v>13</v>
      </c>
      <c r="I1140" s="9" t="s">
        <v>3380</v>
      </c>
      <c r="J1140" s="10" t="s">
        <v>3380</v>
      </c>
      <c r="K1140" s="17"/>
    </row>
    <row r="1141" spans="1:11" ht="30" x14ac:dyDescent="0.25">
      <c r="A1141" s="3" t="s">
        <v>2301</v>
      </c>
      <c r="B1141" s="4" t="s">
        <v>2302</v>
      </c>
      <c r="C1141" s="5">
        <v>50641</v>
      </c>
      <c r="D1141" s="6" t="s">
        <v>11</v>
      </c>
      <c r="E1141" s="6" t="s">
        <v>12</v>
      </c>
      <c r="F1141" s="7">
        <v>39400</v>
      </c>
      <c r="G1141" s="8">
        <f t="shared" si="17"/>
        <v>39400</v>
      </c>
      <c r="H1141" s="6" t="s">
        <v>39</v>
      </c>
      <c r="I1141" s="9" t="s">
        <v>3380</v>
      </c>
      <c r="J1141" s="10" t="s">
        <v>3380</v>
      </c>
      <c r="K1141" s="17"/>
    </row>
    <row r="1142" spans="1:11" ht="30" x14ac:dyDescent="0.25">
      <c r="A1142" s="3" t="s">
        <v>2303</v>
      </c>
      <c r="B1142" s="4" t="s">
        <v>2304</v>
      </c>
      <c r="C1142" s="14">
        <v>23394</v>
      </c>
      <c r="D1142" s="6" t="s">
        <v>11</v>
      </c>
      <c r="E1142" s="6" t="s">
        <v>17</v>
      </c>
      <c r="F1142" s="7">
        <v>35199</v>
      </c>
      <c r="G1142" s="8">
        <f t="shared" si="17"/>
        <v>35199</v>
      </c>
      <c r="H1142" s="6" t="s">
        <v>13</v>
      </c>
      <c r="I1142" s="9" t="s">
        <v>3380</v>
      </c>
      <c r="J1142" s="10" t="s">
        <v>3380</v>
      </c>
      <c r="K1142" s="17"/>
    </row>
    <row r="1143" spans="1:11" x14ac:dyDescent="0.25">
      <c r="A1143" s="3" t="s">
        <v>2305</v>
      </c>
      <c r="B1143" s="4" t="s">
        <v>2306</v>
      </c>
      <c r="C1143" s="5">
        <v>107317</v>
      </c>
      <c r="D1143" s="6" t="s">
        <v>34</v>
      </c>
      <c r="E1143" s="6" t="s">
        <v>17</v>
      </c>
      <c r="F1143" s="7">
        <v>40655</v>
      </c>
      <c r="G1143" s="8">
        <f t="shared" si="17"/>
        <v>40655</v>
      </c>
      <c r="H1143" s="6" t="s">
        <v>13</v>
      </c>
      <c r="I1143" s="9" t="s">
        <v>3380</v>
      </c>
      <c r="J1143" s="10" t="s">
        <v>3380</v>
      </c>
      <c r="K1143" s="11"/>
    </row>
    <row r="1144" spans="1:11" ht="30" x14ac:dyDescent="0.25">
      <c r="A1144" s="3" t="s">
        <v>2307</v>
      </c>
      <c r="B1144" s="4" t="s">
        <v>2308</v>
      </c>
      <c r="C1144" s="5">
        <v>10885</v>
      </c>
      <c r="D1144" s="6" t="s">
        <v>34</v>
      </c>
      <c r="E1144" s="6" t="s">
        <v>17</v>
      </c>
      <c r="F1144" s="7">
        <v>37377</v>
      </c>
      <c r="G1144" s="8">
        <f t="shared" si="17"/>
        <v>37377</v>
      </c>
      <c r="H1144" s="6" t="s">
        <v>13</v>
      </c>
      <c r="I1144" s="9" t="s">
        <v>3380</v>
      </c>
      <c r="J1144" s="10" t="s">
        <v>3380</v>
      </c>
      <c r="K1144" s="17"/>
    </row>
    <row r="1145" spans="1:11" ht="30" x14ac:dyDescent="0.25">
      <c r="A1145" s="3" t="s">
        <v>2309</v>
      </c>
      <c r="B1145" s="4" t="s">
        <v>2310</v>
      </c>
      <c r="C1145" s="14">
        <v>54703</v>
      </c>
      <c r="D1145" s="6" t="s">
        <v>28</v>
      </c>
      <c r="E1145" s="6" t="s">
        <v>508</v>
      </c>
      <c r="F1145" s="7">
        <v>37573</v>
      </c>
      <c r="G1145" s="8">
        <f t="shared" si="17"/>
        <v>37573</v>
      </c>
      <c r="H1145" s="6" t="s">
        <v>509</v>
      </c>
      <c r="I1145" s="9" t="s">
        <v>3380</v>
      </c>
      <c r="J1145" s="10" t="s">
        <v>3380</v>
      </c>
      <c r="K1145" s="17"/>
    </row>
    <row r="1146" spans="1:11" x14ac:dyDescent="0.25">
      <c r="A1146" s="26" t="s">
        <v>2311</v>
      </c>
      <c r="B1146" s="27" t="s">
        <v>2312</v>
      </c>
      <c r="C1146" s="5">
        <v>1588</v>
      </c>
      <c r="D1146" s="28" t="s">
        <v>34</v>
      </c>
      <c r="E1146" s="28" t="s">
        <v>17</v>
      </c>
      <c r="F1146" s="29">
        <v>29221</v>
      </c>
      <c r="G1146" s="30">
        <f t="shared" si="17"/>
        <v>29221</v>
      </c>
      <c r="H1146" s="28" t="s">
        <v>13</v>
      </c>
      <c r="I1146" s="9" t="s">
        <v>3380</v>
      </c>
      <c r="J1146" s="10" t="s">
        <v>3380</v>
      </c>
      <c r="K1146" s="33"/>
    </row>
    <row r="1147" spans="1:11" ht="30" x14ac:dyDescent="0.25">
      <c r="A1147" s="18" t="s">
        <v>2313</v>
      </c>
      <c r="B1147" s="19" t="s">
        <v>2314</v>
      </c>
      <c r="C1147" s="5">
        <v>54704</v>
      </c>
      <c r="D1147" s="21" t="s">
        <v>11</v>
      </c>
      <c r="E1147" s="21" t="s">
        <v>17</v>
      </c>
      <c r="F1147" s="22">
        <v>38871</v>
      </c>
      <c r="G1147" s="8">
        <f t="shared" si="17"/>
        <v>38871</v>
      </c>
      <c r="H1147" s="21" t="s">
        <v>13</v>
      </c>
      <c r="I1147" s="9" t="s">
        <v>3380</v>
      </c>
      <c r="J1147" s="10" t="s">
        <v>3380</v>
      </c>
      <c r="K1147" s="17"/>
    </row>
    <row r="1148" spans="1:11" ht="30" x14ac:dyDescent="0.25">
      <c r="A1148" s="3" t="s">
        <v>2315</v>
      </c>
      <c r="B1148" s="4" t="s">
        <v>2316</v>
      </c>
      <c r="C1148" s="5">
        <v>1334</v>
      </c>
      <c r="D1148" s="6" t="s">
        <v>31</v>
      </c>
      <c r="E1148" s="6" t="s">
        <v>17</v>
      </c>
      <c r="F1148" s="7">
        <v>31048</v>
      </c>
      <c r="G1148" s="8">
        <f t="shared" si="17"/>
        <v>31048</v>
      </c>
      <c r="H1148" s="6" t="s">
        <v>13</v>
      </c>
      <c r="I1148" s="9" t="s">
        <v>3380</v>
      </c>
      <c r="J1148" s="10" t="s">
        <v>3380</v>
      </c>
      <c r="K1148" s="17"/>
    </row>
    <row r="1149" spans="1:11" ht="30" x14ac:dyDescent="0.25">
      <c r="A1149" s="3" t="s">
        <v>2317</v>
      </c>
      <c r="B1149" s="4" t="s">
        <v>2318</v>
      </c>
      <c r="C1149" s="5">
        <v>1184</v>
      </c>
      <c r="D1149" s="6" t="s">
        <v>16</v>
      </c>
      <c r="E1149" s="6" t="s">
        <v>17</v>
      </c>
      <c r="F1149" s="7">
        <v>31048</v>
      </c>
      <c r="G1149" s="8">
        <f t="shared" si="17"/>
        <v>31048</v>
      </c>
      <c r="H1149" s="6" t="s">
        <v>13</v>
      </c>
      <c r="I1149" s="9" t="s">
        <v>3380</v>
      </c>
      <c r="J1149" s="10" t="s">
        <v>3380</v>
      </c>
      <c r="K1149" s="17"/>
    </row>
    <row r="1150" spans="1:11" ht="30" x14ac:dyDescent="0.25">
      <c r="A1150" s="3" t="s">
        <v>2319</v>
      </c>
      <c r="B1150" s="4" t="s">
        <v>2320</v>
      </c>
      <c r="C1150" s="5">
        <v>1167</v>
      </c>
      <c r="D1150" s="6" t="s">
        <v>34</v>
      </c>
      <c r="E1150" s="6" t="s">
        <v>17</v>
      </c>
      <c r="F1150" s="7">
        <v>29221</v>
      </c>
      <c r="G1150" s="8">
        <f t="shared" si="17"/>
        <v>29221</v>
      </c>
      <c r="H1150" s="6" t="s">
        <v>13</v>
      </c>
      <c r="I1150" s="9" t="s">
        <v>3380</v>
      </c>
      <c r="J1150" s="10" t="s">
        <v>3380</v>
      </c>
      <c r="K1150" s="17"/>
    </row>
    <row r="1151" spans="1:11" ht="30" x14ac:dyDescent="0.25">
      <c r="A1151" s="3" t="s">
        <v>2321</v>
      </c>
      <c r="B1151" s="4" t="s">
        <v>2322</v>
      </c>
      <c r="C1151" s="5">
        <v>54705</v>
      </c>
      <c r="D1151" s="6" t="s">
        <v>16</v>
      </c>
      <c r="E1151" s="6" t="s">
        <v>17</v>
      </c>
      <c r="F1151" s="7">
        <v>38240</v>
      </c>
      <c r="G1151" s="8">
        <f t="shared" si="17"/>
        <v>38240</v>
      </c>
      <c r="H1151" s="6" t="s">
        <v>13</v>
      </c>
      <c r="I1151" s="9" t="s">
        <v>3380</v>
      </c>
      <c r="J1151" s="10" t="s">
        <v>3380</v>
      </c>
      <c r="K1151" s="17"/>
    </row>
    <row r="1152" spans="1:11" ht="30" x14ac:dyDescent="0.25">
      <c r="A1152" s="3" t="s">
        <v>2323</v>
      </c>
      <c r="B1152" s="4" t="s">
        <v>2324</v>
      </c>
      <c r="C1152" s="5">
        <v>12816</v>
      </c>
      <c r="D1152" s="6" t="s">
        <v>16</v>
      </c>
      <c r="E1152" s="6" t="s">
        <v>17</v>
      </c>
      <c r="F1152" s="7">
        <v>38084</v>
      </c>
      <c r="G1152" s="8">
        <f t="shared" si="17"/>
        <v>38084</v>
      </c>
      <c r="H1152" s="6" t="s">
        <v>13</v>
      </c>
      <c r="I1152" s="9" t="s">
        <v>3380</v>
      </c>
      <c r="J1152" s="10" t="s">
        <v>3380</v>
      </c>
      <c r="K1152" s="17"/>
    </row>
    <row r="1153" spans="1:11" ht="30" x14ac:dyDescent="0.25">
      <c r="A1153" s="3" t="s">
        <v>2325</v>
      </c>
      <c r="B1153" s="4" t="s">
        <v>2326</v>
      </c>
      <c r="C1153" s="14">
        <v>1420</v>
      </c>
      <c r="D1153" s="6" t="s">
        <v>34</v>
      </c>
      <c r="E1153" s="6" t="s">
        <v>17</v>
      </c>
      <c r="F1153" s="7">
        <v>29952</v>
      </c>
      <c r="G1153" s="8">
        <f t="shared" si="17"/>
        <v>29952</v>
      </c>
      <c r="H1153" s="6" t="s">
        <v>13</v>
      </c>
      <c r="I1153" s="9">
        <v>437539.28</v>
      </c>
      <c r="J1153" s="10">
        <v>3500</v>
      </c>
      <c r="K1153" s="17"/>
    </row>
    <row r="1154" spans="1:11" ht="30" x14ac:dyDescent="0.25">
      <c r="A1154" s="3" t="s">
        <v>2327</v>
      </c>
      <c r="B1154" s="4" t="s">
        <v>2328</v>
      </c>
      <c r="C1154" s="5">
        <v>1250</v>
      </c>
      <c r="D1154" s="6" t="s">
        <v>28</v>
      </c>
      <c r="E1154" s="6" t="s">
        <v>17</v>
      </c>
      <c r="F1154" s="7">
        <v>31778</v>
      </c>
      <c r="G1154" s="8">
        <f t="shared" ref="G1154:G1217" si="18">F1154</f>
        <v>31778</v>
      </c>
      <c r="H1154" s="6" t="s">
        <v>13</v>
      </c>
      <c r="I1154" s="9" t="s">
        <v>3380</v>
      </c>
      <c r="J1154" s="10" t="s">
        <v>3380</v>
      </c>
      <c r="K1154" s="17"/>
    </row>
    <row r="1155" spans="1:11" ht="30" x14ac:dyDescent="0.25">
      <c r="A1155" s="3" t="s">
        <v>2329</v>
      </c>
      <c r="B1155" s="4" t="s">
        <v>2330</v>
      </c>
      <c r="C1155" s="14">
        <v>54706</v>
      </c>
      <c r="D1155" s="6" t="s">
        <v>31</v>
      </c>
      <c r="E1155" s="6" t="s">
        <v>17</v>
      </c>
      <c r="F1155" s="7">
        <v>32766</v>
      </c>
      <c r="G1155" s="8">
        <f t="shared" si="18"/>
        <v>32766</v>
      </c>
      <c r="H1155" s="6" t="s">
        <v>13</v>
      </c>
      <c r="I1155" s="9" t="s">
        <v>3380</v>
      </c>
      <c r="J1155" s="10" t="s">
        <v>3380</v>
      </c>
      <c r="K1155" s="17"/>
    </row>
    <row r="1156" spans="1:11" ht="30" x14ac:dyDescent="0.25">
      <c r="A1156" s="3" t="s">
        <v>2331</v>
      </c>
      <c r="B1156" s="4" t="s">
        <v>2332</v>
      </c>
      <c r="C1156" s="5">
        <v>1198</v>
      </c>
      <c r="D1156" s="6" t="s">
        <v>16</v>
      </c>
      <c r="E1156" s="6" t="s">
        <v>17</v>
      </c>
      <c r="F1156" s="7">
        <v>29221</v>
      </c>
      <c r="G1156" s="8">
        <f t="shared" si="18"/>
        <v>29221</v>
      </c>
      <c r="H1156" s="6" t="s">
        <v>13</v>
      </c>
      <c r="I1156" s="9" t="s">
        <v>3380</v>
      </c>
      <c r="J1156" s="10" t="s">
        <v>3380</v>
      </c>
      <c r="K1156" s="17"/>
    </row>
    <row r="1157" spans="1:11" ht="30" x14ac:dyDescent="0.25">
      <c r="A1157" s="3" t="s">
        <v>2333</v>
      </c>
      <c r="B1157" s="4" t="s">
        <v>2334</v>
      </c>
      <c r="C1157" s="5">
        <v>1243</v>
      </c>
      <c r="D1157" s="6" t="s">
        <v>28</v>
      </c>
      <c r="E1157" s="6" t="s">
        <v>17</v>
      </c>
      <c r="F1157" s="7">
        <v>35065</v>
      </c>
      <c r="G1157" s="8">
        <f t="shared" si="18"/>
        <v>35065</v>
      </c>
      <c r="H1157" s="6" t="s">
        <v>13</v>
      </c>
      <c r="I1157" s="9" t="s">
        <v>3380</v>
      </c>
      <c r="J1157" s="10" t="s">
        <v>3380</v>
      </c>
      <c r="K1157" s="17"/>
    </row>
    <row r="1158" spans="1:11" ht="30" x14ac:dyDescent="0.25">
      <c r="A1158" s="3" t="s">
        <v>2335</v>
      </c>
      <c r="B1158" s="4" t="s">
        <v>2336</v>
      </c>
      <c r="C1158" s="5">
        <v>1551</v>
      </c>
      <c r="D1158" s="6" t="s">
        <v>28</v>
      </c>
      <c r="E1158" s="6" t="s">
        <v>17</v>
      </c>
      <c r="F1158" s="7">
        <v>32874</v>
      </c>
      <c r="G1158" s="8">
        <f t="shared" si="18"/>
        <v>32874</v>
      </c>
      <c r="H1158" s="6" t="s">
        <v>13</v>
      </c>
      <c r="I1158" s="9" t="s">
        <v>3380</v>
      </c>
      <c r="J1158" s="10" t="s">
        <v>3380</v>
      </c>
      <c r="K1158" s="17"/>
    </row>
    <row r="1159" spans="1:11" x14ac:dyDescent="0.25">
      <c r="A1159" s="3" t="s">
        <v>2337</v>
      </c>
      <c r="B1159" s="4" t="s">
        <v>2338</v>
      </c>
      <c r="C1159" s="5">
        <v>1587</v>
      </c>
      <c r="D1159" s="6" t="s">
        <v>34</v>
      </c>
      <c r="E1159" s="6" t="s">
        <v>17</v>
      </c>
      <c r="F1159" s="7">
        <v>18264</v>
      </c>
      <c r="G1159" s="8">
        <f t="shared" si="18"/>
        <v>18264</v>
      </c>
      <c r="H1159" s="6" t="s">
        <v>13</v>
      </c>
      <c r="I1159" s="9" t="s">
        <v>3380</v>
      </c>
      <c r="J1159" s="10" t="s">
        <v>3380</v>
      </c>
      <c r="K1159" s="11"/>
    </row>
    <row r="1160" spans="1:11" ht="30" x14ac:dyDescent="0.25">
      <c r="A1160" s="3" t="s">
        <v>2339</v>
      </c>
      <c r="B1160" s="4" t="s">
        <v>2340</v>
      </c>
      <c r="C1160" s="5">
        <v>1663</v>
      </c>
      <c r="D1160" s="6" t="s">
        <v>16</v>
      </c>
      <c r="E1160" s="6" t="s">
        <v>17</v>
      </c>
      <c r="F1160" s="7">
        <v>36607</v>
      </c>
      <c r="G1160" s="8">
        <f t="shared" si="18"/>
        <v>36607</v>
      </c>
      <c r="H1160" s="6" t="s">
        <v>13</v>
      </c>
      <c r="I1160" s="9" t="s">
        <v>3380</v>
      </c>
      <c r="J1160" s="10" t="s">
        <v>3380</v>
      </c>
      <c r="K1160" s="17"/>
    </row>
    <row r="1161" spans="1:11" ht="30" x14ac:dyDescent="0.25">
      <c r="A1161" s="3" t="s">
        <v>2341</v>
      </c>
      <c r="B1161" s="4" t="s">
        <v>2342</v>
      </c>
      <c r="C1161" s="14">
        <v>19208</v>
      </c>
      <c r="D1161" s="6" t="s">
        <v>16</v>
      </c>
      <c r="E1161" s="6" t="s">
        <v>17</v>
      </c>
      <c r="F1161" s="7">
        <v>31453</v>
      </c>
      <c r="G1161" s="8">
        <f t="shared" si="18"/>
        <v>31453</v>
      </c>
      <c r="H1161" s="6" t="s">
        <v>13</v>
      </c>
      <c r="I1161" s="9">
        <v>79500</v>
      </c>
      <c r="J1161" s="10">
        <v>721.52366894842396</v>
      </c>
      <c r="K1161" s="17"/>
    </row>
    <row r="1162" spans="1:11" ht="30" x14ac:dyDescent="0.25">
      <c r="A1162" s="3" t="s">
        <v>2343</v>
      </c>
      <c r="B1162" s="4" t="s">
        <v>2344</v>
      </c>
      <c r="C1162" s="5">
        <v>18883</v>
      </c>
      <c r="D1162" s="6" t="s">
        <v>16</v>
      </c>
      <c r="E1162" s="6" t="s">
        <v>17</v>
      </c>
      <c r="F1162" s="7">
        <v>32701</v>
      </c>
      <c r="G1162" s="8">
        <f t="shared" si="18"/>
        <v>32701</v>
      </c>
      <c r="H1162" s="6" t="s">
        <v>13</v>
      </c>
      <c r="I1162" s="9" t="s">
        <v>3380</v>
      </c>
      <c r="J1162" s="10" t="s">
        <v>3380</v>
      </c>
      <c r="K1162" s="17"/>
    </row>
    <row r="1163" spans="1:11" ht="30" x14ac:dyDescent="0.25">
      <c r="A1163" s="3" t="s">
        <v>2345</v>
      </c>
      <c r="B1163" s="4" t="s">
        <v>2346</v>
      </c>
      <c r="C1163" s="5">
        <v>1502</v>
      </c>
      <c r="D1163" s="6" t="s">
        <v>28</v>
      </c>
      <c r="E1163" s="6" t="s">
        <v>17</v>
      </c>
      <c r="F1163" s="7">
        <v>18264</v>
      </c>
      <c r="G1163" s="8">
        <f t="shared" si="18"/>
        <v>18264</v>
      </c>
      <c r="H1163" s="6" t="s">
        <v>13</v>
      </c>
      <c r="I1163" s="9" t="s">
        <v>3380</v>
      </c>
      <c r="J1163" s="10" t="s">
        <v>3380</v>
      </c>
      <c r="K1163" s="17"/>
    </row>
    <row r="1164" spans="1:11" ht="30" x14ac:dyDescent="0.25">
      <c r="A1164" s="3" t="s">
        <v>2347</v>
      </c>
      <c r="B1164" s="4" t="s">
        <v>2348</v>
      </c>
      <c r="C1164" s="5">
        <v>1495</v>
      </c>
      <c r="D1164" s="6" t="s">
        <v>28</v>
      </c>
      <c r="E1164" s="6" t="s">
        <v>17</v>
      </c>
      <c r="F1164" s="7">
        <v>29221</v>
      </c>
      <c r="G1164" s="8">
        <f t="shared" si="18"/>
        <v>29221</v>
      </c>
      <c r="H1164" s="6" t="s">
        <v>13</v>
      </c>
      <c r="I1164" s="9">
        <v>426181.48000000004</v>
      </c>
      <c r="J1164" s="10">
        <v>1600</v>
      </c>
      <c r="K1164" s="17"/>
    </row>
    <row r="1165" spans="1:11" ht="30" x14ac:dyDescent="0.25">
      <c r="A1165" s="3" t="s">
        <v>2349</v>
      </c>
      <c r="B1165" s="4" t="s">
        <v>2350</v>
      </c>
      <c r="C1165" s="5">
        <v>21445</v>
      </c>
      <c r="D1165" s="6" t="s">
        <v>28</v>
      </c>
      <c r="E1165" s="6" t="s">
        <v>17</v>
      </c>
      <c r="F1165" s="7">
        <v>38958</v>
      </c>
      <c r="G1165" s="8">
        <f t="shared" si="18"/>
        <v>38958</v>
      </c>
      <c r="H1165" s="6" t="s">
        <v>13</v>
      </c>
      <c r="I1165" s="9" t="s">
        <v>3380</v>
      </c>
      <c r="J1165" s="10" t="s">
        <v>3380</v>
      </c>
      <c r="K1165" s="17"/>
    </row>
    <row r="1166" spans="1:11" ht="30" x14ac:dyDescent="0.25">
      <c r="A1166" s="3" t="s">
        <v>2351</v>
      </c>
      <c r="B1166" s="4" t="s">
        <v>2352</v>
      </c>
      <c r="C1166" s="5">
        <v>1937</v>
      </c>
      <c r="D1166" s="6" t="s">
        <v>34</v>
      </c>
      <c r="E1166" s="6" t="s">
        <v>17</v>
      </c>
      <c r="F1166" s="7">
        <v>36395</v>
      </c>
      <c r="G1166" s="8">
        <f t="shared" si="18"/>
        <v>36395</v>
      </c>
      <c r="H1166" s="6" t="s">
        <v>13</v>
      </c>
      <c r="I1166" s="9" t="s">
        <v>3380</v>
      </c>
      <c r="J1166" s="10" t="s">
        <v>3380</v>
      </c>
      <c r="K1166" s="17"/>
    </row>
    <row r="1167" spans="1:11" ht="30" x14ac:dyDescent="0.25">
      <c r="A1167" s="3" t="s">
        <v>2353</v>
      </c>
      <c r="B1167" s="4" t="s">
        <v>2354</v>
      </c>
      <c r="C1167" s="5">
        <v>1853</v>
      </c>
      <c r="D1167" s="6" t="s">
        <v>16</v>
      </c>
      <c r="E1167" s="6" t="s">
        <v>17</v>
      </c>
      <c r="F1167" s="7">
        <v>31048</v>
      </c>
      <c r="G1167" s="8">
        <f t="shared" si="18"/>
        <v>31048</v>
      </c>
      <c r="H1167" s="6" t="s">
        <v>13</v>
      </c>
      <c r="I1167" s="9" t="s">
        <v>3380</v>
      </c>
      <c r="J1167" s="10" t="s">
        <v>3380</v>
      </c>
      <c r="K1167" s="17"/>
    </row>
    <row r="1168" spans="1:11" ht="30" x14ac:dyDescent="0.25">
      <c r="A1168" s="3" t="s">
        <v>2355</v>
      </c>
      <c r="B1168" s="4" t="s">
        <v>2356</v>
      </c>
      <c r="C1168" s="5">
        <v>1669</v>
      </c>
      <c r="D1168" s="6" t="s">
        <v>31</v>
      </c>
      <c r="E1168" s="6" t="s">
        <v>17</v>
      </c>
      <c r="F1168" s="7">
        <v>18264</v>
      </c>
      <c r="G1168" s="8">
        <f t="shared" si="18"/>
        <v>18264</v>
      </c>
      <c r="H1168" s="6" t="s">
        <v>13</v>
      </c>
      <c r="I1168" s="9" t="s">
        <v>3380</v>
      </c>
      <c r="J1168" s="10" t="s">
        <v>3380</v>
      </c>
      <c r="K1168" s="17"/>
    </row>
    <row r="1169" spans="1:11" ht="30" x14ac:dyDescent="0.25">
      <c r="A1169" s="3" t="s">
        <v>2357</v>
      </c>
      <c r="B1169" s="4" t="s">
        <v>2358</v>
      </c>
      <c r="C1169" s="5">
        <v>1451</v>
      </c>
      <c r="D1169" s="6" t="s">
        <v>31</v>
      </c>
      <c r="E1169" s="6" t="s">
        <v>17</v>
      </c>
      <c r="F1169" s="7">
        <v>19725</v>
      </c>
      <c r="G1169" s="8">
        <f t="shared" si="18"/>
        <v>19725</v>
      </c>
      <c r="H1169" s="6" t="s">
        <v>13</v>
      </c>
      <c r="I1169" s="9" t="s">
        <v>3380</v>
      </c>
      <c r="J1169" s="10" t="s">
        <v>3380</v>
      </c>
      <c r="K1169" s="17"/>
    </row>
    <row r="1170" spans="1:11" ht="30" x14ac:dyDescent="0.25">
      <c r="A1170" s="3" t="s">
        <v>2359</v>
      </c>
      <c r="B1170" s="4" t="s">
        <v>2360</v>
      </c>
      <c r="C1170" s="5">
        <v>2246</v>
      </c>
      <c r="D1170" s="6" t="s">
        <v>31</v>
      </c>
      <c r="E1170" s="6" t="s">
        <v>17</v>
      </c>
      <c r="F1170" s="7">
        <v>37054</v>
      </c>
      <c r="G1170" s="8">
        <f t="shared" si="18"/>
        <v>37054</v>
      </c>
      <c r="H1170" s="6" t="s">
        <v>13</v>
      </c>
      <c r="I1170" s="9" t="s">
        <v>3380</v>
      </c>
      <c r="J1170" s="10" t="s">
        <v>3380</v>
      </c>
      <c r="K1170" s="17"/>
    </row>
    <row r="1171" spans="1:11" ht="30" x14ac:dyDescent="0.25">
      <c r="A1171" s="3" t="s">
        <v>2361</v>
      </c>
      <c r="B1171" s="4" t="s">
        <v>2362</v>
      </c>
      <c r="C1171" s="5">
        <v>72100</v>
      </c>
      <c r="D1171" s="6" t="s">
        <v>37</v>
      </c>
      <c r="E1171" s="6" t="s">
        <v>38</v>
      </c>
      <c r="F1171" s="7">
        <v>39003</v>
      </c>
      <c r="G1171" s="8">
        <f t="shared" si="18"/>
        <v>39003</v>
      </c>
      <c r="H1171" s="6" t="s">
        <v>39</v>
      </c>
      <c r="I1171" s="9" t="s">
        <v>3380</v>
      </c>
      <c r="J1171" s="10" t="s">
        <v>3380</v>
      </c>
      <c r="K1171" s="17"/>
    </row>
    <row r="1172" spans="1:11" x14ac:dyDescent="0.25">
      <c r="A1172" s="26" t="s">
        <v>2363</v>
      </c>
      <c r="B1172" s="27" t="s">
        <v>2364</v>
      </c>
      <c r="C1172" s="5">
        <v>1832</v>
      </c>
      <c r="D1172" s="28" t="s">
        <v>31</v>
      </c>
      <c r="E1172" s="28" t="s">
        <v>17</v>
      </c>
      <c r="F1172" s="29">
        <v>32070</v>
      </c>
      <c r="G1172" s="30">
        <f t="shared" si="18"/>
        <v>32070</v>
      </c>
      <c r="H1172" s="28" t="s">
        <v>13</v>
      </c>
      <c r="I1172" s="9" t="s">
        <v>3380</v>
      </c>
      <c r="J1172" s="10" t="s">
        <v>3380</v>
      </c>
      <c r="K1172" s="33"/>
    </row>
    <row r="1173" spans="1:11" ht="30" x14ac:dyDescent="0.25">
      <c r="A1173" s="3" t="s">
        <v>2365</v>
      </c>
      <c r="B1173" s="4" t="s">
        <v>2366</v>
      </c>
      <c r="C1173" s="5">
        <v>1921</v>
      </c>
      <c r="D1173" s="6" t="s">
        <v>31</v>
      </c>
      <c r="E1173" s="6" t="s">
        <v>17</v>
      </c>
      <c r="F1173" s="7">
        <v>36945</v>
      </c>
      <c r="G1173" s="8">
        <f t="shared" si="18"/>
        <v>36945</v>
      </c>
      <c r="H1173" s="6" t="s">
        <v>13</v>
      </c>
      <c r="I1173" s="9" t="s">
        <v>3380</v>
      </c>
      <c r="J1173" s="10" t="s">
        <v>3380</v>
      </c>
      <c r="K1173" s="17"/>
    </row>
    <row r="1174" spans="1:11" x14ac:dyDescent="0.25">
      <c r="A1174" s="3" t="s">
        <v>2367</v>
      </c>
      <c r="B1174" s="4" t="s">
        <v>2368</v>
      </c>
      <c r="C1174" s="14">
        <v>39745</v>
      </c>
      <c r="D1174" s="6" t="s">
        <v>37</v>
      </c>
      <c r="E1174" s="6" t="s">
        <v>38</v>
      </c>
      <c r="F1174" s="7">
        <v>36903</v>
      </c>
      <c r="G1174" s="8">
        <f t="shared" si="18"/>
        <v>36903</v>
      </c>
      <c r="H1174" s="6" t="s">
        <v>39</v>
      </c>
      <c r="I1174" s="9" t="s">
        <v>3380</v>
      </c>
      <c r="J1174" s="10" t="s">
        <v>3380</v>
      </c>
      <c r="K1174" s="11"/>
    </row>
    <row r="1175" spans="1:11" ht="30" x14ac:dyDescent="0.25">
      <c r="A1175" s="3" t="s">
        <v>2369</v>
      </c>
      <c r="B1175" s="4" t="s">
        <v>2370</v>
      </c>
      <c r="C1175" s="5">
        <v>12494</v>
      </c>
      <c r="D1175" s="6" t="s">
        <v>37</v>
      </c>
      <c r="E1175" s="6" t="s">
        <v>38</v>
      </c>
      <c r="F1175" s="7">
        <v>37425</v>
      </c>
      <c r="G1175" s="8">
        <f t="shared" si="18"/>
        <v>37425</v>
      </c>
      <c r="H1175" s="6" t="s">
        <v>39</v>
      </c>
      <c r="I1175" s="9" t="s">
        <v>3380</v>
      </c>
      <c r="J1175" s="10" t="s">
        <v>3380</v>
      </c>
      <c r="K1175" s="17"/>
    </row>
    <row r="1176" spans="1:11" ht="30" x14ac:dyDescent="0.25">
      <c r="A1176" s="3" t="s">
        <v>2371</v>
      </c>
      <c r="B1176" s="4" t="s">
        <v>2372</v>
      </c>
      <c r="C1176" s="5">
        <v>1845</v>
      </c>
      <c r="D1176" s="6" t="s">
        <v>31</v>
      </c>
      <c r="E1176" s="6" t="s">
        <v>17</v>
      </c>
      <c r="F1176" s="7">
        <v>31048</v>
      </c>
      <c r="G1176" s="8">
        <f t="shared" si="18"/>
        <v>31048</v>
      </c>
      <c r="H1176" s="6" t="s">
        <v>13</v>
      </c>
      <c r="I1176" s="9" t="s">
        <v>3380</v>
      </c>
      <c r="J1176" s="10" t="s">
        <v>3380</v>
      </c>
      <c r="K1176" s="17"/>
    </row>
    <row r="1177" spans="1:11" ht="30" x14ac:dyDescent="0.25">
      <c r="A1177" s="3" t="s">
        <v>2373</v>
      </c>
      <c r="B1177" s="4" t="s">
        <v>2374</v>
      </c>
      <c r="C1177" s="14">
        <v>1843</v>
      </c>
      <c r="D1177" s="6" t="s">
        <v>31</v>
      </c>
      <c r="E1177" s="6" t="s">
        <v>17</v>
      </c>
      <c r="F1177" s="7">
        <v>33055</v>
      </c>
      <c r="G1177" s="8">
        <f t="shared" si="18"/>
        <v>33055</v>
      </c>
      <c r="H1177" s="6" t="s">
        <v>13</v>
      </c>
      <c r="I1177" s="9" t="s">
        <v>3380</v>
      </c>
      <c r="J1177" s="10" t="s">
        <v>3380</v>
      </c>
      <c r="K1177" s="17"/>
    </row>
    <row r="1178" spans="1:11" ht="30" x14ac:dyDescent="0.25">
      <c r="A1178" s="3" t="s">
        <v>2375</v>
      </c>
      <c r="B1178" s="4" t="s">
        <v>2376</v>
      </c>
      <c r="C1178" s="5">
        <v>1180</v>
      </c>
      <c r="D1178" s="6" t="s">
        <v>31</v>
      </c>
      <c r="E1178" s="6" t="s">
        <v>17</v>
      </c>
      <c r="F1178" s="7">
        <v>32874</v>
      </c>
      <c r="G1178" s="8">
        <f t="shared" si="18"/>
        <v>32874</v>
      </c>
      <c r="H1178" s="6" t="s">
        <v>13</v>
      </c>
      <c r="I1178" s="9" t="s">
        <v>3380</v>
      </c>
      <c r="J1178" s="10" t="s">
        <v>3380</v>
      </c>
      <c r="K1178" s="17"/>
    </row>
    <row r="1179" spans="1:11" ht="30" x14ac:dyDescent="0.25">
      <c r="A1179" s="3" t="s">
        <v>2377</v>
      </c>
      <c r="B1179" s="4" t="s">
        <v>2378</v>
      </c>
      <c r="C1179" s="14">
        <v>53843</v>
      </c>
      <c r="D1179" s="6" t="s">
        <v>34</v>
      </c>
      <c r="E1179" s="6" t="s">
        <v>17</v>
      </c>
      <c r="F1179" s="7">
        <v>37196</v>
      </c>
      <c r="G1179" s="8">
        <f t="shared" si="18"/>
        <v>37196</v>
      </c>
      <c r="H1179" s="6" t="s">
        <v>13</v>
      </c>
      <c r="I1179" s="9" t="s">
        <v>3380</v>
      </c>
      <c r="J1179" s="10" t="s">
        <v>3380</v>
      </c>
      <c r="K1179" s="17"/>
    </row>
    <row r="1180" spans="1:11" ht="30" x14ac:dyDescent="0.25">
      <c r="A1180" s="3" t="s">
        <v>2379</v>
      </c>
      <c r="B1180" s="4" t="s">
        <v>2380</v>
      </c>
      <c r="C1180" s="5">
        <v>15372</v>
      </c>
      <c r="D1180" s="6" t="s">
        <v>34</v>
      </c>
      <c r="E1180" s="6" t="s">
        <v>17</v>
      </c>
      <c r="F1180" s="7">
        <v>37196</v>
      </c>
      <c r="G1180" s="8">
        <f t="shared" si="18"/>
        <v>37196</v>
      </c>
      <c r="H1180" s="6" t="s">
        <v>13</v>
      </c>
      <c r="I1180" s="9" t="s">
        <v>3380</v>
      </c>
      <c r="J1180" s="10" t="s">
        <v>3380</v>
      </c>
      <c r="K1180" s="17"/>
    </row>
    <row r="1181" spans="1:11" ht="30" x14ac:dyDescent="0.25">
      <c r="A1181" s="3" t="s">
        <v>2381</v>
      </c>
      <c r="B1181" s="4" t="s">
        <v>2382</v>
      </c>
      <c r="C1181" s="5">
        <v>15370</v>
      </c>
      <c r="D1181" s="6" t="s">
        <v>34</v>
      </c>
      <c r="E1181" s="6" t="s">
        <v>17</v>
      </c>
      <c r="F1181" s="7">
        <v>37196</v>
      </c>
      <c r="G1181" s="8">
        <f t="shared" si="18"/>
        <v>37196</v>
      </c>
      <c r="H1181" s="6" t="s">
        <v>13</v>
      </c>
      <c r="I1181" s="9" t="s">
        <v>3380</v>
      </c>
      <c r="J1181" s="10" t="s">
        <v>3380</v>
      </c>
      <c r="K1181" s="17"/>
    </row>
    <row r="1182" spans="1:11" x14ac:dyDescent="0.25">
      <c r="A1182" s="18" t="s">
        <v>2383</v>
      </c>
      <c r="B1182" s="19" t="s">
        <v>2384</v>
      </c>
      <c r="C1182" s="5">
        <v>1825</v>
      </c>
      <c r="D1182" s="21" t="s">
        <v>28</v>
      </c>
      <c r="E1182" s="21" t="s">
        <v>17</v>
      </c>
      <c r="F1182" s="22">
        <v>37951</v>
      </c>
      <c r="G1182" s="23">
        <f t="shared" si="18"/>
        <v>37951</v>
      </c>
      <c r="H1182" s="21" t="s">
        <v>13</v>
      </c>
      <c r="I1182" s="9">
        <v>204756.54</v>
      </c>
      <c r="J1182" s="10">
        <v>940</v>
      </c>
      <c r="K1182" s="41"/>
    </row>
    <row r="1183" spans="1:11" ht="30" x14ac:dyDescent="0.25">
      <c r="A1183" s="3" t="s">
        <v>2385</v>
      </c>
      <c r="B1183" s="4" t="s">
        <v>2386</v>
      </c>
      <c r="C1183" s="5">
        <v>1789</v>
      </c>
      <c r="D1183" s="6" t="s">
        <v>28</v>
      </c>
      <c r="E1183" s="6" t="s">
        <v>17</v>
      </c>
      <c r="F1183" s="7">
        <v>29221</v>
      </c>
      <c r="G1183" s="8">
        <f t="shared" si="18"/>
        <v>29221</v>
      </c>
      <c r="H1183" s="6" t="s">
        <v>13</v>
      </c>
      <c r="I1183" s="9" t="s">
        <v>3380</v>
      </c>
      <c r="J1183" s="10" t="s">
        <v>3380</v>
      </c>
      <c r="K1183" s="17"/>
    </row>
    <row r="1184" spans="1:11" ht="30" x14ac:dyDescent="0.25">
      <c r="A1184" s="3" t="s">
        <v>2387</v>
      </c>
      <c r="B1184" s="4" t="s">
        <v>2388</v>
      </c>
      <c r="C1184" s="14">
        <v>1788</v>
      </c>
      <c r="D1184" s="6" t="s">
        <v>28</v>
      </c>
      <c r="E1184" s="6" t="s">
        <v>17</v>
      </c>
      <c r="F1184" s="7">
        <v>24108</v>
      </c>
      <c r="G1184" s="8">
        <f t="shared" si="18"/>
        <v>24108</v>
      </c>
      <c r="H1184" s="6" t="s">
        <v>13</v>
      </c>
      <c r="I1184" s="9">
        <v>1002580.4</v>
      </c>
      <c r="J1184" s="10">
        <v>2360</v>
      </c>
      <c r="K1184" s="17"/>
    </row>
    <row r="1185" spans="1:11" ht="30" x14ac:dyDescent="0.25">
      <c r="A1185" s="3" t="s">
        <v>2389</v>
      </c>
      <c r="B1185" s="4" t="s">
        <v>2390</v>
      </c>
      <c r="C1185" s="5">
        <v>1814</v>
      </c>
      <c r="D1185" s="6" t="s">
        <v>28</v>
      </c>
      <c r="E1185" s="6" t="s">
        <v>17</v>
      </c>
      <c r="F1185" s="7">
        <v>29221</v>
      </c>
      <c r="G1185" s="8">
        <f t="shared" si="18"/>
        <v>29221</v>
      </c>
      <c r="H1185" s="6" t="s">
        <v>13</v>
      </c>
      <c r="I1185" s="9" t="s">
        <v>3380</v>
      </c>
      <c r="J1185" s="10" t="s">
        <v>3380</v>
      </c>
      <c r="K1185" s="17"/>
    </row>
    <row r="1186" spans="1:11" x14ac:dyDescent="0.25">
      <c r="A1186" s="3" t="s">
        <v>2391</v>
      </c>
      <c r="B1186" s="4" t="s">
        <v>2392</v>
      </c>
      <c r="C1186" s="5">
        <v>54708</v>
      </c>
      <c r="D1186" s="6" t="s">
        <v>34</v>
      </c>
      <c r="E1186" s="6" t="s">
        <v>17</v>
      </c>
      <c r="F1186" s="7">
        <v>39520</v>
      </c>
      <c r="G1186" s="8">
        <f t="shared" si="18"/>
        <v>39520</v>
      </c>
      <c r="H1186" s="6" t="s">
        <v>13</v>
      </c>
      <c r="I1186" s="9" t="s">
        <v>3380</v>
      </c>
      <c r="J1186" s="10" t="s">
        <v>3380</v>
      </c>
      <c r="K1186" s="11"/>
    </row>
    <row r="1187" spans="1:11" ht="30" x14ac:dyDescent="0.25">
      <c r="A1187" s="3" t="s">
        <v>2393</v>
      </c>
      <c r="B1187" s="4" t="s">
        <v>2394</v>
      </c>
      <c r="C1187" s="5">
        <v>54709</v>
      </c>
      <c r="D1187" s="6" t="s">
        <v>11</v>
      </c>
      <c r="E1187" s="6" t="s">
        <v>12</v>
      </c>
      <c r="F1187" s="7">
        <v>37413</v>
      </c>
      <c r="G1187" s="8">
        <f t="shared" si="18"/>
        <v>37413</v>
      </c>
      <c r="H1187" s="6" t="s">
        <v>39</v>
      </c>
      <c r="I1187" s="9" t="s">
        <v>3380</v>
      </c>
      <c r="J1187" s="10" t="s">
        <v>3380</v>
      </c>
      <c r="K1187" s="17"/>
    </row>
    <row r="1188" spans="1:11" ht="30" x14ac:dyDescent="0.25">
      <c r="A1188" s="3" t="s">
        <v>2395</v>
      </c>
      <c r="B1188" s="4" t="s">
        <v>2396</v>
      </c>
      <c r="C1188" s="5">
        <v>1163</v>
      </c>
      <c r="D1188" s="6" t="s">
        <v>31</v>
      </c>
      <c r="E1188" s="6" t="s">
        <v>17</v>
      </c>
      <c r="F1188" s="7">
        <v>29221</v>
      </c>
      <c r="G1188" s="8">
        <f t="shared" si="18"/>
        <v>29221</v>
      </c>
      <c r="H1188" s="6" t="s">
        <v>13</v>
      </c>
      <c r="I1188" s="9" t="s">
        <v>3380</v>
      </c>
      <c r="J1188" s="10" t="s">
        <v>3380</v>
      </c>
      <c r="K1188" s="17"/>
    </row>
    <row r="1189" spans="1:11" ht="30" x14ac:dyDescent="0.25">
      <c r="A1189" s="3" t="s">
        <v>2397</v>
      </c>
      <c r="B1189" s="4" t="s">
        <v>2398</v>
      </c>
      <c r="C1189" s="5">
        <v>10565</v>
      </c>
      <c r="D1189" s="6" t="s">
        <v>11</v>
      </c>
      <c r="E1189" s="6" t="s">
        <v>17</v>
      </c>
      <c r="F1189" s="7">
        <v>37503</v>
      </c>
      <c r="G1189" s="8">
        <f t="shared" si="18"/>
        <v>37503</v>
      </c>
      <c r="H1189" s="6" t="s">
        <v>13</v>
      </c>
      <c r="I1189" s="9" t="s">
        <v>3380</v>
      </c>
      <c r="J1189" s="10" t="s">
        <v>3380</v>
      </c>
      <c r="K1189" s="17"/>
    </row>
    <row r="1190" spans="1:11" ht="30" x14ac:dyDescent="0.25">
      <c r="A1190" s="3" t="s">
        <v>2399</v>
      </c>
      <c r="B1190" s="4" t="s">
        <v>2400</v>
      </c>
      <c r="C1190" s="5">
        <v>1916</v>
      </c>
      <c r="D1190" s="6" t="s">
        <v>34</v>
      </c>
      <c r="E1190" s="6" t="s">
        <v>17</v>
      </c>
      <c r="F1190" s="7">
        <v>29221</v>
      </c>
      <c r="G1190" s="8">
        <f t="shared" si="18"/>
        <v>29221</v>
      </c>
      <c r="H1190" s="6" t="s">
        <v>13</v>
      </c>
      <c r="I1190" s="9" t="s">
        <v>3380</v>
      </c>
      <c r="J1190" s="10" t="s">
        <v>3380</v>
      </c>
      <c r="K1190" s="17"/>
    </row>
    <row r="1191" spans="1:11" ht="30" x14ac:dyDescent="0.25">
      <c r="A1191" s="3" t="s">
        <v>2401</v>
      </c>
      <c r="B1191" s="4" t="s">
        <v>2402</v>
      </c>
      <c r="C1191" s="5">
        <v>1248</v>
      </c>
      <c r="D1191" s="6" t="s">
        <v>28</v>
      </c>
      <c r="E1191" s="6" t="s">
        <v>17</v>
      </c>
      <c r="F1191" s="7">
        <v>32874</v>
      </c>
      <c r="G1191" s="8">
        <f t="shared" si="18"/>
        <v>32874</v>
      </c>
      <c r="H1191" s="6" t="s">
        <v>13</v>
      </c>
      <c r="I1191" s="9" t="s">
        <v>3380</v>
      </c>
      <c r="J1191" s="10" t="s">
        <v>3380</v>
      </c>
      <c r="K1191" s="17"/>
    </row>
    <row r="1192" spans="1:11" ht="30" x14ac:dyDescent="0.25">
      <c r="A1192" s="3" t="s">
        <v>2403</v>
      </c>
      <c r="B1192" s="4" t="s">
        <v>2404</v>
      </c>
      <c r="C1192" s="5">
        <v>54710</v>
      </c>
      <c r="D1192" s="6" t="s">
        <v>11</v>
      </c>
      <c r="E1192" s="6" t="s">
        <v>17</v>
      </c>
      <c r="F1192" s="7">
        <v>30621</v>
      </c>
      <c r="G1192" s="8">
        <f t="shared" si="18"/>
        <v>30621</v>
      </c>
      <c r="H1192" s="6" t="s">
        <v>13</v>
      </c>
      <c r="I1192" s="9" t="s">
        <v>3380</v>
      </c>
      <c r="J1192" s="10" t="s">
        <v>3380</v>
      </c>
      <c r="K1192" s="17"/>
    </row>
    <row r="1193" spans="1:11" ht="30" x14ac:dyDescent="0.25">
      <c r="A1193" s="3" t="s">
        <v>2405</v>
      </c>
      <c r="B1193" s="4" t="s">
        <v>2406</v>
      </c>
      <c r="C1193" s="14">
        <v>72158</v>
      </c>
      <c r="D1193" s="6" t="s">
        <v>37</v>
      </c>
      <c r="E1193" s="6" t="s">
        <v>38</v>
      </c>
      <c r="F1193" s="7">
        <v>38469</v>
      </c>
      <c r="G1193" s="8">
        <f t="shared" si="18"/>
        <v>38469</v>
      </c>
      <c r="H1193" s="6" t="s">
        <v>39</v>
      </c>
      <c r="I1193" s="9" t="s">
        <v>3380</v>
      </c>
      <c r="J1193" s="10" t="s">
        <v>3380</v>
      </c>
      <c r="K1193" s="17"/>
    </row>
    <row r="1194" spans="1:11" x14ac:dyDescent="0.25">
      <c r="A1194" s="18" t="s">
        <v>2407</v>
      </c>
      <c r="B1194" s="19" t="s">
        <v>2408</v>
      </c>
      <c r="C1194" s="20">
        <v>24977</v>
      </c>
      <c r="D1194" s="21" t="s">
        <v>31</v>
      </c>
      <c r="E1194" s="21" t="s">
        <v>17</v>
      </c>
      <c r="F1194" s="22">
        <v>22920</v>
      </c>
      <c r="G1194" s="23">
        <f t="shared" si="18"/>
        <v>22920</v>
      </c>
      <c r="H1194" s="21" t="s">
        <v>13</v>
      </c>
      <c r="I1194" s="9" t="s">
        <v>3380</v>
      </c>
      <c r="J1194" s="10" t="s">
        <v>3380</v>
      </c>
      <c r="K1194" s="25"/>
    </row>
    <row r="1195" spans="1:11" ht="30" x14ac:dyDescent="0.25">
      <c r="A1195" s="3" t="s">
        <v>2409</v>
      </c>
      <c r="B1195" s="4" t="s">
        <v>2410</v>
      </c>
      <c r="C1195" s="5">
        <v>24657</v>
      </c>
      <c r="D1195" s="6" t="s">
        <v>31</v>
      </c>
      <c r="E1195" s="6" t="s">
        <v>17</v>
      </c>
      <c r="F1195" s="7">
        <v>22920</v>
      </c>
      <c r="G1195" s="8">
        <f t="shared" si="18"/>
        <v>22920</v>
      </c>
      <c r="H1195" s="6" t="s">
        <v>13</v>
      </c>
      <c r="I1195" s="9" t="s">
        <v>3380</v>
      </c>
      <c r="J1195" s="10" t="s">
        <v>3380</v>
      </c>
      <c r="K1195" s="17"/>
    </row>
    <row r="1196" spans="1:11" ht="30" x14ac:dyDescent="0.25">
      <c r="A1196" s="3" t="s">
        <v>2411</v>
      </c>
      <c r="B1196" s="4" t="s">
        <v>2412</v>
      </c>
      <c r="C1196" s="5">
        <v>1233</v>
      </c>
      <c r="D1196" s="6" t="s">
        <v>34</v>
      </c>
      <c r="E1196" s="6" t="s">
        <v>17</v>
      </c>
      <c r="F1196" s="7">
        <v>36635</v>
      </c>
      <c r="G1196" s="8">
        <f t="shared" si="18"/>
        <v>36635</v>
      </c>
      <c r="H1196" s="6" t="s">
        <v>13</v>
      </c>
      <c r="I1196" s="9" t="s">
        <v>3380</v>
      </c>
      <c r="J1196" s="10" t="s">
        <v>3380</v>
      </c>
      <c r="K1196" s="17"/>
    </row>
    <row r="1197" spans="1:11" x14ac:dyDescent="0.25">
      <c r="A1197" s="18" t="s">
        <v>2413</v>
      </c>
      <c r="B1197" s="19" t="s">
        <v>2414</v>
      </c>
      <c r="C1197" s="5">
        <v>1954</v>
      </c>
      <c r="D1197" s="21" t="s">
        <v>28</v>
      </c>
      <c r="E1197" s="21" t="s">
        <v>17</v>
      </c>
      <c r="F1197" s="22">
        <v>19725</v>
      </c>
      <c r="G1197" s="23">
        <f t="shared" si="18"/>
        <v>19725</v>
      </c>
      <c r="H1197" s="21" t="s">
        <v>13</v>
      </c>
      <c r="I1197" s="9">
        <v>181959.49</v>
      </c>
      <c r="J1197" s="10">
        <v>1400</v>
      </c>
      <c r="K1197" s="25"/>
    </row>
    <row r="1198" spans="1:11" ht="30" x14ac:dyDescent="0.25">
      <c r="A1198" s="3" t="s">
        <v>2415</v>
      </c>
      <c r="B1198" s="4" t="s">
        <v>2416</v>
      </c>
      <c r="C1198" s="5">
        <v>27889</v>
      </c>
      <c r="D1198" s="6" t="s">
        <v>31</v>
      </c>
      <c r="E1198" s="6" t="s">
        <v>17</v>
      </c>
      <c r="F1198" s="7">
        <v>22685</v>
      </c>
      <c r="G1198" s="8">
        <f t="shared" si="18"/>
        <v>22685</v>
      </c>
      <c r="H1198" s="6" t="s">
        <v>13</v>
      </c>
      <c r="I1198" s="9" t="s">
        <v>3380</v>
      </c>
      <c r="J1198" s="10" t="s">
        <v>3380</v>
      </c>
      <c r="K1198" s="17"/>
    </row>
    <row r="1199" spans="1:11" ht="30" x14ac:dyDescent="0.25">
      <c r="A1199" s="3" t="s">
        <v>2417</v>
      </c>
      <c r="B1199" s="4" t="s">
        <v>2418</v>
      </c>
      <c r="C1199" s="5">
        <v>72141</v>
      </c>
      <c r="D1199" s="6" t="s">
        <v>11</v>
      </c>
      <c r="E1199" s="6" t="s">
        <v>12</v>
      </c>
      <c r="F1199" s="7">
        <v>38685</v>
      </c>
      <c r="G1199" s="8">
        <f t="shared" si="18"/>
        <v>38685</v>
      </c>
      <c r="H1199" s="6" t="s">
        <v>39</v>
      </c>
      <c r="I1199" s="9" t="s">
        <v>3380</v>
      </c>
      <c r="J1199" s="10" t="s">
        <v>3380</v>
      </c>
      <c r="K1199" s="17"/>
    </row>
    <row r="1200" spans="1:11" ht="30" x14ac:dyDescent="0.25">
      <c r="A1200" s="3" t="s">
        <v>2419</v>
      </c>
      <c r="B1200" s="4" t="s">
        <v>2420</v>
      </c>
      <c r="C1200" s="5">
        <v>1314</v>
      </c>
      <c r="D1200" s="6" t="s">
        <v>16</v>
      </c>
      <c r="E1200" s="6" t="s">
        <v>17</v>
      </c>
      <c r="F1200" s="7">
        <v>29221</v>
      </c>
      <c r="G1200" s="8">
        <f t="shared" si="18"/>
        <v>29221</v>
      </c>
      <c r="H1200" s="6" t="s">
        <v>13</v>
      </c>
      <c r="I1200" s="9" t="s">
        <v>3380</v>
      </c>
      <c r="J1200" s="10" t="s">
        <v>3380</v>
      </c>
      <c r="K1200" s="17"/>
    </row>
    <row r="1201" spans="1:11" ht="30" x14ac:dyDescent="0.25">
      <c r="A1201" s="3" t="s">
        <v>2421</v>
      </c>
      <c r="B1201" s="4" t="s">
        <v>2422</v>
      </c>
      <c r="C1201" s="5">
        <v>1326</v>
      </c>
      <c r="D1201" s="6" t="s">
        <v>16</v>
      </c>
      <c r="E1201" s="6" t="s">
        <v>17</v>
      </c>
      <c r="F1201" s="7">
        <v>29221</v>
      </c>
      <c r="G1201" s="8">
        <f t="shared" si="18"/>
        <v>29221</v>
      </c>
      <c r="H1201" s="6" t="s">
        <v>13</v>
      </c>
      <c r="I1201" s="9" t="s">
        <v>3380</v>
      </c>
      <c r="J1201" s="10" t="s">
        <v>3380</v>
      </c>
      <c r="K1201" s="17"/>
    </row>
    <row r="1202" spans="1:11" ht="30" x14ac:dyDescent="0.25">
      <c r="A1202" s="3" t="s">
        <v>2423</v>
      </c>
      <c r="B1202" s="4" t="s">
        <v>2424</v>
      </c>
      <c r="C1202" s="5">
        <v>47761</v>
      </c>
      <c r="D1202" s="6" t="s">
        <v>11</v>
      </c>
      <c r="E1202" s="6" t="s">
        <v>12</v>
      </c>
      <c r="F1202" s="7">
        <v>39051</v>
      </c>
      <c r="G1202" s="8">
        <f t="shared" si="18"/>
        <v>39051</v>
      </c>
      <c r="H1202" s="6" t="s">
        <v>39</v>
      </c>
      <c r="I1202" s="9" t="s">
        <v>3380</v>
      </c>
      <c r="J1202" s="10" t="s">
        <v>3380</v>
      </c>
      <c r="K1202" s="17"/>
    </row>
    <row r="1203" spans="1:11" ht="30" x14ac:dyDescent="0.25">
      <c r="A1203" s="3" t="s">
        <v>2425</v>
      </c>
      <c r="B1203" s="4" t="s">
        <v>2426</v>
      </c>
      <c r="C1203" s="5">
        <v>10563</v>
      </c>
      <c r="D1203" s="6" t="s">
        <v>34</v>
      </c>
      <c r="E1203" s="6" t="s">
        <v>17</v>
      </c>
      <c r="F1203" s="7">
        <v>37124</v>
      </c>
      <c r="G1203" s="8">
        <f t="shared" si="18"/>
        <v>37124</v>
      </c>
      <c r="H1203" s="6" t="s">
        <v>13</v>
      </c>
      <c r="I1203" s="9" t="s">
        <v>3380</v>
      </c>
      <c r="J1203" s="10" t="s">
        <v>3380</v>
      </c>
      <c r="K1203" s="17"/>
    </row>
    <row r="1204" spans="1:11" ht="30" x14ac:dyDescent="0.25">
      <c r="A1204" s="3" t="s">
        <v>2427</v>
      </c>
      <c r="B1204" s="4" t="s">
        <v>2428</v>
      </c>
      <c r="C1204" s="5">
        <v>52951</v>
      </c>
      <c r="D1204" s="6" t="s">
        <v>34</v>
      </c>
      <c r="E1204" s="6" t="s">
        <v>17</v>
      </c>
      <c r="F1204" s="7">
        <v>38903</v>
      </c>
      <c r="G1204" s="8">
        <f t="shared" si="18"/>
        <v>38903</v>
      </c>
      <c r="H1204" s="6" t="s">
        <v>13</v>
      </c>
      <c r="I1204" s="9" t="s">
        <v>3380</v>
      </c>
      <c r="J1204" s="10" t="s">
        <v>3380</v>
      </c>
      <c r="K1204" s="17"/>
    </row>
    <row r="1205" spans="1:11" ht="30" x14ac:dyDescent="0.25">
      <c r="A1205" s="3" t="s">
        <v>2429</v>
      </c>
      <c r="B1205" s="4" t="s">
        <v>2430</v>
      </c>
      <c r="C1205" s="5">
        <v>72115</v>
      </c>
      <c r="D1205" s="6" t="s">
        <v>37</v>
      </c>
      <c r="E1205" s="6" t="s">
        <v>38</v>
      </c>
      <c r="F1205" s="7">
        <v>38491</v>
      </c>
      <c r="G1205" s="8">
        <f t="shared" si="18"/>
        <v>38491</v>
      </c>
      <c r="H1205" s="6" t="s">
        <v>39</v>
      </c>
      <c r="I1205" s="9" t="s">
        <v>3380</v>
      </c>
      <c r="J1205" s="10" t="s">
        <v>3380</v>
      </c>
      <c r="K1205" s="17"/>
    </row>
    <row r="1206" spans="1:11" ht="30" x14ac:dyDescent="0.25">
      <c r="A1206" s="3" t="s">
        <v>2431</v>
      </c>
      <c r="B1206" s="4" t="s">
        <v>2432</v>
      </c>
      <c r="C1206" s="5">
        <v>1565</v>
      </c>
      <c r="D1206" s="6" t="s">
        <v>28</v>
      </c>
      <c r="E1206" s="6" t="s">
        <v>17</v>
      </c>
      <c r="F1206" s="7">
        <v>28126</v>
      </c>
      <c r="G1206" s="8">
        <f t="shared" si="18"/>
        <v>28126</v>
      </c>
      <c r="H1206" s="6" t="s">
        <v>13</v>
      </c>
      <c r="I1206" s="9" t="s">
        <v>3380</v>
      </c>
      <c r="J1206" s="10" t="s">
        <v>3380</v>
      </c>
      <c r="K1206" s="17"/>
    </row>
    <row r="1207" spans="1:11" ht="30" x14ac:dyDescent="0.25">
      <c r="A1207" s="3" t="s">
        <v>2433</v>
      </c>
      <c r="B1207" s="4" t="s">
        <v>2434</v>
      </c>
      <c r="C1207" s="14">
        <v>1399</v>
      </c>
      <c r="D1207" s="6" t="s">
        <v>34</v>
      </c>
      <c r="E1207" s="6" t="s">
        <v>17</v>
      </c>
      <c r="F1207" s="7">
        <v>27030</v>
      </c>
      <c r="G1207" s="8">
        <f t="shared" si="18"/>
        <v>27030</v>
      </c>
      <c r="H1207" s="6" t="s">
        <v>13</v>
      </c>
      <c r="I1207" s="9" t="s">
        <v>3380</v>
      </c>
      <c r="J1207" s="10" t="s">
        <v>3380</v>
      </c>
      <c r="K1207" s="17"/>
    </row>
    <row r="1208" spans="1:11" ht="30" x14ac:dyDescent="0.25">
      <c r="A1208" s="3" t="s">
        <v>2435</v>
      </c>
      <c r="B1208" s="4" t="s">
        <v>2436</v>
      </c>
      <c r="C1208" s="5">
        <v>1566</v>
      </c>
      <c r="D1208" s="6" t="s">
        <v>31</v>
      </c>
      <c r="E1208" s="6" t="s">
        <v>17</v>
      </c>
      <c r="F1208" s="7">
        <v>32143</v>
      </c>
      <c r="G1208" s="8">
        <f t="shared" si="18"/>
        <v>32143</v>
      </c>
      <c r="H1208" s="6" t="s">
        <v>13</v>
      </c>
      <c r="I1208" s="9" t="s">
        <v>3380</v>
      </c>
      <c r="J1208" s="10" t="s">
        <v>3380</v>
      </c>
      <c r="K1208" s="17"/>
    </row>
    <row r="1209" spans="1:11" ht="30" x14ac:dyDescent="0.25">
      <c r="A1209" s="3" t="s">
        <v>2437</v>
      </c>
      <c r="B1209" s="4" t="s">
        <v>2438</v>
      </c>
      <c r="C1209" s="14">
        <v>52356</v>
      </c>
      <c r="D1209" s="6" t="s">
        <v>11</v>
      </c>
      <c r="E1209" s="6" t="s">
        <v>17</v>
      </c>
      <c r="F1209" s="7">
        <v>35929</v>
      </c>
      <c r="G1209" s="8">
        <f t="shared" si="18"/>
        <v>35929</v>
      </c>
      <c r="H1209" s="6" t="s">
        <v>13</v>
      </c>
      <c r="I1209" s="9">
        <v>251691.12999999998</v>
      </c>
      <c r="J1209" s="10">
        <v>1500</v>
      </c>
      <c r="K1209" s="17"/>
    </row>
    <row r="1210" spans="1:11" x14ac:dyDescent="0.25">
      <c r="A1210" s="3" t="s">
        <v>2439</v>
      </c>
      <c r="B1210" s="4" t="s">
        <v>21</v>
      </c>
      <c r="C1210" s="5">
        <v>204645</v>
      </c>
      <c r="D1210" s="6" t="s">
        <v>16</v>
      </c>
      <c r="E1210" s="6" t="s">
        <v>17</v>
      </c>
      <c r="F1210" s="7">
        <v>38533</v>
      </c>
      <c r="G1210" s="8">
        <f t="shared" si="18"/>
        <v>38533</v>
      </c>
      <c r="H1210" s="6" t="s">
        <v>13</v>
      </c>
      <c r="I1210" s="9" t="s">
        <v>3380</v>
      </c>
      <c r="J1210" s="10" t="s">
        <v>3380</v>
      </c>
      <c r="K1210" s="11"/>
    </row>
    <row r="1211" spans="1:11" ht="30" x14ac:dyDescent="0.25">
      <c r="A1211" s="3" t="s">
        <v>2440</v>
      </c>
      <c r="B1211" s="4" t="s">
        <v>2441</v>
      </c>
      <c r="C1211" s="14">
        <v>54566</v>
      </c>
      <c r="D1211" s="6" t="s">
        <v>37</v>
      </c>
      <c r="E1211" s="6" t="s">
        <v>38</v>
      </c>
      <c r="F1211" s="7">
        <v>39293</v>
      </c>
      <c r="G1211" s="8">
        <f t="shared" si="18"/>
        <v>39293</v>
      </c>
      <c r="H1211" s="6" t="s">
        <v>39</v>
      </c>
      <c r="I1211" s="9" t="s">
        <v>3380</v>
      </c>
      <c r="J1211" s="10" t="s">
        <v>3380</v>
      </c>
      <c r="K1211" s="17"/>
    </row>
    <row r="1212" spans="1:11" ht="30" x14ac:dyDescent="0.25">
      <c r="A1212" s="3" t="s">
        <v>2442</v>
      </c>
      <c r="B1212" s="4" t="s">
        <v>2443</v>
      </c>
      <c r="C1212" s="5">
        <v>45537</v>
      </c>
      <c r="D1212" s="6" t="s">
        <v>37</v>
      </c>
      <c r="E1212" s="6" t="s">
        <v>38</v>
      </c>
      <c r="F1212" s="7">
        <v>39353</v>
      </c>
      <c r="G1212" s="8">
        <f t="shared" si="18"/>
        <v>39353</v>
      </c>
      <c r="H1212" s="6" t="s">
        <v>39</v>
      </c>
      <c r="I1212" s="9" t="s">
        <v>3380</v>
      </c>
      <c r="J1212" s="10" t="s">
        <v>3380</v>
      </c>
      <c r="K1212" s="17"/>
    </row>
    <row r="1213" spans="1:11" ht="30" x14ac:dyDescent="0.25">
      <c r="A1213" s="3" t="s">
        <v>2444</v>
      </c>
      <c r="B1213" s="4" t="s">
        <v>2445</v>
      </c>
      <c r="C1213" s="5">
        <v>54484</v>
      </c>
      <c r="D1213" s="6" t="s">
        <v>11</v>
      </c>
      <c r="E1213" s="6" t="s">
        <v>12</v>
      </c>
      <c r="F1213" s="7">
        <v>41515</v>
      </c>
      <c r="G1213" s="8">
        <f t="shared" si="18"/>
        <v>41515</v>
      </c>
      <c r="H1213" s="6" t="s">
        <v>39</v>
      </c>
      <c r="I1213" s="9" t="s">
        <v>3380</v>
      </c>
      <c r="J1213" s="10" t="s">
        <v>3380</v>
      </c>
      <c r="K1213" s="17"/>
    </row>
    <row r="1214" spans="1:11" ht="30" x14ac:dyDescent="0.25">
      <c r="A1214" s="3" t="s">
        <v>2446</v>
      </c>
      <c r="B1214" s="4" t="s">
        <v>2447</v>
      </c>
      <c r="C1214" s="5">
        <v>15686</v>
      </c>
      <c r="D1214" s="6" t="s">
        <v>34</v>
      </c>
      <c r="E1214" s="6" t="s">
        <v>17</v>
      </c>
      <c r="F1214" s="7">
        <v>37196</v>
      </c>
      <c r="G1214" s="8">
        <f t="shared" si="18"/>
        <v>37196</v>
      </c>
      <c r="H1214" s="6" t="s">
        <v>13</v>
      </c>
      <c r="I1214" s="9" t="s">
        <v>3380</v>
      </c>
      <c r="J1214" s="10" t="s">
        <v>3380</v>
      </c>
      <c r="K1214" s="17"/>
    </row>
    <row r="1215" spans="1:11" ht="30" x14ac:dyDescent="0.25">
      <c r="A1215" s="3" t="s">
        <v>2448</v>
      </c>
      <c r="B1215" s="4" t="s">
        <v>2449</v>
      </c>
      <c r="C1215" s="5">
        <v>29537</v>
      </c>
      <c r="D1215" s="6" t="s">
        <v>34</v>
      </c>
      <c r="E1215" s="6" t="s">
        <v>17</v>
      </c>
      <c r="F1215" s="7">
        <v>38531</v>
      </c>
      <c r="G1215" s="8">
        <f t="shared" si="18"/>
        <v>38531</v>
      </c>
      <c r="H1215" s="6" t="s">
        <v>13</v>
      </c>
      <c r="I1215" s="9" t="s">
        <v>3380</v>
      </c>
      <c r="J1215" s="10" t="s">
        <v>3380</v>
      </c>
      <c r="K1215" s="17"/>
    </row>
    <row r="1216" spans="1:11" ht="30" x14ac:dyDescent="0.25">
      <c r="A1216" s="3" t="s">
        <v>2450</v>
      </c>
      <c r="B1216" s="4" t="s">
        <v>2451</v>
      </c>
      <c r="C1216" s="5">
        <v>54712</v>
      </c>
      <c r="D1216" s="6" t="s">
        <v>34</v>
      </c>
      <c r="E1216" s="6" t="s">
        <v>17</v>
      </c>
      <c r="F1216" s="7">
        <v>39278</v>
      </c>
      <c r="G1216" s="8">
        <f t="shared" si="18"/>
        <v>39278</v>
      </c>
      <c r="H1216" s="6" t="s">
        <v>13</v>
      </c>
      <c r="I1216" s="9" t="s">
        <v>3380</v>
      </c>
      <c r="J1216" s="10" t="s">
        <v>3380</v>
      </c>
      <c r="K1216" s="17"/>
    </row>
    <row r="1217" spans="1:11" ht="30" x14ac:dyDescent="0.25">
      <c r="A1217" s="3" t="s">
        <v>2452</v>
      </c>
      <c r="B1217" s="4" t="s">
        <v>2453</v>
      </c>
      <c r="C1217" s="5">
        <v>48737</v>
      </c>
      <c r="D1217" s="6" t="s">
        <v>11</v>
      </c>
      <c r="E1217" s="6" t="s">
        <v>17</v>
      </c>
      <c r="F1217" s="7">
        <v>38999</v>
      </c>
      <c r="G1217" s="8">
        <f t="shared" si="18"/>
        <v>38999</v>
      </c>
      <c r="H1217" s="6" t="s">
        <v>13</v>
      </c>
      <c r="I1217" s="9" t="s">
        <v>3380</v>
      </c>
      <c r="J1217" s="10" t="s">
        <v>3380</v>
      </c>
      <c r="K1217" s="17"/>
    </row>
    <row r="1218" spans="1:11" ht="30" x14ac:dyDescent="0.25">
      <c r="A1218" s="3" t="s">
        <v>2454</v>
      </c>
      <c r="B1218" s="4" t="s">
        <v>2455</v>
      </c>
      <c r="C1218" s="5">
        <v>54696</v>
      </c>
      <c r="D1218" s="6" t="s">
        <v>11</v>
      </c>
      <c r="E1218" s="6" t="s">
        <v>12</v>
      </c>
      <c r="F1218" s="7">
        <v>39259</v>
      </c>
      <c r="G1218" s="8">
        <f t="shared" ref="G1218:G1281" si="19">F1218</f>
        <v>39259</v>
      </c>
      <c r="H1218" s="6" t="s">
        <v>39</v>
      </c>
      <c r="I1218" s="9" t="s">
        <v>3380</v>
      </c>
      <c r="J1218" s="10" t="s">
        <v>3380</v>
      </c>
      <c r="K1218" s="17"/>
    </row>
    <row r="1219" spans="1:11" ht="30" x14ac:dyDescent="0.25">
      <c r="A1219" s="3" t="s">
        <v>2456</v>
      </c>
      <c r="B1219" s="4" t="s">
        <v>2457</v>
      </c>
      <c r="C1219" s="14">
        <v>53219</v>
      </c>
      <c r="D1219" s="6" t="s">
        <v>16</v>
      </c>
      <c r="E1219" s="6" t="s">
        <v>17</v>
      </c>
      <c r="F1219" s="7">
        <v>39323</v>
      </c>
      <c r="G1219" s="8">
        <f t="shared" si="19"/>
        <v>39323</v>
      </c>
      <c r="H1219" s="6" t="s">
        <v>13</v>
      </c>
      <c r="I1219" s="9" t="s">
        <v>3380</v>
      </c>
      <c r="J1219" s="10" t="s">
        <v>3380</v>
      </c>
      <c r="K1219" s="17"/>
    </row>
    <row r="1220" spans="1:11" ht="30" x14ac:dyDescent="0.25">
      <c r="A1220" s="3" t="s">
        <v>2458</v>
      </c>
      <c r="B1220" s="4" t="s">
        <v>2459</v>
      </c>
      <c r="C1220" s="14">
        <v>32577</v>
      </c>
      <c r="D1220" s="6" t="s">
        <v>28</v>
      </c>
      <c r="E1220" s="6" t="s">
        <v>17</v>
      </c>
      <c r="F1220" s="7">
        <v>38474</v>
      </c>
      <c r="G1220" s="8">
        <f t="shared" si="19"/>
        <v>38474</v>
      </c>
      <c r="H1220" s="6" t="s">
        <v>13</v>
      </c>
      <c r="I1220" s="9" t="s">
        <v>3380</v>
      </c>
      <c r="J1220" s="10" t="s">
        <v>3380</v>
      </c>
      <c r="K1220" s="17"/>
    </row>
    <row r="1221" spans="1:11" ht="30" x14ac:dyDescent="0.25">
      <c r="A1221" s="3" t="s">
        <v>2460</v>
      </c>
      <c r="B1221" s="4" t="s">
        <v>2461</v>
      </c>
      <c r="C1221" s="14">
        <v>50002</v>
      </c>
      <c r="D1221" s="6" t="s">
        <v>11</v>
      </c>
      <c r="E1221" s="6" t="s">
        <v>12</v>
      </c>
      <c r="F1221" s="7">
        <v>39294</v>
      </c>
      <c r="G1221" s="8">
        <f t="shared" si="19"/>
        <v>39294</v>
      </c>
      <c r="H1221" s="6" t="s">
        <v>39</v>
      </c>
      <c r="I1221" s="9" t="s">
        <v>3380</v>
      </c>
      <c r="J1221" s="10" t="s">
        <v>3380</v>
      </c>
      <c r="K1221" s="17"/>
    </row>
    <row r="1222" spans="1:11" ht="30" x14ac:dyDescent="0.25">
      <c r="A1222" s="3" t="s">
        <v>2462</v>
      </c>
      <c r="B1222" s="4" t="s">
        <v>2463</v>
      </c>
      <c r="C1222" s="5">
        <v>53217</v>
      </c>
      <c r="D1222" s="6" t="s">
        <v>34</v>
      </c>
      <c r="E1222" s="6" t="s">
        <v>17</v>
      </c>
      <c r="F1222" s="7">
        <v>38807</v>
      </c>
      <c r="G1222" s="8">
        <f t="shared" si="19"/>
        <v>38807</v>
      </c>
      <c r="H1222" s="6" t="s">
        <v>13</v>
      </c>
      <c r="I1222" s="9" t="s">
        <v>3380</v>
      </c>
      <c r="J1222" s="10" t="s">
        <v>3380</v>
      </c>
      <c r="K1222" s="17"/>
    </row>
    <row r="1223" spans="1:11" ht="30" x14ac:dyDescent="0.25">
      <c r="A1223" s="3" t="s">
        <v>2464</v>
      </c>
      <c r="B1223" s="4" t="s">
        <v>2465</v>
      </c>
      <c r="C1223" s="5">
        <v>58017</v>
      </c>
      <c r="D1223" s="6" t="s">
        <v>37</v>
      </c>
      <c r="E1223" s="6" t="s">
        <v>38</v>
      </c>
      <c r="F1223" s="7">
        <v>39507</v>
      </c>
      <c r="G1223" s="8">
        <f t="shared" si="19"/>
        <v>39507</v>
      </c>
      <c r="H1223" s="6" t="s">
        <v>39</v>
      </c>
      <c r="I1223" s="9" t="s">
        <v>3380</v>
      </c>
      <c r="J1223" s="10" t="s">
        <v>3380</v>
      </c>
      <c r="K1223" s="17"/>
    </row>
    <row r="1224" spans="1:11" ht="30" x14ac:dyDescent="0.25">
      <c r="A1224" s="3" t="s">
        <v>2466</v>
      </c>
      <c r="B1224" s="4" t="s">
        <v>2467</v>
      </c>
      <c r="C1224" s="5">
        <v>55473</v>
      </c>
      <c r="D1224" s="6" t="s">
        <v>37</v>
      </c>
      <c r="E1224" s="6" t="s">
        <v>38</v>
      </c>
      <c r="F1224" s="7">
        <v>39507</v>
      </c>
      <c r="G1224" s="8">
        <f t="shared" si="19"/>
        <v>39507</v>
      </c>
      <c r="H1224" s="6" t="s">
        <v>39</v>
      </c>
      <c r="I1224" s="9" t="s">
        <v>3380</v>
      </c>
      <c r="J1224" s="10" t="s">
        <v>3380</v>
      </c>
      <c r="K1224" s="17"/>
    </row>
    <row r="1225" spans="1:11" x14ac:dyDescent="0.25">
      <c r="A1225" s="3" t="s">
        <v>2468</v>
      </c>
      <c r="B1225" s="4" t="s">
        <v>2469</v>
      </c>
      <c r="C1225" s="5">
        <v>207528</v>
      </c>
      <c r="D1225" s="6" t="s">
        <v>28</v>
      </c>
      <c r="E1225" s="6" t="s">
        <v>17</v>
      </c>
      <c r="F1225" s="7">
        <v>39329</v>
      </c>
      <c r="G1225" s="8">
        <f t="shared" si="19"/>
        <v>39329</v>
      </c>
      <c r="H1225" s="6" t="s">
        <v>13</v>
      </c>
      <c r="I1225" s="9" t="s">
        <v>3380</v>
      </c>
      <c r="J1225" s="10" t="s">
        <v>3380</v>
      </c>
      <c r="K1225" s="11"/>
    </row>
    <row r="1226" spans="1:11" x14ac:dyDescent="0.25">
      <c r="A1226" s="3" t="s">
        <v>2470</v>
      </c>
      <c r="B1226" s="4" t="s">
        <v>2471</v>
      </c>
      <c r="C1226" s="5">
        <v>207529</v>
      </c>
      <c r="D1226" s="6" t="s">
        <v>28</v>
      </c>
      <c r="E1226" s="6" t="s">
        <v>17</v>
      </c>
      <c r="F1226" s="7">
        <v>25569</v>
      </c>
      <c r="G1226" s="8">
        <f t="shared" si="19"/>
        <v>25569</v>
      </c>
      <c r="H1226" s="6" t="s">
        <v>13</v>
      </c>
      <c r="I1226" s="9" t="s">
        <v>3380</v>
      </c>
      <c r="J1226" s="10" t="s">
        <v>3380</v>
      </c>
      <c r="K1226" s="6"/>
    </row>
    <row r="1227" spans="1:11" ht="30" x14ac:dyDescent="0.25">
      <c r="A1227" s="3" t="s">
        <v>2472</v>
      </c>
      <c r="B1227" s="4" t="s">
        <v>2473</v>
      </c>
      <c r="C1227" s="5">
        <v>54817</v>
      </c>
      <c r="D1227" s="6" t="s">
        <v>28</v>
      </c>
      <c r="E1227" s="6" t="s">
        <v>17</v>
      </c>
      <c r="F1227" s="7">
        <v>39050</v>
      </c>
      <c r="G1227" s="8">
        <f t="shared" si="19"/>
        <v>39050</v>
      </c>
      <c r="H1227" s="6" t="s">
        <v>13</v>
      </c>
      <c r="I1227" s="9" t="s">
        <v>3380</v>
      </c>
      <c r="J1227" s="10" t="s">
        <v>3380</v>
      </c>
      <c r="K1227" s="17"/>
    </row>
    <row r="1228" spans="1:11" ht="30" x14ac:dyDescent="0.25">
      <c r="A1228" s="3" t="s">
        <v>2474</v>
      </c>
      <c r="B1228" s="4" t="s">
        <v>2475</v>
      </c>
      <c r="C1228" s="5">
        <v>53537</v>
      </c>
      <c r="D1228" s="6" t="s">
        <v>37</v>
      </c>
      <c r="E1228" s="6" t="s">
        <v>38</v>
      </c>
      <c r="F1228" s="7">
        <v>39483</v>
      </c>
      <c r="G1228" s="8">
        <f t="shared" si="19"/>
        <v>39483</v>
      </c>
      <c r="H1228" s="6" t="s">
        <v>39</v>
      </c>
      <c r="I1228" s="9" t="s">
        <v>3380</v>
      </c>
      <c r="J1228" s="10" t="s">
        <v>3380</v>
      </c>
      <c r="K1228" s="17"/>
    </row>
    <row r="1229" spans="1:11" ht="30" x14ac:dyDescent="0.25">
      <c r="A1229" s="3" t="s">
        <v>2476</v>
      </c>
      <c r="B1229" s="4" t="s">
        <v>2477</v>
      </c>
      <c r="C1229" s="5">
        <v>59617</v>
      </c>
      <c r="D1229" s="6" t="s">
        <v>16</v>
      </c>
      <c r="E1229" s="6" t="s">
        <v>17</v>
      </c>
      <c r="F1229" s="7">
        <v>39580</v>
      </c>
      <c r="G1229" s="8">
        <f t="shared" si="19"/>
        <v>39580</v>
      </c>
      <c r="H1229" s="6" t="s">
        <v>13</v>
      </c>
      <c r="I1229" s="9" t="s">
        <v>3380</v>
      </c>
      <c r="J1229" s="10" t="s">
        <v>3380</v>
      </c>
      <c r="K1229" s="17"/>
    </row>
    <row r="1230" spans="1:11" ht="30" x14ac:dyDescent="0.25">
      <c r="A1230" s="3" t="s">
        <v>2478</v>
      </c>
      <c r="B1230" s="4" t="s">
        <v>2479</v>
      </c>
      <c r="C1230" s="14">
        <v>46484</v>
      </c>
      <c r="D1230" s="6" t="s">
        <v>37</v>
      </c>
      <c r="E1230" s="6" t="s">
        <v>38</v>
      </c>
      <c r="F1230" s="7">
        <v>39114</v>
      </c>
      <c r="G1230" s="8">
        <f t="shared" si="19"/>
        <v>39114</v>
      </c>
      <c r="H1230" s="6" t="s">
        <v>39</v>
      </c>
      <c r="I1230" s="9" t="s">
        <v>3380</v>
      </c>
      <c r="J1230" s="10" t="s">
        <v>3380</v>
      </c>
      <c r="K1230" s="17"/>
    </row>
    <row r="1231" spans="1:11" ht="30" x14ac:dyDescent="0.25">
      <c r="A1231" s="3" t="s">
        <v>2480</v>
      </c>
      <c r="B1231" s="4" t="s">
        <v>2481</v>
      </c>
      <c r="C1231" s="5">
        <v>55457</v>
      </c>
      <c r="D1231" s="6" t="s">
        <v>11</v>
      </c>
      <c r="E1231" s="6" t="s">
        <v>12</v>
      </c>
      <c r="F1231" s="7">
        <v>39525</v>
      </c>
      <c r="G1231" s="8">
        <f t="shared" si="19"/>
        <v>39525</v>
      </c>
      <c r="H1231" s="6" t="s">
        <v>39</v>
      </c>
      <c r="I1231" s="9" t="s">
        <v>3380</v>
      </c>
      <c r="J1231" s="10" t="s">
        <v>3380</v>
      </c>
      <c r="K1231" s="17"/>
    </row>
    <row r="1232" spans="1:11" ht="30" x14ac:dyDescent="0.25">
      <c r="A1232" s="3" t="s">
        <v>2482</v>
      </c>
      <c r="B1232" s="4" t="s">
        <v>2483</v>
      </c>
      <c r="C1232" s="5">
        <v>60257</v>
      </c>
      <c r="D1232" s="6" t="s">
        <v>28</v>
      </c>
      <c r="E1232" s="6" t="s">
        <v>17</v>
      </c>
      <c r="F1232" s="7">
        <v>39600</v>
      </c>
      <c r="G1232" s="8">
        <f t="shared" si="19"/>
        <v>39600</v>
      </c>
      <c r="H1232" s="6" t="s">
        <v>13</v>
      </c>
      <c r="I1232" s="9" t="s">
        <v>3380</v>
      </c>
      <c r="J1232" s="10" t="s">
        <v>3380</v>
      </c>
      <c r="K1232" s="17"/>
    </row>
    <row r="1233" spans="1:11" ht="30" x14ac:dyDescent="0.25">
      <c r="A1233" s="3" t="s">
        <v>2484</v>
      </c>
      <c r="B1233" s="4" t="s">
        <v>2485</v>
      </c>
      <c r="C1233" s="5">
        <v>49361</v>
      </c>
      <c r="D1233" s="6" t="s">
        <v>31</v>
      </c>
      <c r="E1233" s="6" t="s">
        <v>17</v>
      </c>
      <c r="F1233" s="7">
        <v>39356</v>
      </c>
      <c r="G1233" s="8">
        <f t="shared" si="19"/>
        <v>39356</v>
      </c>
      <c r="H1233" s="6" t="s">
        <v>13</v>
      </c>
      <c r="I1233" s="9" t="s">
        <v>3380</v>
      </c>
      <c r="J1233" s="10" t="s">
        <v>3380</v>
      </c>
      <c r="K1233" s="17"/>
    </row>
    <row r="1234" spans="1:11" ht="30" x14ac:dyDescent="0.25">
      <c r="A1234" s="3" t="s">
        <v>2486</v>
      </c>
      <c r="B1234" s="4" t="s">
        <v>2487</v>
      </c>
      <c r="C1234" s="5">
        <v>70817</v>
      </c>
      <c r="D1234" s="6" t="s">
        <v>34</v>
      </c>
      <c r="E1234" s="6" t="s">
        <v>17</v>
      </c>
      <c r="F1234" s="7">
        <v>39748</v>
      </c>
      <c r="G1234" s="8">
        <f t="shared" si="19"/>
        <v>39748</v>
      </c>
      <c r="H1234" s="6" t="s">
        <v>13</v>
      </c>
      <c r="I1234" s="9" t="s">
        <v>3380</v>
      </c>
      <c r="J1234" s="10" t="s">
        <v>3380</v>
      </c>
      <c r="K1234" s="17"/>
    </row>
    <row r="1235" spans="1:11" ht="30" x14ac:dyDescent="0.25">
      <c r="A1235" s="3" t="s">
        <v>2488</v>
      </c>
      <c r="B1235" s="4" t="s">
        <v>2489</v>
      </c>
      <c r="C1235" s="5">
        <v>62177</v>
      </c>
      <c r="D1235" s="6" t="s">
        <v>34</v>
      </c>
      <c r="E1235" s="6" t="s">
        <v>17</v>
      </c>
      <c r="F1235" s="7">
        <v>39569</v>
      </c>
      <c r="G1235" s="8">
        <f t="shared" si="19"/>
        <v>39569</v>
      </c>
      <c r="H1235" s="6" t="s">
        <v>13</v>
      </c>
      <c r="I1235" s="9" t="s">
        <v>3380</v>
      </c>
      <c r="J1235" s="10" t="s">
        <v>3380</v>
      </c>
      <c r="K1235" s="17"/>
    </row>
    <row r="1236" spans="1:11" ht="30" x14ac:dyDescent="0.25">
      <c r="A1236" s="3" t="s">
        <v>2490</v>
      </c>
      <c r="B1236" s="4" t="s">
        <v>2491</v>
      </c>
      <c r="C1236" s="5">
        <v>1756</v>
      </c>
      <c r="D1236" s="6" t="s">
        <v>31</v>
      </c>
      <c r="E1236" s="6" t="s">
        <v>17</v>
      </c>
      <c r="F1236" s="7">
        <v>18264</v>
      </c>
      <c r="G1236" s="8">
        <f t="shared" si="19"/>
        <v>18264</v>
      </c>
      <c r="H1236" s="6" t="s">
        <v>13</v>
      </c>
      <c r="I1236" s="9" t="s">
        <v>3380</v>
      </c>
      <c r="J1236" s="10" t="s">
        <v>3380</v>
      </c>
      <c r="K1236" s="17"/>
    </row>
    <row r="1237" spans="1:11" ht="30" x14ac:dyDescent="0.25">
      <c r="A1237" s="3" t="s">
        <v>2492</v>
      </c>
      <c r="B1237" s="4" t="s">
        <v>2493</v>
      </c>
      <c r="C1237" s="5">
        <v>51921</v>
      </c>
      <c r="D1237" s="6" t="s">
        <v>11</v>
      </c>
      <c r="E1237" s="6" t="s">
        <v>17</v>
      </c>
      <c r="F1237" s="7">
        <v>39429</v>
      </c>
      <c r="G1237" s="8">
        <f t="shared" si="19"/>
        <v>39429</v>
      </c>
      <c r="H1237" s="6" t="s">
        <v>13</v>
      </c>
      <c r="I1237" s="9" t="s">
        <v>3380</v>
      </c>
      <c r="J1237" s="10" t="s">
        <v>3380</v>
      </c>
      <c r="K1237" s="17"/>
    </row>
    <row r="1238" spans="1:11" ht="30" x14ac:dyDescent="0.25">
      <c r="A1238" s="3" t="s">
        <v>2494</v>
      </c>
      <c r="B1238" s="4" t="s">
        <v>2495</v>
      </c>
      <c r="C1238" s="14">
        <v>52241</v>
      </c>
      <c r="D1238" s="6" t="s">
        <v>11</v>
      </c>
      <c r="E1238" s="6" t="s">
        <v>17</v>
      </c>
      <c r="F1238" s="7">
        <v>39429</v>
      </c>
      <c r="G1238" s="8">
        <f t="shared" si="19"/>
        <v>39429</v>
      </c>
      <c r="H1238" s="6" t="s">
        <v>13</v>
      </c>
      <c r="I1238" s="9">
        <v>42943.34</v>
      </c>
      <c r="J1238" s="10">
        <v>1140</v>
      </c>
      <c r="K1238" s="17"/>
    </row>
    <row r="1239" spans="1:11" ht="30" x14ac:dyDescent="0.25">
      <c r="A1239" s="3" t="s">
        <v>2496</v>
      </c>
      <c r="B1239" s="4" t="s">
        <v>2497</v>
      </c>
      <c r="C1239" s="14">
        <v>67618</v>
      </c>
      <c r="D1239" s="6" t="s">
        <v>11</v>
      </c>
      <c r="E1239" s="6" t="s">
        <v>12</v>
      </c>
      <c r="F1239" s="7">
        <v>39630</v>
      </c>
      <c r="G1239" s="8">
        <f t="shared" si="19"/>
        <v>39630</v>
      </c>
      <c r="H1239" s="6" t="s">
        <v>39</v>
      </c>
      <c r="I1239" s="9" t="s">
        <v>3380</v>
      </c>
      <c r="J1239" s="10" t="s">
        <v>3380</v>
      </c>
      <c r="K1239" s="17"/>
    </row>
    <row r="1240" spans="1:11" ht="30" x14ac:dyDescent="0.25">
      <c r="A1240" s="3" t="s">
        <v>2498</v>
      </c>
      <c r="B1240" s="4" t="s">
        <v>2499</v>
      </c>
      <c r="C1240" s="5">
        <v>79139</v>
      </c>
      <c r="D1240" s="6" t="s">
        <v>11</v>
      </c>
      <c r="E1240" s="6" t="s">
        <v>17</v>
      </c>
      <c r="F1240" s="7">
        <v>39755</v>
      </c>
      <c r="G1240" s="8">
        <f t="shared" si="19"/>
        <v>39755</v>
      </c>
      <c r="H1240" s="6" t="s">
        <v>13</v>
      </c>
      <c r="I1240" s="9" t="s">
        <v>3380</v>
      </c>
      <c r="J1240" s="10" t="s">
        <v>3380</v>
      </c>
      <c r="K1240" s="17"/>
    </row>
    <row r="1241" spans="1:11" ht="30" x14ac:dyDescent="0.25">
      <c r="A1241" s="3" t="s">
        <v>2500</v>
      </c>
      <c r="B1241" s="4" t="s">
        <v>2501</v>
      </c>
      <c r="C1241" s="5">
        <v>65377</v>
      </c>
      <c r="D1241" s="6" t="s">
        <v>28</v>
      </c>
      <c r="E1241" s="6" t="s">
        <v>17</v>
      </c>
      <c r="F1241" s="7">
        <v>39233</v>
      </c>
      <c r="G1241" s="8">
        <f t="shared" si="19"/>
        <v>39233</v>
      </c>
      <c r="H1241" s="6" t="s">
        <v>13</v>
      </c>
      <c r="I1241" s="9" t="s">
        <v>3380</v>
      </c>
      <c r="J1241" s="10" t="s">
        <v>3380</v>
      </c>
      <c r="K1241" s="17"/>
    </row>
    <row r="1242" spans="1:11" ht="30" x14ac:dyDescent="0.25">
      <c r="A1242" s="3" t="s">
        <v>2502</v>
      </c>
      <c r="B1242" s="4" t="s">
        <v>2503</v>
      </c>
      <c r="C1242" s="5">
        <v>121716</v>
      </c>
      <c r="D1242" s="6" t="s">
        <v>31</v>
      </c>
      <c r="E1242" s="6" t="s">
        <v>17</v>
      </c>
      <c r="F1242" s="7">
        <v>40217</v>
      </c>
      <c r="G1242" s="8">
        <f t="shared" si="19"/>
        <v>40217</v>
      </c>
      <c r="H1242" s="6" t="s">
        <v>13</v>
      </c>
      <c r="I1242" s="9" t="s">
        <v>3380</v>
      </c>
      <c r="J1242" s="10" t="s">
        <v>3380</v>
      </c>
      <c r="K1242" s="17"/>
    </row>
    <row r="1243" spans="1:11" ht="30" x14ac:dyDescent="0.25">
      <c r="A1243" s="3" t="s">
        <v>2504</v>
      </c>
      <c r="B1243" s="4" t="s">
        <v>2505</v>
      </c>
      <c r="C1243" s="14">
        <v>99972</v>
      </c>
      <c r="D1243" s="6" t="s">
        <v>31</v>
      </c>
      <c r="E1243" s="6" t="s">
        <v>17</v>
      </c>
      <c r="F1243" s="7">
        <v>40042</v>
      </c>
      <c r="G1243" s="8">
        <f t="shared" si="19"/>
        <v>40042</v>
      </c>
      <c r="H1243" s="6" t="s">
        <v>13</v>
      </c>
      <c r="I1243" s="9" t="s">
        <v>3380</v>
      </c>
      <c r="J1243" s="10" t="s">
        <v>3380</v>
      </c>
      <c r="K1243" s="17"/>
    </row>
    <row r="1244" spans="1:11" ht="30" x14ac:dyDescent="0.25">
      <c r="A1244" s="3" t="s">
        <v>2506</v>
      </c>
      <c r="B1244" s="4" t="s">
        <v>2507</v>
      </c>
      <c r="C1244" s="5">
        <v>120452</v>
      </c>
      <c r="D1244" s="6" t="s">
        <v>31</v>
      </c>
      <c r="E1244" s="6" t="s">
        <v>17</v>
      </c>
      <c r="F1244" s="7">
        <v>40217</v>
      </c>
      <c r="G1244" s="8">
        <f t="shared" si="19"/>
        <v>40217</v>
      </c>
      <c r="H1244" s="6" t="s">
        <v>13</v>
      </c>
      <c r="I1244" s="9" t="s">
        <v>3380</v>
      </c>
      <c r="J1244" s="10" t="s">
        <v>3380</v>
      </c>
      <c r="K1244" s="17"/>
    </row>
    <row r="1245" spans="1:11" ht="30" x14ac:dyDescent="0.25">
      <c r="A1245" s="3" t="s">
        <v>2508</v>
      </c>
      <c r="B1245" s="4" t="s">
        <v>2509</v>
      </c>
      <c r="C1245" s="5">
        <v>120119</v>
      </c>
      <c r="D1245" s="6" t="s">
        <v>31</v>
      </c>
      <c r="E1245" s="6" t="s">
        <v>17</v>
      </c>
      <c r="F1245" s="7">
        <v>40217</v>
      </c>
      <c r="G1245" s="8">
        <f t="shared" si="19"/>
        <v>40217</v>
      </c>
      <c r="H1245" s="6" t="s">
        <v>13</v>
      </c>
      <c r="I1245" s="9" t="s">
        <v>3380</v>
      </c>
      <c r="J1245" s="10" t="s">
        <v>3380</v>
      </c>
      <c r="K1245" s="17"/>
    </row>
    <row r="1246" spans="1:11" x14ac:dyDescent="0.25">
      <c r="A1246" s="3" t="s">
        <v>2510</v>
      </c>
      <c r="B1246" s="4" t="s">
        <v>2511</v>
      </c>
      <c r="C1246" s="5">
        <v>207524</v>
      </c>
      <c r="D1246" s="6" t="s">
        <v>11</v>
      </c>
      <c r="E1246" s="6" t="s">
        <v>12</v>
      </c>
      <c r="F1246" s="7">
        <v>39973</v>
      </c>
      <c r="G1246" s="8">
        <f t="shared" si="19"/>
        <v>39973</v>
      </c>
      <c r="H1246" s="6" t="s">
        <v>39</v>
      </c>
      <c r="I1246" s="9" t="s">
        <v>3380</v>
      </c>
      <c r="J1246" s="10" t="s">
        <v>3380</v>
      </c>
      <c r="K1246" s="11"/>
    </row>
    <row r="1247" spans="1:11" ht="30" x14ac:dyDescent="0.25">
      <c r="A1247" s="3" t="s">
        <v>2512</v>
      </c>
      <c r="B1247" s="4" t="s">
        <v>2513</v>
      </c>
      <c r="C1247" s="5">
        <v>91969</v>
      </c>
      <c r="D1247" s="6" t="s">
        <v>11</v>
      </c>
      <c r="E1247" s="6" t="s">
        <v>17</v>
      </c>
      <c r="F1247" s="7">
        <v>39937</v>
      </c>
      <c r="G1247" s="8">
        <f t="shared" si="19"/>
        <v>39937</v>
      </c>
      <c r="H1247" s="6" t="s">
        <v>13</v>
      </c>
      <c r="I1247" s="9" t="s">
        <v>3380</v>
      </c>
      <c r="J1247" s="10" t="s">
        <v>3380</v>
      </c>
      <c r="K1247" s="17"/>
    </row>
    <row r="1248" spans="1:11" ht="30" x14ac:dyDescent="0.25">
      <c r="A1248" s="3" t="s">
        <v>2514</v>
      </c>
      <c r="B1248" s="4" t="s">
        <v>2515</v>
      </c>
      <c r="C1248" s="5">
        <v>88433</v>
      </c>
      <c r="D1248" s="6" t="s">
        <v>16</v>
      </c>
      <c r="E1248" s="6" t="s">
        <v>17</v>
      </c>
      <c r="F1248" s="7">
        <v>39016</v>
      </c>
      <c r="G1248" s="8">
        <f t="shared" si="19"/>
        <v>39016</v>
      </c>
      <c r="H1248" s="6" t="s">
        <v>13</v>
      </c>
      <c r="I1248" s="9" t="s">
        <v>3380</v>
      </c>
      <c r="J1248" s="10" t="s">
        <v>3380</v>
      </c>
      <c r="K1248" s="17"/>
    </row>
    <row r="1249" spans="1:11" ht="30" x14ac:dyDescent="0.25">
      <c r="A1249" s="3" t="s">
        <v>2516</v>
      </c>
      <c r="B1249" s="4" t="s">
        <v>2517</v>
      </c>
      <c r="C1249" s="5">
        <v>123652</v>
      </c>
      <c r="D1249" s="6" t="s">
        <v>11</v>
      </c>
      <c r="E1249" s="6" t="s">
        <v>12</v>
      </c>
      <c r="F1249" s="7">
        <v>39790</v>
      </c>
      <c r="G1249" s="8">
        <f t="shared" si="19"/>
        <v>39790</v>
      </c>
      <c r="H1249" s="6" t="s">
        <v>39</v>
      </c>
      <c r="I1249" s="9" t="s">
        <v>3380</v>
      </c>
      <c r="J1249" s="10" t="s">
        <v>3380</v>
      </c>
      <c r="K1249" s="17"/>
    </row>
    <row r="1250" spans="1:11" ht="30" x14ac:dyDescent="0.25">
      <c r="A1250" s="3" t="s">
        <v>2518</v>
      </c>
      <c r="B1250" s="4" t="s">
        <v>2519</v>
      </c>
      <c r="C1250" s="5">
        <v>98341</v>
      </c>
      <c r="D1250" s="6" t="s">
        <v>11</v>
      </c>
      <c r="E1250" s="6" t="s">
        <v>12</v>
      </c>
      <c r="F1250" s="7">
        <v>40045</v>
      </c>
      <c r="G1250" s="8">
        <f t="shared" si="19"/>
        <v>40045</v>
      </c>
      <c r="H1250" s="6" t="s">
        <v>39</v>
      </c>
      <c r="I1250" s="9">
        <v>108146.77</v>
      </c>
      <c r="J1250" s="10">
        <v>1324</v>
      </c>
      <c r="K1250" s="17"/>
    </row>
    <row r="1251" spans="1:11" ht="30" x14ac:dyDescent="0.25">
      <c r="A1251" s="3" t="s">
        <v>2520</v>
      </c>
      <c r="B1251" s="4" t="s">
        <v>2521</v>
      </c>
      <c r="C1251" s="5">
        <v>81057</v>
      </c>
      <c r="D1251" s="6" t="s">
        <v>11</v>
      </c>
      <c r="E1251" s="6" t="s">
        <v>12</v>
      </c>
      <c r="F1251" s="7">
        <v>39805</v>
      </c>
      <c r="G1251" s="8">
        <f t="shared" si="19"/>
        <v>39805</v>
      </c>
      <c r="H1251" s="6" t="s">
        <v>39</v>
      </c>
      <c r="I1251" s="9" t="s">
        <v>3380</v>
      </c>
      <c r="J1251" s="10" t="s">
        <v>3380</v>
      </c>
      <c r="K1251" s="17"/>
    </row>
    <row r="1252" spans="1:11" ht="30" x14ac:dyDescent="0.25">
      <c r="A1252" s="3" t="s">
        <v>2522</v>
      </c>
      <c r="B1252" s="4" t="s">
        <v>2523</v>
      </c>
      <c r="C1252" s="14">
        <v>119156</v>
      </c>
      <c r="D1252" s="6" t="s">
        <v>11</v>
      </c>
      <c r="E1252" s="6" t="s">
        <v>17</v>
      </c>
      <c r="F1252" s="7">
        <v>40344</v>
      </c>
      <c r="G1252" s="8">
        <f t="shared" si="19"/>
        <v>40344</v>
      </c>
      <c r="H1252" s="6" t="s">
        <v>13</v>
      </c>
      <c r="I1252" s="9" t="s">
        <v>3380</v>
      </c>
      <c r="J1252" s="10" t="s">
        <v>3380</v>
      </c>
      <c r="K1252" s="17"/>
    </row>
    <row r="1253" spans="1:11" ht="30" x14ac:dyDescent="0.25">
      <c r="A1253" s="3" t="s">
        <v>2524</v>
      </c>
      <c r="B1253" s="4" t="s">
        <v>2525</v>
      </c>
      <c r="C1253" s="5">
        <v>121748</v>
      </c>
      <c r="D1253" s="6" t="s">
        <v>31</v>
      </c>
      <c r="E1253" s="6" t="s">
        <v>17</v>
      </c>
      <c r="F1253" s="7">
        <v>40042</v>
      </c>
      <c r="G1253" s="8">
        <f t="shared" si="19"/>
        <v>40042</v>
      </c>
      <c r="H1253" s="6" t="s">
        <v>13</v>
      </c>
      <c r="I1253" s="9" t="s">
        <v>3380</v>
      </c>
      <c r="J1253" s="10" t="s">
        <v>3380</v>
      </c>
      <c r="K1253" s="17"/>
    </row>
    <row r="1254" spans="1:11" ht="30" x14ac:dyDescent="0.25">
      <c r="A1254" s="3" t="s">
        <v>2526</v>
      </c>
      <c r="B1254" s="4" t="s">
        <v>2527</v>
      </c>
      <c r="C1254" s="5">
        <v>120788</v>
      </c>
      <c r="D1254" s="6" t="s">
        <v>31</v>
      </c>
      <c r="E1254" s="6" t="s">
        <v>17</v>
      </c>
      <c r="F1254" s="7">
        <v>40217</v>
      </c>
      <c r="G1254" s="8">
        <f t="shared" si="19"/>
        <v>40217</v>
      </c>
      <c r="H1254" s="6" t="s">
        <v>13</v>
      </c>
      <c r="I1254" s="9" t="s">
        <v>3380</v>
      </c>
      <c r="J1254" s="10" t="s">
        <v>3380</v>
      </c>
      <c r="K1254" s="17"/>
    </row>
    <row r="1255" spans="1:11" ht="30" x14ac:dyDescent="0.25">
      <c r="A1255" s="3" t="s">
        <v>2528</v>
      </c>
      <c r="B1255" s="4" t="s">
        <v>2529</v>
      </c>
      <c r="C1255" s="5">
        <v>121078</v>
      </c>
      <c r="D1255" s="6" t="s">
        <v>31</v>
      </c>
      <c r="E1255" s="6" t="s">
        <v>17</v>
      </c>
      <c r="F1255" s="7">
        <v>40217</v>
      </c>
      <c r="G1255" s="8">
        <f t="shared" si="19"/>
        <v>40217</v>
      </c>
      <c r="H1255" s="6" t="s">
        <v>13</v>
      </c>
      <c r="I1255" s="9" t="s">
        <v>3380</v>
      </c>
      <c r="J1255" s="10" t="s">
        <v>3380</v>
      </c>
      <c r="K1255" s="17"/>
    </row>
    <row r="1256" spans="1:11" ht="30" x14ac:dyDescent="0.25">
      <c r="A1256" s="3" t="s">
        <v>2530</v>
      </c>
      <c r="B1256" s="4" t="s">
        <v>2531</v>
      </c>
      <c r="C1256" s="5">
        <v>120756</v>
      </c>
      <c r="D1256" s="6" t="s">
        <v>31</v>
      </c>
      <c r="E1256" s="6" t="s">
        <v>17</v>
      </c>
      <c r="F1256" s="7">
        <v>40219</v>
      </c>
      <c r="G1256" s="8">
        <f t="shared" si="19"/>
        <v>40219</v>
      </c>
      <c r="H1256" s="6" t="s">
        <v>13</v>
      </c>
      <c r="I1256" s="9" t="s">
        <v>3380</v>
      </c>
      <c r="J1256" s="10" t="s">
        <v>3380</v>
      </c>
      <c r="K1256" s="17"/>
    </row>
    <row r="1257" spans="1:11" ht="30" x14ac:dyDescent="0.25">
      <c r="A1257" s="3" t="s">
        <v>2532</v>
      </c>
      <c r="B1257" s="4" t="s">
        <v>2533</v>
      </c>
      <c r="C1257" s="5">
        <v>121412</v>
      </c>
      <c r="D1257" s="6" t="s">
        <v>31</v>
      </c>
      <c r="E1257" s="6" t="s">
        <v>17</v>
      </c>
      <c r="F1257" s="7">
        <v>40217</v>
      </c>
      <c r="G1257" s="8">
        <f t="shared" si="19"/>
        <v>40217</v>
      </c>
      <c r="H1257" s="6" t="s">
        <v>13</v>
      </c>
      <c r="I1257" s="9" t="s">
        <v>3380</v>
      </c>
      <c r="J1257" s="10" t="s">
        <v>3380</v>
      </c>
      <c r="K1257" s="17"/>
    </row>
    <row r="1258" spans="1:11" ht="30" x14ac:dyDescent="0.25">
      <c r="A1258" s="3" t="s">
        <v>2534</v>
      </c>
      <c r="B1258" s="4" t="s">
        <v>2535</v>
      </c>
      <c r="C1258" s="5">
        <v>119172</v>
      </c>
      <c r="D1258" s="6" t="s">
        <v>31</v>
      </c>
      <c r="E1258" s="6" t="s">
        <v>17</v>
      </c>
      <c r="F1258" s="7">
        <v>40217</v>
      </c>
      <c r="G1258" s="8">
        <f t="shared" si="19"/>
        <v>40217</v>
      </c>
      <c r="H1258" s="6" t="s">
        <v>13</v>
      </c>
      <c r="I1258" s="9" t="s">
        <v>3380</v>
      </c>
      <c r="J1258" s="10" t="s">
        <v>3380</v>
      </c>
      <c r="K1258" s="17"/>
    </row>
    <row r="1259" spans="1:11" ht="30" x14ac:dyDescent="0.25">
      <c r="A1259" s="3" t="s">
        <v>2536</v>
      </c>
      <c r="B1259" s="4" t="s">
        <v>2537</v>
      </c>
      <c r="C1259" s="5">
        <v>179333</v>
      </c>
      <c r="D1259" s="6" t="s">
        <v>16</v>
      </c>
      <c r="E1259" s="6" t="s">
        <v>17</v>
      </c>
      <c r="F1259" s="7">
        <v>40317</v>
      </c>
      <c r="G1259" s="8">
        <f t="shared" si="19"/>
        <v>40317</v>
      </c>
      <c r="H1259" s="6" t="s">
        <v>13</v>
      </c>
      <c r="I1259" s="9" t="s">
        <v>3380</v>
      </c>
      <c r="J1259" s="10" t="s">
        <v>3380</v>
      </c>
      <c r="K1259" s="17"/>
    </row>
    <row r="1260" spans="1:11" ht="30" x14ac:dyDescent="0.25">
      <c r="A1260" s="3" t="s">
        <v>2538</v>
      </c>
      <c r="B1260" s="4" t="s">
        <v>2539</v>
      </c>
      <c r="C1260" s="5">
        <v>112116</v>
      </c>
      <c r="D1260" s="6" t="s">
        <v>11</v>
      </c>
      <c r="E1260" s="6" t="s">
        <v>17</v>
      </c>
      <c r="F1260" s="7">
        <v>40273</v>
      </c>
      <c r="G1260" s="8">
        <f t="shared" si="19"/>
        <v>40273</v>
      </c>
      <c r="H1260" s="6" t="s">
        <v>13</v>
      </c>
      <c r="I1260" s="9" t="s">
        <v>3380</v>
      </c>
      <c r="J1260" s="10" t="s">
        <v>3380</v>
      </c>
      <c r="K1260" s="17"/>
    </row>
    <row r="1261" spans="1:11" ht="30" x14ac:dyDescent="0.25">
      <c r="A1261" s="3" t="s">
        <v>2540</v>
      </c>
      <c r="B1261" s="4" t="s">
        <v>2541</v>
      </c>
      <c r="C1261" s="5">
        <v>138677</v>
      </c>
      <c r="D1261" s="6" t="s">
        <v>28</v>
      </c>
      <c r="E1261" s="6" t="s">
        <v>508</v>
      </c>
      <c r="F1261" s="7">
        <v>40653</v>
      </c>
      <c r="G1261" s="8">
        <f t="shared" si="19"/>
        <v>40653</v>
      </c>
      <c r="H1261" s="6" t="s">
        <v>509</v>
      </c>
      <c r="I1261" s="9" t="s">
        <v>3380</v>
      </c>
      <c r="J1261" s="10" t="s">
        <v>3380</v>
      </c>
      <c r="K1261" s="17"/>
    </row>
    <row r="1262" spans="1:11" ht="30" x14ac:dyDescent="0.25">
      <c r="A1262" s="3" t="s">
        <v>2542</v>
      </c>
      <c r="B1262" s="4" t="s">
        <v>2543</v>
      </c>
      <c r="C1262" s="5">
        <v>181556</v>
      </c>
      <c r="D1262" s="6" t="s">
        <v>37</v>
      </c>
      <c r="E1262" s="6" t="s">
        <v>38</v>
      </c>
      <c r="F1262" s="7">
        <v>41750</v>
      </c>
      <c r="G1262" s="8">
        <f t="shared" si="19"/>
        <v>41750</v>
      </c>
      <c r="H1262" s="6" t="s">
        <v>39</v>
      </c>
      <c r="I1262" s="9" t="s">
        <v>3380</v>
      </c>
      <c r="J1262" s="10" t="s">
        <v>3380</v>
      </c>
      <c r="K1262" s="17"/>
    </row>
    <row r="1263" spans="1:11" ht="30" x14ac:dyDescent="0.25">
      <c r="A1263" s="3" t="s">
        <v>2544</v>
      </c>
      <c r="B1263" s="4" t="s">
        <v>2545</v>
      </c>
      <c r="C1263" s="5">
        <v>110516</v>
      </c>
      <c r="D1263" s="6" t="s">
        <v>31</v>
      </c>
      <c r="E1263" s="6" t="s">
        <v>17</v>
      </c>
      <c r="F1263" s="7">
        <v>40094</v>
      </c>
      <c r="G1263" s="8">
        <f t="shared" si="19"/>
        <v>40094</v>
      </c>
      <c r="H1263" s="6" t="s">
        <v>13</v>
      </c>
      <c r="I1263" s="9" t="s">
        <v>3380</v>
      </c>
      <c r="J1263" s="10" t="s">
        <v>3380</v>
      </c>
      <c r="K1263" s="17"/>
    </row>
    <row r="1264" spans="1:11" ht="30" x14ac:dyDescent="0.25">
      <c r="A1264" s="3" t="s">
        <v>2546</v>
      </c>
      <c r="B1264" s="4" t="s">
        <v>2547</v>
      </c>
      <c r="C1264" s="5">
        <v>107636</v>
      </c>
      <c r="D1264" s="6" t="s">
        <v>11</v>
      </c>
      <c r="E1264" s="6" t="s">
        <v>12</v>
      </c>
      <c r="F1264" s="7">
        <v>40163</v>
      </c>
      <c r="G1264" s="8">
        <f t="shared" si="19"/>
        <v>40163</v>
      </c>
      <c r="H1264" s="6" t="s">
        <v>39</v>
      </c>
      <c r="I1264" s="9" t="s">
        <v>3380</v>
      </c>
      <c r="J1264" s="10" t="s">
        <v>3380</v>
      </c>
      <c r="K1264" s="17"/>
    </row>
    <row r="1265" spans="1:11" ht="30" x14ac:dyDescent="0.25">
      <c r="A1265" s="3" t="s">
        <v>2548</v>
      </c>
      <c r="B1265" s="4" t="s">
        <v>2549</v>
      </c>
      <c r="C1265" s="5">
        <v>126196</v>
      </c>
      <c r="D1265" s="6" t="s">
        <v>34</v>
      </c>
      <c r="E1265" s="6" t="s">
        <v>17</v>
      </c>
      <c r="F1265" s="7">
        <v>40407</v>
      </c>
      <c r="G1265" s="8">
        <f t="shared" si="19"/>
        <v>40407</v>
      </c>
      <c r="H1265" s="6" t="s">
        <v>13</v>
      </c>
      <c r="I1265" s="9" t="s">
        <v>3380</v>
      </c>
      <c r="J1265" s="10" t="s">
        <v>3380</v>
      </c>
      <c r="K1265" s="17"/>
    </row>
    <row r="1266" spans="1:11" ht="30" x14ac:dyDescent="0.25">
      <c r="A1266" s="3" t="s">
        <v>2550</v>
      </c>
      <c r="B1266" s="4" t="s">
        <v>2551</v>
      </c>
      <c r="C1266" s="5">
        <v>140917</v>
      </c>
      <c r="D1266" s="6" t="s">
        <v>34</v>
      </c>
      <c r="E1266" s="6" t="s">
        <v>17</v>
      </c>
      <c r="F1266" s="7">
        <v>40674</v>
      </c>
      <c r="G1266" s="8">
        <f t="shared" si="19"/>
        <v>40674</v>
      </c>
      <c r="H1266" s="6" t="s">
        <v>13</v>
      </c>
      <c r="I1266" s="9" t="s">
        <v>3380</v>
      </c>
      <c r="J1266" s="10" t="s">
        <v>3380</v>
      </c>
      <c r="K1266" s="40"/>
    </row>
    <row r="1267" spans="1:11" ht="30" x14ac:dyDescent="0.25">
      <c r="A1267" s="3" t="s">
        <v>2552</v>
      </c>
      <c r="B1267" s="4" t="s">
        <v>2553</v>
      </c>
      <c r="C1267" s="5">
        <v>129428</v>
      </c>
      <c r="D1267" s="6" t="s">
        <v>11</v>
      </c>
      <c r="E1267" s="6" t="s">
        <v>12</v>
      </c>
      <c r="F1267" s="7">
        <v>40392</v>
      </c>
      <c r="G1267" s="8">
        <f t="shared" si="19"/>
        <v>40392</v>
      </c>
      <c r="H1267" s="6" t="s">
        <v>39</v>
      </c>
      <c r="I1267" s="9" t="s">
        <v>3380</v>
      </c>
      <c r="J1267" s="10" t="s">
        <v>3380</v>
      </c>
      <c r="K1267" s="17"/>
    </row>
    <row r="1268" spans="1:11" ht="30" x14ac:dyDescent="0.25">
      <c r="A1268" s="3" t="s">
        <v>2554</v>
      </c>
      <c r="B1268" s="4" t="s">
        <v>2555</v>
      </c>
      <c r="C1268" s="14">
        <v>130356</v>
      </c>
      <c r="D1268" s="6" t="s">
        <v>11</v>
      </c>
      <c r="E1268" s="6" t="s">
        <v>17</v>
      </c>
      <c r="F1268" s="7">
        <v>40521</v>
      </c>
      <c r="G1268" s="8">
        <f t="shared" si="19"/>
        <v>40521</v>
      </c>
      <c r="H1268" s="6" t="s">
        <v>13</v>
      </c>
      <c r="I1268" s="9" t="s">
        <v>3380</v>
      </c>
      <c r="J1268" s="10" t="s">
        <v>3380</v>
      </c>
      <c r="K1268" s="17"/>
    </row>
    <row r="1269" spans="1:11" ht="30" x14ac:dyDescent="0.25">
      <c r="A1269" s="3" t="s">
        <v>2556</v>
      </c>
      <c r="B1269" s="4" t="s">
        <v>2557</v>
      </c>
      <c r="C1269" s="5">
        <v>71265</v>
      </c>
      <c r="D1269" s="6" t="s">
        <v>11</v>
      </c>
      <c r="E1269" s="6" t="s">
        <v>12</v>
      </c>
      <c r="F1269" s="7">
        <v>39636</v>
      </c>
      <c r="G1269" s="8">
        <f t="shared" si="19"/>
        <v>39636</v>
      </c>
      <c r="H1269" s="6" t="s">
        <v>39</v>
      </c>
      <c r="I1269" s="9" t="s">
        <v>3380</v>
      </c>
      <c r="J1269" s="10" t="s">
        <v>3380</v>
      </c>
      <c r="K1269" s="17"/>
    </row>
    <row r="1270" spans="1:11" ht="30" x14ac:dyDescent="0.25">
      <c r="A1270" s="3" t="s">
        <v>2558</v>
      </c>
      <c r="B1270" s="4" t="s">
        <v>2559</v>
      </c>
      <c r="C1270" s="5">
        <v>79777</v>
      </c>
      <c r="D1270" s="6" t="s">
        <v>11</v>
      </c>
      <c r="E1270" s="6" t="s">
        <v>17</v>
      </c>
      <c r="F1270" s="7">
        <v>39787</v>
      </c>
      <c r="G1270" s="8">
        <f t="shared" si="19"/>
        <v>39787</v>
      </c>
      <c r="H1270" s="6" t="s">
        <v>13</v>
      </c>
      <c r="I1270" s="9" t="s">
        <v>3380</v>
      </c>
      <c r="J1270" s="10" t="s">
        <v>3380</v>
      </c>
      <c r="K1270" s="17"/>
    </row>
    <row r="1271" spans="1:11" ht="30" x14ac:dyDescent="0.25">
      <c r="A1271" s="3" t="s">
        <v>2560</v>
      </c>
      <c r="B1271" s="4" t="s">
        <v>2561</v>
      </c>
      <c r="C1271" s="5">
        <v>140276</v>
      </c>
      <c r="D1271" s="6" t="s">
        <v>34</v>
      </c>
      <c r="E1271" s="6" t="s">
        <v>17</v>
      </c>
      <c r="F1271" s="7">
        <v>42592</v>
      </c>
      <c r="G1271" s="8">
        <f t="shared" si="19"/>
        <v>42592</v>
      </c>
      <c r="H1271" s="6" t="s">
        <v>13</v>
      </c>
      <c r="I1271" s="9" t="s">
        <v>3380</v>
      </c>
      <c r="J1271" s="10" t="s">
        <v>3380</v>
      </c>
      <c r="K1271" s="17"/>
    </row>
    <row r="1272" spans="1:11" ht="30" x14ac:dyDescent="0.25">
      <c r="A1272" s="3" t="s">
        <v>2562</v>
      </c>
      <c r="B1272" s="4" t="s">
        <v>2563</v>
      </c>
      <c r="C1272" s="5">
        <v>139958</v>
      </c>
      <c r="D1272" s="6" t="s">
        <v>16</v>
      </c>
      <c r="E1272" s="6" t="s">
        <v>17</v>
      </c>
      <c r="F1272" s="7">
        <v>40674</v>
      </c>
      <c r="G1272" s="8">
        <f t="shared" si="19"/>
        <v>40674</v>
      </c>
      <c r="H1272" s="6" t="s">
        <v>13</v>
      </c>
      <c r="I1272" s="9" t="s">
        <v>3380</v>
      </c>
      <c r="J1272" s="10" t="s">
        <v>3380</v>
      </c>
      <c r="K1272" s="17"/>
    </row>
    <row r="1273" spans="1:11" ht="30" x14ac:dyDescent="0.25">
      <c r="A1273" s="3" t="s">
        <v>2564</v>
      </c>
      <c r="B1273" s="4" t="s">
        <v>2565</v>
      </c>
      <c r="C1273" s="14">
        <v>145396</v>
      </c>
      <c r="D1273" s="6" t="s">
        <v>28</v>
      </c>
      <c r="E1273" s="6" t="s">
        <v>17</v>
      </c>
      <c r="F1273" s="7">
        <v>40784</v>
      </c>
      <c r="G1273" s="8">
        <f t="shared" si="19"/>
        <v>40784</v>
      </c>
      <c r="H1273" s="6" t="s">
        <v>13</v>
      </c>
      <c r="I1273" s="9">
        <v>300155.62</v>
      </c>
      <c r="J1273" s="10">
        <v>1060</v>
      </c>
      <c r="K1273" s="17"/>
    </row>
    <row r="1274" spans="1:11" ht="30" x14ac:dyDescent="0.25">
      <c r="A1274" s="3" t="s">
        <v>2566</v>
      </c>
      <c r="B1274" s="4" t="s">
        <v>2567</v>
      </c>
      <c r="C1274" s="5">
        <v>149236</v>
      </c>
      <c r="D1274" s="6" t="s">
        <v>16</v>
      </c>
      <c r="E1274" s="6" t="s">
        <v>17</v>
      </c>
      <c r="F1274" s="7">
        <v>40840</v>
      </c>
      <c r="G1274" s="8">
        <f t="shared" si="19"/>
        <v>40840</v>
      </c>
      <c r="H1274" s="6" t="s">
        <v>13</v>
      </c>
      <c r="I1274" s="9" t="s">
        <v>3380</v>
      </c>
      <c r="J1274" s="10" t="s">
        <v>3380</v>
      </c>
      <c r="K1274" s="17"/>
    </row>
    <row r="1275" spans="1:11" ht="30" x14ac:dyDescent="0.25">
      <c r="A1275" s="3" t="s">
        <v>2568</v>
      </c>
      <c r="B1275" s="4" t="s">
        <v>2569</v>
      </c>
      <c r="C1275" s="5">
        <v>143796</v>
      </c>
      <c r="D1275" s="6" t="s">
        <v>34</v>
      </c>
      <c r="E1275" s="6" t="s">
        <v>17</v>
      </c>
      <c r="F1275" s="7">
        <v>40742</v>
      </c>
      <c r="G1275" s="8">
        <f t="shared" si="19"/>
        <v>40742</v>
      </c>
      <c r="H1275" s="6" t="s">
        <v>13</v>
      </c>
      <c r="I1275" s="9" t="s">
        <v>3380</v>
      </c>
      <c r="J1275" s="10" t="s">
        <v>3380</v>
      </c>
      <c r="K1275" s="17"/>
    </row>
    <row r="1276" spans="1:11" ht="30" x14ac:dyDescent="0.25">
      <c r="A1276" s="3" t="s">
        <v>2570</v>
      </c>
      <c r="B1276" s="4" t="s">
        <v>2571</v>
      </c>
      <c r="C1276" s="5">
        <v>152436</v>
      </c>
      <c r="D1276" s="6" t="s">
        <v>37</v>
      </c>
      <c r="E1276" s="6" t="s">
        <v>38</v>
      </c>
      <c r="F1276" s="7">
        <v>40884</v>
      </c>
      <c r="G1276" s="8">
        <f t="shared" si="19"/>
        <v>40884</v>
      </c>
      <c r="H1276" s="6" t="s">
        <v>39</v>
      </c>
      <c r="I1276" s="9" t="s">
        <v>3380</v>
      </c>
      <c r="J1276" s="10" t="s">
        <v>3380</v>
      </c>
      <c r="K1276" s="17"/>
    </row>
    <row r="1277" spans="1:11" ht="30" x14ac:dyDescent="0.25">
      <c r="A1277" s="3" t="s">
        <v>2572</v>
      </c>
      <c r="B1277" s="4" t="s">
        <v>2573</v>
      </c>
      <c r="C1277" s="5">
        <v>155636</v>
      </c>
      <c r="D1277" s="6" t="s">
        <v>11</v>
      </c>
      <c r="E1277" s="6" t="s">
        <v>12</v>
      </c>
      <c r="F1277" s="7">
        <v>41033</v>
      </c>
      <c r="G1277" s="8">
        <f t="shared" si="19"/>
        <v>41033</v>
      </c>
      <c r="H1277" s="6" t="s">
        <v>39</v>
      </c>
      <c r="I1277" s="9" t="s">
        <v>3380</v>
      </c>
      <c r="J1277" s="10" t="s">
        <v>3380</v>
      </c>
      <c r="K1277" s="17"/>
    </row>
    <row r="1278" spans="1:11" ht="30" x14ac:dyDescent="0.25">
      <c r="A1278" s="3" t="s">
        <v>2574</v>
      </c>
      <c r="B1278" s="4" t="s">
        <v>2575</v>
      </c>
      <c r="C1278" s="5">
        <v>157892</v>
      </c>
      <c r="D1278" s="6" t="s">
        <v>11</v>
      </c>
      <c r="E1278" s="6" t="s">
        <v>12</v>
      </c>
      <c r="F1278" s="7">
        <v>41081</v>
      </c>
      <c r="G1278" s="8">
        <f t="shared" si="19"/>
        <v>41081</v>
      </c>
      <c r="H1278" s="6" t="s">
        <v>39</v>
      </c>
      <c r="I1278" s="9" t="s">
        <v>3380</v>
      </c>
      <c r="J1278" s="10" t="s">
        <v>3380</v>
      </c>
      <c r="K1278" s="17"/>
    </row>
    <row r="1279" spans="1:11" ht="30" x14ac:dyDescent="0.25">
      <c r="A1279" s="3" t="s">
        <v>2576</v>
      </c>
      <c r="B1279" s="4" t="s">
        <v>2577</v>
      </c>
      <c r="C1279" s="5">
        <v>158516</v>
      </c>
      <c r="D1279" s="6" t="s">
        <v>16</v>
      </c>
      <c r="E1279" s="6" t="s">
        <v>17</v>
      </c>
      <c r="F1279" s="7">
        <v>41092</v>
      </c>
      <c r="G1279" s="8">
        <f t="shared" si="19"/>
        <v>41092</v>
      </c>
      <c r="H1279" s="6" t="s">
        <v>13</v>
      </c>
      <c r="I1279" s="9" t="s">
        <v>3380</v>
      </c>
      <c r="J1279" s="10" t="s">
        <v>3380</v>
      </c>
      <c r="K1279" s="17"/>
    </row>
    <row r="1280" spans="1:11" ht="30" x14ac:dyDescent="0.25">
      <c r="A1280" s="3" t="s">
        <v>2578</v>
      </c>
      <c r="B1280" s="4" t="s">
        <v>2579</v>
      </c>
      <c r="C1280" s="14">
        <v>158196</v>
      </c>
      <c r="D1280" s="6" t="s">
        <v>34</v>
      </c>
      <c r="E1280" s="6" t="s">
        <v>17</v>
      </c>
      <c r="F1280" s="7">
        <v>40848</v>
      </c>
      <c r="G1280" s="8">
        <f t="shared" si="19"/>
        <v>40848</v>
      </c>
      <c r="H1280" s="6" t="s">
        <v>13</v>
      </c>
      <c r="I1280" s="9">
        <v>44600</v>
      </c>
      <c r="J1280" s="10">
        <v>652.09273710349896</v>
      </c>
      <c r="K1280" s="17"/>
    </row>
    <row r="1281" spans="1:11" ht="30" x14ac:dyDescent="0.25">
      <c r="A1281" s="3" t="s">
        <v>2580</v>
      </c>
      <c r="B1281" s="4" t="s">
        <v>2581</v>
      </c>
      <c r="C1281" s="5">
        <v>205590</v>
      </c>
      <c r="D1281" s="6" t="s">
        <v>34</v>
      </c>
      <c r="E1281" s="6" t="s">
        <v>17</v>
      </c>
      <c r="F1281" s="7">
        <v>41562</v>
      </c>
      <c r="G1281" s="8">
        <f t="shared" si="19"/>
        <v>41562</v>
      </c>
      <c r="H1281" s="6" t="s">
        <v>13</v>
      </c>
      <c r="I1281" s="9" t="s">
        <v>3380</v>
      </c>
      <c r="J1281" s="10" t="s">
        <v>3380</v>
      </c>
      <c r="K1281" s="40"/>
    </row>
    <row r="1282" spans="1:11" x14ac:dyDescent="0.25">
      <c r="A1282" s="26" t="s">
        <v>2582</v>
      </c>
      <c r="B1282" s="27" t="s">
        <v>2583</v>
      </c>
      <c r="C1282" s="5">
        <v>163316</v>
      </c>
      <c r="D1282" s="28" t="s">
        <v>16</v>
      </c>
      <c r="E1282" s="28" t="s">
        <v>17</v>
      </c>
      <c r="F1282" s="29">
        <v>41255</v>
      </c>
      <c r="G1282" s="30">
        <f t="shared" ref="G1282:G1345" si="20">F1282</f>
        <v>41255</v>
      </c>
      <c r="H1282" s="28" t="s">
        <v>13</v>
      </c>
      <c r="I1282" s="9">
        <v>268012.87</v>
      </c>
      <c r="J1282" s="10">
        <v>1360</v>
      </c>
      <c r="K1282" s="33"/>
    </row>
    <row r="1283" spans="1:11" ht="30" x14ac:dyDescent="0.25">
      <c r="A1283" s="3" t="s">
        <v>2584</v>
      </c>
      <c r="B1283" s="4" t="s">
        <v>2585</v>
      </c>
      <c r="C1283" s="5">
        <v>168436</v>
      </c>
      <c r="D1283" s="6" t="s">
        <v>16</v>
      </c>
      <c r="E1283" s="6" t="s">
        <v>17</v>
      </c>
      <c r="F1283" s="7">
        <v>41382</v>
      </c>
      <c r="G1283" s="8">
        <f t="shared" si="20"/>
        <v>41382</v>
      </c>
      <c r="H1283" s="6" t="s">
        <v>13</v>
      </c>
      <c r="I1283" s="9" t="s">
        <v>3380</v>
      </c>
      <c r="J1283" s="10" t="s">
        <v>3380</v>
      </c>
      <c r="K1283" s="17"/>
    </row>
    <row r="1284" spans="1:11" ht="30" x14ac:dyDescent="0.25">
      <c r="A1284" s="3" t="s">
        <v>2586</v>
      </c>
      <c r="B1284" s="4" t="s">
        <v>2587</v>
      </c>
      <c r="C1284" s="5">
        <v>166196</v>
      </c>
      <c r="D1284" s="6" t="s">
        <v>16</v>
      </c>
      <c r="E1284" s="6" t="s">
        <v>17</v>
      </c>
      <c r="F1284" s="7">
        <v>41339</v>
      </c>
      <c r="G1284" s="8">
        <f t="shared" si="20"/>
        <v>41339</v>
      </c>
      <c r="H1284" s="6" t="s">
        <v>13</v>
      </c>
      <c r="I1284" s="9" t="s">
        <v>3380</v>
      </c>
      <c r="J1284" s="10" t="s">
        <v>3380</v>
      </c>
      <c r="K1284" s="17"/>
    </row>
    <row r="1285" spans="1:11" ht="30" x14ac:dyDescent="0.25">
      <c r="A1285" s="3" t="s">
        <v>2588</v>
      </c>
      <c r="B1285" s="4" t="s">
        <v>2589</v>
      </c>
      <c r="C1285" s="5">
        <v>167156</v>
      </c>
      <c r="D1285" s="6" t="s">
        <v>34</v>
      </c>
      <c r="E1285" s="6" t="s">
        <v>17</v>
      </c>
      <c r="F1285" s="7">
        <v>41373</v>
      </c>
      <c r="G1285" s="8">
        <f t="shared" si="20"/>
        <v>41373</v>
      </c>
      <c r="H1285" s="6" t="s">
        <v>13</v>
      </c>
      <c r="I1285" s="9" t="s">
        <v>3380</v>
      </c>
      <c r="J1285" s="10" t="s">
        <v>3380</v>
      </c>
      <c r="K1285" s="17"/>
    </row>
    <row r="1286" spans="1:11" ht="30" x14ac:dyDescent="0.25">
      <c r="A1286" s="3" t="s">
        <v>2590</v>
      </c>
      <c r="B1286" s="4" t="s">
        <v>2591</v>
      </c>
      <c r="C1286" s="5">
        <v>168132</v>
      </c>
      <c r="D1286" s="6" t="s">
        <v>11</v>
      </c>
      <c r="E1286" s="6" t="s">
        <v>17</v>
      </c>
      <c r="F1286" s="7">
        <v>41380</v>
      </c>
      <c r="G1286" s="8">
        <f t="shared" si="20"/>
        <v>41380</v>
      </c>
      <c r="H1286" s="6" t="s">
        <v>13</v>
      </c>
      <c r="I1286" s="9" t="s">
        <v>3380</v>
      </c>
      <c r="J1286" s="10" t="s">
        <v>3380</v>
      </c>
      <c r="K1286" s="17"/>
    </row>
    <row r="1287" spans="1:11" x14ac:dyDescent="0.25">
      <c r="A1287" s="3" t="s">
        <v>2592</v>
      </c>
      <c r="B1287" s="4" t="s">
        <v>2593</v>
      </c>
      <c r="C1287" s="5">
        <v>204948</v>
      </c>
      <c r="D1287" s="6" t="s">
        <v>28</v>
      </c>
      <c r="E1287" s="6" t="s">
        <v>17</v>
      </c>
      <c r="F1287" s="7">
        <v>42674</v>
      </c>
      <c r="G1287" s="8">
        <f t="shared" si="20"/>
        <v>42674</v>
      </c>
      <c r="H1287" s="6" t="s">
        <v>13</v>
      </c>
      <c r="I1287" s="9" t="s">
        <v>3380</v>
      </c>
      <c r="J1287" s="10" t="s">
        <v>3380</v>
      </c>
      <c r="K1287" s="11"/>
    </row>
    <row r="1288" spans="1:11" ht="30" x14ac:dyDescent="0.25">
      <c r="A1288" s="3" t="s">
        <v>2594</v>
      </c>
      <c r="B1288" s="4" t="s">
        <v>2595</v>
      </c>
      <c r="C1288" s="5">
        <v>172916</v>
      </c>
      <c r="D1288" s="6" t="s">
        <v>11</v>
      </c>
      <c r="E1288" s="6" t="s">
        <v>12</v>
      </c>
      <c r="F1288" s="7">
        <v>41394</v>
      </c>
      <c r="G1288" s="8">
        <f t="shared" si="20"/>
        <v>41394</v>
      </c>
      <c r="H1288" s="6" t="s">
        <v>39</v>
      </c>
      <c r="I1288" s="9" t="s">
        <v>3380</v>
      </c>
      <c r="J1288" s="10" t="s">
        <v>3380</v>
      </c>
      <c r="K1288" s="17"/>
    </row>
    <row r="1289" spans="1:11" ht="30" x14ac:dyDescent="0.25">
      <c r="A1289" s="3" t="s">
        <v>2596</v>
      </c>
      <c r="B1289" s="4" t="s">
        <v>2597</v>
      </c>
      <c r="C1289" s="5">
        <v>174836</v>
      </c>
      <c r="D1289" s="6" t="s">
        <v>11</v>
      </c>
      <c r="E1289" s="6" t="s">
        <v>17</v>
      </c>
      <c r="F1289" s="7">
        <v>41466</v>
      </c>
      <c r="G1289" s="8">
        <f t="shared" si="20"/>
        <v>41466</v>
      </c>
      <c r="H1289" s="6" t="s">
        <v>13</v>
      </c>
      <c r="I1289" s="9" t="s">
        <v>3380</v>
      </c>
      <c r="J1289" s="10" t="s">
        <v>3380</v>
      </c>
      <c r="K1289" s="17"/>
    </row>
    <row r="1290" spans="1:11" ht="30" x14ac:dyDescent="0.25">
      <c r="A1290" s="3" t="s">
        <v>2598</v>
      </c>
      <c r="B1290" s="4" t="s">
        <v>2599</v>
      </c>
      <c r="C1290" s="5">
        <v>174852</v>
      </c>
      <c r="D1290" s="6" t="s">
        <v>16</v>
      </c>
      <c r="E1290" s="6" t="s">
        <v>17</v>
      </c>
      <c r="F1290" s="7">
        <v>41513</v>
      </c>
      <c r="G1290" s="8">
        <f t="shared" si="20"/>
        <v>41513</v>
      </c>
      <c r="H1290" s="6" t="s">
        <v>13</v>
      </c>
      <c r="I1290" s="9" t="s">
        <v>3380</v>
      </c>
      <c r="J1290" s="10" t="s">
        <v>3380</v>
      </c>
      <c r="K1290" s="17"/>
    </row>
    <row r="1291" spans="1:11" ht="30" x14ac:dyDescent="0.25">
      <c r="A1291" s="3" t="s">
        <v>2600</v>
      </c>
      <c r="B1291" s="4" t="s">
        <v>2601</v>
      </c>
      <c r="C1291" s="5">
        <v>173556</v>
      </c>
      <c r="D1291" s="6" t="s">
        <v>16</v>
      </c>
      <c r="E1291" s="6" t="s">
        <v>17</v>
      </c>
      <c r="F1291" s="7">
        <v>41493</v>
      </c>
      <c r="G1291" s="8">
        <f t="shared" si="20"/>
        <v>41493</v>
      </c>
      <c r="H1291" s="6" t="s">
        <v>13</v>
      </c>
      <c r="I1291" s="9" t="s">
        <v>3380</v>
      </c>
      <c r="J1291" s="10" t="s">
        <v>3380</v>
      </c>
      <c r="K1291" s="17"/>
    </row>
    <row r="1292" spans="1:11" ht="30" x14ac:dyDescent="0.25">
      <c r="A1292" s="3" t="s">
        <v>2602</v>
      </c>
      <c r="B1292" s="4" t="s">
        <v>2603</v>
      </c>
      <c r="C1292" s="5">
        <v>179956</v>
      </c>
      <c r="D1292" s="6" t="s">
        <v>11</v>
      </c>
      <c r="E1292" s="6" t="s">
        <v>12</v>
      </c>
      <c r="F1292" s="7">
        <v>41550</v>
      </c>
      <c r="G1292" s="8">
        <f t="shared" si="20"/>
        <v>41550</v>
      </c>
      <c r="H1292" s="6" t="s">
        <v>39</v>
      </c>
      <c r="I1292" s="9" t="s">
        <v>3380</v>
      </c>
      <c r="J1292" s="10" t="s">
        <v>3380</v>
      </c>
      <c r="K1292" s="17"/>
    </row>
    <row r="1293" spans="1:11" ht="30" x14ac:dyDescent="0.25">
      <c r="A1293" s="3" t="s">
        <v>2604</v>
      </c>
      <c r="B1293" s="4" t="s">
        <v>2605</v>
      </c>
      <c r="C1293" s="5">
        <v>176117</v>
      </c>
      <c r="D1293" s="6" t="s">
        <v>31</v>
      </c>
      <c r="E1293" s="6" t="s">
        <v>17</v>
      </c>
      <c r="F1293" s="7">
        <v>41568</v>
      </c>
      <c r="G1293" s="8">
        <f t="shared" si="20"/>
        <v>41568</v>
      </c>
      <c r="H1293" s="6" t="s">
        <v>13</v>
      </c>
      <c r="I1293" s="9" t="s">
        <v>3380</v>
      </c>
      <c r="J1293" s="10" t="s">
        <v>3380</v>
      </c>
      <c r="K1293" s="17"/>
    </row>
    <row r="1294" spans="1:11" ht="30" x14ac:dyDescent="0.25">
      <c r="A1294" s="3" t="s">
        <v>2606</v>
      </c>
      <c r="B1294" s="4" t="s">
        <v>2607</v>
      </c>
      <c r="C1294" s="5">
        <v>207532</v>
      </c>
      <c r="D1294" s="6" t="s">
        <v>11</v>
      </c>
      <c r="E1294" s="6" t="s">
        <v>12</v>
      </c>
      <c r="F1294" s="7">
        <v>38210</v>
      </c>
      <c r="G1294" s="8">
        <f t="shared" si="20"/>
        <v>38210</v>
      </c>
      <c r="H1294" s="6" t="s">
        <v>776</v>
      </c>
      <c r="I1294" s="9" t="s">
        <v>3380</v>
      </c>
      <c r="J1294" s="10" t="s">
        <v>3380</v>
      </c>
      <c r="K1294" s="11"/>
    </row>
    <row r="1295" spans="1:11" ht="30" x14ac:dyDescent="0.25">
      <c r="A1295" s="3" t="s">
        <v>2608</v>
      </c>
      <c r="B1295" s="4" t="s">
        <v>2609</v>
      </c>
      <c r="C1295" s="5">
        <v>180276</v>
      </c>
      <c r="D1295" s="6" t="s">
        <v>31</v>
      </c>
      <c r="E1295" s="6" t="s">
        <v>17</v>
      </c>
      <c r="F1295" s="7">
        <v>41669</v>
      </c>
      <c r="G1295" s="8">
        <f t="shared" si="20"/>
        <v>41669</v>
      </c>
      <c r="H1295" s="6" t="s">
        <v>13</v>
      </c>
      <c r="I1295" s="9" t="s">
        <v>3380</v>
      </c>
      <c r="J1295" s="10" t="s">
        <v>3380</v>
      </c>
      <c r="K1295" s="17"/>
    </row>
    <row r="1296" spans="1:11" ht="30" x14ac:dyDescent="0.25">
      <c r="A1296" s="3" t="s">
        <v>2610</v>
      </c>
      <c r="B1296" s="4" t="s">
        <v>2611</v>
      </c>
      <c r="C1296" s="5">
        <v>184116</v>
      </c>
      <c r="D1296" s="6" t="s">
        <v>11</v>
      </c>
      <c r="E1296" s="6" t="s">
        <v>17</v>
      </c>
      <c r="F1296" s="7">
        <v>41815</v>
      </c>
      <c r="G1296" s="8">
        <f t="shared" si="20"/>
        <v>41815</v>
      </c>
      <c r="H1296" s="6" t="s">
        <v>13</v>
      </c>
      <c r="I1296" s="9" t="s">
        <v>3380</v>
      </c>
      <c r="J1296" s="10" t="s">
        <v>3380</v>
      </c>
      <c r="K1296" s="17"/>
    </row>
    <row r="1297" spans="1:11" ht="30" x14ac:dyDescent="0.25">
      <c r="A1297" s="3" t="s">
        <v>2612</v>
      </c>
      <c r="B1297" s="4" t="s">
        <v>2613</v>
      </c>
      <c r="C1297" s="14">
        <v>182518</v>
      </c>
      <c r="D1297" s="6" t="s">
        <v>16</v>
      </c>
      <c r="E1297" s="6" t="s">
        <v>17</v>
      </c>
      <c r="F1297" s="7">
        <v>41788</v>
      </c>
      <c r="G1297" s="8">
        <f t="shared" si="20"/>
        <v>41788</v>
      </c>
      <c r="H1297" s="6" t="s">
        <v>13</v>
      </c>
      <c r="I1297" s="9" t="s">
        <v>3380</v>
      </c>
      <c r="J1297" s="10" t="s">
        <v>3380</v>
      </c>
      <c r="K1297" s="17"/>
    </row>
    <row r="1298" spans="1:11" ht="30" x14ac:dyDescent="0.25">
      <c r="A1298" s="3" t="s">
        <v>2614</v>
      </c>
      <c r="B1298" s="4" t="s">
        <v>2615</v>
      </c>
      <c r="C1298" s="14">
        <v>182218</v>
      </c>
      <c r="D1298" s="6" t="s">
        <v>28</v>
      </c>
      <c r="E1298" s="6" t="s">
        <v>17</v>
      </c>
      <c r="F1298" s="7">
        <v>41649</v>
      </c>
      <c r="G1298" s="8">
        <f t="shared" si="20"/>
        <v>41649</v>
      </c>
      <c r="H1298" s="6" t="s">
        <v>13</v>
      </c>
      <c r="I1298" s="9" t="s">
        <v>3380</v>
      </c>
      <c r="J1298" s="10" t="s">
        <v>3380</v>
      </c>
      <c r="K1298" s="17"/>
    </row>
    <row r="1299" spans="1:11" ht="30" x14ac:dyDescent="0.25">
      <c r="A1299" s="3" t="s">
        <v>2616</v>
      </c>
      <c r="B1299" s="4" t="s">
        <v>2617</v>
      </c>
      <c r="C1299" s="5">
        <v>183476</v>
      </c>
      <c r="D1299" s="6" t="s">
        <v>16</v>
      </c>
      <c r="E1299" s="6" t="s">
        <v>17</v>
      </c>
      <c r="F1299" s="7">
        <v>41836</v>
      </c>
      <c r="G1299" s="8">
        <f t="shared" si="20"/>
        <v>41836</v>
      </c>
      <c r="H1299" s="6" t="s">
        <v>13</v>
      </c>
      <c r="I1299" s="9" t="s">
        <v>3380</v>
      </c>
      <c r="J1299" s="10" t="s">
        <v>3380</v>
      </c>
      <c r="K1299" s="17"/>
    </row>
    <row r="1300" spans="1:11" ht="30" x14ac:dyDescent="0.25">
      <c r="A1300" s="3" t="s">
        <v>2618</v>
      </c>
      <c r="B1300" s="4" t="s">
        <v>2619</v>
      </c>
      <c r="C1300" s="5">
        <v>185429</v>
      </c>
      <c r="D1300" s="6" t="s">
        <v>34</v>
      </c>
      <c r="E1300" s="6" t="s">
        <v>17</v>
      </c>
      <c r="F1300" s="7">
        <v>41887</v>
      </c>
      <c r="G1300" s="8">
        <f t="shared" si="20"/>
        <v>41887</v>
      </c>
      <c r="H1300" s="6" t="s">
        <v>13</v>
      </c>
      <c r="I1300" s="9" t="s">
        <v>3380</v>
      </c>
      <c r="J1300" s="10" t="s">
        <v>3380</v>
      </c>
      <c r="K1300" s="17"/>
    </row>
    <row r="1301" spans="1:11" ht="30" x14ac:dyDescent="0.25">
      <c r="A1301" s="3" t="s">
        <v>2620</v>
      </c>
      <c r="B1301" s="4" t="s">
        <v>2621</v>
      </c>
      <c r="C1301" s="5">
        <v>183479</v>
      </c>
      <c r="D1301" s="6" t="s">
        <v>11</v>
      </c>
      <c r="E1301" s="6" t="s">
        <v>17</v>
      </c>
      <c r="F1301" s="7">
        <v>41870</v>
      </c>
      <c r="G1301" s="8">
        <f t="shared" si="20"/>
        <v>41870</v>
      </c>
      <c r="H1301" s="6" t="s">
        <v>13</v>
      </c>
      <c r="I1301" s="9" t="s">
        <v>3380</v>
      </c>
      <c r="J1301" s="10" t="s">
        <v>3380</v>
      </c>
      <c r="K1301" s="17"/>
    </row>
    <row r="1302" spans="1:11" ht="30" x14ac:dyDescent="0.25">
      <c r="A1302" s="3" t="s">
        <v>2622</v>
      </c>
      <c r="B1302" s="4" t="s">
        <v>2623</v>
      </c>
      <c r="C1302" s="5">
        <v>185734</v>
      </c>
      <c r="D1302" s="6" t="s">
        <v>31</v>
      </c>
      <c r="E1302" s="6" t="s">
        <v>17</v>
      </c>
      <c r="F1302" s="7">
        <v>41878</v>
      </c>
      <c r="G1302" s="8">
        <f t="shared" si="20"/>
        <v>41878</v>
      </c>
      <c r="H1302" s="6" t="s">
        <v>13</v>
      </c>
      <c r="I1302" s="9" t="s">
        <v>3380</v>
      </c>
      <c r="J1302" s="10" t="s">
        <v>3380</v>
      </c>
      <c r="K1302" s="17"/>
    </row>
    <row r="1303" spans="1:11" ht="30" x14ac:dyDescent="0.25">
      <c r="A1303" s="3" t="s">
        <v>2624</v>
      </c>
      <c r="B1303" s="4" t="s">
        <v>2625</v>
      </c>
      <c r="C1303" s="14">
        <v>186378</v>
      </c>
      <c r="D1303" s="6" t="s">
        <v>11</v>
      </c>
      <c r="E1303" s="6" t="s">
        <v>17</v>
      </c>
      <c r="F1303" s="7">
        <v>41915</v>
      </c>
      <c r="G1303" s="8">
        <f t="shared" si="20"/>
        <v>41915</v>
      </c>
      <c r="H1303" s="6" t="s">
        <v>13</v>
      </c>
      <c r="I1303" s="9" t="s">
        <v>3380</v>
      </c>
      <c r="J1303" s="10" t="s">
        <v>3380</v>
      </c>
      <c r="K1303" s="17"/>
    </row>
    <row r="1304" spans="1:11" ht="30" x14ac:dyDescent="0.25">
      <c r="A1304" s="3" t="s">
        <v>2626</v>
      </c>
      <c r="B1304" s="4" t="s">
        <v>2627</v>
      </c>
      <c r="C1304" s="14">
        <v>186052</v>
      </c>
      <c r="D1304" s="6" t="s">
        <v>31</v>
      </c>
      <c r="E1304" s="6" t="s">
        <v>17</v>
      </c>
      <c r="F1304" s="7">
        <v>41927</v>
      </c>
      <c r="G1304" s="8">
        <f t="shared" si="20"/>
        <v>41927</v>
      </c>
      <c r="H1304" s="6" t="s">
        <v>13</v>
      </c>
      <c r="I1304" s="9" t="s">
        <v>3380</v>
      </c>
      <c r="J1304" s="10" t="s">
        <v>3380</v>
      </c>
      <c r="K1304" s="17"/>
    </row>
    <row r="1305" spans="1:11" ht="30" x14ac:dyDescent="0.25">
      <c r="A1305" s="3" t="s">
        <v>2628</v>
      </c>
      <c r="B1305" s="4" t="s">
        <v>2629</v>
      </c>
      <c r="C1305" s="14">
        <v>187348</v>
      </c>
      <c r="D1305" s="6" t="s">
        <v>11</v>
      </c>
      <c r="E1305" s="6" t="s">
        <v>17</v>
      </c>
      <c r="F1305" s="7">
        <v>41934</v>
      </c>
      <c r="G1305" s="8">
        <f t="shared" si="20"/>
        <v>41934</v>
      </c>
      <c r="H1305" s="6" t="s">
        <v>13</v>
      </c>
      <c r="I1305" s="9" t="s">
        <v>3380</v>
      </c>
      <c r="J1305" s="10" t="s">
        <v>3380</v>
      </c>
      <c r="K1305" s="17"/>
    </row>
    <row r="1306" spans="1:11" x14ac:dyDescent="0.25">
      <c r="A1306" s="3" t="s">
        <v>2630</v>
      </c>
      <c r="B1306" s="4" t="s">
        <v>2631</v>
      </c>
      <c r="C1306" s="5">
        <v>205270</v>
      </c>
      <c r="D1306" s="6" t="s">
        <v>11</v>
      </c>
      <c r="E1306" s="6" t="s">
        <v>17</v>
      </c>
      <c r="F1306" s="7">
        <v>41920</v>
      </c>
      <c r="G1306" s="8">
        <f t="shared" si="20"/>
        <v>41920</v>
      </c>
      <c r="H1306" s="6" t="s">
        <v>13</v>
      </c>
      <c r="I1306" s="9" t="s">
        <v>3380</v>
      </c>
      <c r="J1306" s="10" t="s">
        <v>3380</v>
      </c>
      <c r="K1306" s="11"/>
    </row>
    <row r="1307" spans="1:11" ht="30" x14ac:dyDescent="0.25">
      <c r="A1307" s="3" t="s">
        <v>2632</v>
      </c>
      <c r="B1307" s="4" t="s">
        <v>2633</v>
      </c>
      <c r="C1307" s="5">
        <v>187976</v>
      </c>
      <c r="D1307" s="6" t="s">
        <v>11</v>
      </c>
      <c r="E1307" s="6" t="s">
        <v>12</v>
      </c>
      <c r="F1307" s="7">
        <v>41974</v>
      </c>
      <c r="G1307" s="8">
        <f t="shared" si="20"/>
        <v>41974</v>
      </c>
      <c r="H1307" s="6" t="s">
        <v>39</v>
      </c>
      <c r="I1307" s="9" t="s">
        <v>3380</v>
      </c>
      <c r="J1307" s="10" t="s">
        <v>3380</v>
      </c>
      <c r="K1307" s="17"/>
    </row>
    <row r="1308" spans="1:11" ht="30" x14ac:dyDescent="0.25">
      <c r="A1308" s="3" t="s">
        <v>2634</v>
      </c>
      <c r="B1308" s="4" t="s">
        <v>2635</v>
      </c>
      <c r="C1308" s="5">
        <v>185413</v>
      </c>
      <c r="D1308" s="6" t="s">
        <v>16</v>
      </c>
      <c r="E1308" s="6" t="s">
        <v>17</v>
      </c>
      <c r="F1308" s="7">
        <v>41992</v>
      </c>
      <c r="G1308" s="8">
        <f t="shared" si="20"/>
        <v>41992</v>
      </c>
      <c r="H1308" s="6" t="s">
        <v>13</v>
      </c>
      <c r="I1308" s="9" t="s">
        <v>3380</v>
      </c>
      <c r="J1308" s="10" t="s">
        <v>3380</v>
      </c>
      <c r="K1308" s="17"/>
    </row>
    <row r="1309" spans="1:11" ht="30" x14ac:dyDescent="0.25">
      <c r="A1309" s="3" t="s">
        <v>2636</v>
      </c>
      <c r="B1309" s="4" t="s">
        <v>2637</v>
      </c>
      <c r="C1309" s="5">
        <v>205271</v>
      </c>
      <c r="D1309" s="6" t="s">
        <v>37</v>
      </c>
      <c r="E1309" s="6" t="s">
        <v>38</v>
      </c>
      <c r="F1309" s="7">
        <v>41927</v>
      </c>
      <c r="G1309" s="8">
        <f t="shared" si="20"/>
        <v>41927</v>
      </c>
      <c r="H1309" s="6" t="s">
        <v>39</v>
      </c>
      <c r="I1309" s="9" t="s">
        <v>3380</v>
      </c>
      <c r="J1309" s="10" t="s">
        <v>3380</v>
      </c>
      <c r="K1309" s="40"/>
    </row>
    <row r="1310" spans="1:11" ht="30" x14ac:dyDescent="0.25">
      <c r="A1310" s="3" t="s">
        <v>2638</v>
      </c>
      <c r="B1310" s="4" t="s">
        <v>2639</v>
      </c>
      <c r="C1310" s="5">
        <v>188292</v>
      </c>
      <c r="D1310" s="6" t="s">
        <v>11</v>
      </c>
      <c r="E1310" s="6" t="s">
        <v>17</v>
      </c>
      <c r="F1310" s="7">
        <v>41962</v>
      </c>
      <c r="G1310" s="8">
        <f t="shared" si="20"/>
        <v>41962</v>
      </c>
      <c r="H1310" s="6" t="s">
        <v>13</v>
      </c>
      <c r="I1310" s="9" t="s">
        <v>3380</v>
      </c>
      <c r="J1310" s="10" t="s">
        <v>3380</v>
      </c>
      <c r="K1310" s="17"/>
    </row>
    <row r="1311" spans="1:11" ht="30" x14ac:dyDescent="0.25">
      <c r="A1311" s="3" t="s">
        <v>2640</v>
      </c>
      <c r="B1311" s="4" t="s">
        <v>2641</v>
      </c>
      <c r="C1311" s="5">
        <v>189252</v>
      </c>
      <c r="D1311" s="6" t="s">
        <v>11</v>
      </c>
      <c r="E1311" s="6" t="s">
        <v>12</v>
      </c>
      <c r="F1311" s="7">
        <v>42016</v>
      </c>
      <c r="G1311" s="8">
        <f t="shared" si="20"/>
        <v>42016</v>
      </c>
      <c r="H1311" s="6" t="s">
        <v>39</v>
      </c>
      <c r="I1311" s="9" t="s">
        <v>3380</v>
      </c>
      <c r="J1311" s="10" t="s">
        <v>3380</v>
      </c>
      <c r="K1311" s="17"/>
    </row>
    <row r="1312" spans="1:11" ht="30" x14ac:dyDescent="0.25">
      <c r="A1312" s="3" t="s">
        <v>2642</v>
      </c>
      <c r="B1312" s="4" t="s">
        <v>2643</v>
      </c>
      <c r="C1312" s="5">
        <v>201109</v>
      </c>
      <c r="D1312" s="6" t="s">
        <v>31</v>
      </c>
      <c r="E1312" s="6" t="s">
        <v>17</v>
      </c>
      <c r="F1312" s="7">
        <v>41919</v>
      </c>
      <c r="G1312" s="8">
        <f t="shared" si="20"/>
        <v>41919</v>
      </c>
      <c r="H1312" s="6" t="s">
        <v>13</v>
      </c>
      <c r="I1312" s="9" t="s">
        <v>3380</v>
      </c>
      <c r="J1312" s="10" t="s">
        <v>3380</v>
      </c>
      <c r="K1312" s="17"/>
    </row>
    <row r="1313" spans="1:11" ht="30" x14ac:dyDescent="0.25">
      <c r="A1313" s="3" t="s">
        <v>2644</v>
      </c>
      <c r="B1313" s="4" t="s">
        <v>2645</v>
      </c>
      <c r="C1313" s="5">
        <v>188293</v>
      </c>
      <c r="D1313" s="6" t="s">
        <v>11</v>
      </c>
      <c r="E1313" s="6" t="s">
        <v>12</v>
      </c>
      <c r="F1313" s="7">
        <v>42002</v>
      </c>
      <c r="G1313" s="8">
        <f t="shared" si="20"/>
        <v>42002</v>
      </c>
      <c r="H1313" s="6" t="s">
        <v>39</v>
      </c>
      <c r="I1313" s="9" t="s">
        <v>3380</v>
      </c>
      <c r="J1313" s="10" t="s">
        <v>3380</v>
      </c>
      <c r="K1313" s="17"/>
    </row>
    <row r="1314" spans="1:11" ht="30" x14ac:dyDescent="0.25">
      <c r="A1314" s="3" t="s">
        <v>2646</v>
      </c>
      <c r="B1314" s="4" t="s">
        <v>2647</v>
      </c>
      <c r="C1314" s="5">
        <v>190228</v>
      </c>
      <c r="D1314" s="6" t="s">
        <v>11</v>
      </c>
      <c r="E1314" s="6" t="s">
        <v>12</v>
      </c>
      <c r="F1314" s="7">
        <v>42059</v>
      </c>
      <c r="G1314" s="8">
        <f t="shared" si="20"/>
        <v>42059</v>
      </c>
      <c r="H1314" s="6" t="s">
        <v>39</v>
      </c>
      <c r="I1314" s="9" t="s">
        <v>3380</v>
      </c>
      <c r="J1314" s="10" t="s">
        <v>3380</v>
      </c>
      <c r="K1314" s="17"/>
    </row>
    <row r="1315" spans="1:11" ht="30" x14ac:dyDescent="0.25">
      <c r="A1315" s="3" t="s">
        <v>2648</v>
      </c>
      <c r="B1315" s="4" t="s">
        <v>2649</v>
      </c>
      <c r="C1315" s="5">
        <v>188948</v>
      </c>
      <c r="D1315" s="6" t="s">
        <v>11</v>
      </c>
      <c r="E1315" s="6" t="s">
        <v>12</v>
      </c>
      <c r="F1315" s="7">
        <v>42034</v>
      </c>
      <c r="G1315" s="8">
        <f t="shared" si="20"/>
        <v>42034</v>
      </c>
      <c r="H1315" s="6" t="s">
        <v>39</v>
      </c>
      <c r="I1315" s="9" t="s">
        <v>3380</v>
      </c>
      <c r="J1315" s="10" t="s">
        <v>3380</v>
      </c>
      <c r="K1315" s="17"/>
    </row>
    <row r="1316" spans="1:11" ht="30" x14ac:dyDescent="0.25">
      <c r="A1316" s="3" t="s">
        <v>2650</v>
      </c>
      <c r="B1316" s="4" t="s">
        <v>2651</v>
      </c>
      <c r="C1316" s="5">
        <v>191189</v>
      </c>
      <c r="D1316" s="6" t="s">
        <v>11</v>
      </c>
      <c r="E1316" s="6" t="s">
        <v>17</v>
      </c>
      <c r="F1316" s="7">
        <v>42074</v>
      </c>
      <c r="G1316" s="8">
        <f t="shared" si="20"/>
        <v>42074</v>
      </c>
      <c r="H1316" s="6" t="s">
        <v>13</v>
      </c>
      <c r="I1316" s="9" t="s">
        <v>3380</v>
      </c>
      <c r="J1316" s="10" t="s">
        <v>3380</v>
      </c>
      <c r="K1316" s="17"/>
    </row>
    <row r="1317" spans="1:11" ht="30" x14ac:dyDescent="0.25">
      <c r="A1317" s="3" t="s">
        <v>2652</v>
      </c>
      <c r="B1317" s="4" t="s">
        <v>2653</v>
      </c>
      <c r="C1317" s="5">
        <v>187670</v>
      </c>
      <c r="D1317" s="6" t="s">
        <v>11</v>
      </c>
      <c r="E1317" s="6" t="s">
        <v>12</v>
      </c>
      <c r="F1317" s="7">
        <v>41950</v>
      </c>
      <c r="G1317" s="8">
        <f t="shared" si="20"/>
        <v>41950</v>
      </c>
      <c r="H1317" s="6" t="s">
        <v>776</v>
      </c>
      <c r="I1317" s="9" t="s">
        <v>3380</v>
      </c>
      <c r="J1317" s="10" t="s">
        <v>3380</v>
      </c>
      <c r="K1317" s="17"/>
    </row>
    <row r="1318" spans="1:11" ht="30" x14ac:dyDescent="0.25">
      <c r="A1318" s="3" t="s">
        <v>2654</v>
      </c>
      <c r="B1318" s="4" t="s">
        <v>2655</v>
      </c>
      <c r="C1318" s="5">
        <v>189924</v>
      </c>
      <c r="D1318" s="6" t="s">
        <v>34</v>
      </c>
      <c r="E1318" s="6" t="s">
        <v>17</v>
      </c>
      <c r="F1318" s="7">
        <v>42011</v>
      </c>
      <c r="G1318" s="8">
        <f t="shared" si="20"/>
        <v>42011</v>
      </c>
      <c r="H1318" s="6" t="s">
        <v>13</v>
      </c>
      <c r="I1318" s="9" t="s">
        <v>3380</v>
      </c>
      <c r="J1318" s="10" t="s">
        <v>3380</v>
      </c>
      <c r="K1318" s="17"/>
    </row>
    <row r="1319" spans="1:11" ht="30" x14ac:dyDescent="0.25">
      <c r="A1319" s="3" t="s">
        <v>2656</v>
      </c>
      <c r="B1319" s="4" t="s">
        <v>2657</v>
      </c>
      <c r="C1319" s="5">
        <v>190550</v>
      </c>
      <c r="D1319" s="6" t="s">
        <v>34</v>
      </c>
      <c r="E1319" s="6" t="s">
        <v>17</v>
      </c>
      <c r="F1319" s="7">
        <v>41908</v>
      </c>
      <c r="G1319" s="8">
        <f t="shared" si="20"/>
        <v>41908</v>
      </c>
      <c r="H1319" s="6" t="s">
        <v>13</v>
      </c>
      <c r="I1319" s="9" t="s">
        <v>3380</v>
      </c>
      <c r="J1319" s="10" t="s">
        <v>3380</v>
      </c>
      <c r="K1319" s="17"/>
    </row>
    <row r="1320" spans="1:11" ht="30" x14ac:dyDescent="0.25">
      <c r="A1320" s="3" t="s">
        <v>2658</v>
      </c>
      <c r="B1320" s="4" t="s">
        <v>2659</v>
      </c>
      <c r="C1320" s="5">
        <v>188966</v>
      </c>
      <c r="D1320" s="6" t="s">
        <v>34</v>
      </c>
      <c r="E1320" s="6" t="s">
        <v>17</v>
      </c>
      <c r="F1320" s="7">
        <v>42016</v>
      </c>
      <c r="G1320" s="8">
        <f t="shared" si="20"/>
        <v>42016</v>
      </c>
      <c r="H1320" s="6" t="s">
        <v>13</v>
      </c>
      <c r="I1320" s="9" t="s">
        <v>3380</v>
      </c>
      <c r="J1320" s="10" t="s">
        <v>3380</v>
      </c>
      <c r="K1320" s="17"/>
    </row>
    <row r="1321" spans="1:11" ht="30" x14ac:dyDescent="0.25">
      <c r="A1321" s="3" t="s">
        <v>2660</v>
      </c>
      <c r="B1321" s="4" t="s">
        <v>2661</v>
      </c>
      <c r="C1321" s="5">
        <v>190551</v>
      </c>
      <c r="D1321" s="6" t="s">
        <v>11</v>
      </c>
      <c r="E1321" s="6" t="s">
        <v>17</v>
      </c>
      <c r="F1321" s="7">
        <v>42096</v>
      </c>
      <c r="G1321" s="8">
        <f t="shared" si="20"/>
        <v>42096</v>
      </c>
      <c r="H1321" s="6" t="s">
        <v>13</v>
      </c>
      <c r="I1321" s="9" t="s">
        <v>3380</v>
      </c>
      <c r="J1321" s="10" t="s">
        <v>3380</v>
      </c>
      <c r="K1321" s="17"/>
    </row>
    <row r="1322" spans="1:11" ht="30" x14ac:dyDescent="0.25">
      <c r="A1322" s="3" t="s">
        <v>2662</v>
      </c>
      <c r="B1322" s="4" t="s">
        <v>2663</v>
      </c>
      <c r="C1322" s="14">
        <v>192148</v>
      </c>
      <c r="D1322" s="6" t="s">
        <v>11</v>
      </c>
      <c r="E1322" s="6" t="s">
        <v>17</v>
      </c>
      <c r="F1322" s="7">
        <v>42114</v>
      </c>
      <c r="G1322" s="8">
        <f t="shared" si="20"/>
        <v>42114</v>
      </c>
      <c r="H1322" s="6" t="s">
        <v>13</v>
      </c>
      <c r="I1322" s="9" t="s">
        <v>3380</v>
      </c>
      <c r="J1322" s="10" t="s">
        <v>3380</v>
      </c>
      <c r="K1322" s="17"/>
    </row>
    <row r="1323" spans="1:11" ht="30" x14ac:dyDescent="0.25">
      <c r="A1323" s="3" t="s">
        <v>2664</v>
      </c>
      <c r="B1323" s="4" t="s">
        <v>2665</v>
      </c>
      <c r="C1323" s="5">
        <v>189604</v>
      </c>
      <c r="D1323" s="6" t="s">
        <v>37</v>
      </c>
      <c r="E1323" s="6" t="s">
        <v>38</v>
      </c>
      <c r="F1323" s="7">
        <v>42056</v>
      </c>
      <c r="G1323" s="8">
        <f t="shared" si="20"/>
        <v>42056</v>
      </c>
      <c r="H1323" s="6" t="s">
        <v>39</v>
      </c>
      <c r="I1323" s="9" t="s">
        <v>3380</v>
      </c>
      <c r="J1323" s="10" t="s">
        <v>3380</v>
      </c>
      <c r="K1323" s="17"/>
    </row>
    <row r="1324" spans="1:11" ht="30" x14ac:dyDescent="0.25">
      <c r="A1324" s="3" t="s">
        <v>2666</v>
      </c>
      <c r="B1324" s="4" t="s">
        <v>2667</v>
      </c>
      <c r="C1324" s="5">
        <v>191844</v>
      </c>
      <c r="D1324" s="6" t="s">
        <v>11</v>
      </c>
      <c r="E1324" s="6" t="s">
        <v>17</v>
      </c>
      <c r="F1324" s="7">
        <v>42109</v>
      </c>
      <c r="G1324" s="8">
        <f t="shared" si="20"/>
        <v>42109</v>
      </c>
      <c r="H1324" s="6" t="s">
        <v>13</v>
      </c>
      <c r="I1324" s="9" t="s">
        <v>3380</v>
      </c>
      <c r="J1324" s="10" t="s">
        <v>3380</v>
      </c>
      <c r="K1324" s="17"/>
    </row>
    <row r="1325" spans="1:11" ht="30" x14ac:dyDescent="0.25">
      <c r="A1325" s="3" t="s">
        <v>2668</v>
      </c>
      <c r="B1325" s="4" t="s">
        <v>2669</v>
      </c>
      <c r="C1325" s="5">
        <v>191861</v>
      </c>
      <c r="D1325" s="6" t="s">
        <v>16</v>
      </c>
      <c r="E1325" s="6" t="s">
        <v>17</v>
      </c>
      <c r="F1325" s="7">
        <v>42166</v>
      </c>
      <c r="G1325" s="8">
        <f t="shared" si="20"/>
        <v>42166</v>
      </c>
      <c r="H1325" s="6" t="s">
        <v>13</v>
      </c>
      <c r="I1325" s="9" t="s">
        <v>3380</v>
      </c>
      <c r="J1325" s="10" t="s">
        <v>3380</v>
      </c>
      <c r="K1325" s="17"/>
    </row>
    <row r="1326" spans="1:11" x14ac:dyDescent="0.25">
      <c r="A1326" s="26" t="s">
        <v>2670</v>
      </c>
      <c r="B1326" s="27" t="s">
        <v>2671</v>
      </c>
      <c r="C1326" s="34">
        <v>191860</v>
      </c>
      <c r="D1326" s="28" t="s">
        <v>34</v>
      </c>
      <c r="E1326" s="28" t="s">
        <v>17</v>
      </c>
      <c r="F1326" s="29">
        <v>42164</v>
      </c>
      <c r="G1326" s="30">
        <f t="shared" si="20"/>
        <v>42164</v>
      </c>
      <c r="H1326" s="28" t="s">
        <v>13</v>
      </c>
      <c r="I1326" s="9" t="s">
        <v>3380</v>
      </c>
      <c r="J1326" s="10" t="s">
        <v>3380</v>
      </c>
      <c r="K1326" s="33"/>
    </row>
    <row r="1327" spans="1:11" ht="30" x14ac:dyDescent="0.25">
      <c r="A1327" s="3" t="s">
        <v>2672</v>
      </c>
      <c r="B1327" s="4" t="s">
        <v>2673</v>
      </c>
      <c r="C1327" s="5">
        <v>192149</v>
      </c>
      <c r="D1327" s="6" t="s">
        <v>11</v>
      </c>
      <c r="E1327" s="6" t="s">
        <v>17</v>
      </c>
      <c r="F1327" s="7">
        <v>42114</v>
      </c>
      <c r="G1327" s="8">
        <f t="shared" si="20"/>
        <v>42114</v>
      </c>
      <c r="H1327" s="6" t="s">
        <v>13</v>
      </c>
      <c r="I1327" s="9" t="s">
        <v>3380</v>
      </c>
      <c r="J1327" s="10" t="s">
        <v>3380</v>
      </c>
      <c r="K1327" s="17"/>
    </row>
    <row r="1328" spans="1:11" ht="30" x14ac:dyDescent="0.25">
      <c r="A1328" s="3" t="s">
        <v>2674</v>
      </c>
      <c r="B1328" s="4" t="s">
        <v>2675</v>
      </c>
      <c r="C1328" s="5">
        <v>191845</v>
      </c>
      <c r="D1328" s="6" t="s">
        <v>28</v>
      </c>
      <c r="E1328" s="6" t="s">
        <v>17</v>
      </c>
      <c r="F1328" s="7">
        <v>42139</v>
      </c>
      <c r="G1328" s="8">
        <f t="shared" si="20"/>
        <v>42139</v>
      </c>
      <c r="H1328" s="6" t="s">
        <v>13</v>
      </c>
      <c r="I1328" s="9" t="s">
        <v>3380</v>
      </c>
      <c r="J1328" s="10" t="s">
        <v>3380</v>
      </c>
      <c r="K1328" s="17"/>
    </row>
    <row r="1329" spans="1:11" ht="30" x14ac:dyDescent="0.25">
      <c r="A1329" s="3" t="s">
        <v>2676</v>
      </c>
      <c r="B1329" s="4" t="s">
        <v>2677</v>
      </c>
      <c r="C1329" s="5">
        <v>196660</v>
      </c>
      <c r="D1329" s="6" t="s">
        <v>16</v>
      </c>
      <c r="E1329" s="6" t="s">
        <v>17</v>
      </c>
      <c r="F1329" s="7">
        <v>42180</v>
      </c>
      <c r="G1329" s="8">
        <f t="shared" si="20"/>
        <v>42180</v>
      </c>
      <c r="H1329" s="6" t="s">
        <v>13</v>
      </c>
      <c r="I1329" s="9" t="s">
        <v>3380</v>
      </c>
      <c r="J1329" s="10" t="s">
        <v>3380</v>
      </c>
      <c r="K1329" s="17"/>
    </row>
    <row r="1330" spans="1:11" ht="30" x14ac:dyDescent="0.25">
      <c r="A1330" s="3" t="s">
        <v>2678</v>
      </c>
      <c r="B1330" s="4" t="s">
        <v>2679</v>
      </c>
      <c r="C1330" s="5">
        <v>192157</v>
      </c>
      <c r="D1330" s="6" t="s">
        <v>11</v>
      </c>
      <c r="E1330" s="6" t="s">
        <v>17</v>
      </c>
      <c r="F1330" s="7">
        <v>42163</v>
      </c>
      <c r="G1330" s="8">
        <f t="shared" si="20"/>
        <v>42163</v>
      </c>
      <c r="H1330" s="6" t="s">
        <v>13</v>
      </c>
      <c r="I1330" s="9" t="s">
        <v>3380</v>
      </c>
      <c r="J1330" s="10" t="s">
        <v>3380</v>
      </c>
      <c r="K1330" s="17"/>
    </row>
    <row r="1331" spans="1:11" ht="30" x14ac:dyDescent="0.25">
      <c r="A1331" s="3" t="s">
        <v>2680</v>
      </c>
      <c r="B1331" s="4" t="s">
        <v>2681</v>
      </c>
      <c r="C1331" s="5">
        <v>195991</v>
      </c>
      <c r="D1331" s="6" t="s">
        <v>11</v>
      </c>
      <c r="E1331" s="6" t="s">
        <v>17</v>
      </c>
      <c r="F1331" s="7">
        <v>42284</v>
      </c>
      <c r="G1331" s="8">
        <f t="shared" si="20"/>
        <v>42284</v>
      </c>
      <c r="H1331" s="6" t="s">
        <v>13</v>
      </c>
      <c r="I1331" s="9" t="s">
        <v>3380</v>
      </c>
      <c r="J1331" s="10" t="s">
        <v>3380</v>
      </c>
      <c r="K1331" s="17"/>
    </row>
    <row r="1332" spans="1:11" ht="30" x14ac:dyDescent="0.25">
      <c r="A1332" s="3" t="s">
        <v>2682</v>
      </c>
      <c r="B1332" s="4" t="s">
        <v>2683</v>
      </c>
      <c r="C1332" s="5">
        <v>192150</v>
      </c>
      <c r="D1332" s="6" t="s">
        <v>31</v>
      </c>
      <c r="E1332" s="6" t="s">
        <v>17</v>
      </c>
      <c r="F1332" s="7">
        <v>42101</v>
      </c>
      <c r="G1332" s="8">
        <f t="shared" si="20"/>
        <v>42101</v>
      </c>
      <c r="H1332" s="6" t="s">
        <v>13</v>
      </c>
      <c r="I1332" s="9" t="s">
        <v>3380</v>
      </c>
      <c r="J1332" s="10" t="s">
        <v>3380</v>
      </c>
      <c r="K1332" s="17"/>
    </row>
    <row r="1333" spans="1:11" ht="30" x14ac:dyDescent="0.25">
      <c r="A1333" s="3" t="s">
        <v>2684</v>
      </c>
      <c r="B1333" s="4" t="s">
        <v>2685</v>
      </c>
      <c r="C1333" s="14">
        <v>195994</v>
      </c>
      <c r="D1333" s="6" t="s">
        <v>16</v>
      </c>
      <c r="E1333" s="6" t="s">
        <v>17</v>
      </c>
      <c r="F1333" s="7">
        <v>39849</v>
      </c>
      <c r="G1333" s="8">
        <f t="shared" si="20"/>
        <v>39849</v>
      </c>
      <c r="H1333" s="6" t="s">
        <v>13</v>
      </c>
      <c r="I1333" s="9" t="s">
        <v>3380</v>
      </c>
      <c r="J1333" s="10" t="s">
        <v>3380</v>
      </c>
      <c r="K1333" s="17"/>
    </row>
    <row r="1334" spans="1:11" ht="30" x14ac:dyDescent="0.25">
      <c r="A1334" s="3" t="s">
        <v>2686</v>
      </c>
      <c r="B1334" s="4" t="s">
        <v>2687</v>
      </c>
      <c r="C1334" s="5">
        <v>196968</v>
      </c>
      <c r="D1334" s="6" t="s">
        <v>34</v>
      </c>
      <c r="E1334" s="6" t="s">
        <v>17</v>
      </c>
      <c r="F1334" s="7">
        <v>41939</v>
      </c>
      <c r="G1334" s="8">
        <f t="shared" si="20"/>
        <v>41939</v>
      </c>
      <c r="H1334" s="6" t="s">
        <v>13</v>
      </c>
      <c r="I1334" s="9" t="s">
        <v>3380</v>
      </c>
      <c r="J1334" s="10" t="s">
        <v>3380</v>
      </c>
      <c r="K1334" s="17"/>
    </row>
    <row r="1335" spans="1:11" ht="30" x14ac:dyDescent="0.25">
      <c r="A1335" s="3" t="s">
        <v>2688</v>
      </c>
      <c r="B1335" s="4" t="s">
        <v>2689</v>
      </c>
      <c r="C1335" s="5">
        <v>196308</v>
      </c>
      <c r="D1335" s="6" t="s">
        <v>11</v>
      </c>
      <c r="E1335" s="6" t="s">
        <v>17</v>
      </c>
      <c r="F1335" s="7">
        <v>42345</v>
      </c>
      <c r="G1335" s="8">
        <f t="shared" si="20"/>
        <v>42345</v>
      </c>
      <c r="H1335" s="6" t="s">
        <v>13</v>
      </c>
      <c r="I1335" s="9" t="s">
        <v>3380</v>
      </c>
      <c r="J1335" s="10" t="s">
        <v>3380</v>
      </c>
      <c r="K1335" s="17"/>
    </row>
    <row r="1336" spans="1:11" ht="30" x14ac:dyDescent="0.25">
      <c r="A1336" s="3" t="s">
        <v>2690</v>
      </c>
      <c r="B1336" s="4" t="s">
        <v>2691</v>
      </c>
      <c r="C1336" s="5">
        <v>195988</v>
      </c>
      <c r="D1336" s="6" t="s">
        <v>11</v>
      </c>
      <c r="E1336" s="6" t="s">
        <v>17</v>
      </c>
      <c r="F1336" s="7">
        <v>42284</v>
      </c>
      <c r="G1336" s="8">
        <f t="shared" si="20"/>
        <v>42284</v>
      </c>
      <c r="H1336" s="6" t="s">
        <v>13</v>
      </c>
      <c r="I1336" s="9" t="s">
        <v>3380</v>
      </c>
      <c r="J1336" s="10" t="s">
        <v>3380</v>
      </c>
      <c r="K1336" s="17"/>
    </row>
    <row r="1337" spans="1:11" x14ac:dyDescent="0.25">
      <c r="A1337" s="3" t="s">
        <v>2692</v>
      </c>
      <c r="B1337" s="4" t="s">
        <v>2693</v>
      </c>
      <c r="C1337" s="5">
        <v>205268</v>
      </c>
      <c r="D1337" s="6" t="s">
        <v>11</v>
      </c>
      <c r="E1337" s="6" t="s">
        <v>17</v>
      </c>
      <c r="F1337" s="7">
        <v>42325</v>
      </c>
      <c r="G1337" s="8">
        <f t="shared" si="20"/>
        <v>42325</v>
      </c>
      <c r="H1337" s="6" t="s">
        <v>13</v>
      </c>
      <c r="I1337" s="9" t="s">
        <v>3380</v>
      </c>
      <c r="J1337" s="10" t="s">
        <v>3380</v>
      </c>
      <c r="K1337" s="11"/>
    </row>
    <row r="1338" spans="1:11" ht="30" x14ac:dyDescent="0.25">
      <c r="A1338" s="3" t="s">
        <v>2694</v>
      </c>
      <c r="B1338" s="4" t="s">
        <v>2695</v>
      </c>
      <c r="C1338" s="5">
        <v>196309</v>
      </c>
      <c r="D1338" s="6" t="s">
        <v>28</v>
      </c>
      <c r="E1338" s="6" t="s">
        <v>17</v>
      </c>
      <c r="F1338" s="7">
        <v>42307</v>
      </c>
      <c r="G1338" s="8">
        <f t="shared" si="20"/>
        <v>42307</v>
      </c>
      <c r="H1338" s="6" t="s">
        <v>13</v>
      </c>
      <c r="I1338" s="9" t="s">
        <v>3380</v>
      </c>
      <c r="J1338" s="10" t="s">
        <v>3380</v>
      </c>
      <c r="K1338" s="17"/>
    </row>
    <row r="1339" spans="1:11" ht="30" x14ac:dyDescent="0.25">
      <c r="A1339" s="3" t="s">
        <v>2696</v>
      </c>
      <c r="B1339" s="4" t="s">
        <v>2697</v>
      </c>
      <c r="C1339" s="5">
        <v>198548</v>
      </c>
      <c r="D1339" s="6" t="s">
        <v>16</v>
      </c>
      <c r="E1339" s="6" t="s">
        <v>17</v>
      </c>
      <c r="F1339" s="7">
        <v>42332</v>
      </c>
      <c r="G1339" s="8">
        <f t="shared" si="20"/>
        <v>42332</v>
      </c>
      <c r="H1339" s="6" t="s">
        <v>13</v>
      </c>
      <c r="I1339" s="9" t="s">
        <v>3380</v>
      </c>
      <c r="J1339" s="10" t="s">
        <v>3380</v>
      </c>
      <c r="K1339" s="17"/>
    </row>
    <row r="1340" spans="1:11" ht="30" x14ac:dyDescent="0.25">
      <c r="A1340" s="3" t="s">
        <v>2698</v>
      </c>
      <c r="B1340" s="4" t="s">
        <v>2699</v>
      </c>
      <c r="C1340" s="5">
        <v>196964</v>
      </c>
      <c r="D1340" s="6" t="s">
        <v>11</v>
      </c>
      <c r="E1340" s="6" t="s">
        <v>12</v>
      </c>
      <c r="F1340" s="7">
        <v>42346</v>
      </c>
      <c r="G1340" s="8">
        <f t="shared" si="20"/>
        <v>42346</v>
      </c>
      <c r="H1340" s="6" t="s">
        <v>39</v>
      </c>
      <c r="I1340" s="9">
        <v>242231.78</v>
      </c>
      <c r="J1340" s="10">
        <v>1600</v>
      </c>
      <c r="K1340" s="17"/>
    </row>
    <row r="1341" spans="1:11" ht="30" x14ac:dyDescent="0.25">
      <c r="A1341" s="3" t="s">
        <v>2700</v>
      </c>
      <c r="B1341" s="4" t="s">
        <v>2701</v>
      </c>
      <c r="C1341" s="5">
        <v>196967</v>
      </c>
      <c r="D1341" s="6" t="s">
        <v>11</v>
      </c>
      <c r="E1341" s="6" t="s">
        <v>12</v>
      </c>
      <c r="F1341" s="7">
        <v>42346</v>
      </c>
      <c r="G1341" s="8">
        <f t="shared" si="20"/>
        <v>42346</v>
      </c>
      <c r="H1341" s="6" t="s">
        <v>39</v>
      </c>
      <c r="I1341" s="9" t="s">
        <v>3380</v>
      </c>
      <c r="J1341" s="10" t="s">
        <v>3380</v>
      </c>
      <c r="K1341" s="17"/>
    </row>
    <row r="1342" spans="1:11" ht="30" x14ac:dyDescent="0.25">
      <c r="A1342" s="3" t="s">
        <v>2702</v>
      </c>
      <c r="B1342" s="4" t="s">
        <v>2703</v>
      </c>
      <c r="C1342" s="5">
        <v>195995</v>
      </c>
      <c r="D1342" s="6" t="s">
        <v>11</v>
      </c>
      <c r="E1342" s="6" t="s">
        <v>12</v>
      </c>
      <c r="F1342" s="7">
        <v>42327</v>
      </c>
      <c r="G1342" s="8">
        <f t="shared" si="20"/>
        <v>42327</v>
      </c>
      <c r="H1342" s="6" t="s">
        <v>39</v>
      </c>
      <c r="I1342" s="9" t="s">
        <v>3380</v>
      </c>
      <c r="J1342" s="10" t="s">
        <v>3380</v>
      </c>
      <c r="K1342" s="17"/>
    </row>
    <row r="1343" spans="1:11" ht="30" x14ac:dyDescent="0.25">
      <c r="A1343" s="3" t="s">
        <v>2704</v>
      </c>
      <c r="B1343" s="4" t="s">
        <v>2705</v>
      </c>
      <c r="C1343" s="5">
        <v>198868</v>
      </c>
      <c r="D1343" s="6" t="s">
        <v>16</v>
      </c>
      <c r="E1343" s="6" t="s">
        <v>17</v>
      </c>
      <c r="F1343" s="7">
        <v>42403</v>
      </c>
      <c r="G1343" s="8">
        <f t="shared" si="20"/>
        <v>42403</v>
      </c>
      <c r="H1343" s="6" t="s">
        <v>13</v>
      </c>
      <c r="I1343" s="9" t="s">
        <v>3380</v>
      </c>
      <c r="J1343" s="10" t="s">
        <v>3380</v>
      </c>
      <c r="K1343" s="17"/>
    </row>
    <row r="1344" spans="1:11" ht="30" x14ac:dyDescent="0.25">
      <c r="A1344" s="3" t="s">
        <v>2706</v>
      </c>
      <c r="B1344" s="4" t="s">
        <v>2707</v>
      </c>
      <c r="C1344" s="5">
        <v>198564</v>
      </c>
      <c r="D1344" s="6" t="s">
        <v>16</v>
      </c>
      <c r="E1344" s="6" t="s">
        <v>17</v>
      </c>
      <c r="F1344" s="7">
        <v>42403</v>
      </c>
      <c r="G1344" s="8">
        <f t="shared" si="20"/>
        <v>42403</v>
      </c>
      <c r="H1344" s="6" t="s">
        <v>13</v>
      </c>
      <c r="I1344" s="9" t="s">
        <v>3380</v>
      </c>
      <c r="J1344" s="10" t="s">
        <v>3380</v>
      </c>
      <c r="K1344" s="17"/>
    </row>
    <row r="1345" spans="1:11" ht="30" x14ac:dyDescent="0.25">
      <c r="A1345" s="3" t="s">
        <v>2708</v>
      </c>
      <c r="B1345" s="4" t="s">
        <v>2709</v>
      </c>
      <c r="C1345" s="5">
        <v>195996</v>
      </c>
      <c r="D1345" s="6" t="s">
        <v>11</v>
      </c>
      <c r="E1345" s="6" t="s">
        <v>17</v>
      </c>
      <c r="F1345" s="7">
        <v>42376</v>
      </c>
      <c r="G1345" s="8">
        <f t="shared" si="20"/>
        <v>42376</v>
      </c>
      <c r="H1345" s="6" t="s">
        <v>13</v>
      </c>
      <c r="I1345" s="9" t="s">
        <v>3380</v>
      </c>
      <c r="J1345" s="10" t="s">
        <v>3380</v>
      </c>
      <c r="K1345" s="17"/>
    </row>
    <row r="1346" spans="1:11" ht="30" x14ac:dyDescent="0.25">
      <c r="A1346" s="3" t="s">
        <v>2710</v>
      </c>
      <c r="B1346" s="4" t="s">
        <v>2711</v>
      </c>
      <c r="C1346" s="5">
        <v>198230</v>
      </c>
      <c r="D1346" s="6" t="s">
        <v>11</v>
      </c>
      <c r="E1346" s="6" t="s">
        <v>17</v>
      </c>
      <c r="F1346" s="7">
        <v>42408</v>
      </c>
      <c r="G1346" s="8">
        <f t="shared" ref="G1346:G1409" si="21">F1346</f>
        <v>42408</v>
      </c>
      <c r="H1346" s="6" t="s">
        <v>13</v>
      </c>
      <c r="I1346" s="9" t="s">
        <v>3380</v>
      </c>
      <c r="J1346" s="10" t="s">
        <v>3380</v>
      </c>
      <c r="K1346" s="17"/>
    </row>
    <row r="1347" spans="1:11" x14ac:dyDescent="0.25">
      <c r="A1347" s="3" t="s">
        <v>2712</v>
      </c>
      <c r="B1347" s="4" t="s">
        <v>2713</v>
      </c>
      <c r="C1347" s="5">
        <v>207531</v>
      </c>
      <c r="D1347" s="6" t="s">
        <v>28</v>
      </c>
      <c r="E1347" s="6" t="s">
        <v>17</v>
      </c>
      <c r="F1347" s="7">
        <v>38322</v>
      </c>
      <c r="G1347" s="8">
        <f t="shared" si="21"/>
        <v>38322</v>
      </c>
      <c r="H1347" s="6" t="s">
        <v>13</v>
      </c>
      <c r="I1347" s="9" t="s">
        <v>3380</v>
      </c>
      <c r="J1347" s="10" t="s">
        <v>3380</v>
      </c>
      <c r="K1347" s="11"/>
    </row>
    <row r="1348" spans="1:11" ht="30" x14ac:dyDescent="0.25">
      <c r="A1348" s="3" t="s">
        <v>2714</v>
      </c>
      <c r="B1348" s="4" t="s">
        <v>2715</v>
      </c>
      <c r="C1348" s="5">
        <v>200468</v>
      </c>
      <c r="D1348" s="6" t="s">
        <v>37</v>
      </c>
      <c r="E1348" s="6" t="s">
        <v>38</v>
      </c>
      <c r="F1348" s="7">
        <v>42423</v>
      </c>
      <c r="G1348" s="8">
        <f t="shared" si="21"/>
        <v>42423</v>
      </c>
      <c r="H1348" s="6" t="s">
        <v>39</v>
      </c>
      <c r="I1348" s="9" t="s">
        <v>3380</v>
      </c>
      <c r="J1348" s="10" t="s">
        <v>3380</v>
      </c>
      <c r="K1348" s="17"/>
    </row>
    <row r="1349" spans="1:11" ht="30" x14ac:dyDescent="0.25">
      <c r="A1349" s="3" t="s">
        <v>2716</v>
      </c>
      <c r="B1349" s="4" t="s">
        <v>2717</v>
      </c>
      <c r="C1349" s="5">
        <v>194710</v>
      </c>
      <c r="D1349" s="6" t="s">
        <v>11</v>
      </c>
      <c r="E1349" s="6" t="s">
        <v>12</v>
      </c>
      <c r="F1349" s="7">
        <v>42250</v>
      </c>
      <c r="G1349" s="8">
        <f t="shared" si="21"/>
        <v>42250</v>
      </c>
      <c r="H1349" s="6" t="s">
        <v>39</v>
      </c>
      <c r="I1349" s="9" t="s">
        <v>3380</v>
      </c>
      <c r="J1349" s="10" t="s">
        <v>3380</v>
      </c>
      <c r="K1349" s="17"/>
    </row>
    <row r="1350" spans="1:11" ht="30" x14ac:dyDescent="0.25">
      <c r="A1350" s="3" t="s">
        <v>2718</v>
      </c>
      <c r="B1350" s="4" t="s">
        <v>2719</v>
      </c>
      <c r="C1350" s="5">
        <v>202708</v>
      </c>
      <c r="D1350" s="6" t="s">
        <v>11</v>
      </c>
      <c r="E1350" s="6" t="s">
        <v>17</v>
      </c>
      <c r="F1350" s="7">
        <v>42496</v>
      </c>
      <c r="G1350" s="8">
        <f t="shared" si="21"/>
        <v>42496</v>
      </c>
      <c r="H1350" s="6" t="s">
        <v>13</v>
      </c>
      <c r="I1350" s="9" t="s">
        <v>3380</v>
      </c>
      <c r="J1350" s="10" t="s">
        <v>3380</v>
      </c>
      <c r="K1350" s="17"/>
    </row>
    <row r="1351" spans="1:11" ht="30" x14ac:dyDescent="0.25">
      <c r="A1351" s="3" t="s">
        <v>2720</v>
      </c>
      <c r="B1351" s="4" t="s">
        <v>2721</v>
      </c>
      <c r="C1351" s="5">
        <v>201124</v>
      </c>
      <c r="D1351" s="6" t="s">
        <v>11</v>
      </c>
      <c r="E1351" s="6" t="s">
        <v>12</v>
      </c>
      <c r="F1351" s="7">
        <v>42451</v>
      </c>
      <c r="G1351" s="8">
        <f t="shared" si="21"/>
        <v>42451</v>
      </c>
      <c r="H1351" s="6" t="s">
        <v>39</v>
      </c>
      <c r="I1351" s="9" t="s">
        <v>3380</v>
      </c>
      <c r="J1351" s="10" t="s">
        <v>3380</v>
      </c>
      <c r="K1351" s="17"/>
    </row>
    <row r="1352" spans="1:11" ht="30" x14ac:dyDescent="0.25">
      <c r="A1352" s="3" t="s">
        <v>2722</v>
      </c>
      <c r="B1352" s="4" t="s">
        <v>2723</v>
      </c>
      <c r="C1352" s="5">
        <v>200486</v>
      </c>
      <c r="D1352" s="6" t="s">
        <v>16</v>
      </c>
      <c r="E1352" s="6" t="s">
        <v>17</v>
      </c>
      <c r="F1352" s="7">
        <v>42431</v>
      </c>
      <c r="G1352" s="8">
        <f t="shared" si="21"/>
        <v>42431</v>
      </c>
      <c r="H1352" s="6" t="s">
        <v>13</v>
      </c>
      <c r="I1352" s="9" t="s">
        <v>3380</v>
      </c>
      <c r="J1352" s="10" t="s">
        <v>3380</v>
      </c>
      <c r="K1352" s="17"/>
    </row>
    <row r="1353" spans="1:11" ht="30" x14ac:dyDescent="0.25">
      <c r="A1353" s="3" t="s">
        <v>2724</v>
      </c>
      <c r="B1353" s="4" t="s">
        <v>2725</v>
      </c>
      <c r="C1353" s="5">
        <v>201143</v>
      </c>
      <c r="D1353" s="6" t="s">
        <v>16</v>
      </c>
      <c r="E1353" s="6" t="s">
        <v>17</v>
      </c>
      <c r="F1353" s="7">
        <v>42458</v>
      </c>
      <c r="G1353" s="8">
        <f t="shared" si="21"/>
        <v>42458</v>
      </c>
      <c r="H1353" s="6" t="s">
        <v>13</v>
      </c>
      <c r="I1353" s="9" t="s">
        <v>3380</v>
      </c>
      <c r="J1353" s="10" t="s">
        <v>3380</v>
      </c>
      <c r="K1353" s="17"/>
    </row>
    <row r="1354" spans="1:11" x14ac:dyDescent="0.25">
      <c r="A1354" s="3" t="s">
        <v>2726</v>
      </c>
      <c r="B1354" s="4" t="s">
        <v>2727</v>
      </c>
      <c r="C1354" s="5">
        <v>207530</v>
      </c>
      <c r="D1354" s="6" t="s">
        <v>11</v>
      </c>
      <c r="E1354" s="6" t="s">
        <v>17</v>
      </c>
      <c r="F1354" s="7">
        <v>42755</v>
      </c>
      <c r="G1354" s="8">
        <f t="shared" si="21"/>
        <v>42755</v>
      </c>
      <c r="H1354" s="6" t="s">
        <v>13</v>
      </c>
      <c r="I1354" s="9" t="s">
        <v>3380</v>
      </c>
      <c r="J1354" s="10" t="s">
        <v>3380</v>
      </c>
      <c r="K1354" s="11"/>
    </row>
    <row r="1355" spans="1:11" ht="30" x14ac:dyDescent="0.25">
      <c r="A1355" s="3" t="s">
        <v>2728</v>
      </c>
      <c r="B1355" s="4" t="s">
        <v>2729</v>
      </c>
      <c r="C1355" s="5">
        <v>199508</v>
      </c>
      <c r="D1355" s="6" t="s">
        <v>37</v>
      </c>
      <c r="E1355" s="6" t="s">
        <v>38</v>
      </c>
      <c r="F1355" s="7">
        <v>42410</v>
      </c>
      <c r="G1355" s="8">
        <f t="shared" si="21"/>
        <v>42410</v>
      </c>
      <c r="H1355" s="6" t="s">
        <v>39</v>
      </c>
      <c r="I1355" s="9" t="s">
        <v>3380</v>
      </c>
      <c r="J1355" s="10" t="s">
        <v>3380</v>
      </c>
      <c r="K1355" s="17"/>
    </row>
    <row r="1356" spans="1:11" x14ac:dyDescent="0.25">
      <c r="A1356" s="3" t="s">
        <v>2730</v>
      </c>
      <c r="B1356" s="4" t="s">
        <v>2731</v>
      </c>
      <c r="C1356" s="5">
        <v>206580</v>
      </c>
      <c r="D1356" s="6" t="s">
        <v>28</v>
      </c>
      <c r="E1356" s="6" t="s">
        <v>508</v>
      </c>
      <c r="F1356" s="7">
        <v>42599</v>
      </c>
      <c r="G1356" s="8">
        <f t="shared" si="21"/>
        <v>42599</v>
      </c>
      <c r="H1356" s="6" t="s">
        <v>509</v>
      </c>
      <c r="I1356" s="9" t="s">
        <v>3380</v>
      </c>
      <c r="J1356" s="10" t="s">
        <v>3380</v>
      </c>
      <c r="K1356" s="11"/>
    </row>
    <row r="1357" spans="1:11" x14ac:dyDescent="0.25">
      <c r="A1357" s="3" t="s">
        <v>2732</v>
      </c>
      <c r="B1357" s="4" t="s">
        <v>2733</v>
      </c>
      <c r="C1357" s="5">
        <v>203989</v>
      </c>
      <c r="D1357" s="6" t="s">
        <v>11</v>
      </c>
      <c r="E1357" s="6" t="s">
        <v>17</v>
      </c>
      <c r="F1357" s="7">
        <v>42530</v>
      </c>
      <c r="G1357" s="8">
        <f t="shared" si="21"/>
        <v>42530</v>
      </c>
      <c r="H1357" s="6" t="s">
        <v>13</v>
      </c>
      <c r="I1357" s="9" t="s">
        <v>3380</v>
      </c>
      <c r="J1357" s="10" t="s">
        <v>3380</v>
      </c>
      <c r="K1357" s="11"/>
    </row>
    <row r="1358" spans="1:11" x14ac:dyDescent="0.25">
      <c r="A1358" s="3" t="s">
        <v>2734</v>
      </c>
      <c r="B1358" s="4" t="s">
        <v>2735</v>
      </c>
      <c r="C1358" s="5">
        <v>203668</v>
      </c>
      <c r="D1358" s="6" t="s">
        <v>34</v>
      </c>
      <c r="E1358" s="6" t="s">
        <v>17</v>
      </c>
      <c r="F1358" s="7">
        <v>42614</v>
      </c>
      <c r="G1358" s="8">
        <f t="shared" si="21"/>
        <v>42614</v>
      </c>
      <c r="H1358" s="6" t="s">
        <v>13</v>
      </c>
      <c r="I1358" s="9" t="s">
        <v>3380</v>
      </c>
      <c r="J1358" s="10" t="s">
        <v>3380</v>
      </c>
      <c r="K1358" s="11"/>
    </row>
    <row r="1359" spans="1:11" ht="30" x14ac:dyDescent="0.25">
      <c r="A1359" s="3" t="s">
        <v>2736</v>
      </c>
      <c r="B1359" s="4" t="s">
        <v>2737</v>
      </c>
      <c r="C1359" s="5">
        <v>203348</v>
      </c>
      <c r="D1359" s="6" t="s">
        <v>11</v>
      </c>
      <c r="E1359" s="6" t="s">
        <v>12</v>
      </c>
      <c r="F1359" s="7">
        <v>42510</v>
      </c>
      <c r="G1359" s="8">
        <f t="shared" si="21"/>
        <v>42510</v>
      </c>
      <c r="H1359" s="6" t="s">
        <v>39</v>
      </c>
      <c r="I1359" s="9" t="s">
        <v>3380</v>
      </c>
      <c r="J1359" s="10" t="s">
        <v>3380</v>
      </c>
      <c r="K1359" s="17"/>
    </row>
    <row r="1360" spans="1:11" x14ac:dyDescent="0.25">
      <c r="A1360" s="3" t="s">
        <v>2738</v>
      </c>
      <c r="B1360" s="4" t="s">
        <v>2739</v>
      </c>
      <c r="C1360" s="5">
        <v>206548</v>
      </c>
      <c r="D1360" s="6" t="s">
        <v>31</v>
      </c>
      <c r="E1360" s="6" t="s">
        <v>17</v>
      </c>
      <c r="F1360" s="7">
        <v>42600</v>
      </c>
      <c r="G1360" s="8">
        <f t="shared" si="21"/>
        <v>42600</v>
      </c>
      <c r="H1360" s="6" t="s">
        <v>13</v>
      </c>
      <c r="I1360" s="9" t="s">
        <v>3380</v>
      </c>
      <c r="J1360" s="10" t="s">
        <v>3380</v>
      </c>
      <c r="K1360" s="11"/>
    </row>
    <row r="1361" spans="1:11" x14ac:dyDescent="0.25">
      <c r="A1361" s="3" t="s">
        <v>2740</v>
      </c>
      <c r="B1361" s="4" t="s">
        <v>2741</v>
      </c>
      <c r="C1361" s="5">
        <v>206900</v>
      </c>
      <c r="D1361" s="6" t="s">
        <v>11</v>
      </c>
      <c r="E1361" s="6" t="s">
        <v>17</v>
      </c>
      <c r="F1361" s="7">
        <v>42640</v>
      </c>
      <c r="G1361" s="8">
        <f t="shared" si="21"/>
        <v>42640</v>
      </c>
      <c r="H1361" s="6" t="s">
        <v>13</v>
      </c>
      <c r="I1361" s="9" t="s">
        <v>3380</v>
      </c>
      <c r="J1361" s="10" t="s">
        <v>3380</v>
      </c>
      <c r="K1361" s="11"/>
    </row>
    <row r="1362" spans="1:11" x14ac:dyDescent="0.25">
      <c r="A1362" s="48" t="s">
        <v>2742</v>
      </c>
      <c r="B1362" s="4" t="s">
        <v>2743</v>
      </c>
      <c r="C1362" s="5">
        <v>207221</v>
      </c>
      <c r="D1362" s="6" t="s">
        <v>11</v>
      </c>
      <c r="E1362" s="6" t="s">
        <v>12</v>
      </c>
      <c r="F1362" s="7">
        <v>42675</v>
      </c>
      <c r="G1362" s="8">
        <f t="shared" si="21"/>
        <v>42675</v>
      </c>
      <c r="H1362" s="6" t="s">
        <v>39</v>
      </c>
      <c r="I1362" s="9" t="s">
        <v>3380</v>
      </c>
      <c r="J1362" s="10" t="s">
        <v>3380</v>
      </c>
      <c r="K1362" s="14"/>
    </row>
    <row r="1363" spans="1:11" x14ac:dyDescent="0.25">
      <c r="A1363" s="49" t="s">
        <v>2744</v>
      </c>
      <c r="B1363" s="4" t="s">
        <v>2745</v>
      </c>
      <c r="C1363" s="5">
        <v>206948</v>
      </c>
      <c r="D1363" s="6" t="s">
        <v>34</v>
      </c>
      <c r="E1363" s="6" t="s">
        <v>17</v>
      </c>
      <c r="F1363" s="7">
        <v>42726</v>
      </c>
      <c r="G1363" s="8">
        <f t="shared" si="21"/>
        <v>42726</v>
      </c>
      <c r="H1363" s="6" t="s">
        <v>13</v>
      </c>
      <c r="I1363" s="9" t="s">
        <v>3380</v>
      </c>
      <c r="J1363" s="10" t="s">
        <v>3380</v>
      </c>
      <c r="K1363" s="14"/>
    </row>
    <row r="1364" spans="1:11" x14ac:dyDescent="0.25">
      <c r="A1364" s="48" t="s">
        <v>2746</v>
      </c>
      <c r="B1364" s="4" t="s">
        <v>2747</v>
      </c>
      <c r="C1364" s="5">
        <v>207831</v>
      </c>
      <c r="D1364" s="6" t="s">
        <v>11</v>
      </c>
      <c r="E1364" s="6" t="s">
        <v>12</v>
      </c>
      <c r="F1364" s="7">
        <v>42754</v>
      </c>
      <c r="G1364" s="8">
        <f t="shared" si="21"/>
        <v>42754</v>
      </c>
      <c r="H1364" s="6" t="s">
        <v>39</v>
      </c>
      <c r="I1364" s="9" t="s">
        <v>3380</v>
      </c>
      <c r="J1364" s="10" t="s">
        <v>3380</v>
      </c>
      <c r="K1364" s="14"/>
    </row>
    <row r="1365" spans="1:11" x14ac:dyDescent="0.25">
      <c r="A1365" s="49" t="s">
        <v>2748</v>
      </c>
      <c r="B1365" s="4" t="s">
        <v>2749</v>
      </c>
      <c r="C1365" s="5">
        <v>207556</v>
      </c>
      <c r="D1365" s="6" t="s">
        <v>16</v>
      </c>
      <c r="E1365" s="6" t="s">
        <v>17</v>
      </c>
      <c r="F1365" s="7">
        <v>42762</v>
      </c>
      <c r="G1365" s="8">
        <f t="shared" si="21"/>
        <v>42762</v>
      </c>
      <c r="H1365" s="6" t="s">
        <v>13</v>
      </c>
      <c r="I1365" s="9" t="s">
        <v>3380</v>
      </c>
      <c r="J1365" s="10" t="s">
        <v>3380</v>
      </c>
      <c r="K1365" s="14"/>
    </row>
    <row r="1366" spans="1:11" x14ac:dyDescent="0.25">
      <c r="A1366" s="49" t="s">
        <v>2750</v>
      </c>
      <c r="B1366" s="4" t="s">
        <v>2751</v>
      </c>
      <c r="C1366" s="5">
        <v>208148</v>
      </c>
      <c r="D1366" s="6" t="s">
        <v>31</v>
      </c>
      <c r="E1366" s="6" t="s">
        <v>17</v>
      </c>
      <c r="F1366" s="7">
        <v>42741</v>
      </c>
      <c r="G1366" s="8">
        <f t="shared" si="21"/>
        <v>42741</v>
      </c>
      <c r="H1366" s="6" t="s">
        <v>13</v>
      </c>
      <c r="I1366" s="9" t="s">
        <v>3380</v>
      </c>
      <c r="J1366" s="10" t="s">
        <v>3380</v>
      </c>
      <c r="K1366" s="14"/>
    </row>
    <row r="1367" spans="1:11" x14ac:dyDescent="0.25">
      <c r="A1367" s="49" t="s">
        <v>2752</v>
      </c>
      <c r="B1367" s="4" t="s">
        <v>2753</v>
      </c>
      <c r="C1367" s="5">
        <v>209129</v>
      </c>
      <c r="D1367" s="6" t="s">
        <v>37</v>
      </c>
      <c r="E1367" s="6" t="s">
        <v>17</v>
      </c>
      <c r="F1367" s="7">
        <v>42775</v>
      </c>
      <c r="G1367" s="8">
        <f t="shared" si="21"/>
        <v>42775</v>
      </c>
      <c r="H1367" s="6" t="s">
        <v>39</v>
      </c>
      <c r="I1367" s="9" t="s">
        <v>3380</v>
      </c>
      <c r="J1367" s="10" t="s">
        <v>3380</v>
      </c>
      <c r="K1367" s="14"/>
    </row>
    <row r="1368" spans="1:11" x14ac:dyDescent="0.25">
      <c r="A1368" s="49" t="s">
        <v>2754</v>
      </c>
      <c r="B1368" s="4" t="s">
        <v>2755</v>
      </c>
      <c r="C1368" s="5">
        <v>208468</v>
      </c>
      <c r="D1368" s="6" t="s">
        <v>16</v>
      </c>
      <c r="E1368" s="6" t="s">
        <v>17</v>
      </c>
      <c r="F1368" s="7">
        <v>42826</v>
      </c>
      <c r="G1368" s="8">
        <f t="shared" si="21"/>
        <v>42826</v>
      </c>
      <c r="H1368" s="6" t="s">
        <v>13</v>
      </c>
      <c r="I1368" s="9" t="s">
        <v>3380</v>
      </c>
      <c r="J1368" s="10" t="s">
        <v>3380</v>
      </c>
      <c r="K1368" s="14"/>
    </row>
    <row r="1369" spans="1:11" x14ac:dyDescent="0.25">
      <c r="A1369" s="49" t="s">
        <v>2756</v>
      </c>
      <c r="B1369" s="4" t="s">
        <v>2757</v>
      </c>
      <c r="C1369" s="5">
        <v>209444</v>
      </c>
      <c r="D1369" s="6" t="s">
        <v>28</v>
      </c>
      <c r="E1369" s="6" t="s">
        <v>17</v>
      </c>
      <c r="F1369" s="7">
        <v>42821</v>
      </c>
      <c r="G1369" s="8">
        <f t="shared" si="21"/>
        <v>42821</v>
      </c>
      <c r="H1369" s="6" t="s">
        <v>13</v>
      </c>
      <c r="I1369" s="9" t="s">
        <v>3380</v>
      </c>
      <c r="J1369" s="10" t="s">
        <v>3380</v>
      </c>
      <c r="K1369" s="14"/>
    </row>
    <row r="1370" spans="1:11" x14ac:dyDescent="0.25">
      <c r="A1370" s="49" t="s">
        <v>2758</v>
      </c>
      <c r="B1370" s="4" t="s">
        <v>2759</v>
      </c>
      <c r="C1370" s="5">
        <v>209428</v>
      </c>
      <c r="D1370" s="6" t="s">
        <v>34</v>
      </c>
      <c r="E1370" s="6" t="s">
        <v>17</v>
      </c>
      <c r="F1370" s="7">
        <v>42863</v>
      </c>
      <c r="G1370" s="8">
        <f t="shared" si="21"/>
        <v>42863</v>
      </c>
      <c r="H1370" s="6" t="s">
        <v>13</v>
      </c>
      <c r="I1370" s="9" t="s">
        <v>3380</v>
      </c>
      <c r="J1370" s="10" t="s">
        <v>3380</v>
      </c>
      <c r="K1370" s="14"/>
    </row>
    <row r="1371" spans="1:11" x14ac:dyDescent="0.25">
      <c r="A1371" s="49" t="s">
        <v>2760</v>
      </c>
      <c r="B1371" s="4" t="s">
        <v>2761</v>
      </c>
      <c r="C1371" s="5">
        <v>211989</v>
      </c>
      <c r="D1371" s="6" t="s">
        <v>31</v>
      </c>
      <c r="E1371" s="6" t="s">
        <v>17</v>
      </c>
      <c r="F1371" s="7">
        <v>42812</v>
      </c>
      <c r="G1371" s="8">
        <f t="shared" si="21"/>
        <v>42812</v>
      </c>
      <c r="H1371" s="6" t="s">
        <v>13</v>
      </c>
      <c r="I1371" s="9" t="s">
        <v>3380</v>
      </c>
      <c r="J1371" s="10" t="s">
        <v>3380</v>
      </c>
      <c r="K1371" s="14"/>
    </row>
    <row r="1372" spans="1:11" x14ac:dyDescent="0.25">
      <c r="A1372" s="49" t="s">
        <v>2762</v>
      </c>
      <c r="B1372" s="4" t="s">
        <v>2763</v>
      </c>
      <c r="C1372" s="5">
        <v>211032</v>
      </c>
      <c r="D1372" s="6" t="s">
        <v>34</v>
      </c>
      <c r="E1372" s="6" t="s">
        <v>17</v>
      </c>
      <c r="F1372" s="7">
        <v>42713</v>
      </c>
      <c r="G1372" s="8">
        <f t="shared" si="21"/>
        <v>42713</v>
      </c>
      <c r="H1372" s="6" t="s">
        <v>13</v>
      </c>
      <c r="I1372" s="9" t="s">
        <v>3380</v>
      </c>
      <c r="J1372" s="10" t="s">
        <v>3380</v>
      </c>
      <c r="K1372" s="14"/>
    </row>
    <row r="1373" spans="1:11" ht="30" x14ac:dyDescent="0.25">
      <c r="A1373" s="49" t="s">
        <v>2764</v>
      </c>
      <c r="B1373" s="4" t="s">
        <v>2765</v>
      </c>
      <c r="C1373" s="5">
        <v>210388</v>
      </c>
      <c r="D1373" s="6" t="s">
        <v>28</v>
      </c>
      <c r="E1373" s="6" t="s">
        <v>17</v>
      </c>
      <c r="F1373" s="7">
        <v>42816</v>
      </c>
      <c r="G1373" s="8">
        <f t="shared" si="21"/>
        <v>42816</v>
      </c>
      <c r="H1373" s="6" t="s">
        <v>13</v>
      </c>
      <c r="I1373" s="9" t="s">
        <v>3380</v>
      </c>
      <c r="J1373" s="10" t="s">
        <v>3380</v>
      </c>
      <c r="K1373" s="2"/>
    </row>
    <row r="1374" spans="1:11" x14ac:dyDescent="0.25">
      <c r="A1374" s="49" t="s">
        <v>2766</v>
      </c>
      <c r="B1374" s="4" t="s">
        <v>2767</v>
      </c>
      <c r="C1374" s="5">
        <v>213268</v>
      </c>
      <c r="D1374" s="6" t="s">
        <v>34</v>
      </c>
      <c r="E1374" s="6" t="s">
        <v>17</v>
      </c>
      <c r="F1374" s="7">
        <v>42793</v>
      </c>
      <c r="G1374" s="8">
        <f t="shared" si="21"/>
        <v>42793</v>
      </c>
      <c r="H1374" s="6" t="s">
        <v>13</v>
      </c>
      <c r="I1374" s="9" t="s">
        <v>3380</v>
      </c>
      <c r="J1374" s="10" t="s">
        <v>3380</v>
      </c>
      <c r="K1374" s="14"/>
    </row>
    <row r="1375" spans="1:11" ht="30" x14ac:dyDescent="0.25">
      <c r="A1375" s="49" t="s">
        <v>2768</v>
      </c>
      <c r="B1375" s="4" t="s">
        <v>2769</v>
      </c>
      <c r="C1375" s="5">
        <v>210708</v>
      </c>
      <c r="D1375" s="6" t="s">
        <v>11</v>
      </c>
      <c r="E1375" s="6" t="s">
        <v>17</v>
      </c>
      <c r="F1375" s="7">
        <v>42865</v>
      </c>
      <c r="G1375" s="8">
        <f t="shared" si="21"/>
        <v>42865</v>
      </c>
      <c r="H1375" s="6" t="s">
        <v>13</v>
      </c>
      <c r="I1375" s="9" t="s">
        <v>3380</v>
      </c>
      <c r="J1375" s="10" t="s">
        <v>3380</v>
      </c>
      <c r="K1375" s="2"/>
    </row>
    <row r="1376" spans="1:11" x14ac:dyDescent="0.25">
      <c r="A1376" s="49" t="s">
        <v>2770</v>
      </c>
      <c r="B1376" s="4" t="s">
        <v>2771</v>
      </c>
      <c r="C1376" s="5">
        <v>212309</v>
      </c>
      <c r="D1376" s="6" t="s">
        <v>34</v>
      </c>
      <c r="E1376" s="6" t="s">
        <v>17</v>
      </c>
      <c r="F1376" s="7">
        <v>42817</v>
      </c>
      <c r="G1376" s="8">
        <f t="shared" si="21"/>
        <v>42817</v>
      </c>
      <c r="H1376" s="6" t="s">
        <v>13</v>
      </c>
      <c r="I1376" s="9" t="s">
        <v>3380</v>
      </c>
      <c r="J1376" s="10" t="s">
        <v>3380</v>
      </c>
      <c r="K1376" s="14"/>
    </row>
    <row r="1377" spans="1:11" x14ac:dyDescent="0.25">
      <c r="A1377" s="49" t="s">
        <v>2772</v>
      </c>
      <c r="B1377" s="4" t="s">
        <v>2773</v>
      </c>
      <c r="C1377" s="5">
        <v>216164</v>
      </c>
      <c r="D1377" s="6" t="s">
        <v>28</v>
      </c>
      <c r="E1377" s="6" t="s">
        <v>17</v>
      </c>
      <c r="F1377" s="7">
        <v>42928</v>
      </c>
      <c r="G1377" s="8">
        <f t="shared" si="21"/>
        <v>42928</v>
      </c>
      <c r="H1377" s="6" t="s">
        <v>13</v>
      </c>
      <c r="I1377" s="9" t="s">
        <v>3380</v>
      </c>
      <c r="J1377" s="10" t="s">
        <v>3380</v>
      </c>
      <c r="K1377" s="14"/>
    </row>
    <row r="1378" spans="1:11" x14ac:dyDescent="0.25">
      <c r="A1378" s="49" t="s">
        <v>2774</v>
      </c>
      <c r="B1378" s="4" t="s">
        <v>2775</v>
      </c>
      <c r="C1378" s="5">
        <v>214868</v>
      </c>
      <c r="D1378" s="6" t="s">
        <v>11</v>
      </c>
      <c r="E1378" s="6" t="s">
        <v>17</v>
      </c>
      <c r="F1378" s="7">
        <v>42949</v>
      </c>
      <c r="G1378" s="8">
        <f t="shared" si="21"/>
        <v>42949</v>
      </c>
      <c r="H1378" s="6" t="s">
        <v>13</v>
      </c>
      <c r="I1378" s="9" t="s">
        <v>3380</v>
      </c>
      <c r="J1378" s="10" t="s">
        <v>3380</v>
      </c>
      <c r="K1378" s="14"/>
    </row>
    <row r="1379" spans="1:11" x14ac:dyDescent="0.25">
      <c r="A1379" s="49" t="s">
        <v>2776</v>
      </c>
      <c r="B1379" s="4" t="s">
        <v>2777</v>
      </c>
      <c r="C1379" s="5">
        <v>216180</v>
      </c>
      <c r="D1379" s="6" t="s">
        <v>11</v>
      </c>
      <c r="E1379" s="6" t="s">
        <v>12</v>
      </c>
      <c r="F1379" s="7">
        <v>43007</v>
      </c>
      <c r="G1379" s="8">
        <f t="shared" si="21"/>
        <v>43007</v>
      </c>
      <c r="H1379" s="6" t="s">
        <v>13</v>
      </c>
      <c r="I1379" s="9" t="s">
        <v>3380</v>
      </c>
      <c r="J1379" s="10" t="s">
        <v>3380</v>
      </c>
      <c r="K1379" s="14"/>
    </row>
    <row r="1380" spans="1:11" x14ac:dyDescent="0.25">
      <c r="A1380" s="49" t="s">
        <v>2778</v>
      </c>
      <c r="B1380" s="4" t="s">
        <v>2779</v>
      </c>
      <c r="C1380" s="5">
        <v>217764</v>
      </c>
      <c r="D1380" s="6" t="s">
        <v>11</v>
      </c>
      <c r="E1380" s="6" t="s">
        <v>17</v>
      </c>
      <c r="F1380" s="7">
        <v>43069</v>
      </c>
      <c r="G1380" s="8">
        <f t="shared" si="21"/>
        <v>43069</v>
      </c>
      <c r="H1380" s="6" t="s">
        <v>13</v>
      </c>
      <c r="I1380" s="9" t="s">
        <v>3380</v>
      </c>
      <c r="J1380" s="10" t="s">
        <v>3380</v>
      </c>
      <c r="K1380" s="14"/>
    </row>
    <row r="1381" spans="1:11" x14ac:dyDescent="0.25">
      <c r="A1381" s="49" t="s">
        <v>2780</v>
      </c>
      <c r="B1381" s="4" t="s">
        <v>25</v>
      </c>
      <c r="C1381" s="5">
        <v>217124</v>
      </c>
      <c r="D1381" s="6" t="s">
        <v>16</v>
      </c>
      <c r="E1381" s="6" t="s">
        <v>17</v>
      </c>
      <c r="F1381" s="7">
        <v>43033</v>
      </c>
      <c r="G1381" s="8">
        <f t="shared" si="21"/>
        <v>43033</v>
      </c>
      <c r="H1381" s="6" t="s">
        <v>13</v>
      </c>
      <c r="I1381" s="9" t="s">
        <v>3380</v>
      </c>
      <c r="J1381" s="10" t="s">
        <v>3380</v>
      </c>
      <c r="K1381" s="14"/>
    </row>
    <row r="1382" spans="1:11" x14ac:dyDescent="0.25">
      <c r="A1382" s="49" t="s">
        <v>2781</v>
      </c>
      <c r="B1382" s="4" t="s">
        <v>2782</v>
      </c>
      <c r="C1382" s="5">
        <v>216517</v>
      </c>
      <c r="D1382" s="6" t="s">
        <v>11</v>
      </c>
      <c r="E1382" s="6" t="s">
        <v>12</v>
      </c>
      <c r="F1382" s="7">
        <v>43053</v>
      </c>
      <c r="G1382" s="8">
        <f t="shared" si="21"/>
        <v>43053</v>
      </c>
      <c r="H1382" s="6" t="s">
        <v>39</v>
      </c>
      <c r="I1382" s="9">
        <v>228055.37000000002</v>
      </c>
      <c r="J1382" s="10">
        <v>970</v>
      </c>
      <c r="K1382" s="14"/>
    </row>
    <row r="1383" spans="1:11" x14ac:dyDescent="0.25">
      <c r="A1383" s="49" t="s">
        <v>2783</v>
      </c>
      <c r="B1383" s="4" t="s">
        <v>2784</v>
      </c>
      <c r="C1383" s="5">
        <v>220388</v>
      </c>
      <c r="D1383" s="6" t="s">
        <v>28</v>
      </c>
      <c r="E1383" s="6" t="s">
        <v>17</v>
      </c>
      <c r="F1383" s="7">
        <v>43103</v>
      </c>
      <c r="G1383" s="8">
        <f t="shared" si="21"/>
        <v>43103</v>
      </c>
      <c r="H1383" s="6" t="s">
        <v>13</v>
      </c>
      <c r="I1383" s="9" t="s">
        <v>3380</v>
      </c>
      <c r="J1383" s="10" t="s">
        <v>3380</v>
      </c>
      <c r="K1383" s="14"/>
    </row>
    <row r="1384" spans="1:11" x14ac:dyDescent="0.25">
      <c r="A1384" s="49" t="s">
        <v>2785</v>
      </c>
      <c r="B1384" s="4" t="s">
        <v>2786</v>
      </c>
      <c r="C1384" s="5">
        <v>217444</v>
      </c>
      <c r="D1384" s="6" t="s">
        <v>31</v>
      </c>
      <c r="E1384" s="6" t="s">
        <v>17</v>
      </c>
      <c r="F1384" s="7">
        <v>42975</v>
      </c>
      <c r="G1384" s="8">
        <f t="shared" si="21"/>
        <v>42975</v>
      </c>
      <c r="H1384" s="6" t="s">
        <v>13</v>
      </c>
      <c r="I1384" s="9" t="s">
        <v>3380</v>
      </c>
      <c r="J1384" s="10" t="s">
        <v>3380</v>
      </c>
      <c r="K1384" s="14"/>
    </row>
    <row r="1385" spans="1:11" x14ac:dyDescent="0.25">
      <c r="A1385" s="49" t="s">
        <v>2787</v>
      </c>
      <c r="B1385" s="4" t="s">
        <v>2788</v>
      </c>
      <c r="C1385" s="5">
        <v>219364</v>
      </c>
      <c r="D1385" s="6" t="s">
        <v>11</v>
      </c>
      <c r="E1385" s="6" t="s">
        <v>12</v>
      </c>
      <c r="F1385" s="7">
        <v>43132</v>
      </c>
      <c r="G1385" s="8">
        <f t="shared" si="21"/>
        <v>43132</v>
      </c>
      <c r="H1385" s="6" t="s">
        <v>39</v>
      </c>
      <c r="I1385" s="9" t="s">
        <v>3380</v>
      </c>
      <c r="J1385" s="10" t="s">
        <v>3380</v>
      </c>
      <c r="K1385" s="14"/>
    </row>
    <row r="1386" spans="1:11" ht="30" x14ac:dyDescent="0.25">
      <c r="A1386" s="49" t="s">
        <v>2789</v>
      </c>
      <c r="B1386" s="4" t="s">
        <v>2790</v>
      </c>
      <c r="C1386" s="5">
        <v>223012</v>
      </c>
      <c r="D1386" s="6" t="s">
        <v>11</v>
      </c>
      <c r="E1386" s="6" t="s">
        <v>17</v>
      </c>
      <c r="F1386" s="7">
        <v>43167</v>
      </c>
      <c r="G1386" s="8">
        <f t="shared" si="21"/>
        <v>43167</v>
      </c>
      <c r="H1386" s="17" t="s">
        <v>13</v>
      </c>
      <c r="I1386" s="9" t="s">
        <v>3380</v>
      </c>
      <c r="J1386" s="10" t="s">
        <v>3380</v>
      </c>
      <c r="K1386" s="17"/>
    </row>
    <row r="1387" spans="1:11" ht="30" x14ac:dyDescent="0.25">
      <c r="A1387" s="49" t="s">
        <v>2791</v>
      </c>
      <c r="B1387" s="4" t="s">
        <v>2792</v>
      </c>
      <c r="C1387" s="5">
        <v>224932</v>
      </c>
      <c r="D1387" s="6" t="s">
        <v>11</v>
      </c>
      <c r="E1387" s="6" t="s">
        <v>12</v>
      </c>
      <c r="F1387" s="7">
        <v>43132</v>
      </c>
      <c r="G1387" s="8">
        <f t="shared" si="21"/>
        <v>43132</v>
      </c>
      <c r="H1387" s="17" t="s">
        <v>13</v>
      </c>
      <c r="I1387" s="9" t="s">
        <v>3380</v>
      </c>
      <c r="J1387" s="10" t="s">
        <v>3380</v>
      </c>
      <c r="K1387" s="17"/>
    </row>
    <row r="1388" spans="1:11" ht="30" x14ac:dyDescent="0.25">
      <c r="A1388" s="49" t="s">
        <v>2793</v>
      </c>
      <c r="B1388" s="4" t="s">
        <v>2794</v>
      </c>
      <c r="C1388" s="5">
        <v>217767</v>
      </c>
      <c r="D1388" s="6" t="s">
        <v>16</v>
      </c>
      <c r="E1388" s="6" t="s">
        <v>17</v>
      </c>
      <c r="F1388" s="7">
        <v>43069</v>
      </c>
      <c r="G1388" s="8">
        <f t="shared" si="21"/>
        <v>43069</v>
      </c>
      <c r="H1388" s="17" t="s">
        <v>13</v>
      </c>
      <c r="I1388" s="9" t="s">
        <v>3380</v>
      </c>
      <c r="J1388" s="10" t="s">
        <v>3380</v>
      </c>
      <c r="K1388" s="17"/>
    </row>
    <row r="1389" spans="1:11" ht="30" x14ac:dyDescent="0.25">
      <c r="A1389" s="49" t="s">
        <v>2795</v>
      </c>
      <c r="B1389" s="4" t="s">
        <v>2796</v>
      </c>
      <c r="C1389" s="5">
        <v>222996</v>
      </c>
      <c r="D1389" s="6" t="s">
        <v>28</v>
      </c>
      <c r="E1389" s="6" t="s">
        <v>17</v>
      </c>
      <c r="F1389" s="7">
        <v>43167</v>
      </c>
      <c r="G1389" s="8">
        <f t="shared" si="21"/>
        <v>43167</v>
      </c>
      <c r="H1389" s="17" t="s">
        <v>13</v>
      </c>
      <c r="I1389" s="9" t="s">
        <v>3380</v>
      </c>
      <c r="J1389" s="10" t="s">
        <v>3380</v>
      </c>
      <c r="K1389" s="17"/>
    </row>
    <row r="1390" spans="1:11" ht="30" x14ac:dyDescent="0.25">
      <c r="A1390" s="49" t="s">
        <v>2797</v>
      </c>
      <c r="B1390" s="4" t="s">
        <v>2798</v>
      </c>
      <c r="C1390" s="5">
        <v>222004</v>
      </c>
      <c r="D1390" s="6" t="s">
        <v>37</v>
      </c>
      <c r="E1390" s="6" t="s">
        <v>38</v>
      </c>
      <c r="F1390" s="7">
        <v>43105</v>
      </c>
      <c r="G1390" s="8">
        <f t="shared" si="21"/>
        <v>43105</v>
      </c>
      <c r="H1390" s="17" t="s">
        <v>39</v>
      </c>
      <c r="I1390" s="9" t="s">
        <v>3380</v>
      </c>
      <c r="J1390" s="10" t="s">
        <v>3380</v>
      </c>
      <c r="K1390" s="17"/>
    </row>
    <row r="1391" spans="1:11" ht="30" x14ac:dyDescent="0.25">
      <c r="A1391" s="49" t="s">
        <v>2799</v>
      </c>
      <c r="B1391" s="4" t="s">
        <v>2800</v>
      </c>
      <c r="C1391" s="5">
        <v>226212</v>
      </c>
      <c r="D1391" s="6" t="s">
        <v>11</v>
      </c>
      <c r="E1391" s="6" t="s">
        <v>12</v>
      </c>
      <c r="F1391" s="7">
        <v>43167</v>
      </c>
      <c r="G1391" s="8">
        <f t="shared" si="21"/>
        <v>43167</v>
      </c>
      <c r="H1391" s="17" t="s">
        <v>39</v>
      </c>
      <c r="I1391" s="9" t="s">
        <v>3380</v>
      </c>
      <c r="J1391" s="10" t="s">
        <v>3380</v>
      </c>
      <c r="K1391" s="17"/>
    </row>
    <row r="1392" spans="1:11" ht="30" x14ac:dyDescent="0.25">
      <c r="A1392" s="49" t="s">
        <v>2801</v>
      </c>
      <c r="B1392" s="4" t="s">
        <v>2802</v>
      </c>
      <c r="C1392" s="5">
        <v>222676</v>
      </c>
      <c r="D1392" s="6" t="s">
        <v>28</v>
      </c>
      <c r="E1392" s="6" t="s">
        <v>17</v>
      </c>
      <c r="F1392" s="7">
        <v>43166</v>
      </c>
      <c r="G1392" s="8">
        <f t="shared" si="21"/>
        <v>43166</v>
      </c>
      <c r="H1392" s="17" t="s">
        <v>13</v>
      </c>
      <c r="I1392" s="9" t="s">
        <v>3380</v>
      </c>
      <c r="J1392" s="10" t="s">
        <v>3380</v>
      </c>
      <c r="K1392" s="17"/>
    </row>
    <row r="1393" spans="1:11" ht="30" x14ac:dyDescent="0.25">
      <c r="A1393" s="49" t="s">
        <v>2803</v>
      </c>
      <c r="B1393" s="4" t="s">
        <v>2804</v>
      </c>
      <c r="C1393" s="5">
        <v>229845</v>
      </c>
      <c r="D1393" s="6" t="s">
        <v>28</v>
      </c>
      <c r="E1393" s="6" t="s">
        <v>17</v>
      </c>
      <c r="F1393" s="7">
        <v>43178</v>
      </c>
      <c r="G1393" s="8">
        <f t="shared" si="21"/>
        <v>43178</v>
      </c>
      <c r="H1393" s="17" t="s">
        <v>13</v>
      </c>
      <c r="I1393" s="9" t="s">
        <v>3380</v>
      </c>
      <c r="J1393" s="10" t="s">
        <v>3380</v>
      </c>
      <c r="K1393" s="17"/>
    </row>
    <row r="1394" spans="1:11" ht="30" x14ac:dyDescent="0.25">
      <c r="A1394" s="49" t="s">
        <v>2805</v>
      </c>
      <c r="B1394" s="4" t="s">
        <v>2806</v>
      </c>
      <c r="C1394" s="5">
        <v>225252</v>
      </c>
      <c r="D1394" s="6" t="s">
        <v>37</v>
      </c>
      <c r="E1394" s="6" t="s">
        <v>38</v>
      </c>
      <c r="F1394" s="7">
        <v>43179</v>
      </c>
      <c r="G1394" s="8">
        <f t="shared" si="21"/>
        <v>43179</v>
      </c>
      <c r="H1394" s="17" t="s">
        <v>39</v>
      </c>
      <c r="I1394" s="9" t="s">
        <v>3380</v>
      </c>
      <c r="J1394" s="10" t="s">
        <v>3380</v>
      </c>
      <c r="K1394" s="17"/>
    </row>
    <row r="1395" spans="1:11" ht="30" x14ac:dyDescent="0.25">
      <c r="A1395" s="49" t="s">
        <v>2807</v>
      </c>
      <c r="B1395" s="4" t="s">
        <v>2808</v>
      </c>
      <c r="C1395" s="5">
        <v>222036</v>
      </c>
      <c r="D1395" s="6" t="s">
        <v>34</v>
      </c>
      <c r="E1395" s="6" t="s">
        <v>17</v>
      </c>
      <c r="F1395" s="7">
        <v>43179</v>
      </c>
      <c r="G1395" s="8">
        <f t="shared" si="21"/>
        <v>43179</v>
      </c>
      <c r="H1395" s="17" t="s">
        <v>13</v>
      </c>
      <c r="I1395" s="9" t="s">
        <v>3380</v>
      </c>
      <c r="J1395" s="10" t="s">
        <v>3380</v>
      </c>
      <c r="K1395" s="17"/>
    </row>
    <row r="1396" spans="1:11" ht="30" x14ac:dyDescent="0.25">
      <c r="A1396" s="49" t="s">
        <v>2809</v>
      </c>
      <c r="B1396" s="4" t="s">
        <v>2810</v>
      </c>
      <c r="C1396" s="5">
        <v>223668</v>
      </c>
      <c r="D1396" s="6" t="s">
        <v>28</v>
      </c>
      <c r="E1396" s="6" t="s">
        <v>17</v>
      </c>
      <c r="F1396" s="7">
        <v>43187</v>
      </c>
      <c r="G1396" s="8">
        <f t="shared" si="21"/>
        <v>43187</v>
      </c>
      <c r="H1396" s="17" t="s">
        <v>13</v>
      </c>
      <c r="I1396" s="9" t="s">
        <v>3380</v>
      </c>
      <c r="J1396" s="10" t="s">
        <v>3380</v>
      </c>
      <c r="K1396" s="17"/>
    </row>
    <row r="1397" spans="1:11" ht="30" x14ac:dyDescent="0.25">
      <c r="A1397" s="49" t="s">
        <v>2811</v>
      </c>
      <c r="B1397" s="4" t="s">
        <v>2812</v>
      </c>
      <c r="C1397" s="5">
        <v>222052</v>
      </c>
      <c r="D1397" s="6" t="s">
        <v>16</v>
      </c>
      <c r="E1397" s="6" t="s">
        <v>17</v>
      </c>
      <c r="F1397" s="7">
        <v>43118</v>
      </c>
      <c r="G1397" s="8">
        <f t="shared" si="21"/>
        <v>43118</v>
      </c>
      <c r="H1397" s="17" t="s">
        <v>13</v>
      </c>
      <c r="I1397" s="9" t="s">
        <v>3380</v>
      </c>
      <c r="J1397" s="10" t="s">
        <v>3380</v>
      </c>
      <c r="K1397" s="17"/>
    </row>
    <row r="1398" spans="1:11" ht="30" x14ac:dyDescent="0.25">
      <c r="A1398" s="49" t="s">
        <v>2813</v>
      </c>
      <c r="B1398" s="4" t="s">
        <v>2814</v>
      </c>
      <c r="C1398" s="5">
        <v>224612</v>
      </c>
      <c r="D1398" s="6" t="s">
        <v>11</v>
      </c>
      <c r="E1398" s="6" t="s">
        <v>17</v>
      </c>
      <c r="F1398" s="7">
        <v>43213</v>
      </c>
      <c r="G1398" s="8">
        <f t="shared" si="21"/>
        <v>43213</v>
      </c>
      <c r="H1398" s="17" t="s">
        <v>13</v>
      </c>
      <c r="I1398" s="9" t="s">
        <v>3380</v>
      </c>
      <c r="J1398" s="10" t="s">
        <v>3380</v>
      </c>
      <c r="K1398" s="17"/>
    </row>
    <row r="1399" spans="1:11" ht="30" x14ac:dyDescent="0.25">
      <c r="A1399" s="49" t="s">
        <v>2815</v>
      </c>
      <c r="B1399" s="4" t="s">
        <v>2816</v>
      </c>
      <c r="C1399" s="5">
        <v>224308</v>
      </c>
      <c r="D1399" s="6" t="s">
        <v>16</v>
      </c>
      <c r="E1399" s="6" t="s">
        <v>17</v>
      </c>
      <c r="F1399" s="7">
        <v>43206</v>
      </c>
      <c r="G1399" s="8">
        <f t="shared" si="21"/>
        <v>43206</v>
      </c>
      <c r="H1399" s="17" t="s">
        <v>13</v>
      </c>
      <c r="I1399" s="9" t="s">
        <v>3380</v>
      </c>
      <c r="J1399" s="10" t="s">
        <v>3380</v>
      </c>
      <c r="K1399" s="17"/>
    </row>
    <row r="1400" spans="1:11" ht="30" x14ac:dyDescent="0.25">
      <c r="A1400" s="49" t="s">
        <v>2817</v>
      </c>
      <c r="B1400" s="4" t="s">
        <v>2818</v>
      </c>
      <c r="C1400" s="5">
        <v>223332</v>
      </c>
      <c r="D1400" s="6" t="s">
        <v>31</v>
      </c>
      <c r="E1400" s="6" t="s">
        <v>17</v>
      </c>
      <c r="F1400" s="7">
        <v>43216</v>
      </c>
      <c r="G1400" s="8">
        <f t="shared" si="21"/>
        <v>43216</v>
      </c>
      <c r="H1400" s="17" t="s">
        <v>13</v>
      </c>
      <c r="I1400" s="9" t="s">
        <v>3380</v>
      </c>
      <c r="J1400" s="10" t="s">
        <v>3380</v>
      </c>
      <c r="K1400" s="17"/>
    </row>
    <row r="1401" spans="1:11" ht="30" x14ac:dyDescent="0.25">
      <c r="A1401" s="49" t="s">
        <v>2819</v>
      </c>
      <c r="B1401" s="4" t="s">
        <v>2820</v>
      </c>
      <c r="C1401" s="5">
        <v>226532</v>
      </c>
      <c r="D1401" s="6" t="s">
        <v>16</v>
      </c>
      <c r="E1401" s="6" t="s">
        <v>17</v>
      </c>
      <c r="F1401" s="7">
        <v>43235</v>
      </c>
      <c r="G1401" s="8">
        <f t="shared" si="21"/>
        <v>43235</v>
      </c>
      <c r="H1401" s="17" t="s">
        <v>13</v>
      </c>
      <c r="I1401" s="9" t="s">
        <v>3380</v>
      </c>
      <c r="J1401" s="10" t="s">
        <v>3380</v>
      </c>
      <c r="K1401" s="17"/>
    </row>
    <row r="1402" spans="1:11" ht="30" x14ac:dyDescent="0.25">
      <c r="A1402" s="49" t="s">
        <v>2821</v>
      </c>
      <c r="B1402" s="4" t="s">
        <v>2822</v>
      </c>
      <c r="C1402" s="5">
        <v>227605</v>
      </c>
      <c r="D1402" s="6" t="s">
        <v>11</v>
      </c>
      <c r="E1402" s="6" t="s">
        <v>12</v>
      </c>
      <c r="F1402" s="7">
        <v>43246</v>
      </c>
      <c r="G1402" s="8">
        <f t="shared" si="21"/>
        <v>43246</v>
      </c>
      <c r="H1402" s="25" t="s">
        <v>13</v>
      </c>
      <c r="I1402" s="9" t="s">
        <v>3380</v>
      </c>
      <c r="J1402" s="10" t="s">
        <v>3380</v>
      </c>
      <c r="K1402" s="17"/>
    </row>
    <row r="1403" spans="1:11" ht="30" x14ac:dyDescent="0.25">
      <c r="A1403" s="49" t="s">
        <v>2823</v>
      </c>
      <c r="B1403" s="4" t="s">
        <v>2824</v>
      </c>
      <c r="C1403" s="5">
        <v>235204</v>
      </c>
      <c r="D1403" s="6" t="s">
        <v>11</v>
      </c>
      <c r="E1403" s="6" t="s">
        <v>12</v>
      </c>
      <c r="F1403" s="7">
        <v>42170</v>
      </c>
      <c r="G1403" s="8">
        <f t="shared" si="21"/>
        <v>42170</v>
      </c>
      <c r="H1403" s="17" t="s">
        <v>39</v>
      </c>
      <c r="I1403" s="9" t="s">
        <v>3380</v>
      </c>
      <c r="J1403" s="10" t="s">
        <v>3380</v>
      </c>
      <c r="K1403" s="17"/>
    </row>
    <row r="1404" spans="1:11" ht="30" x14ac:dyDescent="0.25">
      <c r="A1404" s="49" t="s">
        <v>2825</v>
      </c>
      <c r="B1404" s="4" t="s">
        <v>2826</v>
      </c>
      <c r="C1404" s="5">
        <v>228788</v>
      </c>
      <c r="D1404" s="6" t="s">
        <v>34</v>
      </c>
      <c r="E1404" s="6" t="s">
        <v>17</v>
      </c>
      <c r="F1404" s="7">
        <v>43269</v>
      </c>
      <c r="G1404" s="8">
        <f t="shared" si="21"/>
        <v>43269</v>
      </c>
      <c r="H1404" s="17" t="s">
        <v>13</v>
      </c>
      <c r="I1404" s="9" t="s">
        <v>3380</v>
      </c>
      <c r="J1404" s="10" t="s">
        <v>3380</v>
      </c>
      <c r="K1404" s="17"/>
    </row>
    <row r="1405" spans="1:11" ht="30" x14ac:dyDescent="0.25">
      <c r="A1405" s="49" t="s">
        <v>2827</v>
      </c>
      <c r="B1405" s="4" t="s">
        <v>2828</v>
      </c>
      <c r="C1405" s="5">
        <v>228151</v>
      </c>
      <c r="D1405" s="6" t="s">
        <v>16</v>
      </c>
      <c r="E1405" s="6" t="s">
        <v>17</v>
      </c>
      <c r="F1405" s="7">
        <v>43276</v>
      </c>
      <c r="G1405" s="8">
        <f t="shared" si="21"/>
        <v>43276</v>
      </c>
      <c r="H1405" s="17" t="s">
        <v>13</v>
      </c>
      <c r="I1405" s="9" t="s">
        <v>3380</v>
      </c>
      <c r="J1405" s="10" t="s">
        <v>3380</v>
      </c>
      <c r="K1405" s="17"/>
    </row>
    <row r="1406" spans="1:11" ht="30" x14ac:dyDescent="0.25">
      <c r="A1406" s="49" t="s">
        <v>2829</v>
      </c>
      <c r="B1406" s="4" t="s">
        <v>2830</v>
      </c>
      <c r="C1406" s="5">
        <v>229788</v>
      </c>
      <c r="D1406" s="6" t="s">
        <v>11</v>
      </c>
      <c r="E1406" s="6" t="s">
        <v>12</v>
      </c>
      <c r="F1406" s="7">
        <v>43286</v>
      </c>
      <c r="G1406" s="8">
        <f t="shared" si="21"/>
        <v>43286</v>
      </c>
      <c r="H1406" s="25" t="s">
        <v>39</v>
      </c>
      <c r="I1406" s="9" t="s">
        <v>3380</v>
      </c>
      <c r="J1406" s="10" t="s">
        <v>3380</v>
      </c>
      <c r="K1406" s="17"/>
    </row>
    <row r="1407" spans="1:11" ht="30" x14ac:dyDescent="0.25">
      <c r="A1407" s="49" t="s">
        <v>2831</v>
      </c>
      <c r="B1407" s="4" t="s">
        <v>2832</v>
      </c>
      <c r="C1407" s="5">
        <v>223972</v>
      </c>
      <c r="D1407" s="6" t="s">
        <v>11</v>
      </c>
      <c r="E1407" s="6" t="s">
        <v>12</v>
      </c>
      <c r="F1407" s="7">
        <v>43293</v>
      </c>
      <c r="G1407" s="8">
        <f t="shared" si="21"/>
        <v>43293</v>
      </c>
      <c r="H1407" s="6" t="s">
        <v>13</v>
      </c>
      <c r="I1407" s="9" t="s">
        <v>3380</v>
      </c>
      <c r="J1407" s="10" t="s">
        <v>3380</v>
      </c>
      <c r="K1407" s="17"/>
    </row>
    <row r="1408" spans="1:11" ht="30" x14ac:dyDescent="0.25">
      <c r="A1408" s="49" t="s">
        <v>2833</v>
      </c>
      <c r="B1408" s="4" t="s">
        <v>2834</v>
      </c>
      <c r="C1408" s="5">
        <v>227174</v>
      </c>
      <c r="D1408" s="6" t="s">
        <v>28</v>
      </c>
      <c r="E1408" s="6" t="s">
        <v>17</v>
      </c>
      <c r="F1408" s="7">
        <v>43294</v>
      </c>
      <c r="G1408" s="8">
        <f t="shared" si="21"/>
        <v>43294</v>
      </c>
      <c r="H1408" s="17" t="s">
        <v>13</v>
      </c>
      <c r="I1408" s="9" t="s">
        <v>3380</v>
      </c>
      <c r="J1408" s="10" t="s">
        <v>3380</v>
      </c>
      <c r="K1408" s="17"/>
    </row>
    <row r="1409" spans="1:11" ht="30" x14ac:dyDescent="0.25">
      <c r="A1409" s="49" t="s">
        <v>2835</v>
      </c>
      <c r="B1409" s="4" t="s">
        <v>2836</v>
      </c>
      <c r="C1409" s="5">
        <v>231988</v>
      </c>
      <c r="D1409" s="6" t="s">
        <v>11</v>
      </c>
      <c r="E1409" s="6" t="s">
        <v>17</v>
      </c>
      <c r="F1409" s="7">
        <v>43299</v>
      </c>
      <c r="G1409" s="8">
        <f t="shared" si="21"/>
        <v>43299</v>
      </c>
      <c r="H1409" s="25" t="s">
        <v>13</v>
      </c>
      <c r="I1409" s="9" t="s">
        <v>3380</v>
      </c>
      <c r="J1409" s="10" t="s">
        <v>3380</v>
      </c>
      <c r="K1409" s="17"/>
    </row>
    <row r="1410" spans="1:11" ht="30" x14ac:dyDescent="0.25">
      <c r="A1410" s="49" t="s">
        <v>2837</v>
      </c>
      <c r="B1410" s="4" t="s">
        <v>2838</v>
      </c>
      <c r="C1410" s="5">
        <v>228806</v>
      </c>
      <c r="D1410" s="6" t="s">
        <v>37</v>
      </c>
      <c r="E1410" s="6" t="s">
        <v>38</v>
      </c>
      <c r="F1410" s="7">
        <v>43314</v>
      </c>
      <c r="G1410" s="8">
        <f t="shared" ref="G1410:G1473" si="22">F1410</f>
        <v>43314</v>
      </c>
      <c r="H1410" s="6" t="s">
        <v>39</v>
      </c>
      <c r="I1410" s="9" t="s">
        <v>3380</v>
      </c>
      <c r="J1410" s="10" t="s">
        <v>3380</v>
      </c>
      <c r="K1410" s="40"/>
    </row>
    <row r="1411" spans="1:11" ht="30" x14ac:dyDescent="0.25">
      <c r="A1411" s="49" t="s">
        <v>2839</v>
      </c>
      <c r="B1411" s="4" t="s">
        <v>2840</v>
      </c>
      <c r="C1411" s="5">
        <v>229430</v>
      </c>
      <c r="D1411" s="6" t="s">
        <v>34</v>
      </c>
      <c r="E1411" s="6" t="s">
        <v>17</v>
      </c>
      <c r="F1411" s="7">
        <v>43318</v>
      </c>
      <c r="G1411" s="8">
        <f t="shared" si="22"/>
        <v>43318</v>
      </c>
      <c r="H1411" s="6" t="s">
        <v>13</v>
      </c>
      <c r="I1411" s="9" t="s">
        <v>3380</v>
      </c>
      <c r="J1411" s="10" t="s">
        <v>3380</v>
      </c>
      <c r="K1411" s="40"/>
    </row>
    <row r="1412" spans="1:11" ht="30" x14ac:dyDescent="0.25">
      <c r="A1412" s="3" t="s">
        <v>2841</v>
      </c>
      <c r="B1412" s="4" t="s">
        <v>2842</v>
      </c>
      <c r="C1412" s="5">
        <v>232308</v>
      </c>
      <c r="D1412" s="6" t="s">
        <v>34</v>
      </c>
      <c r="E1412" s="6" t="s">
        <v>17</v>
      </c>
      <c r="F1412" s="7">
        <v>43322</v>
      </c>
      <c r="G1412" s="8">
        <f t="shared" si="22"/>
        <v>43322</v>
      </c>
      <c r="H1412" s="6" t="s">
        <v>13</v>
      </c>
      <c r="I1412" s="9" t="s">
        <v>3380</v>
      </c>
      <c r="J1412" s="10" t="s">
        <v>3380</v>
      </c>
      <c r="K1412" s="17"/>
    </row>
    <row r="1413" spans="1:11" ht="30" x14ac:dyDescent="0.25">
      <c r="A1413" s="3" t="s">
        <v>2843</v>
      </c>
      <c r="B1413" s="4" t="s">
        <v>2844</v>
      </c>
      <c r="C1413" s="5">
        <v>235911</v>
      </c>
      <c r="D1413" s="6" t="s">
        <v>16</v>
      </c>
      <c r="E1413" s="6" t="s">
        <v>17</v>
      </c>
      <c r="F1413" s="7">
        <v>43385</v>
      </c>
      <c r="G1413" s="8">
        <f t="shared" si="22"/>
        <v>43385</v>
      </c>
      <c r="H1413" s="6" t="s">
        <v>13</v>
      </c>
      <c r="I1413" s="9" t="s">
        <v>3380</v>
      </c>
      <c r="J1413" s="10" t="s">
        <v>3380</v>
      </c>
      <c r="K1413" s="17"/>
    </row>
    <row r="1414" spans="1:11" ht="30" x14ac:dyDescent="0.25">
      <c r="A1414" s="3" t="s">
        <v>2845</v>
      </c>
      <c r="B1414" s="4" t="s">
        <v>2846</v>
      </c>
      <c r="C1414" s="14">
        <v>235222</v>
      </c>
      <c r="D1414" s="6" t="s">
        <v>11</v>
      </c>
      <c r="E1414" s="6" t="s">
        <v>12</v>
      </c>
      <c r="F1414" s="7">
        <v>43385</v>
      </c>
      <c r="G1414" s="8">
        <f t="shared" si="22"/>
        <v>43385</v>
      </c>
      <c r="H1414" s="21" t="s">
        <v>39</v>
      </c>
      <c r="I1414" s="9" t="s">
        <v>3380</v>
      </c>
      <c r="J1414" s="10" t="s">
        <v>3380</v>
      </c>
      <c r="K1414" s="17"/>
    </row>
    <row r="1415" spans="1:11" ht="30" x14ac:dyDescent="0.25">
      <c r="A1415" s="3" t="s">
        <v>2847</v>
      </c>
      <c r="B1415" s="4" t="s">
        <v>2848</v>
      </c>
      <c r="C1415" s="5">
        <v>235188</v>
      </c>
      <c r="D1415" s="6" t="s">
        <v>34</v>
      </c>
      <c r="E1415" s="6" t="s">
        <v>17</v>
      </c>
      <c r="F1415" s="7">
        <v>43403</v>
      </c>
      <c r="G1415" s="8">
        <f t="shared" si="22"/>
        <v>43403</v>
      </c>
      <c r="H1415" s="6" t="s">
        <v>13</v>
      </c>
      <c r="I1415" s="9" t="s">
        <v>3380</v>
      </c>
      <c r="J1415" s="10" t="s">
        <v>3380</v>
      </c>
      <c r="K1415" s="17"/>
    </row>
    <row r="1416" spans="1:11" ht="30" x14ac:dyDescent="0.25">
      <c r="A1416" s="3" t="s">
        <v>2849</v>
      </c>
      <c r="B1416" s="4" t="s">
        <v>2850</v>
      </c>
      <c r="C1416" s="5">
        <v>235205</v>
      </c>
      <c r="D1416" s="6" t="s">
        <v>31</v>
      </c>
      <c r="E1416" s="6" t="s">
        <v>17</v>
      </c>
      <c r="F1416" s="7">
        <v>43432</v>
      </c>
      <c r="G1416" s="8">
        <f t="shared" si="22"/>
        <v>43432</v>
      </c>
      <c r="H1416" s="6" t="s">
        <v>13</v>
      </c>
      <c r="I1416" s="9" t="s">
        <v>3380</v>
      </c>
      <c r="J1416" s="10" t="s">
        <v>3380</v>
      </c>
      <c r="K1416" s="17"/>
    </row>
    <row r="1417" spans="1:11" ht="30" x14ac:dyDescent="0.25">
      <c r="A1417" s="3" t="s">
        <v>2851</v>
      </c>
      <c r="B1417" s="4" t="s">
        <v>2852</v>
      </c>
      <c r="C1417" s="5">
        <v>241684</v>
      </c>
      <c r="D1417" s="6" t="s">
        <v>31</v>
      </c>
      <c r="E1417" s="6" t="s">
        <v>17</v>
      </c>
      <c r="F1417" s="7">
        <v>43441</v>
      </c>
      <c r="G1417" s="8">
        <f t="shared" si="22"/>
        <v>43441</v>
      </c>
      <c r="H1417" s="6" t="s">
        <v>13</v>
      </c>
      <c r="I1417" s="9" t="s">
        <v>3380</v>
      </c>
      <c r="J1417" s="10" t="s">
        <v>3380</v>
      </c>
      <c r="K1417" s="17"/>
    </row>
    <row r="1418" spans="1:11" ht="30" x14ac:dyDescent="0.25">
      <c r="A1418" s="3" t="s">
        <v>2853</v>
      </c>
      <c r="B1418" s="4" t="s">
        <v>2854</v>
      </c>
      <c r="C1418" s="5">
        <v>255492</v>
      </c>
      <c r="D1418" s="6" t="s">
        <v>34</v>
      </c>
      <c r="E1418" s="6" t="s">
        <v>17</v>
      </c>
      <c r="F1418" s="7">
        <v>43502</v>
      </c>
      <c r="G1418" s="8">
        <f t="shared" si="22"/>
        <v>43502</v>
      </c>
      <c r="H1418" s="6" t="s">
        <v>13</v>
      </c>
      <c r="I1418" s="9" t="s">
        <v>3380</v>
      </c>
      <c r="J1418" s="10" t="s">
        <v>3380</v>
      </c>
      <c r="K1418" s="17"/>
    </row>
    <row r="1419" spans="1:11" ht="30" x14ac:dyDescent="0.25">
      <c r="A1419" s="3" t="s">
        <v>2855</v>
      </c>
      <c r="B1419" s="4" t="s">
        <v>2856</v>
      </c>
      <c r="C1419" s="5">
        <v>240102</v>
      </c>
      <c r="D1419" s="6" t="s">
        <v>34</v>
      </c>
      <c r="E1419" s="6" t="s">
        <v>17</v>
      </c>
      <c r="F1419" s="7">
        <v>43504</v>
      </c>
      <c r="G1419" s="8">
        <f t="shared" si="22"/>
        <v>43504</v>
      </c>
      <c r="H1419" s="6" t="s">
        <v>13</v>
      </c>
      <c r="I1419" s="9" t="s">
        <v>3380</v>
      </c>
      <c r="J1419" s="10" t="s">
        <v>3380</v>
      </c>
      <c r="K1419" s="17"/>
    </row>
    <row r="1420" spans="1:11" ht="30" x14ac:dyDescent="0.25">
      <c r="A1420" s="3" t="s">
        <v>2857</v>
      </c>
      <c r="B1420" s="4" t="s">
        <v>2858</v>
      </c>
      <c r="C1420" s="5">
        <v>240404</v>
      </c>
      <c r="D1420" s="6" t="s">
        <v>37</v>
      </c>
      <c r="E1420" s="6" t="s">
        <v>38</v>
      </c>
      <c r="F1420" s="7">
        <v>43505</v>
      </c>
      <c r="G1420" s="8">
        <f t="shared" si="22"/>
        <v>43505</v>
      </c>
      <c r="H1420" s="6" t="s">
        <v>39</v>
      </c>
      <c r="I1420" s="9" t="s">
        <v>3380</v>
      </c>
      <c r="J1420" s="10" t="s">
        <v>3380</v>
      </c>
      <c r="K1420" s="17"/>
    </row>
    <row r="1421" spans="1:11" ht="30" x14ac:dyDescent="0.25">
      <c r="A1421" s="3" t="s">
        <v>2859</v>
      </c>
      <c r="B1421" s="4" t="s">
        <v>2860</v>
      </c>
      <c r="C1421" s="5">
        <v>242660</v>
      </c>
      <c r="D1421" s="6" t="s">
        <v>11</v>
      </c>
      <c r="E1421" s="6" t="s">
        <v>12</v>
      </c>
      <c r="F1421" s="7">
        <v>43506</v>
      </c>
      <c r="G1421" s="8">
        <f t="shared" si="22"/>
        <v>43506</v>
      </c>
      <c r="H1421" s="21" t="s">
        <v>39</v>
      </c>
      <c r="I1421" s="9" t="s">
        <v>3380</v>
      </c>
      <c r="J1421" s="10" t="s">
        <v>3380</v>
      </c>
      <c r="K1421" s="17"/>
    </row>
    <row r="1422" spans="1:11" ht="30" x14ac:dyDescent="0.25">
      <c r="A1422" s="3" t="s">
        <v>2861</v>
      </c>
      <c r="B1422" s="4" t="s">
        <v>2862</v>
      </c>
      <c r="C1422" s="5">
        <v>239780</v>
      </c>
      <c r="D1422" s="6" t="s">
        <v>37</v>
      </c>
      <c r="E1422" s="6" t="s">
        <v>38</v>
      </c>
      <c r="F1422" s="7">
        <v>43505</v>
      </c>
      <c r="G1422" s="8">
        <f t="shared" si="22"/>
        <v>43505</v>
      </c>
      <c r="H1422" s="6" t="s">
        <v>39</v>
      </c>
      <c r="I1422" s="9" t="s">
        <v>3380</v>
      </c>
      <c r="J1422" s="10" t="s">
        <v>3380</v>
      </c>
      <c r="K1422" s="17"/>
    </row>
    <row r="1423" spans="1:11" ht="30" x14ac:dyDescent="0.25">
      <c r="A1423" s="3" t="s">
        <v>2863</v>
      </c>
      <c r="B1423" s="4" t="s">
        <v>2864</v>
      </c>
      <c r="C1423" s="5">
        <v>238484</v>
      </c>
      <c r="D1423" s="6" t="s">
        <v>37</v>
      </c>
      <c r="E1423" s="6" t="s">
        <v>38</v>
      </c>
      <c r="F1423" s="7">
        <v>43505</v>
      </c>
      <c r="G1423" s="8">
        <f t="shared" si="22"/>
        <v>43505</v>
      </c>
      <c r="H1423" s="6" t="s">
        <v>39</v>
      </c>
      <c r="I1423" s="9" t="s">
        <v>3380</v>
      </c>
      <c r="J1423" s="10" t="s">
        <v>3380</v>
      </c>
      <c r="K1423" s="17"/>
    </row>
    <row r="1424" spans="1:11" ht="30" x14ac:dyDescent="0.25">
      <c r="A1424" s="3" t="s">
        <v>2865</v>
      </c>
      <c r="B1424" s="4" t="s">
        <v>2866</v>
      </c>
      <c r="C1424" s="5">
        <v>255172</v>
      </c>
      <c r="D1424" s="6" t="s">
        <v>11</v>
      </c>
      <c r="E1424" s="6" t="s">
        <v>12</v>
      </c>
      <c r="F1424" s="7">
        <v>43508</v>
      </c>
      <c r="G1424" s="8">
        <f t="shared" si="22"/>
        <v>43508</v>
      </c>
      <c r="H1424" s="21" t="s">
        <v>13</v>
      </c>
      <c r="I1424" s="9" t="s">
        <v>3380</v>
      </c>
      <c r="J1424" s="10" t="s">
        <v>3380</v>
      </c>
      <c r="K1424" s="17"/>
    </row>
    <row r="1425" spans="1:11" ht="30" x14ac:dyDescent="0.25">
      <c r="A1425" s="3" t="s">
        <v>2867</v>
      </c>
      <c r="B1425" s="4" t="s">
        <v>2868</v>
      </c>
      <c r="C1425" s="5">
        <v>242004</v>
      </c>
      <c r="D1425" s="6" t="s">
        <v>28</v>
      </c>
      <c r="E1425" s="6" t="s">
        <v>17</v>
      </c>
      <c r="F1425" s="7">
        <v>43522</v>
      </c>
      <c r="G1425" s="8">
        <f t="shared" si="22"/>
        <v>43522</v>
      </c>
      <c r="H1425" s="6" t="s">
        <v>13</v>
      </c>
      <c r="I1425" s="9" t="s">
        <v>3380</v>
      </c>
      <c r="J1425" s="10" t="s">
        <v>3380</v>
      </c>
      <c r="K1425" s="17"/>
    </row>
    <row r="1426" spans="1:11" ht="30" x14ac:dyDescent="0.25">
      <c r="A1426" s="3" t="s">
        <v>2869</v>
      </c>
      <c r="B1426" s="4" t="s">
        <v>2870</v>
      </c>
      <c r="C1426" s="14">
        <v>241044</v>
      </c>
      <c r="D1426" s="6" t="s">
        <v>31</v>
      </c>
      <c r="E1426" s="6" t="s">
        <v>17</v>
      </c>
      <c r="F1426" s="7">
        <v>43523</v>
      </c>
      <c r="G1426" s="8">
        <f t="shared" si="22"/>
        <v>43523</v>
      </c>
      <c r="H1426" s="6" t="s">
        <v>13</v>
      </c>
      <c r="I1426" s="9" t="s">
        <v>3380</v>
      </c>
      <c r="J1426" s="10" t="s">
        <v>3380</v>
      </c>
      <c r="K1426" s="17"/>
    </row>
    <row r="1427" spans="1:11" ht="30" x14ac:dyDescent="0.25">
      <c r="A1427" s="3" t="s">
        <v>2871</v>
      </c>
      <c r="B1427" s="4" t="s">
        <v>2872</v>
      </c>
      <c r="C1427" s="5">
        <v>239140</v>
      </c>
      <c r="D1427" s="6" t="s">
        <v>34</v>
      </c>
      <c r="E1427" s="6" t="s">
        <v>17</v>
      </c>
      <c r="F1427" s="7">
        <v>43524</v>
      </c>
      <c r="G1427" s="8">
        <f t="shared" si="22"/>
        <v>43524</v>
      </c>
      <c r="H1427" s="6" t="s">
        <v>13</v>
      </c>
      <c r="I1427" s="9" t="s">
        <v>3380</v>
      </c>
      <c r="J1427" s="10" t="s">
        <v>3380</v>
      </c>
      <c r="K1427" s="17"/>
    </row>
    <row r="1428" spans="1:11" ht="30" x14ac:dyDescent="0.25">
      <c r="A1428" s="3" t="s">
        <v>2873</v>
      </c>
      <c r="B1428" s="4" t="s">
        <v>2874</v>
      </c>
      <c r="C1428" s="5">
        <v>250708</v>
      </c>
      <c r="D1428" s="6" t="s">
        <v>34</v>
      </c>
      <c r="E1428" s="6" t="s">
        <v>17</v>
      </c>
      <c r="F1428" s="7">
        <v>43537</v>
      </c>
      <c r="G1428" s="8">
        <f t="shared" si="22"/>
        <v>43537</v>
      </c>
      <c r="H1428" s="6" t="s">
        <v>13</v>
      </c>
      <c r="I1428" s="9" t="s">
        <v>3380</v>
      </c>
      <c r="J1428" s="10" t="s">
        <v>3380</v>
      </c>
      <c r="K1428" s="17"/>
    </row>
    <row r="1429" spans="1:11" ht="30" x14ac:dyDescent="0.25">
      <c r="A1429" s="3" t="s">
        <v>2875</v>
      </c>
      <c r="B1429" s="4" t="s">
        <v>2876</v>
      </c>
      <c r="C1429" s="5">
        <v>236565</v>
      </c>
      <c r="D1429" s="6" t="s">
        <v>16</v>
      </c>
      <c r="E1429" s="6" t="s">
        <v>17</v>
      </c>
      <c r="F1429" s="7">
        <v>43572</v>
      </c>
      <c r="G1429" s="8">
        <f t="shared" si="22"/>
        <v>43572</v>
      </c>
      <c r="H1429" s="6" t="s">
        <v>13</v>
      </c>
      <c r="I1429" s="9" t="s">
        <v>3380</v>
      </c>
      <c r="J1429" s="10" t="s">
        <v>3380</v>
      </c>
      <c r="K1429" s="17"/>
    </row>
    <row r="1430" spans="1:11" ht="30" x14ac:dyDescent="0.25">
      <c r="A1430" s="3" t="s">
        <v>2877</v>
      </c>
      <c r="B1430" s="4" t="s">
        <v>2878</v>
      </c>
      <c r="C1430" s="5">
        <v>230740</v>
      </c>
      <c r="D1430" s="6" t="s">
        <v>11</v>
      </c>
      <c r="E1430" s="6" t="s">
        <v>12</v>
      </c>
      <c r="F1430" s="7">
        <v>43178</v>
      </c>
      <c r="G1430" s="8">
        <f t="shared" si="22"/>
        <v>43178</v>
      </c>
      <c r="H1430" s="21" t="s">
        <v>39</v>
      </c>
      <c r="I1430" s="9" t="s">
        <v>3380</v>
      </c>
      <c r="J1430" s="10" t="s">
        <v>3380</v>
      </c>
      <c r="K1430" s="17"/>
    </row>
    <row r="1431" spans="1:11" ht="30" x14ac:dyDescent="0.25">
      <c r="A1431" s="3" t="s">
        <v>2879</v>
      </c>
      <c r="B1431" s="4" t="s">
        <v>2880</v>
      </c>
      <c r="C1431" s="14">
        <v>243285</v>
      </c>
      <c r="D1431" s="6" t="s">
        <v>34</v>
      </c>
      <c r="E1431" s="6" t="s">
        <v>17</v>
      </c>
      <c r="F1431" s="7">
        <v>43545</v>
      </c>
      <c r="G1431" s="8">
        <f t="shared" si="22"/>
        <v>43545</v>
      </c>
      <c r="H1431" s="6" t="s">
        <v>13</v>
      </c>
      <c r="I1431" s="9" t="s">
        <v>3380</v>
      </c>
      <c r="J1431" s="10" t="s">
        <v>3380</v>
      </c>
      <c r="K1431" s="17"/>
    </row>
    <row r="1432" spans="1:11" ht="30" x14ac:dyDescent="0.25">
      <c r="A1432" s="3" t="s">
        <v>2881</v>
      </c>
      <c r="B1432" s="4" t="s">
        <v>2882</v>
      </c>
      <c r="C1432" s="5">
        <v>243284</v>
      </c>
      <c r="D1432" s="6" t="s">
        <v>34</v>
      </c>
      <c r="E1432" s="6" t="s">
        <v>17</v>
      </c>
      <c r="F1432" s="7">
        <v>43545</v>
      </c>
      <c r="G1432" s="8">
        <f t="shared" si="22"/>
        <v>43545</v>
      </c>
      <c r="H1432" s="6" t="s">
        <v>13</v>
      </c>
      <c r="I1432" s="9" t="s">
        <v>3380</v>
      </c>
      <c r="J1432" s="10" t="s">
        <v>3380</v>
      </c>
      <c r="K1432" s="17"/>
    </row>
    <row r="1433" spans="1:11" ht="30" x14ac:dyDescent="0.25">
      <c r="A1433" s="3" t="s">
        <v>2883</v>
      </c>
      <c r="B1433" s="4" t="s">
        <v>2884</v>
      </c>
      <c r="C1433" s="5">
        <v>261252</v>
      </c>
      <c r="D1433" s="6" t="s">
        <v>28</v>
      </c>
      <c r="E1433" s="6" t="s">
        <v>17</v>
      </c>
      <c r="F1433" s="7">
        <v>43558</v>
      </c>
      <c r="G1433" s="8">
        <f t="shared" si="22"/>
        <v>43558</v>
      </c>
      <c r="H1433" s="6" t="s">
        <v>13</v>
      </c>
      <c r="I1433" s="9" t="s">
        <v>3380</v>
      </c>
      <c r="J1433" s="10" t="s">
        <v>3380</v>
      </c>
      <c r="K1433" s="17"/>
    </row>
    <row r="1434" spans="1:11" ht="30" x14ac:dyDescent="0.25">
      <c r="A1434" s="3" t="s">
        <v>2885</v>
      </c>
      <c r="B1434" s="4" t="s">
        <v>2886</v>
      </c>
      <c r="C1434" s="14">
        <v>242967</v>
      </c>
      <c r="D1434" s="6" t="s">
        <v>16</v>
      </c>
      <c r="E1434" s="6" t="s">
        <v>17</v>
      </c>
      <c r="F1434" s="7">
        <v>43558</v>
      </c>
      <c r="G1434" s="8">
        <f t="shared" si="22"/>
        <v>43558</v>
      </c>
      <c r="H1434" s="6" t="s">
        <v>13</v>
      </c>
      <c r="I1434" s="9" t="s">
        <v>3380</v>
      </c>
      <c r="J1434" s="10" t="s">
        <v>3380</v>
      </c>
      <c r="K1434" s="17"/>
    </row>
    <row r="1435" spans="1:11" ht="30" x14ac:dyDescent="0.25">
      <c r="A1435" s="3" t="s">
        <v>2887</v>
      </c>
      <c r="B1435" s="4" t="s">
        <v>2888</v>
      </c>
      <c r="C1435" s="14">
        <v>235924</v>
      </c>
      <c r="D1435" s="6" t="s">
        <v>11</v>
      </c>
      <c r="E1435" s="6" t="s">
        <v>12</v>
      </c>
      <c r="F1435" s="7">
        <v>43425</v>
      </c>
      <c r="G1435" s="8">
        <f t="shared" si="22"/>
        <v>43425</v>
      </c>
      <c r="H1435" s="6" t="s">
        <v>13</v>
      </c>
      <c r="I1435" s="9" t="s">
        <v>3380</v>
      </c>
      <c r="J1435" s="10" t="s">
        <v>3380</v>
      </c>
      <c r="K1435" s="40"/>
    </row>
    <row r="1436" spans="1:11" ht="30" x14ac:dyDescent="0.25">
      <c r="A1436" s="3" t="s">
        <v>2889</v>
      </c>
      <c r="B1436" s="4" t="s">
        <v>2890</v>
      </c>
      <c r="C1436" s="5">
        <v>246804</v>
      </c>
      <c r="D1436" s="6" t="s">
        <v>11</v>
      </c>
      <c r="E1436" s="6" t="s">
        <v>12</v>
      </c>
      <c r="F1436" s="7">
        <v>43567</v>
      </c>
      <c r="G1436" s="8">
        <f t="shared" si="22"/>
        <v>43567</v>
      </c>
      <c r="H1436" s="6" t="s">
        <v>13</v>
      </c>
      <c r="I1436" s="9" t="s">
        <v>3380</v>
      </c>
      <c r="J1436" s="10" t="s">
        <v>3380</v>
      </c>
      <c r="K1436" s="40"/>
    </row>
    <row r="1437" spans="1:11" ht="30" x14ac:dyDescent="0.25">
      <c r="A1437" s="3" t="s">
        <v>2891</v>
      </c>
      <c r="B1437" s="4" t="s">
        <v>2892</v>
      </c>
      <c r="C1437" s="14">
        <v>244564</v>
      </c>
      <c r="D1437" s="6" t="s">
        <v>28</v>
      </c>
      <c r="E1437" s="6" t="s">
        <v>17</v>
      </c>
      <c r="F1437" s="7">
        <v>43572</v>
      </c>
      <c r="G1437" s="8">
        <f t="shared" si="22"/>
        <v>43572</v>
      </c>
      <c r="H1437" s="6" t="s">
        <v>13</v>
      </c>
      <c r="I1437" s="9" t="s">
        <v>3380</v>
      </c>
      <c r="J1437" s="10" t="s">
        <v>3380</v>
      </c>
      <c r="K1437" s="40"/>
    </row>
    <row r="1438" spans="1:11" ht="30" x14ac:dyDescent="0.25">
      <c r="A1438" s="3" t="s">
        <v>2893</v>
      </c>
      <c r="B1438" s="4" t="s">
        <v>2894</v>
      </c>
      <c r="C1438" s="5">
        <v>246196</v>
      </c>
      <c r="D1438" s="6" t="s">
        <v>11</v>
      </c>
      <c r="E1438" s="6" t="s">
        <v>12</v>
      </c>
      <c r="F1438" s="7">
        <v>43577</v>
      </c>
      <c r="G1438" s="8">
        <f t="shared" si="22"/>
        <v>43577</v>
      </c>
      <c r="H1438" s="6" t="s">
        <v>39</v>
      </c>
      <c r="I1438" s="9" t="s">
        <v>3380</v>
      </c>
      <c r="J1438" s="10" t="s">
        <v>3380</v>
      </c>
      <c r="K1438" s="40"/>
    </row>
    <row r="1439" spans="1:11" ht="30" x14ac:dyDescent="0.25">
      <c r="A1439" s="3" t="s">
        <v>2895</v>
      </c>
      <c r="B1439" s="4" t="s">
        <v>2896</v>
      </c>
      <c r="C1439" s="50">
        <v>253252</v>
      </c>
      <c r="D1439" s="6" t="s">
        <v>16</v>
      </c>
      <c r="E1439" s="6" t="s">
        <v>17</v>
      </c>
      <c r="F1439" s="7">
        <v>43577</v>
      </c>
      <c r="G1439" s="8">
        <f t="shared" si="22"/>
        <v>43577</v>
      </c>
      <c r="H1439" s="6" t="s">
        <v>13</v>
      </c>
      <c r="I1439" s="9" t="s">
        <v>3380</v>
      </c>
      <c r="J1439" s="10" t="s">
        <v>3380</v>
      </c>
      <c r="K1439" s="40"/>
    </row>
    <row r="1440" spans="1:11" ht="30" x14ac:dyDescent="0.25">
      <c r="A1440" s="3" t="s">
        <v>2897</v>
      </c>
      <c r="B1440" s="4" t="s">
        <v>2898</v>
      </c>
      <c r="C1440" s="5">
        <v>247124</v>
      </c>
      <c r="D1440" s="6" t="s">
        <v>31</v>
      </c>
      <c r="E1440" s="6" t="s">
        <v>17</v>
      </c>
      <c r="F1440" s="7">
        <v>43585</v>
      </c>
      <c r="G1440" s="8">
        <f t="shared" si="22"/>
        <v>43585</v>
      </c>
      <c r="H1440" s="6" t="s">
        <v>13</v>
      </c>
      <c r="I1440" s="9" t="s">
        <v>3380</v>
      </c>
      <c r="J1440" s="10" t="s">
        <v>3380</v>
      </c>
      <c r="K1440" s="40"/>
    </row>
    <row r="1441" spans="1:11" ht="30" x14ac:dyDescent="0.25">
      <c r="A1441" s="3" t="s">
        <v>2899</v>
      </c>
      <c r="B1441" s="4" t="s">
        <v>2900</v>
      </c>
      <c r="C1441" s="50">
        <v>252293</v>
      </c>
      <c r="D1441" s="6" t="s">
        <v>11</v>
      </c>
      <c r="E1441" s="6" t="s">
        <v>12</v>
      </c>
      <c r="F1441" s="7">
        <v>43597</v>
      </c>
      <c r="G1441" s="8">
        <f t="shared" si="22"/>
        <v>43597</v>
      </c>
      <c r="H1441" s="6" t="s">
        <v>13</v>
      </c>
      <c r="I1441" s="9" t="s">
        <v>3380</v>
      </c>
      <c r="J1441" s="10" t="s">
        <v>3380</v>
      </c>
      <c r="K1441" s="40"/>
    </row>
    <row r="1442" spans="1:11" x14ac:dyDescent="0.25">
      <c r="A1442" s="3" t="s">
        <v>2901</v>
      </c>
      <c r="B1442" s="4" t="s">
        <v>2902</v>
      </c>
      <c r="C1442" s="14">
        <v>249109</v>
      </c>
      <c r="D1442" s="6" t="s">
        <v>28</v>
      </c>
      <c r="E1442" s="6" t="s">
        <v>17</v>
      </c>
      <c r="F1442" s="7">
        <v>43602</v>
      </c>
      <c r="G1442" s="8">
        <f t="shared" si="22"/>
        <v>43602</v>
      </c>
      <c r="H1442" s="6" t="s">
        <v>13</v>
      </c>
      <c r="I1442" s="9" t="s">
        <v>3380</v>
      </c>
      <c r="J1442" s="10" t="s">
        <v>3380</v>
      </c>
      <c r="K1442" s="11"/>
    </row>
    <row r="1443" spans="1:11" x14ac:dyDescent="0.25">
      <c r="A1443" s="3" t="s">
        <v>2903</v>
      </c>
      <c r="B1443" s="4" t="s">
        <v>2904</v>
      </c>
      <c r="C1443" s="5">
        <v>248452</v>
      </c>
      <c r="D1443" s="6" t="s">
        <v>16</v>
      </c>
      <c r="E1443" s="6" t="s">
        <v>17</v>
      </c>
      <c r="F1443" s="7">
        <v>43602</v>
      </c>
      <c r="G1443" s="8">
        <f t="shared" si="22"/>
        <v>43602</v>
      </c>
      <c r="H1443" s="6" t="s">
        <v>13</v>
      </c>
      <c r="I1443" s="9" t="s">
        <v>3380</v>
      </c>
      <c r="J1443" s="10" t="s">
        <v>3380</v>
      </c>
      <c r="K1443" s="11"/>
    </row>
    <row r="1444" spans="1:11" x14ac:dyDescent="0.25">
      <c r="A1444" s="3" t="s">
        <v>2905</v>
      </c>
      <c r="B1444" s="4" t="s">
        <v>2906</v>
      </c>
      <c r="C1444" s="5">
        <v>250692</v>
      </c>
      <c r="D1444" s="6" t="s">
        <v>16</v>
      </c>
      <c r="E1444" s="6" t="s">
        <v>17</v>
      </c>
      <c r="F1444" s="7">
        <v>43602</v>
      </c>
      <c r="G1444" s="8">
        <f t="shared" si="22"/>
        <v>43602</v>
      </c>
      <c r="H1444" s="6" t="s">
        <v>13</v>
      </c>
      <c r="I1444" s="9" t="s">
        <v>3380</v>
      </c>
      <c r="J1444" s="10" t="s">
        <v>3380</v>
      </c>
      <c r="K1444" s="11"/>
    </row>
    <row r="1445" spans="1:11" ht="30" x14ac:dyDescent="0.25">
      <c r="A1445" s="3" t="s">
        <v>2907</v>
      </c>
      <c r="B1445" s="4" t="s">
        <v>2908</v>
      </c>
      <c r="C1445" s="5">
        <v>254903</v>
      </c>
      <c r="D1445" s="16" t="s">
        <v>31</v>
      </c>
      <c r="E1445" s="16" t="s">
        <v>17</v>
      </c>
      <c r="F1445" s="15">
        <v>43609</v>
      </c>
      <c r="G1445" s="8">
        <f t="shared" si="22"/>
        <v>43609</v>
      </c>
      <c r="H1445" s="16" t="s">
        <v>13</v>
      </c>
      <c r="I1445" s="9" t="s">
        <v>3380</v>
      </c>
      <c r="J1445" s="10" t="s">
        <v>3380</v>
      </c>
      <c r="K1445" s="17"/>
    </row>
    <row r="1446" spans="1:11" ht="30" x14ac:dyDescent="0.25">
      <c r="A1446" s="3" t="s">
        <v>2909</v>
      </c>
      <c r="B1446" s="4" t="s">
        <v>2910</v>
      </c>
      <c r="C1446" s="5">
        <v>259653</v>
      </c>
      <c r="D1446" s="16" t="s">
        <v>37</v>
      </c>
      <c r="E1446" s="16" t="s">
        <v>38</v>
      </c>
      <c r="F1446" s="15">
        <v>43621</v>
      </c>
      <c r="G1446" s="8">
        <f t="shared" si="22"/>
        <v>43621</v>
      </c>
      <c r="H1446" s="16" t="s">
        <v>39</v>
      </c>
      <c r="I1446" s="9" t="s">
        <v>3380</v>
      </c>
      <c r="J1446" s="10" t="s">
        <v>3380</v>
      </c>
      <c r="K1446" s="17"/>
    </row>
    <row r="1447" spans="1:11" ht="30" x14ac:dyDescent="0.25">
      <c r="A1447" s="3" t="s">
        <v>2911</v>
      </c>
      <c r="B1447" s="4" t="s">
        <v>2912</v>
      </c>
      <c r="C1447" s="14">
        <v>247494</v>
      </c>
      <c r="D1447" s="16" t="s">
        <v>11</v>
      </c>
      <c r="E1447" s="16" t="s">
        <v>12</v>
      </c>
      <c r="F1447" s="15">
        <v>43635</v>
      </c>
      <c r="G1447" s="8">
        <f t="shared" si="22"/>
        <v>43635</v>
      </c>
      <c r="H1447" s="16" t="s">
        <v>13</v>
      </c>
      <c r="I1447" s="9" t="s">
        <v>3380</v>
      </c>
      <c r="J1447" s="10" t="s">
        <v>3380</v>
      </c>
      <c r="K1447" s="17"/>
    </row>
    <row r="1448" spans="1:11" ht="30" x14ac:dyDescent="0.25">
      <c r="A1448" s="3" t="s">
        <v>2913</v>
      </c>
      <c r="B1448" s="4" t="s">
        <v>2914</v>
      </c>
      <c r="C1448" s="14">
        <v>248132</v>
      </c>
      <c r="D1448" s="16" t="s">
        <v>11</v>
      </c>
      <c r="E1448" s="16" t="s">
        <v>12</v>
      </c>
      <c r="F1448" s="15">
        <v>43631</v>
      </c>
      <c r="G1448" s="8">
        <f t="shared" si="22"/>
        <v>43631</v>
      </c>
      <c r="H1448" s="16" t="s">
        <v>13</v>
      </c>
      <c r="I1448" s="9" t="s">
        <v>3380</v>
      </c>
      <c r="J1448" s="10" t="s">
        <v>3380</v>
      </c>
      <c r="K1448" s="17"/>
    </row>
    <row r="1449" spans="1:11" ht="30" x14ac:dyDescent="0.25">
      <c r="A1449" s="3" t="s">
        <v>2915</v>
      </c>
      <c r="B1449" s="4" t="s">
        <v>2916</v>
      </c>
      <c r="C1449" s="5">
        <v>252308</v>
      </c>
      <c r="D1449" s="16" t="s">
        <v>37</v>
      </c>
      <c r="E1449" s="16" t="s">
        <v>38</v>
      </c>
      <c r="F1449" s="15">
        <v>43662</v>
      </c>
      <c r="G1449" s="8">
        <f t="shared" si="22"/>
        <v>43662</v>
      </c>
      <c r="H1449" s="16" t="s">
        <v>39</v>
      </c>
      <c r="I1449" s="9" t="s">
        <v>3380</v>
      </c>
      <c r="J1449" s="10" t="s">
        <v>3380</v>
      </c>
      <c r="K1449" s="17"/>
    </row>
    <row r="1450" spans="1:11" ht="30" x14ac:dyDescent="0.25">
      <c r="A1450" s="3" t="s">
        <v>2917</v>
      </c>
      <c r="B1450" s="4" t="s">
        <v>2918</v>
      </c>
      <c r="C1450" s="14">
        <v>253588</v>
      </c>
      <c r="D1450" s="16" t="s">
        <v>11</v>
      </c>
      <c r="E1450" s="16" t="s">
        <v>12</v>
      </c>
      <c r="F1450" s="15">
        <v>43662</v>
      </c>
      <c r="G1450" s="8">
        <f t="shared" si="22"/>
        <v>43662</v>
      </c>
      <c r="H1450" s="16" t="s">
        <v>39</v>
      </c>
      <c r="I1450" s="9" t="s">
        <v>3380</v>
      </c>
      <c r="J1450" s="10" t="s">
        <v>3380</v>
      </c>
      <c r="K1450" s="17"/>
    </row>
    <row r="1451" spans="1:11" ht="30" x14ac:dyDescent="0.25">
      <c r="A1451" s="3" t="s">
        <v>2919</v>
      </c>
      <c r="B1451" s="4" t="s">
        <v>2920</v>
      </c>
      <c r="C1451" s="5">
        <v>254532</v>
      </c>
      <c r="D1451" s="16" t="s">
        <v>28</v>
      </c>
      <c r="E1451" s="16" t="s">
        <v>17</v>
      </c>
      <c r="F1451" s="15">
        <v>43672</v>
      </c>
      <c r="G1451" s="8">
        <f t="shared" si="22"/>
        <v>43672</v>
      </c>
      <c r="H1451" s="16" t="s">
        <v>13</v>
      </c>
      <c r="I1451" s="9" t="s">
        <v>3380</v>
      </c>
      <c r="J1451" s="10" t="s">
        <v>3380</v>
      </c>
      <c r="K1451" s="17"/>
    </row>
    <row r="1452" spans="1:11" ht="30" x14ac:dyDescent="0.25">
      <c r="A1452" s="3" t="s">
        <v>2921</v>
      </c>
      <c r="B1452" s="4" t="s">
        <v>2922</v>
      </c>
      <c r="C1452" s="14">
        <v>251332</v>
      </c>
      <c r="D1452" s="16" t="s">
        <v>28</v>
      </c>
      <c r="E1452" s="16" t="s">
        <v>17</v>
      </c>
      <c r="F1452" s="15">
        <v>43672</v>
      </c>
      <c r="G1452" s="8">
        <f t="shared" si="22"/>
        <v>43672</v>
      </c>
      <c r="H1452" s="16" t="s">
        <v>13</v>
      </c>
      <c r="I1452" s="9" t="s">
        <v>3380</v>
      </c>
      <c r="J1452" s="10" t="s">
        <v>3380</v>
      </c>
      <c r="K1452" s="17"/>
    </row>
    <row r="1453" spans="1:11" ht="30" x14ac:dyDescent="0.25">
      <c r="A1453" s="3" t="s">
        <v>2923</v>
      </c>
      <c r="B1453" s="4" t="s">
        <v>2924</v>
      </c>
      <c r="C1453" s="14">
        <v>261253</v>
      </c>
      <c r="D1453" s="16" t="s">
        <v>28</v>
      </c>
      <c r="E1453" s="16" t="s">
        <v>17</v>
      </c>
      <c r="F1453" s="15">
        <v>43698</v>
      </c>
      <c r="G1453" s="8">
        <f t="shared" si="22"/>
        <v>43698</v>
      </c>
      <c r="H1453" s="16" t="s">
        <v>13</v>
      </c>
      <c r="I1453" s="9" t="s">
        <v>3380</v>
      </c>
      <c r="J1453" s="10" t="s">
        <v>3380</v>
      </c>
      <c r="K1453" s="17"/>
    </row>
    <row r="1454" spans="1:11" ht="30" x14ac:dyDescent="0.25">
      <c r="A1454" s="3" t="s">
        <v>2925</v>
      </c>
      <c r="B1454" s="4" t="s">
        <v>2926</v>
      </c>
      <c r="C1454" s="14">
        <v>257108</v>
      </c>
      <c r="D1454" s="16" t="s">
        <v>37</v>
      </c>
      <c r="E1454" s="16" t="s">
        <v>38</v>
      </c>
      <c r="F1454" s="15">
        <v>43718</v>
      </c>
      <c r="G1454" s="8">
        <f t="shared" si="22"/>
        <v>43718</v>
      </c>
      <c r="H1454" s="16" t="s">
        <v>39</v>
      </c>
      <c r="I1454" s="9" t="s">
        <v>3380</v>
      </c>
      <c r="J1454" s="10" t="s">
        <v>3380</v>
      </c>
      <c r="K1454" s="17"/>
    </row>
    <row r="1455" spans="1:11" ht="30" x14ac:dyDescent="0.25">
      <c r="A1455" s="3" t="s">
        <v>2927</v>
      </c>
      <c r="B1455" s="4" t="s">
        <v>2928</v>
      </c>
      <c r="C1455" s="5">
        <v>252932</v>
      </c>
      <c r="D1455" s="16" t="s">
        <v>34</v>
      </c>
      <c r="E1455" s="16" t="s">
        <v>17</v>
      </c>
      <c r="F1455" s="15">
        <v>43718</v>
      </c>
      <c r="G1455" s="8">
        <f t="shared" si="22"/>
        <v>43718</v>
      </c>
      <c r="H1455" s="16" t="s">
        <v>13</v>
      </c>
      <c r="I1455" s="9" t="s">
        <v>3380</v>
      </c>
      <c r="J1455" s="10" t="s">
        <v>3380</v>
      </c>
      <c r="K1455" s="17"/>
    </row>
    <row r="1456" spans="1:11" x14ac:dyDescent="0.25">
      <c r="A1456" s="3" t="s">
        <v>2929</v>
      </c>
      <c r="B1456" s="4" t="s">
        <v>2930</v>
      </c>
      <c r="C1456" s="5">
        <v>253892</v>
      </c>
      <c r="D1456" s="16" t="s">
        <v>34</v>
      </c>
      <c r="E1456" s="16" t="s">
        <v>17</v>
      </c>
      <c r="F1456" s="15">
        <v>43718</v>
      </c>
      <c r="G1456" s="8">
        <f t="shared" si="22"/>
        <v>43718</v>
      </c>
      <c r="H1456" s="16" t="s">
        <v>13</v>
      </c>
      <c r="I1456" s="9" t="s">
        <v>3380</v>
      </c>
      <c r="J1456" s="10" t="s">
        <v>3380</v>
      </c>
      <c r="K1456" s="17"/>
    </row>
    <row r="1457" spans="1:11" ht="30" x14ac:dyDescent="0.25">
      <c r="A1457" s="3" t="s">
        <v>2931</v>
      </c>
      <c r="B1457" s="4" t="s">
        <v>2932</v>
      </c>
      <c r="C1457" s="14">
        <v>258052</v>
      </c>
      <c r="D1457" s="16" t="s">
        <v>16</v>
      </c>
      <c r="E1457" s="16" t="s">
        <v>17</v>
      </c>
      <c r="F1457" s="15">
        <v>43724</v>
      </c>
      <c r="G1457" s="8">
        <f t="shared" si="22"/>
        <v>43724</v>
      </c>
      <c r="H1457" s="16" t="s">
        <v>13</v>
      </c>
      <c r="I1457" s="9" t="s">
        <v>3380</v>
      </c>
      <c r="J1457" s="10" t="s">
        <v>3380</v>
      </c>
      <c r="K1457" s="17"/>
    </row>
    <row r="1458" spans="1:11" ht="30" x14ac:dyDescent="0.25">
      <c r="A1458" s="3" t="s">
        <v>2933</v>
      </c>
      <c r="B1458" s="4" t="s">
        <v>2934</v>
      </c>
      <c r="C1458" s="5">
        <v>1875</v>
      </c>
      <c r="D1458" s="16" t="s">
        <v>34</v>
      </c>
      <c r="E1458" s="16" t="s">
        <v>17</v>
      </c>
      <c r="F1458" s="15">
        <v>43800</v>
      </c>
      <c r="G1458" s="8">
        <f t="shared" si="22"/>
        <v>43800</v>
      </c>
      <c r="H1458" s="16" t="s">
        <v>13</v>
      </c>
      <c r="I1458" s="9" t="s">
        <v>3380</v>
      </c>
      <c r="J1458" s="10" t="s">
        <v>3380</v>
      </c>
      <c r="K1458" s="17"/>
    </row>
    <row r="1459" spans="1:11" ht="30" x14ac:dyDescent="0.25">
      <c r="A1459" s="3" t="s">
        <v>2935</v>
      </c>
      <c r="B1459" s="4" t="s">
        <v>2936</v>
      </c>
      <c r="C1459" s="5">
        <v>264452</v>
      </c>
      <c r="D1459" s="16" t="s">
        <v>37</v>
      </c>
      <c r="E1459" s="16" t="s">
        <v>38</v>
      </c>
      <c r="F1459" s="15">
        <v>43771</v>
      </c>
      <c r="G1459" s="8">
        <f t="shared" si="22"/>
        <v>43771</v>
      </c>
      <c r="H1459" s="16" t="s">
        <v>39</v>
      </c>
      <c r="I1459" s="9" t="s">
        <v>3380</v>
      </c>
      <c r="J1459" s="10" t="s">
        <v>3380</v>
      </c>
      <c r="K1459" s="17"/>
    </row>
    <row r="1460" spans="1:11" ht="30" x14ac:dyDescent="0.25">
      <c r="A1460" s="3" t="s">
        <v>2937</v>
      </c>
      <c r="B1460" s="4" t="s">
        <v>2938</v>
      </c>
      <c r="C1460" s="5">
        <v>268004</v>
      </c>
      <c r="D1460" s="16" t="s">
        <v>16</v>
      </c>
      <c r="E1460" s="16" t="s">
        <v>17</v>
      </c>
      <c r="F1460" s="15">
        <v>43772</v>
      </c>
      <c r="G1460" s="8">
        <f t="shared" si="22"/>
        <v>43772</v>
      </c>
      <c r="H1460" s="16" t="s">
        <v>13</v>
      </c>
      <c r="I1460" s="9" t="s">
        <v>3380</v>
      </c>
      <c r="J1460" s="10" t="s">
        <v>3380</v>
      </c>
      <c r="K1460" s="17"/>
    </row>
    <row r="1461" spans="1:11" ht="30" x14ac:dyDescent="0.25">
      <c r="A1461" s="3" t="s">
        <v>2939</v>
      </c>
      <c r="B1461" s="4" t="s">
        <v>2940</v>
      </c>
      <c r="C1461" s="5">
        <v>262548</v>
      </c>
      <c r="D1461" s="16" t="s">
        <v>34</v>
      </c>
      <c r="E1461" s="16" t="s">
        <v>17</v>
      </c>
      <c r="F1461" s="15">
        <v>43773</v>
      </c>
      <c r="G1461" s="8">
        <f t="shared" si="22"/>
        <v>43773</v>
      </c>
      <c r="H1461" s="16" t="s">
        <v>13</v>
      </c>
      <c r="I1461" s="9" t="s">
        <v>3380</v>
      </c>
      <c r="J1461" s="10" t="s">
        <v>3380</v>
      </c>
      <c r="K1461" s="17"/>
    </row>
    <row r="1462" spans="1:11" ht="30" x14ac:dyDescent="0.25">
      <c r="A1462" s="3" t="s">
        <v>2941</v>
      </c>
      <c r="B1462" s="4" t="s">
        <v>2942</v>
      </c>
      <c r="C1462" s="14">
        <v>257140</v>
      </c>
      <c r="D1462" s="16" t="s">
        <v>37</v>
      </c>
      <c r="E1462" s="16" t="s">
        <v>38</v>
      </c>
      <c r="F1462" s="15">
        <v>43774</v>
      </c>
      <c r="G1462" s="8">
        <f t="shared" si="22"/>
        <v>43774</v>
      </c>
      <c r="H1462" s="16" t="s">
        <v>39</v>
      </c>
      <c r="I1462" s="9" t="s">
        <v>3380</v>
      </c>
      <c r="J1462" s="10" t="s">
        <v>3380</v>
      </c>
      <c r="K1462" s="17"/>
    </row>
    <row r="1463" spans="1:11" ht="30" x14ac:dyDescent="0.25">
      <c r="A1463" s="3" t="s">
        <v>2943</v>
      </c>
      <c r="B1463" s="4" t="s">
        <v>2944</v>
      </c>
      <c r="C1463" s="14">
        <v>260292</v>
      </c>
      <c r="D1463" s="16" t="s">
        <v>16</v>
      </c>
      <c r="E1463" s="16" t="s">
        <v>17</v>
      </c>
      <c r="F1463" s="15">
        <v>43775</v>
      </c>
      <c r="G1463" s="8">
        <f t="shared" si="22"/>
        <v>43775</v>
      </c>
      <c r="H1463" s="16" t="s">
        <v>13</v>
      </c>
      <c r="I1463" s="9" t="s">
        <v>3380</v>
      </c>
      <c r="J1463" s="10" t="s">
        <v>3380</v>
      </c>
      <c r="K1463" s="17"/>
    </row>
    <row r="1464" spans="1:11" ht="30" x14ac:dyDescent="0.25">
      <c r="A1464" s="3" t="s">
        <v>2945</v>
      </c>
      <c r="B1464" s="4" t="s">
        <v>2946</v>
      </c>
      <c r="C1464" s="50">
        <v>262564</v>
      </c>
      <c r="D1464" s="16" t="s">
        <v>11</v>
      </c>
      <c r="E1464" s="16" t="s">
        <v>12</v>
      </c>
      <c r="F1464" s="15">
        <v>43801</v>
      </c>
      <c r="G1464" s="8">
        <f t="shared" si="22"/>
        <v>43801</v>
      </c>
      <c r="H1464" s="16" t="s">
        <v>13</v>
      </c>
      <c r="I1464" s="9" t="s">
        <v>3380</v>
      </c>
      <c r="J1464" s="10" t="s">
        <v>3380</v>
      </c>
      <c r="K1464" s="17"/>
    </row>
    <row r="1465" spans="1:11" ht="30" x14ac:dyDescent="0.25">
      <c r="A1465" s="3" t="s">
        <v>2947</v>
      </c>
      <c r="B1465" s="4" t="s">
        <v>2948</v>
      </c>
      <c r="C1465" s="5">
        <v>255828</v>
      </c>
      <c r="D1465" s="16" t="s">
        <v>34</v>
      </c>
      <c r="E1465" s="16" t="s">
        <v>17</v>
      </c>
      <c r="F1465" s="15">
        <v>43800</v>
      </c>
      <c r="G1465" s="8">
        <f t="shared" si="22"/>
        <v>43800</v>
      </c>
      <c r="H1465" s="16" t="s">
        <v>13</v>
      </c>
      <c r="I1465" s="9" t="s">
        <v>3380</v>
      </c>
      <c r="J1465" s="10" t="s">
        <v>3380</v>
      </c>
      <c r="K1465" s="17"/>
    </row>
    <row r="1466" spans="1:11" ht="30" x14ac:dyDescent="0.25">
      <c r="A1466" s="3" t="s">
        <v>2949</v>
      </c>
      <c r="B1466" s="4" t="s">
        <v>2950</v>
      </c>
      <c r="C1466" s="50">
        <v>266068</v>
      </c>
      <c r="D1466" s="16" t="s">
        <v>11</v>
      </c>
      <c r="E1466" s="16" t="s">
        <v>17</v>
      </c>
      <c r="F1466" s="15">
        <v>43800</v>
      </c>
      <c r="G1466" s="8">
        <f t="shared" si="22"/>
        <v>43800</v>
      </c>
      <c r="H1466" s="16" t="s">
        <v>13</v>
      </c>
      <c r="I1466" s="9" t="s">
        <v>3380</v>
      </c>
      <c r="J1466" s="10" t="s">
        <v>3380</v>
      </c>
      <c r="K1466" s="17"/>
    </row>
    <row r="1467" spans="1:11" ht="30" x14ac:dyDescent="0.25">
      <c r="A1467" s="3" t="s">
        <v>2951</v>
      </c>
      <c r="B1467" s="4" t="s">
        <v>2952</v>
      </c>
      <c r="C1467" s="50">
        <v>270532</v>
      </c>
      <c r="D1467" s="16" t="s">
        <v>16</v>
      </c>
      <c r="E1467" s="16" t="s">
        <v>17</v>
      </c>
      <c r="F1467" s="15">
        <v>43800</v>
      </c>
      <c r="G1467" s="8">
        <f t="shared" si="22"/>
        <v>43800</v>
      </c>
      <c r="H1467" s="16" t="s">
        <v>13</v>
      </c>
      <c r="I1467" s="9" t="s">
        <v>3380</v>
      </c>
      <c r="J1467" s="10" t="s">
        <v>3380</v>
      </c>
      <c r="K1467" s="17"/>
    </row>
    <row r="1468" spans="1:11" ht="30" x14ac:dyDescent="0.25">
      <c r="A1468" s="3" t="s">
        <v>2953</v>
      </c>
      <c r="B1468" s="4" t="s">
        <v>2954</v>
      </c>
      <c r="C1468" s="5">
        <v>259972</v>
      </c>
      <c r="D1468" s="16" t="s">
        <v>11</v>
      </c>
      <c r="E1468" s="16" t="s">
        <v>12</v>
      </c>
      <c r="F1468" s="15">
        <v>43800</v>
      </c>
      <c r="G1468" s="8">
        <f t="shared" si="22"/>
        <v>43800</v>
      </c>
      <c r="H1468" s="16" t="s">
        <v>39</v>
      </c>
      <c r="I1468" s="9" t="s">
        <v>3380</v>
      </c>
      <c r="J1468" s="10" t="s">
        <v>3380</v>
      </c>
      <c r="K1468" s="17"/>
    </row>
    <row r="1469" spans="1:11" ht="30" x14ac:dyDescent="0.25">
      <c r="A1469" s="3" t="s">
        <v>2955</v>
      </c>
      <c r="B1469" s="4" t="s">
        <v>2956</v>
      </c>
      <c r="C1469" s="5">
        <v>265092</v>
      </c>
      <c r="D1469" s="16" t="s">
        <v>28</v>
      </c>
      <c r="E1469" s="16" t="s">
        <v>17</v>
      </c>
      <c r="F1469" s="15">
        <v>43949</v>
      </c>
      <c r="G1469" s="8">
        <f t="shared" si="22"/>
        <v>43949</v>
      </c>
      <c r="H1469" s="16" t="s">
        <v>13</v>
      </c>
      <c r="I1469" s="9" t="s">
        <v>3380</v>
      </c>
      <c r="J1469" s="10" t="s">
        <v>3380</v>
      </c>
      <c r="K1469" s="17"/>
    </row>
    <row r="1470" spans="1:11" ht="30" x14ac:dyDescent="0.25">
      <c r="A1470" s="3" t="s">
        <v>2957</v>
      </c>
      <c r="B1470" s="4" t="s">
        <v>2958</v>
      </c>
      <c r="C1470" s="14">
        <v>265732</v>
      </c>
      <c r="D1470" s="16" t="s">
        <v>28</v>
      </c>
      <c r="E1470" s="16" t="s">
        <v>17</v>
      </c>
      <c r="F1470" s="15">
        <v>43885</v>
      </c>
      <c r="G1470" s="8">
        <f t="shared" si="22"/>
        <v>43885</v>
      </c>
      <c r="H1470" s="16" t="s">
        <v>13</v>
      </c>
      <c r="I1470" s="9" t="s">
        <v>3380</v>
      </c>
      <c r="J1470" s="10" t="s">
        <v>3380</v>
      </c>
      <c r="K1470" s="17"/>
    </row>
    <row r="1471" spans="1:11" ht="30" x14ac:dyDescent="0.25">
      <c r="A1471" s="3" t="s">
        <v>2959</v>
      </c>
      <c r="B1471" s="4" t="s">
        <v>2960</v>
      </c>
      <c r="C1471" s="5">
        <v>267012</v>
      </c>
      <c r="D1471" s="16" t="s">
        <v>28</v>
      </c>
      <c r="E1471" s="16" t="s">
        <v>17</v>
      </c>
      <c r="F1471" s="15">
        <v>43885</v>
      </c>
      <c r="G1471" s="8">
        <f t="shared" si="22"/>
        <v>43885</v>
      </c>
      <c r="H1471" s="16" t="s">
        <v>13</v>
      </c>
      <c r="I1471" s="9" t="s">
        <v>3380</v>
      </c>
      <c r="J1471" s="10" t="s">
        <v>3380</v>
      </c>
      <c r="K1471" s="17"/>
    </row>
    <row r="1472" spans="1:11" ht="30" x14ac:dyDescent="0.25">
      <c r="A1472" s="3" t="s">
        <v>2961</v>
      </c>
      <c r="B1472" s="4" t="s">
        <v>2962</v>
      </c>
      <c r="C1472" s="5">
        <v>270580</v>
      </c>
      <c r="D1472" s="16" t="s">
        <v>16</v>
      </c>
      <c r="E1472" s="16" t="s">
        <v>17</v>
      </c>
      <c r="F1472" s="15">
        <v>43887</v>
      </c>
      <c r="G1472" s="8">
        <f t="shared" si="22"/>
        <v>43887</v>
      </c>
      <c r="H1472" s="16" t="s">
        <v>13</v>
      </c>
      <c r="I1472" s="9" t="s">
        <v>3380</v>
      </c>
      <c r="J1472" s="10" t="s">
        <v>3380</v>
      </c>
      <c r="K1472" s="17"/>
    </row>
    <row r="1473" spans="1:11" ht="30" x14ac:dyDescent="0.25">
      <c r="A1473" s="3" t="s">
        <v>2963</v>
      </c>
      <c r="B1473" s="4" t="s">
        <v>2964</v>
      </c>
      <c r="C1473" s="5">
        <v>267332</v>
      </c>
      <c r="D1473" s="16" t="s">
        <v>37</v>
      </c>
      <c r="E1473" s="16" t="s">
        <v>38</v>
      </c>
      <c r="F1473" s="15">
        <v>43885</v>
      </c>
      <c r="G1473" s="8">
        <f t="shared" si="22"/>
        <v>43885</v>
      </c>
      <c r="H1473" s="16" t="s">
        <v>39</v>
      </c>
      <c r="I1473" s="9" t="s">
        <v>3380</v>
      </c>
      <c r="J1473" s="10" t="s">
        <v>3380</v>
      </c>
      <c r="K1473" s="17"/>
    </row>
    <row r="1474" spans="1:11" ht="30" x14ac:dyDescent="0.25">
      <c r="A1474" s="3" t="s">
        <v>2965</v>
      </c>
      <c r="B1474" s="4" t="s">
        <v>2966</v>
      </c>
      <c r="C1474" s="5">
        <v>262535</v>
      </c>
      <c r="D1474" s="16" t="s">
        <v>28</v>
      </c>
      <c r="E1474" s="16" t="s">
        <v>17</v>
      </c>
      <c r="F1474" s="15">
        <v>43899</v>
      </c>
      <c r="G1474" s="8">
        <f t="shared" ref="G1474:G1537" si="23">F1474</f>
        <v>43899</v>
      </c>
      <c r="H1474" s="16" t="s">
        <v>13</v>
      </c>
      <c r="I1474" s="9" t="s">
        <v>3380</v>
      </c>
      <c r="J1474" s="10" t="s">
        <v>3380</v>
      </c>
      <c r="K1474" s="17"/>
    </row>
    <row r="1475" spans="1:11" ht="30" x14ac:dyDescent="0.25">
      <c r="A1475" s="3" t="s">
        <v>2967</v>
      </c>
      <c r="B1475" s="4" t="s">
        <v>2968</v>
      </c>
      <c r="C1475" s="14">
        <v>263525</v>
      </c>
      <c r="D1475" s="16" t="s">
        <v>34</v>
      </c>
      <c r="E1475" s="16" t="s">
        <v>17</v>
      </c>
      <c r="F1475" s="15">
        <v>43901</v>
      </c>
      <c r="G1475" s="8">
        <f t="shared" si="23"/>
        <v>43901</v>
      </c>
      <c r="H1475" s="16" t="s">
        <v>13</v>
      </c>
      <c r="I1475" s="9" t="s">
        <v>3380</v>
      </c>
      <c r="J1475" s="10" t="s">
        <v>3380</v>
      </c>
      <c r="K1475" s="17"/>
    </row>
    <row r="1476" spans="1:11" ht="30" x14ac:dyDescent="0.25">
      <c r="A1476" s="3" t="s">
        <v>2969</v>
      </c>
      <c r="B1476" s="4" t="s">
        <v>2970</v>
      </c>
      <c r="C1476" s="5">
        <v>263846</v>
      </c>
      <c r="D1476" s="16" t="s">
        <v>31</v>
      </c>
      <c r="E1476" s="16" t="s">
        <v>17</v>
      </c>
      <c r="F1476" s="15">
        <v>43908</v>
      </c>
      <c r="G1476" s="8">
        <f t="shared" si="23"/>
        <v>43908</v>
      </c>
      <c r="H1476" s="16" t="s">
        <v>13</v>
      </c>
      <c r="I1476" s="9" t="s">
        <v>3380</v>
      </c>
      <c r="J1476" s="10" t="s">
        <v>3380</v>
      </c>
      <c r="K1476" s="17"/>
    </row>
    <row r="1477" spans="1:11" ht="30" x14ac:dyDescent="0.25">
      <c r="A1477" s="3" t="s">
        <v>2971</v>
      </c>
      <c r="B1477" s="4" t="s">
        <v>2972</v>
      </c>
      <c r="C1477" s="5">
        <v>264772</v>
      </c>
      <c r="D1477" s="16" t="s">
        <v>16</v>
      </c>
      <c r="E1477" s="16" t="s">
        <v>17</v>
      </c>
      <c r="F1477" s="15">
        <v>43921</v>
      </c>
      <c r="G1477" s="8">
        <f t="shared" si="23"/>
        <v>43921</v>
      </c>
      <c r="H1477" s="16" t="s">
        <v>13</v>
      </c>
      <c r="I1477" s="9" t="s">
        <v>3380</v>
      </c>
      <c r="J1477" s="10" t="s">
        <v>3380</v>
      </c>
      <c r="K1477" s="17"/>
    </row>
    <row r="1478" spans="1:11" ht="30" x14ac:dyDescent="0.25">
      <c r="A1478" s="3" t="s">
        <v>2973</v>
      </c>
      <c r="B1478" s="4" t="s">
        <v>2974</v>
      </c>
      <c r="C1478" s="50">
        <v>267652</v>
      </c>
      <c r="D1478" s="16" t="s">
        <v>31</v>
      </c>
      <c r="E1478" s="16" t="s">
        <v>17</v>
      </c>
      <c r="F1478" s="15">
        <v>43923</v>
      </c>
      <c r="G1478" s="8">
        <f t="shared" si="23"/>
        <v>43923</v>
      </c>
      <c r="H1478" s="16" t="s">
        <v>13</v>
      </c>
      <c r="I1478" s="9" t="s">
        <v>3380</v>
      </c>
      <c r="J1478" s="10" t="s">
        <v>3380</v>
      </c>
      <c r="K1478" s="17"/>
    </row>
    <row r="1479" spans="1:11" ht="30" x14ac:dyDescent="0.25">
      <c r="A1479" s="3" t="s">
        <v>2975</v>
      </c>
      <c r="B1479" s="4" t="s">
        <v>2976</v>
      </c>
      <c r="C1479" s="14">
        <v>265412</v>
      </c>
      <c r="D1479" s="16" t="s">
        <v>11</v>
      </c>
      <c r="E1479" s="16" t="s">
        <v>12</v>
      </c>
      <c r="F1479" s="15">
        <v>43941</v>
      </c>
      <c r="G1479" s="8">
        <f t="shared" si="23"/>
        <v>43941</v>
      </c>
      <c r="H1479" s="16" t="s">
        <v>39</v>
      </c>
      <c r="I1479" s="9" t="s">
        <v>3380</v>
      </c>
      <c r="J1479" s="10" t="s">
        <v>3380</v>
      </c>
      <c r="K1479" s="17"/>
    </row>
    <row r="1480" spans="1:11" ht="30" x14ac:dyDescent="0.25">
      <c r="A1480" s="3" t="s">
        <v>2977</v>
      </c>
      <c r="B1480" s="4" t="s">
        <v>2978</v>
      </c>
      <c r="C1480" s="50">
        <v>269924</v>
      </c>
      <c r="D1480" s="16" t="s">
        <v>11</v>
      </c>
      <c r="E1480" s="16" t="s">
        <v>12</v>
      </c>
      <c r="F1480" s="15">
        <v>43941</v>
      </c>
      <c r="G1480" s="8">
        <f t="shared" si="23"/>
        <v>43941</v>
      </c>
      <c r="H1480" s="16" t="s">
        <v>39</v>
      </c>
      <c r="I1480" s="9" t="s">
        <v>3380</v>
      </c>
      <c r="J1480" s="10" t="s">
        <v>3380</v>
      </c>
      <c r="K1480" s="17"/>
    </row>
    <row r="1481" spans="1:11" x14ac:dyDescent="0.25">
      <c r="A1481" s="4" t="s">
        <v>2979</v>
      </c>
      <c r="B1481" s="4" t="s">
        <v>2980</v>
      </c>
      <c r="C1481" s="14">
        <v>267669</v>
      </c>
      <c r="D1481" s="16" t="s">
        <v>11</v>
      </c>
      <c r="E1481" s="16" t="s">
        <v>12</v>
      </c>
      <c r="F1481" s="15">
        <v>43956</v>
      </c>
      <c r="G1481" s="8">
        <f t="shared" si="23"/>
        <v>43956</v>
      </c>
      <c r="H1481" s="16" t="s">
        <v>39</v>
      </c>
      <c r="I1481" s="9" t="s">
        <v>3380</v>
      </c>
      <c r="J1481" s="10" t="s">
        <v>3380</v>
      </c>
      <c r="K1481" s="17"/>
    </row>
    <row r="1482" spans="1:11" x14ac:dyDescent="0.25">
      <c r="A1482" s="4" t="s">
        <v>2981</v>
      </c>
      <c r="B1482" s="4" t="s">
        <v>2982</v>
      </c>
      <c r="C1482" s="50">
        <v>277033</v>
      </c>
      <c r="D1482" s="16" t="s">
        <v>16</v>
      </c>
      <c r="E1482" s="16" t="s">
        <v>17</v>
      </c>
      <c r="F1482" s="15">
        <v>43981</v>
      </c>
      <c r="G1482" s="8">
        <f t="shared" si="23"/>
        <v>43981</v>
      </c>
      <c r="H1482" s="16" t="s">
        <v>13</v>
      </c>
      <c r="I1482" s="9" t="s">
        <v>3380</v>
      </c>
      <c r="J1482" s="10" t="s">
        <v>3380</v>
      </c>
      <c r="K1482" s="17"/>
    </row>
    <row r="1483" spans="1:11" x14ac:dyDescent="0.25">
      <c r="A1483" s="4" t="s">
        <v>2983</v>
      </c>
      <c r="B1483" s="4" t="s">
        <v>2984</v>
      </c>
      <c r="C1483" s="50">
        <v>269588</v>
      </c>
      <c r="D1483" s="16" t="s">
        <v>34</v>
      </c>
      <c r="E1483" s="16" t="s">
        <v>17</v>
      </c>
      <c r="F1483" s="15">
        <v>43981</v>
      </c>
      <c r="G1483" s="8">
        <f t="shared" si="23"/>
        <v>43981</v>
      </c>
      <c r="H1483" s="16" t="s">
        <v>13</v>
      </c>
      <c r="I1483" s="9" t="s">
        <v>3380</v>
      </c>
      <c r="J1483" s="10" t="s">
        <v>3380</v>
      </c>
      <c r="K1483" s="17"/>
    </row>
    <row r="1484" spans="1:11" x14ac:dyDescent="0.25">
      <c r="A1484" s="4" t="s">
        <v>2985</v>
      </c>
      <c r="B1484" s="4" t="s">
        <v>2986</v>
      </c>
      <c r="C1484" s="5">
        <v>270564</v>
      </c>
      <c r="D1484" s="16" t="s">
        <v>34</v>
      </c>
      <c r="E1484" s="16" t="s">
        <v>17</v>
      </c>
      <c r="F1484" s="15">
        <v>43981</v>
      </c>
      <c r="G1484" s="8">
        <f t="shared" si="23"/>
        <v>43981</v>
      </c>
      <c r="H1484" s="16" t="s">
        <v>13</v>
      </c>
      <c r="I1484" s="9" t="s">
        <v>3380</v>
      </c>
      <c r="J1484" s="10" t="s">
        <v>3380</v>
      </c>
      <c r="K1484" s="17"/>
    </row>
    <row r="1485" spans="1:11" x14ac:dyDescent="0.25">
      <c r="A1485" s="4" t="s">
        <v>2987</v>
      </c>
      <c r="B1485" s="4" t="s">
        <v>2988</v>
      </c>
      <c r="C1485" s="5">
        <v>272180</v>
      </c>
      <c r="D1485" s="16" t="s">
        <v>31</v>
      </c>
      <c r="E1485" s="16" t="s">
        <v>17</v>
      </c>
      <c r="F1485" s="15">
        <v>43981</v>
      </c>
      <c r="G1485" s="8">
        <f t="shared" si="23"/>
        <v>43981</v>
      </c>
      <c r="H1485" s="16" t="s">
        <v>13</v>
      </c>
      <c r="I1485" s="9" t="s">
        <v>3380</v>
      </c>
      <c r="J1485" s="10" t="s">
        <v>3380</v>
      </c>
      <c r="K1485" s="17"/>
    </row>
    <row r="1486" spans="1:11" x14ac:dyDescent="0.25">
      <c r="A1486" s="4" t="s">
        <v>2989</v>
      </c>
      <c r="B1486" s="4" t="s">
        <v>2990</v>
      </c>
      <c r="C1486" s="5">
        <v>274756</v>
      </c>
      <c r="D1486" s="16" t="s">
        <v>11</v>
      </c>
      <c r="E1486" s="16" t="s">
        <v>17</v>
      </c>
      <c r="F1486" s="15">
        <v>43981</v>
      </c>
      <c r="G1486" s="8">
        <f t="shared" si="23"/>
        <v>43981</v>
      </c>
      <c r="H1486" s="16" t="s">
        <v>13</v>
      </c>
      <c r="I1486" s="9" t="s">
        <v>3380</v>
      </c>
      <c r="J1486" s="10" t="s">
        <v>3380</v>
      </c>
      <c r="K1486" s="17"/>
    </row>
    <row r="1487" spans="1:11" x14ac:dyDescent="0.25">
      <c r="A1487" s="4" t="s">
        <v>2991</v>
      </c>
      <c r="B1487" s="4" t="s">
        <v>2992</v>
      </c>
      <c r="C1487" s="5">
        <v>271220</v>
      </c>
      <c r="D1487" s="16" t="s">
        <v>37</v>
      </c>
      <c r="E1487" s="16" t="s">
        <v>38</v>
      </c>
      <c r="F1487" s="15">
        <v>43977</v>
      </c>
      <c r="G1487" s="8">
        <f t="shared" si="23"/>
        <v>43977</v>
      </c>
      <c r="H1487" s="16" t="s">
        <v>39</v>
      </c>
      <c r="I1487" s="9" t="s">
        <v>3380</v>
      </c>
      <c r="J1487" s="10" t="s">
        <v>3380</v>
      </c>
      <c r="K1487" s="17"/>
    </row>
    <row r="1488" spans="1:11" x14ac:dyDescent="0.25">
      <c r="A1488" s="4" t="s">
        <v>2993</v>
      </c>
      <c r="B1488" s="4" t="s">
        <v>2994</v>
      </c>
      <c r="C1488" s="5">
        <v>270900</v>
      </c>
      <c r="D1488" s="16" t="s">
        <v>11</v>
      </c>
      <c r="E1488" s="16" t="s">
        <v>12</v>
      </c>
      <c r="F1488" s="15">
        <v>43994</v>
      </c>
      <c r="G1488" s="8">
        <f t="shared" si="23"/>
        <v>43994</v>
      </c>
      <c r="H1488" s="16" t="s">
        <v>39</v>
      </c>
      <c r="I1488" s="9" t="s">
        <v>3380</v>
      </c>
      <c r="J1488" s="10" t="s">
        <v>3380</v>
      </c>
      <c r="K1488" s="17"/>
    </row>
    <row r="1489" spans="1:11" ht="30" x14ac:dyDescent="0.25">
      <c r="A1489" s="3" t="s">
        <v>2995</v>
      </c>
      <c r="B1489" s="4" t="s">
        <v>2996</v>
      </c>
      <c r="C1489" s="5">
        <v>213268</v>
      </c>
      <c r="D1489" s="16" t="s">
        <v>34</v>
      </c>
      <c r="E1489" s="16" t="s">
        <v>17</v>
      </c>
      <c r="F1489" s="15">
        <v>44018</v>
      </c>
      <c r="G1489" s="8">
        <f t="shared" si="23"/>
        <v>44018</v>
      </c>
      <c r="H1489" s="16" t="s">
        <v>13</v>
      </c>
      <c r="I1489" s="9" t="s">
        <v>3380</v>
      </c>
      <c r="J1489" s="10" t="s">
        <v>3380</v>
      </c>
      <c r="K1489" s="17"/>
    </row>
    <row r="1490" spans="1:11" ht="30" x14ac:dyDescent="0.25">
      <c r="A1490" s="3" t="s">
        <v>2997</v>
      </c>
      <c r="B1490" s="4" t="s">
        <v>2998</v>
      </c>
      <c r="C1490" s="5">
        <v>275076</v>
      </c>
      <c r="D1490" s="16" t="s">
        <v>11</v>
      </c>
      <c r="E1490" s="16" t="s">
        <v>12</v>
      </c>
      <c r="F1490" s="15">
        <v>44029</v>
      </c>
      <c r="G1490" s="8">
        <f t="shared" si="23"/>
        <v>44029</v>
      </c>
      <c r="H1490" s="16" t="s">
        <v>39</v>
      </c>
      <c r="I1490" s="9" t="s">
        <v>3380</v>
      </c>
      <c r="J1490" s="10" t="s">
        <v>3380</v>
      </c>
      <c r="K1490" s="17"/>
    </row>
    <row r="1491" spans="1:11" ht="30" x14ac:dyDescent="0.25">
      <c r="A1491" s="3" t="s">
        <v>2999</v>
      </c>
      <c r="B1491" s="4" t="s">
        <v>3000</v>
      </c>
      <c r="C1491" s="5">
        <v>273828</v>
      </c>
      <c r="D1491" s="16" t="s">
        <v>28</v>
      </c>
      <c r="E1491" s="16" t="s">
        <v>17</v>
      </c>
      <c r="F1491" s="15">
        <v>44123</v>
      </c>
      <c r="G1491" s="8">
        <f t="shared" si="23"/>
        <v>44123</v>
      </c>
      <c r="H1491" s="16" t="s">
        <v>13</v>
      </c>
      <c r="I1491" s="9" t="s">
        <v>3380</v>
      </c>
      <c r="J1491" s="10" t="s">
        <v>3380</v>
      </c>
      <c r="K1491" s="17"/>
    </row>
    <row r="1492" spans="1:11" ht="30" x14ac:dyDescent="0.25">
      <c r="A1492" s="3" t="s">
        <v>3001</v>
      </c>
      <c r="B1492" s="4" t="s">
        <v>3002</v>
      </c>
      <c r="C1492" s="5">
        <v>275172</v>
      </c>
      <c r="D1492" s="16" t="s">
        <v>28</v>
      </c>
      <c r="E1492" s="16" t="s">
        <v>17</v>
      </c>
      <c r="F1492" s="15">
        <v>44036</v>
      </c>
      <c r="G1492" s="8">
        <f t="shared" si="23"/>
        <v>44036</v>
      </c>
      <c r="H1492" s="16" t="s">
        <v>13</v>
      </c>
      <c r="I1492" s="9" t="s">
        <v>3380</v>
      </c>
      <c r="J1492" s="10" t="s">
        <v>3380</v>
      </c>
      <c r="K1492" s="17"/>
    </row>
    <row r="1493" spans="1:11" ht="30" x14ac:dyDescent="0.25">
      <c r="A1493" s="3" t="s">
        <v>3003</v>
      </c>
      <c r="B1493" s="4" t="s">
        <v>3004</v>
      </c>
      <c r="C1493" s="5">
        <v>272820</v>
      </c>
      <c r="D1493" s="16" t="s">
        <v>34</v>
      </c>
      <c r="E1493" s="16" t="s">
        <v>17</v>
      </c>
      <c r="F1493" s="15">
        <v>44040</v>
      </c>
      <c r="G1493" s="8">
        <f t="shared" si="23"/>
        <v>44040</v>
      </c>
      <c r="H1493" s="16" t="s">
        <v>13</v>
      </c>
      <c r="I1493" s="9" t="s">
        <v>3380</v>
      </c>
      <c r="J1493" s="10" t="s">
        <v>3380</v>
      </c>
      <c r="K1493" s="17"/>
    </row>
    <row r="1494" spans="1:11" ht="30" x14ac:dyDescent="0.25">
      <c r="A1494" s="3" t="s">
        <v>3005</v>
      </c>
      <c r="B1494" s="4" t="s">
        <v>3006</v>
      </c>
      <c r="C1494" s="5">
        <v>272196</v>
      </c>
      <c r="D1494" s="16" t="s">
        <v>11</v>
      </c>
      <c r="E1494" s="16" t="s">
        <v>12</v>
      </c>
      <c r="F1494" s="15">
        <v>44060</v>
      </c>
      <c r="G1494" s="8">
        <f t="shared" si="23"/>
        <v>44060</v>
      </c>
      <c r="H1494" s="16" t="s">
        <v>39</v>
      </c>
      <c r="I1494" s="9" t="s">
        <v>3380</v>
      </c>
      <c r="J1494" s="10" t="s">
        <v>3380</v>
      </c>
      <c r="K1494" s="17"/>
    </row>
    <row r="1495" spans="1:11" ht="30" x14ac:dyDescent="0.25">
      <c r="A1495" s="3" t="s">
        <v>3007</v>
      </c>
      <c r="B1495" s="4" t="s">
        <v>3008</v>
      </c>
      <c r="C1495" s="5">
        <v>273844</v>
      </c>
      <c r="D1495" s="16" t="s">
        <v>11</v>
      </c>
      <c r="E1495" s="16" t="s">
        <v>17</v>
      </c>
      <c r="F1495" s="15">
        <v>44060</v>
      </c>
      <c r="G1495" s="8">
        <f t="shared" si="23"/>
        <v>44060</v>
      </c>
      <c r="H1495" s="16" t="s">
        <v>13</v>
      </c>
      <c r="I1495" s="9" t="s">
        <v>3380</v>
      </c>
      <c r="J1495" s="10" t="s">
        <v>3380</v>
      </c>
      <c r="K1495" s="17"/>
    </row>
    <row r="1496" spans="1:11" ht="30" x14ac:dyDescent="0.25">
      <c r="A1496" s="3" t="s">
        <v>3009</v>
      </c>
      <c r="B1496" s="4" t="s">
        <v>3010</v>
      </c>
      <c r="C1496" s="5">
        <v>273460</v>
      </c>
      <c r="D1496" s="16" t="s">
        <v>37</v>
      </c>
      <c r="E1496" s="16" t="s">
        <v>38</v>
      </c>
      <c r="F1496" s="15">
        <v>44064</v>
      </c>
      <c r="G1496" s="8">
        <f t="shared" si="23"/>
        <v>44064</v>
      </c>
      <c r="H1496" s="16" t="s">
        <v>39</v>
      </c>
      <c r="I1496" s="9" t="s">
        <v>3380</v>
      </c>
      <c r="J1496" s="10" t="s">
        <v>3380</v>
      </c>
      <c r="K1496" s="17"/>
    </row>
    <row r="1497" spans="1:11" ht="30" x14ac:dyDescent="0.25">
      <c r="A1497" s="3" t="s">
        <v>3011</v>
      </c>
      <c r="B1497" s="4" t="s">
        <v>3012</v>
      </c>
      <c r="C1497" s="5">
        <v>277036</v>
      </c>
      <c r="D1497" s="16" t="s">
        <v>11</v>
      </c>
      <c r="E1497" s="16" t="s">
        <v>12</v>
      </c>
      <c r="F1497" s="15">
        <v>44082</v>
      </c>
      <c r="G1497" s="8">
        <f t="shared" si="23"/>
        <v>44082</v>
      </c>
      <c r="H1497" s="16" t="s">
        <v>39</v>
      </c>
      <c r="I1497" s="9" t="s">
        <v>3380</v>
      </c>
      <c r="J1497" s="10" t="s">
        <v>3380</v>
      </c>
      <c r="K1497" s="17"/>
    </row>
    <row r="1498" spans="1:11" ht="30" x14ac:dyDescent="0.25">
      <c r="A1498" s="3" t="s">
        <v>3013</v>
      </c>
      <c r="B1498" s="4" t="s">
        <v>3014</v>
      </c>
      <c r="C1498" s="5">
        <v>271540</v>
      </c>
      <c r="D1498" s="16" t="s">
        <v>34</v>
      </c>
      <c r="E1498" s="16" t="s">
        <v>17</v>
      </c>
      <c r="F1498" s="15">
        <v>44126</v>
      </c>
      <c r="G1498" s="8">
        <f t="shared" si="23"/>
        <v>44126</v>
      </c>
      <c r="H1498" s="16" t="s">
        <v>13</v>
      </c>
      <c r="I1498" s="9" t="s">
        <v>3380</v>
      </c>
      <c r="J1498" s="10" t="s">
        <v>3380</v>
      </c>
      <c r="K1498" s="17"/>
    </row>
    <row r="1499" spans="1:11" ht="30" x14ac:dyDescent="0.25">
      <c r="A1499" s="3" t="s">
        <v>3015</v>
      </c>
      <c r="B1499" s="4" t="s">
        <v>3016</v>
      </c>
      <c r="C1499" s="5">
        <v>277030</v>
      </c>
      <c r="D1499" s="16" t="s">
        <v>37</v>
      </c>
      <c r="E1499" s="16" t="s">
        <v>38</v>
      </c>
      <c r="F1499" s="15">
        <v>44127</v>
      </c>
      <c r="G1499" s="8">
        <f t="shared" si="23"/>
        <v>44127</v>
      </c>
      <c r="H1499" s="16" t="s">
        <v>39</v>
      </c>
      <c r="I1499" s="9" t="s">
        <v>3380</v>
      </c>
      <c r="J1499" s="10" t="s">
        <v>3380</v>
      </c>
      <c r="K1499" s="17"/>
    </row>
    <row r="1500" spans="1:11" ht="30" x14ac:dyDescent="0.25">
      <c r="A1500" s="3" t="s">
        <v>3017</v>
      </c>
      <c r="B1500" s="4" t="s">
        <v>3018</v>
      </c>
      <c r="C1500" s="14">
        <v>219364</v>
      </c>
      <c r="D1500" s="16" t="s">
        <v>11</v>
      </c>
      <c r="E1500" s="16" t="s">
        <v>12</v>
      </c>
      <c r="F1500" s="15">
        <v>44159</v>
      </c>
      <c r="G1500" s="8">
        <f t="shared" si="23"/>
        <v>44159</v>
      </c>
      <c r="H1500" s="16" t="s">
        <v>39</v>
      </c>
      <c r="I1500" s="9" t="s">
        <v>3380</v>
      </c>
      <c r="J1500" s="10" t="s">
        <v>3380</v>
      </c>
      <c r="K1500" s="17"/>
    </row>
    <row r="1501" spans="1:11" ht="30" x14ac:dyDescent="0.25">
      <c r="A1501" s="3" t="s">
        <v>3019</v>
      </c>
      <c r="B1501" s="4" t="s">
        <v>3020</v>
      </c>
      <c r="C1501" s="5">
        <v>277038</v>
      </c>
      <c r="D1501" s="16" t="s">
        <v>11</v>
      </c>
      <c r="E1501" s="16" t="s">
        <v>12</v>
      </c>
      <c r="F1501" s="15">
        <v>44159</v>
      </c>
      <c r="G1501" s="8">
        <f t="shared" si="23"/>
        <v>44159</v>
      </c>
      <c r="H1501" s="16" t="s">
        <v>39</v>
      </c>
      <c r="I1501" s="9" t="s">
        <v>3380</v>
      </c>
      <c r="J1501" s="10" t="s">
        <v>3380</v>
      </c>
      <c r="K1501" s="17"/>
    </row>
    <row r="1502" spans="1:11" ht="30" x14ac:dyDescent="0.25">
      <c r="A1502" s="3" t="s">
        <v>3021</v>
      </c>
      <c r="B1502" s="4" t="s">
        <v>3022</v>
      </c>
      <c r="C1502" s="14">
        <v>224932</v>
      </c>
      <c r="D1502" s="16" t="s">
        <v>28</v>
      </c>
      <c r="E1502" s="16" t="s">
        <v>17</v>
      </c>
      <c r="F1502" s="15">
        <v>44169</v>
      </c>
      <c r="G1502" s="8">
        <f t="shared" si="23"/>
        <v>44169</v>
      </c>
      <c r="H1502" s="16" t="s">
        <v>13</v>
      </c>
      <c r="I1502" s="9" t="s">
        <v>3380</v>
      </c>
      <c r="J1502" s="10" t="s">
        <v>3380</v>
      </c>
      <c r="K1502" s="17"/>
    </row>
    <row r="1503" spans="1:11" ht="30" x14ac:dyDescent="0.25">
      <c r="A1503" s="3" t="s">
        <v>3023</v>
      </c>
      <c r="B1503" s="4" t="s">
        <v>3024</v>
      </c>
      <c r="C1503" s="14">
        <v>217767</v>
      </c>
      <c r="D1503" s="16" t="s">
        <v>31</v>
      </c>
      <c r="E1503" s="16" t="s">
        <v>17</v>
      </c>
      <c r="F1503" s="15">
        <v>44176</v>
      </c>
      <c r="G1503" s="8">
        <f t="shared" si="23"/>
        <v>44176</v>
      </c>
      <c r="H1503" s="16" t="s">
        <v>13</v>
      </c>
      <c r="I1503" s="9" t="s">
        <v>3380</v>
      </c>
      <c r="J1503" s="10" t="s">
        <v>3380</v>
      </c>
      <c r="K1503" s="17"/>
    </row>
    <row r="1504" spans="1:11" ht="30" x14ac:dyDescent="0.25">
      <c r="A1504" s="3" t="s">
        <v>3025</v>
      </c>
      <c r="B1504" s="4" t="s">
        <v>3026</v>
      </c>
      <c r="C1504" s="14">
        <v>222996</v>
      </c>
      <c r="D1504" s="16" t="s">
        <v>34</v>
      </c>
      <c r="E1504" s="16" t="s">
        <v>17</v>
      </c>
      <c r="F1504" s="15">
        <v>44201</v>
      </c>
      <c r="G1504" s="8">
        <f t="shared" si="23"/>
        <v>44201</v>
      </c>
      <c r="H1504" s="16" t="s">
        <v>13</v>
      </c>
      <c r="I1504" s="9" t="s">
        <v>3380</v>
      </c>
      <c r="J1504" s="10" t="s">
        <v>3380</v>
      </c>
      <c r="K1504" s="17"/>
    </row>
    <row r="1505" spans="1:11" ht="30" x14ac:dyDescent="0.25">
      <c r="A1505" s="3" t="s">
        <v>3027</v>
      </c>
      <c r="B1505" s="4" t="s">
        <v>3028</v>
      </c>
      <c r="C1505" s="14">
        <v>222004</v>
      </c>
      <c r="D1505" s="16" t="s">
        <v>28</v>
      </c>
      <c r="E1505" s="16" t="s">
        <v>17</v>
      </c>
      <c r="F1505" s="15">
        <v>44169</v>
      </c>
      <c r="G1505" s="8">
        <f t="shared" si="23"/>
        <v>44169</v>
      </c>
      <c r="H1505" s="16" t="s">
        <v>13</v>
      </c>
      <c r="I1505" s="9" t="s">
        <v>3380</v>
      </c>
      <c r="J1505" s="10" t="s">
        <v>3380</v>
      </c>
      <c r="K1505" s="17"/>
    </row>
    <row r="1506" spans="1:11" ht="30" x14ac:dyDescent="0.25">
      <c r="A1506" s="3" t="s">
        <v>3029</v>
      </c>
      <c r="B1506" s="4" t="s">
        <v>3030</v>
      </c>
      <c r="C1506" s="14">
        <v>226212</v>
      </c>
      <c r="D1506" s="16" t="s">
        <v>28</v>
      </c>
      <c r="E1506" s="16" t="s">
        <v>17</v>
      </c>
      <c r="F1506" s="15">
        <v>44169</v>
      </c>
      <c r="G1506" s="8">
        <f t="shared" si="23"/>
        <v>44169</v>
      </c>
      <c r="H1506" s="16" t="s">
        <v>13</v>
      </c>
      <c r="I1506" s="9" t="s">
        <v>3380</v>
      </c>
      <c r="J1506" s="10" t="s">
        <v>3380</v>
      </c>
      <c r="K1506" s="17"/>
    </row>
    <row r="1507" spans="1:11" ht="30" x14ac:dyDescent="0.25">
      <c r="A1507" s="3" t="s">
        <v>3031</v>
      </c>
      <c r="B1507" s="4" t="s">
        <v>3032</v>
      </c>
      <c r="C1507" s="14">
        <v>222676</v>
      </c>
      <c r="D1507" s="16" t="s">
        <v>34</v>
      </c>
      <c r="E1507" s="16" t="s">
        <v>17</v>
      </c>
      <c r="F1507" s="15">
        <v>44237</v>
      </c>
      <c r="G1507" s="8">
        <f t="shared" si="23"/>
        <v>44237</v>
      </c>
      <c r="H1507" s="16" t="s">
        <v>13</v>
      </c>
      <c r="I1507" s="9" t="s">
        <v>3380</v>
      </c>
      <c r="J1507" s="10" t="s">
        <v>3380</v>
      </c>
      <c r="K1507" s="17"/>
    </row>
    <row r="1508" spans="1:11" ht="30" x14ac:dyDescent="0.25">
      <c r="A1508" s="3" t="s">
        <v>3033</v>
      </c>
      <c r="B1508" s="4" t="s">
        <v>3034</v>
      </c>
      <c r="C1508" s="14">
        <v>229845</v>
      </c>
      <c r="D1508" s="16" t="s">
        <v>11</v>
      </c>
      <c r="E1508" s="16" t="s">
        <v>12</v>
      </c>
      <c r="F1508" s="15">
        <v>44285</v>
      </c>
      <c r="G1508" s="8">
        <f t="shared" si="23"/>
        <v>44285</v>
      </c>
      <c r="H1508" s="16" t="s">
        <v>39</v>
      </c>
      <c r="I1508" s="9" t="s">
        <v>3380</v>
      </c>
      <c r="J1508" s="10" t="s">
        <v>3380</v>
      </c>
      <c r="K1508" s="17"/>
    </row>
    <row r="1509" spans="1:11" ht="30" x14ac:dyDescent="0.25">
      <c r="A1509" s="3" t="s">
        <v>3035</v>
      </c>
      <c r="B1509" s="4" t="s">
        <v>3036</v>
      </c>
      <c r="C1509" s="14">
        <v>225252</v>
      </c>
      <c r="D1509" s="16" t="s">
        <v>31</v>
      </c>
      <c r="E1509" s="16" t="s">
        <v>17</v>
      </c>
      <c r="F1509" s="15">
        <v>44283</v>
      </c>
      <c r="G1509" s="8">
        <f t="shared" si="23"/>
        <v>44283</v>
      </c>
      <c r="H1509" s="16" t="s">
        <v>13</v>
      </c>
      <c r="I1509" s="9" t="s">
        <v>3380</v>
      </c>
      <c r="J1509" s="10" t="s">
        <v>3380</v>
      </c>
      <c r="K1509" s="17"/>
    </row>
    <row r="1510" spans="1:11" ht="30" x14ac:dyDescent="0.25">
      <c r="A1510" s="3" t="s">
        <v>3037</v>
      </c>
      <c r="B1510" s="4" t="s">
        <v>3038</v>
      </c>
      <c r="C1510" s="14">
        <v>222036</v>
      </c>
      <c r="D1510" s="16" t="s">
        <v>11</v>
      </c>
      <c r="E1510" s="16" t="s">
        <v>12</v>
      </c>
      <c r="F1510" s="15">
        <v>44284</v>
      </c>
      <c r="G1510" s="8">
        <f t="shared" si="23"/>
        <v>44284</v>
      </c>
      <c r="H1510" s="16" t="s">
        <v>39</v>
      </c>
      <c r="I1510" s="9" t="s">
        <v>3380</v>
      </c>
      <c r="J1510" s="10" t="s">
        <v>3380</v>
      </c>
      <c r="K1510" s="17"/>
    </row>
    <row r="1511" spans="1:11" ht="30" x14ac:dyDescent="0.25">
      <c r="A1511" s="3" t="s">
        <v>3039</v>
      </c>
      <c r="B1511" s="4" t="s">
        <v>3040</v>
      </c>
      <c r="C1511" s="14">
        <v>223668</v>
      </c>
      <c r="D1511" s="16" t="s">
        <v>31</v>
      </c>
      <c r="E1511" s="16" t="s">
        <v>17</v>
      </c>
      <c r="F1511" s="15">
        <v>44287</v>
      </c>
      <c r="G1511" s="8">
        <f t="shared" si="23"/>
        <v>44287</v>
      </c>
      <c r="H1511" s="16" t="s">
        <v>13</v>
      </c>
      <c r="I1511" s="9" t="s">
        <v>3380</v>
      </c>
      <c r="J1511" s="10" t="s">
        <v>3380</v>
      </c>
      <c r="K1511" s="17"/>
    </row>
    <row r="1512" spans="1:11" ht="30" x14ac:dyDescent="0.25">
      <c r="A1512" s="3" t="s">
        <v>3041</v>
      </c>
      <c r="B1512" s="39" t="s">
        <v>3042</v>
      </c>
      <c r="C1512" s="14">
        <v>222052</v>
      </c>
      <c r="D1512" s="16" t="s">
        <v>28</v>
      </c>
      <c r="E1512" s="16" t="s">
        <v>17</v>
      </c>
      <c r="F1512" s="51">
        <v>44287</v>
      </c>
      <c r="G1512" s="8">
        <f t="shared" si="23"/>
        <v>44287</v>
      </c>
      <c r="H1512" s="52" t="s">
        <v>13</v>
      </c>
      <c r="I1512" s="9" t="s">
        <v>3380</v>
      </c>
      <c r="J1512" s="10" t="s">
        <v>3380</v>
      </c>
      <c r="K1512" s="17"/>
    </row>
    <row r="1513" spans="1:11" ht="30" x14ac:dyDescent="0.25">
      <c r="A1513" s="3" t="s">
        <v>3043</v>
      </c>
      <c r="B1513" s="4" t="s">
        <v>3044</v>
      </c>
      <c r="C1513" s="5">
        <v>277051</v>
      </c>
      <c r="D1513" s="16" t="s">
        <v>11</v>
      </c>
      <c r="E1513" s="16" t="s">
        <v>12</v>
      </c>
      <c r="F1513" s="15">
        <v>44312</v>
      </c>
      <c r="G1513" s="8">
        <f t="shared" si="23"/>
        <v>44312</v>
      </c>
      <c r="H1513" s="16" t="s">
        <v>39</v>
      </c>
      <c r="I1513" s="9" t="s">
        <v>3380</v>
      </c>
      <c r="J1513" s="10" t="s">
        <v>3380</v>
      </c>
      <c r="K1513" s="17"/>
    </row>
    <row r="1514" spans="1:11" ht="30" x14ac:dyDescent="0.25">
      <c r="A1514" s="3" t="s">
        <v>3045</v>
      </c>
      <c r="B1514" s="4" t="s">
        <v>3046</v>
      </c>
      <c r="C1514" s="14">
        <v>224308</v>
      </c>
      <c r="D1514" s="16" t="s">
        <v>37</v>
      </c>
      <c r="E1514" s="16" t="s">
        <v>3047</v>
      </c>
      <c r="F1514" s="15">
        <v>44312</v>
      </c>
      <c r="G1514" s="8">
        <f t="shared" si="23"/>
        <v>44312</v>
      </c>
      <c r="H1514" s="16" t="s">
        <v>39</v>
      </c>
      <c r="I1514" s="9" t="s">
        <v>3380</v>
      </c>
      <c r="J1514" s="10" t="s">
        <v>3380</v>
      </c>
      <c r="K1514" s="17"/>
    </row>
    <row r="1515" spans="1:11" ht="30" x14ac:dyDescent="0.25">
      <c r="A1515" s="3" t="s">
        <v>3048</v>
      </c>
      <c r="B1515" s="4" t="s">
        <v>3049</v>
      </c>
      <c r="C1515" s="14">
        <v>277044</v>
      </c>
      <c r="D1515" s="16" t="s">
        <v>28</v>
      </c>
      <c r="E1515" s="16" t="s">
        <v>17</v>
      </c>
      <c r="F1515" s="15">
        <v>44311</v>
      </c>
      <c r="G1515" s="8">
        <f t="shared" si="23"/>
        <v>44311</v>
      </c>
      <c r="H1515" s="16" t="s">
        <v>13</v>
      </c>
      <c r="I1515" s="9" t="s">
        <v>3380</v>
      </c>
      <c r="J1515" s="10" t="s">
        <v>3380</v>
      </c>
      <c r="K1515" s="17"/>
    </row>
    <row r="1516" spans="1:11" ht="30" x14ac:dyDescent="0.25">
      <c r="A1516" s="3" t="s">
        <v>3050</v>
      </c>
      <c r="B1516" s="4" t="s">
        <v>3051</v>
      </c>
      <c r="C1516" s="14">
        <v>226532</v>
      </c>
      <c r="D1516" s="16" t="s">
        <v>11</v>
      </c>
      <c r="E1516" s="16" t="s">
        <v>12</v>
      </c>
      <c r="F1516" s="15">
        <v>44316</v>
      </c>
      <c r="G1516" s="8">
        <f t="shared" si="23"/>
        <v>44316</v>
      </c>
      <c r="H1516" s="16" t="s">
        <v>13</v>
      </c>
      <c r="I1516" s="9" t="s">
        <v>3380</v>
      </c>
      <c r="J1516" s="10" t="s">
        <v>3380</v>
      </c>
      <c r="K1516" s="17"/>
    </row>
    <row r="1517" spans="1:11" ht="30" x14ac:dyDescent="0.25">
      <c r="A1517" s="3" t="s">
        <v>3052</v>
      </c>
      <c r="B1517" s="4" t="s">
        <v>3053</v>
      </c>
      <c r="C1517" s="14">
        <v>284077</v>
      </c>
      <c r="D1517" s="16" t="s">
        <v>28</v>
      </c>
      <c r="E1517" s="16" t="s">
        <v>17</v>
      </c>
      <c r="F1517" s="15">
        <v>44317</v>
      </c>
      <c r="G1517" s="8">
        <f t="shared" si="23"/>
        <v>44317</v>
      </c>
      <c r="H1517" s="16" t="s">
        <v>13</v>
      </c>
      <c r="I1517" s="9" t="s">
        <v>3380</v>
      </c>
      <c r="J1517" s="10" t="s">
        <v>3380</v>
      </c>
      <c r="K1517" s="17"/>
    </row>
    <row r="1518" spans="1:11" ht="30" x14ac:dyDescent="0.25">
      <c r="A1518" s="3" t="s">
        <v>3054</v>
      </c>
      <c r="B1518" s="4" t="s">
        <v>3055</v>
      </c>
      <c r="C1518" s="14">
        <v>281924</v>
      </c>
      <c r="D1518" s="16" t="s">
        <v>31</v>
      </c>
      <c r="E1518" s="16" t="s">
        <v>17</v>
      </c>
      <c r="F1518" s="15">
        <v>44318</v>
      </c>
      <c r="G1518" s="8">
        <f t="shared" si="23"/>
        <v>44318</v>
      </c>
      <c r="H1518" s="16" t="s">
        <v>13</v>
      </c>
      <c r="I1518" s="9" t="s">
        <v>3380</v>
      </c>
      <c r="J1518" s="10" t="s">
        <v>3380</v>
      </c>
      <c r="K1518" s="17"/>
    </row>
    <row r="1519" spans="1:11" ht="30" x14ac:dyDescent="0.25">
      <c r="A1519" s="3" t="s">
        <v>3056</v>
      </c>
      <c r="B1519" s="4" t="s">
        <v>3057</v>
      </c>
      <c r="C1519" s="14">
        <v>278292</v>
      </c>
      <c r="D1519" s="16" t="s">
        <v>11</v>
      </c>
      <c r="E1519" s="16" t="s">
        <v>12</v>
      </c>
      <c r="F1519" s="15">
        <v>44320</v>
      </c>
      <c r="G1519" s="8">
        <f t="shared" si="23"/>
        <v>44320</v>
      </c>
      <c r="H1519" s="16" t="s">
        <v>13</v>
      </c>
      <c r="I1519" s="9" t="s">
        <v>3380</v>
      </c>
      <c r="J1519" s="10" t="s">
        <v>3380</v>
      </c>
      <c r="K1519" s="17"/>
    </row>
    <row r="1520" spans="1:11" ht="30" x14ac:dyDescent="0.25">
      <c r="A1520" s="3" t="s">
        <v>3058</v>
      </c>
      <c r="B1520" s="4" t="s">
        <v>3059</v>
      </c>
      <c r="C1520" s="14">
        <v>282132</v>
      </c>
      <c r="D1520" s="16" t="s">
        <v>34</v>
      </c>
      <c r="E1520" s="16" t="s">
        <v>17</v>
      </c>
      <c r="F1520" s="15">
        <v>44369</v>
      </c>
      <c r="G1520" s="8">
        <f t="shared" si="23"/>
        <v>44369</v>
      </c>
      <c r="H1520" s="16" t="s">
        <v>13</v>
      </c>
      <c r="I1520" s="9" t="s">
        <v>3380</v>
      </c>
      <c r="J1520" s="10" t="s">
        <v>3380</v>
      </c>
      <c r="K1520" s="17"/>
    </row>
    <row r="1521" spans="1:11" ht="30" x14ac:dyDescent="0.25">
      <c r="A1521" s="3" t="s">
        <v>3060</v>
      </c>
      <c r="B1521" s="4" t="s">
        <v>3061</v>
      </c>
      <c r="C1521" s="14">
        <v>282469</v>
      </c>
      <c r="D1521" s="16" t="s">
        <v>11</v>
      </c>
      <c r="E1521" s="16" t="s">
        <v>12</v>
      </c>
      <c r="F1521" s="15">
        <v>44369</v>
      </c>
      <c r="G1521" s="8">
        <f t="shared" si="23"/>
        <v>44369</v>
      </c>
      <c r="H1521" s="16" t="s">
        <v>13</v>
      </c>
      <c r="I1521" s="9" t="s">
        <v>3380</v>
      </c>
      <c r="J1521" s="10" t="s">
        <v>3380</v>
      </c>
      <c r="K1521" s="17"/>
    </row>
    <row r="1522" spans="1:11" ht="30" x14ac:dyDescent="0.25">
      <c r="A1522" s="3" t="s">
        <v>3062</v>
      </c>
      <c r="B1522" s="4" t="s">
        <v>3063</v>
      </c>
      <c r="C1522" s="14">
        <v>284076</v>
      </c>
      <c r="D1522" s="16" t="s">
        <v>34</v>
      </c>
      <c r="E1522" s="16" t="s">
        <v>17</v>
      </c>
      <c r="F1522" s="15">
        <v>44376</v>
      </c>
      <c r="G1522" s="8">
        <f t="shared" si="23"/>
        <v>44376</v>
      </c>
      <c r="H1522" s="16" t="s">
        <v>13</v>
      </c>
      <c r="I1522" s="9" t="s">
        <v>3380</v>
      </c>
      <c r="J1522" s="10" t="s">
        <v>3380</v>
      </c>
      <c r="K1522" s="17"/>
    </row>
    <row r="1523" spans="1:11" ht="30" x14ac:dyDescent="0.25">
      <c r="A1523" s="3" t="s">
        <v>3064</v>
      </c>
      <c r="B1523" s="4" t="s">
        <v>3065</v>
      </c>
      <c r="C1523" s="14">
        <v>281812</v>
      </c>
      <c r="D1523" s="16" t="s">
        <v>11</v>
      </c>
      <c r="E1523" s="16" t="s">
        <v>12</v>
      </c>
      <c r="F1523" s="15">
        <v>44376</v>
      </c>
      <c r="G1523" s="8">
        <f t="shared" si="23"/>
        <v>44376</v>
      </c>
      <c r="H1523" s="16" t="s">
        <v>39</v>
      </c>
      <c r="I1523" s="9" t="s">
        <v>3380</v>
      </c>
      <c r="J1523" s="10" t="s">
        <v>3380</v>
      </c>
      <c r="K1523" s="17"/>
    </row>
    <row r="1524" spans="1:11" ht="30" x14ac:dyDescent="0.25">
      <c r="A1524" s="3" t="s">
        <v>3066</v>
      </c>
      <c r="B1524" s="4" t="s">
        <v>3067</v>
      </c>
      <c r="C1524" s="14">
        <v>281813</v>
      </c>
      <c r="D1524" s="16" t="s">
        <v>11</v>
      </c>
      <c r="E1524" s="16" t="s">
        <v>12</v>
      </c>
      <c r="F1524" s="15">
        <v>44376</v>
      </c>
      <c r="G1524" s="8">
        <f t="shared" si="23"/>
        <v>44376</v>
      </c>
      <c r="H1524" s="16" t="s">
        <v>39</v>
      </c>
      <c r="I1524" s="9" t="s">
        <v>3380</v>
      </c>
      <c r="J1524" s="10" t="s">
        <v>3380</v>
      </c>
      <c r="K1524" s="17"/>
    </row>
    <row r="1525" spans="1:11" ht="30" x14ac:dyDescent="0.25">
      <c r="A1525" s="3" t="s">
        <v>3068</v>
      </c>
      <c r="B1525" s="4" t="s">
        <v>3069</v>
      </c>
      <c r="C1525" s="14">
        <v>284075</v>
      </c>
      <c r="D1525" s="16" t="s">
        <v>28</v>
      </c>
      <c r="E1525" s="16" t="s">
        <v>17</v>
      </c>
      <c r="F1525" s="15">
        <v>44376</v>
      </c>
      <c r="G1525" s="8">
        <f t="shared" si="23"/>
        <v>44376</v>
      </c>
      <c r="H1525" s="16" t="s">
        <v>13</v>
      </c>
      <c r="I1525" s="9" t="s">
        <v>3380</v>
      </c>
      <c r="J1525" s="10" t="s">
        <v>3380</v>
      </c>
      <c r="K1525" s="17"/>
    </row>
    <row r="1526" spans="1:11" ht="30" x14ac:dyDescent="0.25">
      <c r="A1526" s="3" t="s">
        <v>3070</v>
      </c>
      <c r="B1526" s="4" t="s">
        <v>3071</v>
      </c>
      <c r="C1526" s="14">
        <v>282500</v>
      </c>
      <c r="D1526" s="16" t="s">
        <v>16</v>
      </c>
      <c r="E1526" s="16" t="s">
        <v>17</v>
      </c>
      <c r="F1526" s="15">
        <v>44377</v>
      </c>
      <c r="G1526" s="8">
        <f t="shared" si="23"/>
        <v>44377</v>
      </c>
      <c r="H1526" s="16" t="s">
        <v>13</v>
      </c>
      <c r="I1526" s="9" t="s">
        <v>3380</v>
      </c>
      <c r="J1526" s="10" t="s">
        <v>3380</v>
      </c>
      <c r="K1526" s="17"/>
    </row>
    <row r="1527" spans="1:11" ht="30" x14ac:dyDescent="0.25">
      <c r="A1527" s="3" t="s">
        <v>3072</v>
      </c>
      <c r="B1527" s="4" t="s">
        <v>3073</v>
      </c>
      <c r="C1527" s="14">
        <v>283412</v>
      </c>
      <c r="D1527" s="16" t="s">
        <v>34</v>
      </c>
      <c r="E1527" s="16" t="s">
        <v>17</v>
      </c>
      <c r="F1527" s="15">
        <v>44431</v>
      </c>
      <c r="G1527" s="8">
        <f t="shared" si="23"/>
        <v>44431</v>
      </c>
      <c r="H1527" s="16" t="s">
        <v>13</v>
      </c>
      <c r="I1527" s="9" t="s">
        <v>3380</v>
      </c>
      <c r="J1527" s="10" t="s">
        <v>3380</v>
      </c>
      <c r="K1527" s="17"/>
    </row>
    <row r="1528" spans="1:11" ht="30" x14ac:dyDescent="0.25">
      <c r="A1528" s="3" t="s">
        <v>3074</v>
      </c>
      <c r="B1528" s="4" t="s">
        <v>3075</v>
      </c>
      <c r="C1528" s="5">
        <v>284074</v>
      </c>
      <c r="D1528" s="16" t="s">
        <v>11</v>
      </c>
      <c r="E1528" s="16" t="s">
        <v>12</v>
      </c>
      <c r="F1528" s="15">
        <v>44431</v>
      </c>
      <c r="G1528" s="8">
        <f t="shared" si="23"/>
        <v>44431</v>
      </c>
      <c r="H1528" s="16" t="s">
        <v>13</v>
      </c>
      <c r="I1528" s="9" t="s">
        <v>3380</v>
      </c>
      <c r="J1528" s="10" t="s">
        <v>3380</v>
      </c>
      <c r="K1528" s="17"/>
    </row>
    <row r="1529" spans="1:11" ht="30" x14ac:dyDescent="0.25">
      <c r="A1529" s="3" t="s">
        <v>3076</v>
      </c>
      <c r="B1529" s="4" t="s">
        <v>3077</v>
      </c>
      <c r="C1529" s="5">
        <v>284073</v>
      </c>
      <c r="D1529" s="16" t="s">
        <v>28</v>
      </c>
      <c r="E1529" s="16" t="s">
        <v>17</v>
      </c>
      <c r="F1529" s="15">
        <v>44434</v>
      </c>
      <c r="G1529" s="8">
        <f t="shared" si="23"/>
        <v>44434</v>
      </c>
      <c r="H1529" s="16" t="s">
        <v>13</v>
      </c>
      <c r="I1529" s="9" t="s">
        <v>3380</v>
      </c>
      <c r="J1529" s="10" t="s">
        <v>3380</v>
      </c>
      <c r="K1529" s="17"/>
    </row>
    <row r="1530" spans="1:11" ht="30" x14ac:dyDescent="0.25">
      <c r="A1530" s="3" t="s">
        <v>3078</v>
      </c>
      <c r="B1530" s="4" t="s">
        <v>3079</v>
      </c>
      <c r="C1530" s="14">
        <v>284072</v>
      </c>
      <c r="D1530" s="16" t="s">
        <v>37</v>
      </c>
      <c r="E1530" s="16" t="s">
        <v>38</v>
      </c>
      <c r="F1530" s="15">
        <v>44453</v>
      </c>
      <c r="G1530" s="8">
        <f t="shared" si="23"/>
        <v>44453</v>
      </c>
      <c r="H1530" s="16" t="s">
        <v>39</v>
      </c>
      <c r="I1530" s="9" t="s">
        <v>3380</v>
      </c>
      <c r="J1530" s="10" t="s">
        <v>3380</v>
      </c>
      <c r="K1530" s="17"/>
    </row>
    <row r="1531" spans="1:11" ht="30" x14ac:dyDescent="0.25">
      <c r="A1531" s="3" t="s">
        <v>3080</v>
      </c>
      <c r="B1531" s="4" t="s">
        <v>3081</v>
      </c>
      <c r="C1531" s="14">
        <v>284071</v>
      </c>
      <c r="D1531" s="16" t="s">
        <v>28</v>
      </c>
      <c r="E1531" s="16" t="s">
        <v>508</v>
      </c>
      <c r="F1531" s="15">
        <v>44476</v>
      </c>
      <c r="G1531" s="8">
        <f t="shared" si="23"/>
        <v>44476</v>
      </c>
      <c r="H1531" s="16" t="s">
        <v>509</v>
      </c>
      <c r="I1531" s="9" t="s">
        <v>3380</v>
      </c>
      <c r="J1531" s="10" t="s">
        <v>3380</v>
      </c>
      <c r="K1531" s="17"/>
    </row>
    <row r="1532" spans="1:11" ht="30" x14ac:dyDescent="0.25">
      <c r="A1532" s="3" t="s">
        <v>3082</v>
      </c>
      <c r="B1532" s="4" t="s">
        <v>3083</v>
      </c>
      <c r="C1532" s="5">
        <v>284070</v>
      </c>
      <c r="D1532" s="16" t="s">
        <v>16</v>
      </c>
      <c r="E1532" s="16" t="s">
        <v>17</v>
      </c>
      <c r="F1532" s="15">
        <v>44494</v>
      </c>
      <c r="G1532" s="8">
        <f t="shared" si="23"/>
        <v>44494</v>
      </c>
      <c r="H1532" s="16" t="s">
        <v>13</v>
      </c>
      <c r="I1532" s="9" t="s">
        <v>3380</v>
      </c>
      <c r="J1532" s="10" t="s">
        <v>3380</v>
      </c>
      <c r="K1532" s="17"/>
    </row>
    <row r="1533" spans="1:11" ht="30" x14ac:dyDescent="0.25">
      <c r="A1533" s="3" t="s">
        <v>3084</v>
      </c>
      <c r="B1533" s="4" t="s">
        <v>3085</v>
      </c>
      <c r="C1533" s="14">
        <v>284069</v>
      </c>
      <c r="D1533" s="16" t="s">
        <v>11</v>
      </c>
      <c r="E1533" s="16" t="s">
        <v>17</v>
      </c>
      <c r="F1533" s="15">
        <v>44504</v>
      </c>
      <c r="G1533" s="8">
        <f t="shared" si="23"/>
        <v>44504</v>
      </c>
      <c r="H1533" s="16" t="s">
        <v>13</v>
      </c>
      <c r="I1533" s="9" t="s">
        <v>3380</v>
      </c>
      <c r="J1533" s="10" t="s">
        <v>3380</v>
      </c>
      <c r="K1533" s="17"/>
    </row>
    <row r="1534" spans="1:11" ht="30" x14ac:dyDescent="0.25">
      <c r="A1534" s="3" t="s">
        <v>3086</v>
      </c>
      <c r="B1534" s="4" t="s">
        <v>3087</v>
      </c>
      <c r="C1534" s="14">
        <v>284068</v>
      </c>
      <c r="D1534" s="16" t="s">
        <v>34</v>
      </c>
      <c r="E1534" s="16" t="s">
        <v>17</v>
      </c>
      <c r="F1534" s="15">
        <v>44504</v>
      </c>
      <c r="G1534" s="8">
        <f t="shared" si="23"/>
        <v>44504</v>
      </c>
      <c r="H1534" s="16" t="s">
        <v>13</v>
      </c>
      <c r="I1534" s="9" t="s">
        <v>3380</v>
      </c>
      <c r="J1534" s="10" t="s">
        <v>3380</v>
      </c>
      <c r="K1534" s="17"/>
    </row>
    <row r="1535" spans="1:11" ht="30" x14ac:dyDescent="0.25">
      <c r="A1535" s="3" t="s">
        <v>3088</v>
      </c>
      <c r="B1535" s="4" t="s">
        <v>3089</v>
      </c>
      <c r="C1535" s="14">
        <v>284067</v>
      </c>
      <c r="D1535" s="16" t="s">
        <v>16</v>
      </c>
      <c r="E1535" s="16" t="s">
        <v>17</v>
      </c>
      <c r="F1535" s="15">
        <v>44531</v>
      </c>
      <c r="G1535" s="8">
        <f t="shared" si="23"/>
        <v>44531</v>
      </c>
      <c r="H1535" s="16" t="s">
        <v>13</v>
      </c>
      <c r="I1535" s="9" t="s">
        <v>3380</v>
      </c>
      <c r="J1535" s="10" t="s">
        <v>3380</v>
      </c>
      <c r="K1535" s="17"/>
    </row>
    <row r="1536" spans="1:11" ht="30" x14ac:dyDescent="0.25">
      <c r="A1536" s="3" t="s">
        <v>3090</v>
      </c>
      <c r="B1536" s="4" t="s">
        <v>3091</v>
      </c>
      <c r="C1536" s="5">
        <v>283764</v>
      </c>
      <c r="D1536" s="16" t="s">
        <v>11</v>
      </c>
      <c r="E1536" s="16" t="s">
        <v>17</v>
      </c>
      <c r="F1536" s="15">
        <v>44531</v>
      </c>
      <c r="G1536" s="8">
        <f t="shared" si="23"/>
        <v>44531</v>
      </c>
      <c r="H1536" s="16" t="s">
        <v>13</v>
      </c>
      <c r="I1536" s="9" t="s">
        <v>3380</v>
      </c>
      <c r="J1536" s="10" t="s">
        <v>3380</v>
      </c>
      <c r="K1536" s="17"/>
    </row>
    <row r="1537" spans="1:11" ht="30" x14ac:dyDescent="0.25">
      <c r="A1537" s="3" t="s">
        <v>3092</v>
      </c>
      <c r="B1537" s="4" t="s">
        <v>3093</v>
      </c>
      <c r="C1537" s="14">
        <v>284066</v>
      </c>
      <c r="D1537" s="16" t="s">
        <v>11</v>
      </c>
      <c r="E1537" s="16" t="s">
        <v>17</v>
      </c>
      <c r="F1537" s="15">
        <v>44621</v>
      </c>
      <c r="G1537" s="8">
        <f t="shared" si="23"/>
        <v>44621</v>
      </c>
      <c r="H1537" s="16" t="s">
        <v>13</v>
      </c>
      <c r="I1537" s="9" t="s">
        <v>3380</v>
      </c>
      <c r="J1537" s="10" t="s">
        <v>3380</v>
      </c>
      <c r="K1537" s="17"/>
    </row>
    <row r="1538" spans="1:11" ht="30" x14ac:dyDescent="0.25">
      <c r="A1538" s="3" t="s">
        <v>3094</v>
      </c>
      <c r="B1538" s="4" t="s">
        <v>3095</v>
      </c>
      <c r="C1538" s="5">
        <v>284065</v>
      </c>
      <c r="D1538" s="16" t="s">
        <v>11</v>
      </c>
      <c r="E1538" s="16" t="s">
        <v>17</v>
      </c>
      <c r="F1538" s="15">
        <v>44622</v>
      </c>
      <c r="G1538" s="8">
        <f t="shared" ref="G1538:G1601" si="24">F1538</f>
        <v>44622</v>
      </c>
      <c r="H1538" s="16" t="s">
        <v>13</v>
      </c>
      <c r="I1538" s="9" t="s">
        <v>3380</v>
      </c>
      <c r="J1538" s="10" t="s">
        <v>3380</v>
      </c>
      <c r="K1538" s="17"/>
    </row>
    <row r="1539" spans="1:11" ht="30" x14ac:dyDescent="0.25">
      <c r="A1539" s="3" t="s">
        <v>3096</v>
      </c>
      <c r="B1539" s="4" t="s">
        <v>3097</v>
      </c>
      <c r="C1539" s="14">
        <v>284078</v>
      </c>
      <c r="D1539" s="16" t="s">
        <v>16</v>
      </c>
      <c r="E1539" s="16" t="s">
        <v>17</v>
      </c>
      <c r="F1539" s="15">
        <v>44635</v>
      </c>
      <c r="G1539" s="8">
        <f t="shared" si="24"/>
        <v>44635</v>
      </c>
      <c r="H1539" s="16" t="s">
        <v>13</v>
      </c>
      <c r="I1539" s="9" t="s">
        <v>3380</v>
      </c>
      <c r="J1539" s="10" t="s">
        <v>3380</v>
      </c>
      <c r="K1539" s="17"/>
    </row>
    <row r="1540" spans="1:11" x14ac:dyDescent="0.25">
      <c r="A1540" s="3" t="s">
        <v>3099</v>
      </c>
      <c r="B1540" s="4" t="s">
        <v>3100</v>
      </c>
      <c r="C1540" s="14">
        <v>284084</v>
      </c>
      <c r="D1540" s="17" t="s">
        <v>16</v>
      </c>
      <c r="E1540" s="17" t="s">
        <v>17</v>
      </c>
      <c r="F1540" s="15">
        <v>44636</v>
      </c>
      <c r="G1540" s="8">
        <f t="shared" si="24"/>
        <v>44636</v>
      </c>
      <c r="H1540" s="17" t="s">
        <v>13</v>
      </c>
      <c r="I1540" s="9" t="s">
        <v>3380</v>
      </c>
      <c r="J1540" s="10" t="s">
        <v>3380</v>
      </c>
      <c r="K1540" s="17"/>
    </row>
    <row r="1541" spans="1:11" x14ac:dyDescent="0.25">
      <c r="A1541" s="3" t="s">
        <v>3101</v>
      </c>
      <c r="B1541" s="4" t="s">
        <v>3102</v>
      </c>
      <c r="C1541" s="14">
        <v>285013</v>
      </c>
      <c r="D1541" s="17" t="s">
        <v>28</v>
      </c>
      <c r="E1541" s="17" t="s">
        <v>17</v>
      </c>
      <c r="F1541" s="15">
        <v>44652</v>
      </c>
      <c r="G1541" s="8">
        <f t="shared" si="24"/>
        <v>44652</v>
      </c>
      <c r="H1541" s="17" t="s">
        <v>13</v>
      </c>
      <c r="I1541" s="9" t="s">
        <v>3380</v>
      </c>
      <c r="J1541" s="10" t="s">
        <v>3380</v>
      </c>
      <c r="K1541" s="17"/>
    </row>
    <row r="1542" spans="1:11" x14ac:dyDescent="0.25">
      <c r="A1542" s="3" t="s">
        <v>3103</v>
      </c>
      <c r="B1542" s="4" t="s">
        <v>3104</v>
      </c>
      <c r="C1542" s="14">
        <v>285012</v>
      </c>
      <c r="D1542" s="17" t="s">
        <v>11</v>
      </c>
      <c r="E1542" s="17" t="s">
        <v>12</v>
      </c>
      <c r="F1542" s="15">
        <v>44652</v>
      </c>
      <c r="G1542" s="8">
        <f t="shared" si="24"/>
        <v>44652</v>
      </c>
      <c r="H1542" s="17" t="s">
        <v>39</v>
      </c>
      <c r="I1542" s="9" t="s">
        <v>3380</v>
      </c>
      <c r="J1542" s="10" t="s">
        <v>3380</v>
      </c>
      <c r="K1542" s="17"/>
    </row>
    <row r="1543" spans="1:11" x14ac:dyDescent="0.25">
      <c r="A1543" s="3" t="s">
        <v>3105</v>
      </c>
      <c r="B1543" s="4" t="s">
        <v>3106</v>
      </c>
      <c r="C1543" s="54">
        <v>286004</v>
      </c>
      <c r="D1543" s="17" t="s">
        <v>3107</v>
      </c>
      <c r="E1543" s="17" t="s">
        <v>17</v>
      </c>
      <c r="F1543" s="15">
        <v>44682</v>
      </c>
      <c r="G1543" s="8">
        <f t="shared" si="24"/>
        <v>44682</v>
      </c>
      <c r="H1543" s="8" t="s">
        <v>13</v>
      </c>
      <c r="I1543" s="9" t="s">
        <v>3380</v>
      </c>
      <c r="J1543" s="10" t="s">
        <v>3380</v>
      </c>
      <c r="K1543" s="17"/>
    </row>
    <row r="1544" spans="1:11" x14ac:dyDescent="0.25">
      <c r="A1544" s="3" t="s">
        <v>3108</v>
      </c>
      <c r="B1544" s="4" t="s">
        <v>3109</v>
      </c>
      <c r="C1544" s="54">
        <v>286629</v>
      </c>
      <c r="D1544" s="17" t="s">
        <v>16</v>
      </c>
      <c r="E1544" s="17" t="s">
        <v>17</v>
      </c>
      <c r="F1544" s="15">
        <v>44687</v>
      </c>
      <c r="G1544" s="8">
        <f t="shared" si="24"/>
        <v>44687</v>
      </c>
      <c r="H1544" s="8" t="s">
        <v>13</v>
      </c>
      <c r="I1544" s="9" t="s">
        <v>3380</v>
      </c>
      <c r="J1544" s="10" t="s">
        <v>3380</v>
      </c>
      <c r="K1544" s="17"/>
    </row>
    <row r="1545" spans="1:11" x14ac:dyDescent="0.25">
      <c r="A1545" s="3" t="s">
        <v>3110</v>
      </c>
      <c r="B1545" s="4" t="s">
        <v>3111</v>
      </c>
      <c r="C1545" s="5">
        <v>286628</v>
      </c>
      <c r="D1545" s="17" t="s">
        <v>37</v>
      </c>
      <c r="E1545" s="17" t="s">
        <v>38</v>
      </c>
      <c r="F1545" s="15">
        <v>44687</v>
      </c>
      <c r="G1545" s="8">
        <f t="shared" si="24"/>
        <v>44687</v>
      </c>
      <c r="H1545" s="8" t="s">
        <v>39</v>
      </c>
      <c r="I1545" s="9" t="s">
        <v>3380</v>
      </c>
      <c r="J1545" s="10" t="s">
        <v>3380</v>
      </c>
      <c r="K1545" s="17"/>
    </row>
    <row r="1546" spans="1:11" x14ac:dyDescent="0.25">
      <c r="A1546" s="3" t="s">
        <v>3112</v>
      </c>
      <c r="B1546" s="4" t="s">
        <v>3113</v>
      </c>
      <c r="C1546" s="5">
        <v>286613</v>
      </c>
      <c r="D1546" s="17" t="s">
        <v>11</v>
      </c>
      <c r="E1546" s="17" t="s">
        <v>12</v>
      </c>
      <c r="F1546" s="15">
        <v>44691</v>
      </c>
      <c r="G1546" s="8">
        <f t="shared" si="24"/>
        <v>44691</v>
      </c>
      <c r="H1546" s="8" t="s">
        <v>39</v>
      </c>
      <c r="I1546" s="9" t="s">
        <v>3380</v>
      </c>
      <c r="J1546" s="10" t="s">
        <v>3380</v>
      </c>
      <c r="K1546" s="17"/>
    </row>
    <row r="1547" spans="1:11" x14ac:dyDescent="0.25">
      <c r="A1547" s="3" t="s">
        <v>3114</v>
      </c>
      <c r="B1547" s="4" t="s">
        <v>3115</v>
      </c>
      <c r="C1547" s="54">
        <v>286948</v>
      </c>
      <c r="D1547" s="17" t="s">
        <v>3116</v>
      </c>
      <c r="E1547" s="17" t="s">
        <v>17</v>
      </c>
      <c r="F1547" s="15">
        <v>44713</v>
      </c>
      <c r="G1547" s="8">
        <f t="shared" si="24"/>
        <v>44713</v>
      </c>
      <c r="H1547" s="8" t="s">
        <v>13</v>
      </c>
      <c r="I1547" s="9" t="s">
        <v>3380</v>
      </c>
      <c r="J1547" s="10" t="s">
        <v>3380</v>
      </c>
      <c r="K1547" s="17"/>
    </row>
    <row r="1548" spans="1:11" x14ac:dyDescent="0.25">
      <c r="A1548" s="3" t="s">
        <v>3117</v>
      </c>
      <c r="B1548" s="4" t="s">
        <v>3118</v>
      </c>
      <c r="C1548" s="54">
        <v>286949</v>
      </c>
      <c r="D1548" s="17" t="s">
        <v>3119</v>
      </c>
      <c r="E1548" s="17" t="s">
        <v>17</v>
      </c>
      <c r="F1548" s="15">
        <v>44714</v>
      </c>
      <c r="G1548" s="8">
        <f t="shared" si="24"/>
        <v>44714</v>
      </c>
      <c r="H1548" s="8" t="s">
        <v>13</v>
      </c>
      <c r="I1548" s="9" t="s">
        <v>3380</v>
      </c>
      <c r="J1548" s="10" t="s">
        <v>3380</v>
      </c>
      <c r="K1548" s="17"/>
    </row>
    <row r="1549" spans="1:11" x14ac:dyDescent="0.25">
      <c r="A1549" s="3" t="s">
        <v>3120</v>
      </c>
      <c r="B1549" s="4" t="s">
        <v>3121</v>
      </c>
      <c r="C1549" s="5">
        <v>288980</v>
      </c>
      <c r="D1549" s="17" t="s">
        <v>3119</v>
      </c>
      <c r="E1549" s="17" t="s">
        <v>17</v>
      </c>
      <c r="F1549" s="15">
        <v>44715</v>
      </c>
      <c r="G1549" s="8">
        <f t="shared" si="24"/>
        <v>44715</v>
      </c>
      <c r="H1549" s="8" t="s">
        <v>13</v>
      </c>
      <c r="I1549" s="9" t="s">
        <v>3380</v>
      </c>
      <c r="J1549" s="10" t="s">
        <v>3380</v>
      </c>
      <c r="K1549" s="17"/>
    </row>
    <row r="1550" spans="1:11" x14ac:dyDescent="0.25">
      <c r="A1550" s="3" t="s">
        <v>3122</v>
      </c>
      <c r="B1550" s="4" t="s">
        <v>3123</v>
      </c>
      <c r="C1550" s="5">
        <v>287252</v>
      </c>
      <c r="D1550" s="17" t="s">
        <v>3124</v>
      </c>
      <c r="E1550" s="17" t="s">
        <v>12</v>
      </c>
      <c r="F1550" s="15">
        <v>44716</v>
      </c>
      <c r="G1550" s="8">
        <f t="shared" si="24"/>
        <v>44716</v>
      </c>
      <c r="H1550" s="8" t="s">
        <v>39</v>
      </c>
      <c r="I1550" s="9" t="s">
        <v>3380</v>
      </c>
      <c r="J1550" s="10" t="s">
        <v>3380</v>
      </c>
      <c r="K1550" s="17"/>
    </row>
    <row r="1551" spans="1:11" x14ac:dyDescent="0.25">
      <c r="A1551" s="3" t="s">
        <v>3125</v>
      </c>
      <c r="B1551" s="4" t="s">
        <v>3126</v>
      </c>
      <c r="C1551" s="54">
        <v>287268</v>
      </c>
      <c r="D1551" s="17" t="s">
        <v>3116</v>
      </c>
      <c r="E1551" s="17" t="s">
        <v>17</v>
      </c>
      <c r="F1551" s="15">
        <v>44717</v>
      </c>
      <c r="G1551" s="8">
        <f t="shared" si="24"/>
        <v>44717</v>
      </c>
      <c r="H1551" s="8" t="s">
        <v>13</v>
      </c>
      <c r="I1551" s="9" t="s">
        <v>3380</v>
      </c>
      <c r="J1551" s="10" t="s">
        <v>3380</v>
      </c>
      <c r="K1551" s="17"/>
    </row>
    <row r="1552" spans="1:11" x14ac:dyDescent="0.25">
      <c r="A1552" s="3" t="s">
        <v>3127</v>
      </c>
      <c r="B1552" s="4" t="s">
        <v>3128</v>
      </c>
      <c r="C1552" s="54">
        <v>287572</v>
      </c>
      <c r="D1552" s="17" t="s">
        <v>3129</v>
      </c>
      <c r="E1552" s="17" t="s">
        <v>38</v>
      </c>
      <c r="F1552" s="15">
        <v>44718</v>
      </c>
      <c r="G1552" s="8">
        <f t="shared" si="24"/>
        <v>44718</v>
      </c>
      <c r="H1552" s="8" t="s">
        <v>39</v>
      </c>
      <c r="I1552" s="9" t="s">
        <v>3380</v>
      </c>
      <c r="J1552" s="10" t="s">
        <v>3380</v>
      </c>
      <c r="K1552" s="17"/>
    </row>
    <row r="1553" spans="1:11" x14ac:dyDescent="0.25">
      <c r="A1553" s="3" t="s">
        <v>3130</v>
      </c>
      <c r="B1553" s="4" t="s">
        <v>3131</v>
      </c>
      <c r="C1553" s="54">
        <v>288212</v>
      </c>
      <c r="D1553" s="17" t="s">
        <v>11</v>
      </c>
      <c r="E1553" s="17" t="s">
        <v>12</v>
      </c>
      <c r="F1553" s="15">
        <v>44719</v>
      </c>
      <c r="G1553" s="8">
        <f t="shared" si="24"/>
        <v>44719</v>
      </c>
      <c r="H1553" s="8" t="s">
        <v>39</v>
      </c>
      <c r="I1553" s="9" t="s">
        <v>3380</v>
      </c>
      <c r="J1553" s="10" t="s">
        <v>3380</v>
      </c>
      <c r="K1553" s="17"/>
    </row>
    <row r="1554" spans="1:11" x14ac:dyDescent="0.25">
      <c r="A1554" s="3" t="s">
        <v>3132</v>
      </c>
      <c r="B1554" s="4" t="s">
        <v>3133</v>
      </c>
      <c r="C1554" s="54">
        <v>288852</v>
      </c>
      <c r="D1554" s="17" t="s">
        <v>11</v>
      </c>
      <c r="E1554" s="17" t="s">
        <v>12</v>
      </c>
      <c r="F1554" s="15">
        <v>44720</v>
      </c>
      <c r="G1554" s="8">
        <f t="shared" si="24"/>
        <v>44720</v>
      </c>
      <c r="H1554" s="8" t="s">
        <v>39</v>
      </c>
      <c r="I1554" s="9" t="s">
        <v>3380</v>
      </c>
      <c r="J1554" s="10" t="s">
        <v>3380</v>
      </c>
      <c r="K1554" s="17"/>
    </row>
    <row r="1555" spans="1:11" x14ac:dyDescent="0.25">
      <c r="A1555" s="3" t="s">
        <v>3134</v>
      </c>
      <c r="B1555" s="4" t="s">
        <v>3135</v>
      </c>
      <c r="C1555" s="5">
        <v>288853</v>
      </c>
      <c r="D1555" s="17" t="s">
        <v>31</v>
      </c>
      <c r="E1555" s="17" t="s">
        <v>17</v>
      </c>
      <c r="F1555" s="15">
        <v>44721</v>
      </c>
      <c r="G1555" s="8">
        <f t="shared" si="24"/>
        <v>44721</v>
      </c>
      <c r="H1555" s="8" t="s">
        <v>13</v>
      </c>
      <c r="I1555" s="9" t="s">
        <v>3380</v>
      </c>
      <c r="J1555" s="10" t="s">
        <v>3380</v>
      </c>
      <c r="K1555" s="17"/>
    </row>
    <row r="1556" spans="1:11" x14ac:dyDescent="0.25">
      <c r="A1556" s="3" t="s">
        <v>3136</v>
      </c>
      <c r="B1556" s="4" t="s">
        <v>3137</v>
      </c>
      <c r="C1556" s="54">
        <v>288916</v>
      </c>
      <c r="D1556" s="17" t="s">
        <v>11</v>
      </c>
      <c r="E1556" s="17" t="s">
        <v>12</v>
      </c>
      <c r="F1556" s="15">
        <v>44722</v>
      </c>
      <c r="G1556" s="8">
        <f t="shared" si="24"/>
        <v>44722</v>
      </c>
      <c r="H1556" s="8" t="s">
        <v>39</v>
      </c>
      <c r="I1556" s="9" t="s">
        <v>3380</v>
      </c>
      <c r="J1556" s="10" t="s">
        <v>3380</v>
      </c>
      <c r="K1556" s="17"/>
    </row>
    <row r="1557" spans="1:11" x14ac:dyDescent="0.25">
      <c r="A1557" s="3" t="s">
        <v>3138</v>
      </c>
      <c r="B1557" s="4" t="s">
        <v>3139</v>
      </c>
      <c r="C1557" s="5">
        <v>288932</v>
      </c>
      <c r="D1557" s="17" t="s">
        <v>34</v>
      </c>
      <c r="E1557" s="17" t="s">
        <v>17</v>
      </c>
      <c r="F1557" s="15">
        <v>44723</v>
      </c>
      <c r="G1557" s="8">
        <f t="shared" si="24"/>
        <v>44723</v>
      </c>
      <c r="H1557" s="8" t="s">
        <v>13</v>
      </c>
      <c r="I1557" s="9" t="s">
        <v>3380</v>
      </c>
      <c r="J1557" s="10" t="s">
        <v>3380</v>
      </c>
      <c r="K1557" s="17"/>
    </row>
    <row r="1558" spans="1:11" x14ac:dyDescent="0.25">
      <c r="A1558" s="3" t="s">
        <v>3140</v>
      </c>
      <c r="B1558" s="4" t="s">
        <v>3141</v>
      </c>
      <c r="C1558" s="54">
        <v>288933</v>
      </c>
      <c r="D1558" s="17" t="s">
        <v>34</v>
      </c>
      <c r="E1558" s="17" t="s">
        <v>17</v>
      </c>
      <c r="F1558" s="15">
        <v>44724</v>
      </c>
      <c r="G1558" s="8">
        <f t="shared" si="24"/>
        <v>44724</v>
      </c>
      <c r="H1558" s="8" t="s">
        <v>13</v>
      </c>
      <c r="I1558" s="9" t="s">
        <v>3380</v>
      </c>
      <c r="J1558" s="10" t="s">
        <v>3380</v>
      </c>
      <c r="K1558" s="17"/>
    </row>
    <row r="1559" spans="1:11" x14ac:dyDescent="0.25">
      <c r="A1559" s="3" t="s">
        <v>3142</v>
      </c>
      <c r="B1559" s="4" t="s">
        <v>3143</v>
      </c>
      <c r="C1559" s="54">
        <v>288884</v>
      </c>
      <c r="D1559" s="17" t="s">
        <v>16</v>
      </c>
      <c r="E1559" s="17" t="s">
        <v>17</v>
      </c>
      <c r="F1559" s="15">
        <v>44725</v>
      </c>
      <c r="G1559" s="8">
        <f t="shared" si="24"/>
        <v>44725</v>
      </c>
      <c r="H1559" s="8" t="s">
        <v>13</v>
      </c>
      <c r="I1559" s="9" t="s">
        <v>3380</v>
      </c>
      <c r="J1559" s="10" t="s">
        <v>3380</v>
      </c>
      <c r="K1559" s="17"/>
    </row>
    <row r="1560" spans="1:11" x14ac:dyDescent="0.25">
      <c r="A1560" s="3" t="s">
        <v>3144</v>
      </c>
      <c r="B1560" s="4" t="s">
        <v>3145</v>
      </c>
      <c r="C1560" s="54">
        <v>289188</v>
      </c>
      <c r="D1560" s="17" t="s">
        <v>11</v>
      </c>
      <c r="E1560" s="17" t="s">
        <v>12</v>
      </c>
      <c r="F1560" s="15">
        <v>44726</v>
      </c>
      <c r="G1560" s="8">
        <f t="shared" si="24"/>
        <v>44726</v>
      </c>
      <c r="H1560" s="8" t="s">
        <v>39</v>
      </c>
      <c r="I1560" s="9" t="s">
        <v>3380</v>
      </c>
      <c r="J1560" s="10" t="s">
        <v>3380</v>
      </c>
      <c r="K1560" s="17"/>
    </row>
    <row r="1561" spans="1:11" x14ac:dyDescent="0.25">
      <c r="A1561" s="3" t="s">
        <v>3146</v>
      </c>
      <c r="B1561" s="4" t="s">
        <v>3147</v>
      </c>
      <c r="C1561" s="5">
        <v>289204</v>
      </c>
      <c r="D1561" s="17" t="s">
        <v>31</v>
      </c>
      <c r="E1561" s="17" t="s">
        <v>17</v>
      </c>
      <c r="F1561" s="15">
        <v>44797</v>
      </c>
      <c r="G1561" s="8">
        <f t="shared" si="24"/>
        <v>44797</v>
      </c>
      <c r="H1561" s="8" t="s">
        <v>13</v>
      </c>
      <c r="I1561" s="9" t="s">
        <v>3380</v>
      </c>
      <c r="J1561" s="10" t="s">
        <v>3380</v>
      </c>
      <c r="K1561" s="17"/>
    </row>
    <row r="1562" spans="1:11" x14ac:dyDescent="0.25">
      <c r="A1562" s="3" t="s">
        <v>3148</v>
      </c>
      <c r="B1562" s="4" t="s">
        <v>3149</v>
      </c>
      <c r="C1562" s="54">
        <v>289622</v>
      </c>
      <c r="D1562" s="17" t="s">
        <v>11</v>
      </c>
      <c r="E1562" s="17" t="s">
        <v>12</v>
      </c>
      <c r="F1562" s="15">
        <v>44802</v>
      </c>
      <c r="G1562" s="8">
        <f t="shared" si="24"/>
        <v>44802</v>
      </c>
      <c r="H1562" s="8" t="s">
        <v>39</v>
      </c>
      <c r="I1562" s="9" t="s">
        <v>3380</v>
      </c>
      <c r="J1562" s="10" t="s">
        <v>3380</v>
      </c>
      <c r="K1562" s="17"/>
    </row>
    <row r="1563" spans="1:11" x14ac:dyDescent="0.25">
      <c r="A1563" s="3" t="s">
        <v>3150</v>
      </c>
      <c r="B1563" s="4" t="s">
        <v>3151</v>
      </c>
      <c r="C1563" s="54">
        <v>289631</v>
      </c>
      <c r="D1563" s="17" t="s">
        <v>34</v>
      </c>
      <c r="E1563" s="17" t="s">
        <v>17</v>
      </c>
      <c r="F1563" s="15">
        <v>44805</v>
      </c>
      <c r="G1563" s="8">
        <f t="shared" si="24"/>
        <v>44805</v>
      </c>
      <c r="H1563" s="8" t="s">
        <v>13</v>
      </c>
      <c r="I1563" s="9" t="s">
        <v>3380</v>
      </c>
      <c r="J1563" s="10" t="s">
        <v>3380</v>
      </c>
      <c r="K1563" s="17"/>
    </row>
    <row r="1564" spans="1:11" x14ac:dyDescent="0.25">
      <c r="A1564" s="3" t="s">
        <v>3152</v>
      </c>
      <c r="B1564" s="4" t="s">
        <v>3153</v>
      </c>
      <c r="C1564" s="54">
        <v>293231</v>
      </c>
      <c r="D1564" s="17" t="s">
        <v>3129</v>
      </c>
      <c r="E1564" s="17" t="s">
        <v>38</v>
      </c>
      <c r="F1564" s="15">
        <v>44868</v>
      </c>
      <c r="G1564" s="8">
        <f t="shared" si="24"/>
        <v>44868</v>
      </c>
      <c r="H1564" s="8" t="s">
        <v>39</v>
      </c>
      <c r="I1564" s="9" t="s">
        <v>3380</v>
      </c>
      <c r="J1564" s="10" t="s">
        <v>3380</v>
      </c>
      <c r="K1564" s="17"/>
    </row>
    <row r="1565" spans="1:11" x14ac:dyDescent="0.25">
      <c r="A1565" s="3" t="s">
        <v>3154</v>
      </c>
      <c r="B1565" s="4" t="s">
        <v>3155</v>
      </c>
      <c r="C1565" s="5">
        <v>296432</v>
      </c>
      <c r="D1565" s="17" t="s">
        <v>28</v>
      </c>
      <c r="E1565" s="17" t="s">
        <v>17</v>
      </c>
      <c r="F1565" s="15">
        <v>44916</v>
      </c>
      <c r="G1565" s="8">
        <f t="shared" si="24"/>
        <v>44916</v>
      </c>
      <c r="H1565" s="8" t="s">
        <v>13</v>
      </c>
      <c r="I1565" s="9" t="s">
        <v>3380</v>
      </c>
      <c r="J1565" s="10" t="s">
        <v>3380</v>
      </c>
      <c r="K1565" s="17"/>
    </row>
    <row r="1566" spans="1:11" x14ac:dyDescent="0.25">
      <c r="A1566" s="3" t="s">
        <v>3156</v>
      </c>
      <c r="B1566" s="4" t="s">
        <v>3157</v>
      </c>
      <c r="C1566" s="54">
        <v>298433</v>
      </c>
      <c r="D1566" s="17" t="s">
        <v>11</v>
      </c>
      <c r="E1566" s="17" t="s">
        <v>12</v>
      </c>
      <c r="F1566" s="15">
        <v>44924</v>
      </c>
      <c r="G1566" s="8">
        <f t="shared" si="24"/>
        <v>44924</v>
      </c>
      <c r="H1566" s="8" t="s">
        <v>39</v>
      </c>
      <c r="I1566" s="9" t="s">
        <v>3380</v>
      </c>
      <c r="J1566" s="10" t="s">
        <v>3380</v>
      </c>
      <c r="K1566" s="17"/>
    </row>
    <row r="1567" spans="1:11" x14ac:dyDescent="0.25">
      <c r="A1567" s="3" t="s">
        <v>3158</v>
      </c>
      <c r="B1567" s="4" t="s">
        <v>3159</v>
      </c>
      <c r="C1567" s="5">
        <v>298434</v>
      </c>
      <c r="D1567" s="17" t="s">
        <v>16</v>
      </c>
      <c r="E1567" s="17" t="s">
        <v>17</v>
      </c>
      <c r="F1567" s="15">
        <v>44945</v>
      </c>
      <c r="G1567" s="8">
        <f t="shared" si="24"/>
        <v>44945</v>
      </c>
      <c r="H1567" s="8" t="s">
        <v>13</v>
      </c>
      <c r="I1567" s="9" t="s">
        <v>3380</v>
      </c>
      <c r="J1567" s="10" t="s">
        <v>3380</v>
      </c>
      <c r="K1567" s="17"/>
    </row>
    <row r="1568" spans="1:11" x14ac:dyDescent="0.25">
      <c r="A1568" s="3" t="s">
        <v>3160</v>
      </c>
      <c r="B1568" s="4" t="s">
        <v>3161</v>
      </c>
      <c r="C1568" s="54">
        <v>301633</v>
      </c>
      <c r="D1568" s="17" t="s">
        <v>11</v>
      </c>
      <c r="E1568" s="17" t="s">
        <v>12</v>
      </c>
      <c r="F1568" s="15">
        <v>44946</v>
      </c>
      <c r="G1568" s="8">
        <f t="shared" si="24"/>
        <v>44946</v>
      </c>
      <c r="H1568" s="8" t="s">
        <v>39</v>
      </c>
      <c r="I1568" s="9" t="s">
        <v>3380</v>
      </c>
      <c r="J1568" s="10" t="s">
        <v>3380</v>
      </c>
      <c r="K1568" s="17"/>
    </row>
    <row r="1569" spans="1:11" x14ac:dyDescent="0.25">
      <c r="A1569" s="3" t="s">
        <v>3162</v>
      </c>
      <c r="B1569" s="4" t="s">
        <v>3163</v>
      </c>
      <c r="C1569" s="54">
        <v>301635</v>
      </c>
      <c r="D1569" s="17" t="s">
        <v>11</v>
      </c>
      <c r="E1569" s="17" t="s">
        <v>12</v>
      </c>
      <c r="F1569" s="15">
        <v>44958</v>
      </c>
      <c r="G1569" s="8">
        <f t="shared" si="24"/>
        <v>44958</v>
      </c>
      <c r="H1569" s="8" t="s">
        <v>39</v>
      </c>
      <c r="I1569" s="9" t="s">
        <v>3380</v>
      </c>
      <c r="J1569" s="10" t="s">
        <v>3380</v>
      </c>
      <c r="K1569" s="17"/>
    </row>
    <row r="1570" spans="1:11" x14ac:dyDescent="0.25">
      <c r="A1570" s="3" t="s">
        <v>3164</v>
      </c>
      <c r="B1570" s="4" t="s">
        <v>3165</v>
      </c>
      <c r="C1570" s="54">
        <v>301634</v>
      </c>
      <c r="D1570" s="17" t="s">
        <v>11</v>
      </c>
      <c r="E1570" s="17" t="s">
        <v>12</v>
      </c>
      <c r="F1570" s="15">
        <v>44946</v>
      </c>
      <c r="G1570" s="8">
        <f t="shared" si="24"/>
        <v>44946</v>
      </c>
      <c r="H1570" s="8" t="s">
        <v>39</v>
      </c>
      <c r="I1570" s="9" t="s">
        <v>3380</v>
      </c>
      <c r="J1570" s="10" t="s">
        <v>3380</v>
      </c>
      <c r="K1570" s="17"/>
    </row>
    <row r="1571" spans="1:11" x14ac:dyDescent="0.25">
      <c r="A1571" s="3" t="s">
        <v>3166</v>
      </c>
      <c r="B1571" s="4" t="s">
        <v>3167</v>
      </c>
      <c r="C1571" s="54">
        <v>302433</v>
      </c>
      <c r="D1571" s="17" t="s">
        <v>34</v>
      </c>
      <c r="E1571" s="17" t="s">
        <v>17</v>
      </c>
      <c r="F1571" s="15">
        <v>44951</v>
      </c>
      <c r="G1571" s="8">
        <f t="shared" si="24"/>
        <v>44951</v>
      </c>
      <c r="H1571" s="8" t="s">
        <v>13</v>
      </c>
      <c r="I1571" s="9" t="s">
        <v>3380</v>
      </c>
      <c r="J1571" s="10" t="s">
        <v>3380</v>
      </c>
      <c r="K1571" s="17"/>
    </row>
    <row r="1572" spans="1:11" x14ac:dyDescent="0.25">
      <c r="A1572" s="3" t="s">
        <v>3168</v>
      </c>
      <c r="B1572" s="4" t="s">
        <v>3169</v>
      </c>
      <c r="C1572" s="5">
        <v>304433</v>
      </c>
      <c r="D1572" s="17" t="s">
        <v>34</v>
      </c>
      <c r="E1572" s="17" t="s">
        <v>17</v>
      </c>
      <c r="F1572" s="15">
        <v>44970</v>
      </c>
      <c r="G1572" s="8">
        <f t="shared" si="24"/>
        <v>44970</v>
      </c>
      <c r="H1572" s="8" t="s">
        <v>13</v>
      </c>
      <c r="I1572" s="9" t="s">
        <v>3380</v>
      </c>
      <c r="J1572" s="10" t="s">
        <v>3380</v>
      </c>
      <c r="K1572" s="17"/>
    </row>
    <row r="1573" spans="1:11" x14ac:dyDescent="0.25">
      <c r="A1573" s="3" t="s">
        <v>3170</v>
      </c>
      <c r="B1573" s="4" t="s">
        <v>3171</v>
      </c>
      <c r="C1573" s="54">
        <v>304833</v>
      </c>
      <c r="D1573" s="17" t="s">
        <v>28</v>
      </c>
      <c r="E1573" s="17" t="s">
        <v>17</v>
      </c>
      <c r="F1573" s="15">
        <v>44971</v>
      </c>
      <c r="G1573" s="8">
        <f t="shared" si="24"/>
        <v>44971</v>
      </c>
      <c r="H1573" s="8" t="s">
        <v>13</v>
      </c>
      <c r="I1573" s="9" t="s">
        <v>3380</v>
      </c>
      <c r="J1573" s="10" t="s">
        <v>3380</v>
      </c>
      <c r="K1573" s="17"/>
    </row>
    <row r="1574" spans="1:11" x14ac:dyDescent="0.25">
      <c r="A1574" s="3" t="s">
        <v>3172</v>
      </c>
      <c r="B1574" s="4" t="s">
        <v>3173</v>
      </c>
      <c r="C1574" s="54">
        <v>305233</v>
      </c>
      <c r="D1574" s="17" t="s">
        <v>11</v>
      </c>
      <c r="E1574" s="17" t="s">
        <v>12</v>
      </c>
      <c r="F1574" s="15">
        <v>44972</v>
      </c>
      <c r="G1574" s="8">
        <f t="shared" si="24"/>
        <v>44972</v>
      </c>
      <c r="H1574" s="8" t="s">
        <v>39</v>
      </c>
      <c r="I1574" s="9" t="s">
        <v>3380</v>
      </c>
      <c r="J1574" s="10" t="s">
        <v>3380</v>
      </c>
      <c r="K1574" s="17"/>
    </row>
    <row r="1575" spans="1:11" x14ac:dyDescent="0.25">
      <c r="A1575" s="3" t="s">
        <v>3174</v>
      </c>
      <c r="B1575" s="4" t="s">
        <v>3175</v>
      </c>
      <c r="C1575" s="5">
        <v>304033</v>
      </c>
      <c r="D1575" s="17" t="s">
        <v>11</v>
      </c>
      <c r="E1575" s="17" t="s">
        <v>12</v>
      </c>
      <c r="F1575" s="15">
        <v>44837</v>
      </c>
      <c r="G1575" s="8">
        <f t="shared" si="24"/>
        <v>44837</v>
      </c>
      <c r="H1575" s="8" t="s">
        <v>39</v>
      </c>
      <c r="I1575" s="9">
        <v>3268.8</v>
      </c>
      <c r="J1575" s="10">
        <v>617.159661332361</v>
      </c>
      <c r="K1575" s="17"/>
    </row>
    <row r="1576" spans="1:11" x14ac:dyDescent="0.25">
      <c r="A1576" s="3" t="s">
        <v>3176</v>
      </c>
      <c r="B1576" s="4" t="s">
        <v>3177</v>
      </c>
      <c r="C1576" s="54">
        <v>306833</v>
      </c>
      <c r="D1576" s="17" t="s">
        <v>28</v>
      </c>
      <c r="E1576" s="17" t="s">
        <v>17</v>
      </c>
      <c r="F1576" s="15">
        <v>44981</v>
      </c>
      <c r="G1576" s="8">
        <f t="shared" si="24"/>
        <v>44981</v>
      </c>
      <c r="H1576" s="8" t="s">
        <v>13</v>
      </c>
      <c r="I1576" s="9" t="s">
        <v>3380</v>
      </c>
      <c r="J1576" s="10" t="s">
        <v>3380</v>
      </c>
      <c r="K1576" s="17"/>
    </row>
    <row r="1577" spans="1:11" x14ac:dyDescent="0.25">
      <c r="A1577" s="3" t="s">
        <v>3178</v>
      </c>
      <c r="B1577" s="4" t="s">
        <v>3179</v>
      </c>
      <c r="C1577" s="5">
        <v>309633</v>
      </c>
      <c r="D1577" s="17" t="s">
        <v>11</v>
      </c>
      <c r="E1577" s="17" t="s">
        <v>12</v>
      </c>
      <c r="F1577" s="15">
        <v>45031</v>
      </c>
      <c r="G1577" s="8">
        <f t="shared" si="24"/>
        <v>45031</v>
      </c>
      <c r="H1577" s="8" t="s">
        <v>13</v>
      </c>
      <c r="I1577" s="9" t="s">
        <v>3380</v>
      </c>
      <c r="J1577" s="10" t="s">
        <v>3380</v>
      </c>
      <c r="K1577" s="17"/>
    </row>
    <row r="1578" spans="1:11" x14ac:dyDescent="0.25">
      <c r="A1578" s="3" t="s">
        <v>3180</v>
      </c>
      <c r="B1578" s="4" t="s">
        <v>3181</v>
      </c>
      <c r="C1578" s="54">
        <v>309634</v>
      </c>
      <c r="D1578" s="17" t="s">
        <v>34</v>
      </c>
      <c r="E1578" s="17" t="s">
        <v>17</v>
      </c>
      <c r="F1578" s="15">
        <v>45031</v>
      </c>
      <c r="G1578" s="8">
        <f t="shared" si="24"/>
        <v>45031</v>
      </c>
      <c r="H1578" s="8" t="s">
        <v>13</v>
      </c>
      <c r="I1578" s="9" t="s">
        <v>3380</v>
      </c>
      <c r="J1578" s="10" t="s">
        <v>3380</v>
      </c>
      <c r="K1578" s="17"/>
    </row>
    <row r="1579" spans="1:11" x14ac:dyDescent="0.25">
      <c r="A1579" s="3" t="s">
        <v>3182</v>
      </c>
      <c r="B1579" s="4" t="s">
        <v>3183</v>
      </c>
      <c r="C1579" s="54">
        <v>310433</v>
      </c>
      <c r="D1579" s="17" t="s">
        <v>11</v>
      </c>
      <c r="E1579" s="17" t="s">
        <v>12</v>
      </c>
      <c r="F1579" s="15">
        <v>45031</v>
      </c>
      <c r="G1579" s="8">
        <f t="shared" si="24"/>
        <v>45031</v>
      </c>
      <c r="H1579" s="8" t="s">
        <v>39</v>
      </c>
      <c r="I1579" s="9" t="s">
        <v>3380</v>
      </c>
      <c r="J1579" s="10" t="s">
        <v>3380</v>
      </c>
      <c r="K1579" s="17"/>
    </row>
    <row r="1580" spans="1:11" x14ac:dyDescent="0.25">
      <c r="A1580" s="3" t="s">
        <v>3184</v>
      </c>
      <c r="B1580" s="4" t="s">
        <v>3185</v>
      </c>
      <c r="C1580" s="5">
        <v>311233</v>
      </c>
      <c r="D1580" s="17" t="s">
        <v>28</v>
      </c>
      <c r="E1580" s="17" t="s">
        <v>17</v>
      </c>
      <c r="F1580" s="15">
        <v>45031</v>
      </c>
      <c r="G1580" s="8">
        <f t="shared" si="24"/>
        <v>45031</v>
      </c>
      <c r="H1580" s="8" t="s">
        <v>13</v>
      </c>
      <c r="I1580" s="9" t="s">
        <v>3380</v>
      </c>
      <c r="J1580" s="10" t="s">
        <v>3380</v>
      </c>
      <c r="K1580" s="17"/>
    </row>
    <row r="1581" spans="1:11" x14ac:dyDescent="0.25">
      <c r="A1581" s="3" t="s">
        <v>3186</v>
      </c>
      <c r="B1581" s="4" t="s">
        <v>3187</v>
      </c>
      <c r="C1581" s="54">
        <v>312433</v>
      </c>
      <c r="D1581" s="17" t="s">
        <v>28</v>
      </c>
      <c r="E1581" s="17" t="s">
        <v>17</v>
      </c>
      <c r="F1581" s="15">
        <v>45034</v>
      </c>
      <c r="G1581" s="8">
        <f t="shared" si="24"/>
        <v>45034</v>
      </c>
      <c r="H1581" s="8" t="s">
        <v>13</v>
      </c>
      <c r="I1581" s="9" t="s">
        <v>3380</v>
      </c>
      <c r="J1581" s="10" t="s">
        <v>3380</v>
      </c>
      <c r="K1581" s="17"/>
    </row>
    <row r="1582" spans="1:11" x14ac:dyDescent="0.25">
      <c r="A1582" s="3" t="s">
        <v>3188</v>
      </c>
      <c r="B1582" s="4" t="s">
        <v>3189</v>
      </c>
      <c r="C1582" s="5">
        <v>312434</v>
      </c>
      <c r="D1582" s="17" t="s">
        <v>37</v>
      </c>
      <c r="E1582" s="17" t="s">
        <v>38</v>
      </c>
      <c r="F1582" s="15">
        <v>45031</v>
      </c>
      <c r="G1582" s="8">
        <f t="shared" si="24"/>
        <v>45031</v>
      </c>
      <c r="H1582" s="8" t="s">
        <v>39</v>
      </c>
      <c r="I1582" s="9" t="s">
        <v>3380</v>
      </c>
      <c r="J1582" s="10" t="s">
        <v>3380</v>
      </c>
      <c r="K1582" s="17"/>
    </row>
    <row r="1583" spans="1:11" x14ac:dyDescent="0.25">
      <c r="A1583" s="3" t="s">
        <v>3190</v>
      </c>
      <c r="B1583" s="4" t="s">
        <v>3191</v>
      </c>
      <c r="C1583" s="54">
        <v>312834</v>
      </c>
      <c r="D1583" s="17" t="s">
        <v>37</v>
      </c>
      <c r="E1583" s="17" t="s">
        <v>38</v>
      </c>
      <c r="F1583" s="15">
        <v>45078</v>
      </c>
      <c r="G1583" s="8">
        <f t="shared" si="24"/>
        <v>45078</v>
      </c>
      <c r="H1583" s="8" t="s">
        <v>39</v>
      </c>
      <c r="I1583" s="9" t="s">
        <v>3380</v>
      </c>
      <c r="J1583" s="10" t="s">
        <v>3380</v>
      </c>
      <c r="K1583" s="17"/>
    </row>
    <row r="1584" spans="1:11" x14ac:dyDescent="0.25">
      <c r="A1584" s="3" t="s">
        <v>3192</v>
      </c>
      <c r="B1584" s="4" t="s">
        <v>3193</v>
      </c>
      <c r="C1584" s="54">
        <v>312033</v>
      </c>
      <c r="D1584" s="17" t="s">
        <v>16</v>
      </c>
      <c r="E1584" s="17" t="s">
        <v>17</v>
      </c>
      <c r="F1584" s="15">
        <v>45078</v>
      </c>
      <c r="G1584" s="8">
        <f t="shared" si="24"/>
        <v>45078</v>
      </c>
      <c r="H1584" s="8" t="s">
        <v>13</v>
      </c>
      <c r="I1584" s="9" t="s">
        <v>3380</v>
      </c>
      <c r="J1584" s="10" t="s">
        <v>3380</v>
      </c>
      <c r="K1584" s="17"/>
    </row>
    <row r="1585" spans="1:11" x14ac:dyDescent="0.25">
      <c r="A1585" s="3" t="s">
        <v>3194</v>
      </c>
      <c r="B1585" s="4" t="s">
        <v>3195</v>
      </c>
      <c r="C1585" s="5">
        <v>313233</v>
      </c>
      <c r="D1585" s="17" t="s">
        <v>28</v>
      </c>
      <c r="E1585" s="17" t="s">
        <v>17</v>
      </c>
      <c r="F1585" s="15">
        <v>45078</v>
      </c>
      <c r="G1585" s="8">
        <f t="shared" si="24"/>
        <v>45078</v>
      </c>
      <c r="H1585" s="8" t="s">
        <v>13</v>
      </c>
      <c r="I1585" s="9" t="s">
        <v>3380</v>
      </c>
      <c r="J1585" s="10" t="s">
        <v>3380</v>
      </c>
      <c r="K1585" s="17"/>
    </row>
    <row r="1586" spans="1:11" x14ac:dyDescent="0.25">
      <c r="A1586" s="3" t="s">
        <v>3196</v>
      </c>
      <c r="B1586" s="4" t="s">
        <v>3197</v>
      </c>
      <c r="C1586" s="5">
        <v>314433</v>
      </c>
      <c r="D1586" s="17" t="s">
        <v>28</v>
      </c>
      <c r="E1586" s="17" t="s">
        <v>17</v>
      </c>
      <c r="F1586" s="15">
        <v>45050</v>
      </c>
      <c r="G1586" s="8">
        <f t="shared" si="24"/>
        <v>45050</v>
      </c>
      <c r="H1586" s="8" t="s">
        <v>13</v>
      </c>
      <c r="I1586" s="9" t="s">
        <v>3380</v>
      </c>
      <c r="J1586" s="10" t="s">
        <v>3380</v>
      </c>
      <c r="K1586" s="17"/>
    </row>
    <row r="1587" spans="1:11" x14ac:dyDescent="0.25">
      <c r="A1587" s="3" t="s">
        <v>3198</v>
      </c>
      <c r="B1587" s="4" t="s">
        <v>3199</v>
      </c>
      <c r="C1587" s="54">
        <v>315633</v>
      </c>
      <c r="D1587" s="17" t="s">
        <v>31</v>
      </c>
      <c r="E1587" s="17" t="s">
        <v>17</v>
      </c>
      <c r="F1587" s="15">
        <v>45078</v>
      </c>
      <c r="G1587" s="8">
        <f t="shared" si="24"/>
        <v>45078</v>
      </c>
      <c r="H1587" s="8" t="s">
        <v>13</v>
      </c>
      <c r="I1587" s="9" t="s">
        <v>3380</v>
      </c>
      <c r="J1587" s="10" t="s">
        <v>3380</v>
      </c>
      <c r="K1587" s="17"/>
    </row>
    <row r="1588" spans="1:11" x14ac:dyDescent="0.25">
      <c r="A1588" s="3" t="s">
        <v>3200</v>
      </c>
      <c r="B1588" s="4" t="s">
        <v>3201</v>
      </c>
      <c r="C1588" s="54">
        <v>316833</v>
      </c>
      <c r="D1588" s="17" t="s">
        <v>11</v>
      </c>
      <c r="E1588" s="17" t="s">
        <v>12</v>
      </c>
      <c r="F1588" s="15">
        <v>45078</v>
      </c>
      <c r="G1588" s="8">
        <f t="shared" si="24"/>
        <v>45078</v>
      </c>
      <c r="H1588" s="8" t="s">
        <v>39</v>
      </c>
      <c r="I1588" s="9" t="s">
        <v>3380</v>
      </c>
      <c r="J1588" s="10" t="s">
        <v>3380</v>
      </c>
      <c r="K1588" s="17"/>
    </row>
    <row r="1589" spans="1:11" x14ac:dyDescent="0.25">
      <c r="A1589" s="3" t="s">
        <v>3202</v>
      </c>
      <c r="B1589" s="4" t="s">
        <v>3203</v>
      </c>
      <c r="C1589" s="54">
        <v>319633</v>
      </c>
      <c r="D1589" s="17" t="s">
        <v>11</v>
      </c>
      <c r="E1589" s="17" t="s">
        <v>12</v>
      </c>
      <c r="F1589" s="15">
        <v>45086</v>
      </c>
      <c r="G1589" s="8">
        <f t="shared" si="24"/>
        <v>45086</v>
      </c>
      <c r="H1589" s="8" t="s">
        <v>13</v>
      </c>
      <c r="I1589" s="9" t="s">
        <v>3380</v>
      </c>
      <c r="J1589" s="10" t="s">
        <v>3380</v>
      </c>
      <c r="K1589" s="17"/>
    </row>
    <row r="1590" spans="1:11" x14ac:dyDescent="0.25">
      <c r="A1590" s="3" t="s">
        <v>3204</v>
      </c>
      <c r="B1590" s="4" t="s">
        <v>3205</v>
      </c>
      <c r="C1590" s="54">
        <v>321233</v>
      </c>
      <c r="D1590" s="17" t="s">
        <v>34</v>
      </c>
      <c r="E1590" s="17" t="s">
        <v>17</v>
      </c>
      <c r="F1590" s="15">
        <v>45098</v>
      </c>
      <c r="G1590" s="8">
        <f t="shared" si="24"/>
        <v>45098</v>
      </c>
      <c r="H1590" s="8" t="s">
        <v>13</v>
      </c>
      <c r="I1590" s="9" t="s">
        <v>3380</v>
      </c>
      <c r="J1590" s="10" t="s">
        <v>3380</v>
      </c>
      <c r="K1590" s="17"/>
    </row>
    <row r="1591" spans="1:11" x14ac:dyDescent="0.25">
      <c r="A1591" s="3" t="s">
        <v>3206</v>
      </c>
      <c r="B1591" s="4" t="s">
        <v>3207</v>
      </c>
      <c r="C1591" s="54">
        <v>321234</v>
      </c>
      <c r="D1591" s="17" t="s">
        <v>28</v>
      </c>
      <c r="E1591" s="17" t="s">
        <v>17</v>
      </c>
      <c r="F1591" s="15">
        <v>45098</v>
      </c>
      <c r="G1591" s="8">
        <f t="shared" si="24"/>
        <v>45098</v>
      </c>
      <c r="H1591" s="8" t="s">
        <v>13</v>
      </c>
      <c r="I1591" s="9" t="s">
        <v>3380</v>
      </c>
      <c r="J1591" s="10" t="s">
        <v>3380</v>
      </c>
      <c r="K1591" s="17"/>
    </row>
    <row r="1592" spans="1:11" x14ac:dyDescent="0.25">
      <c r="A1592" s="3" t="s">
        <v>3208</v>
      </c>
      <c r="B1592" s="4" t="s">
        <v>3209</v>
      </c>
      <c r="C1592" s="54">
        <v>323233</v>
      </c>
      <c r="D1592" s="17" t="s">
        <v>37</v>
      </c>
      <c r="E1592" s="17" t="s">
        <v>3047</v>
      </c>
      <c r="F1592" s="15">
        <v>45103</v>
      </c>
      <c r="G1592" s="8">
        <f t="shared" si="24"/>
        <v>45103</v>
      </c>
      <c r="H1592" s="8" t="s">
        <v>39</v>
      </c>
      <c r="I1592" s="9" t="s">
        <v>3380</v>
      </c>
      <c r="J1592" s="10" t="s">
        <v>3380</v>
      </c>
      <c r="K1592" s="17"/>
    </row>
    <row r="1593" spans="1:11" x14ac:dyDescent="0.25">
      <c r="A1593" s="3" t="s">
        <v>3210</v>
      </c>
      <c r="B1593" s="4" t="s">
        <v>3211</v>
      </c>
      <c r="C1593" s="5">
        <v>325633</v>
      </c>
      <c r="D1593" s="17" t="s">
        <v>11</v>
      </c>
      <c r="E1593" s="17" t="s">
        <v>12</v>
      </c>
      <c r="F1593" s="15">
        <v>45125</v>
      </c>
      <c r="G1593" s="8">
        <f t="shared" si="24"/>
        <v>45125</v>
      </c>
      <c r="H1593" s="8" t="s">
        <v>39</v>
      </c>
      <c r="I1593" s="9" t="s">
        <v>3380</v>
      </c>
      <c r="J1593" s="10" t="s">
        <v>3380</v>
      </c>
      <c r="K1593" s="17"/>
    </row>
    <row r="1594" spans="1:11" x14ac:dyDescent="0.25">
      <c r="A1594" s="3" t="s">
        <v>3212</v>
      </c>
      <c r="B1594" s="4" t="s">
        <v>3213</v>
      </c>
      <c r="C1594" s="5">
        <v>325233</v>
      </c>
      <c r="D1594" s="17" t="s">
        <v>38</v>
      </c>
      <c r="E1594" s="17" t="s">
        <v>3047</v>
      </c>
      <c r="F1594" s="15">
        <v>45126</v>
      </c>
      <c r="G1594" s="8">
        <f t="shared" si="24"/>
        <v>45126</v>
      </c>
      <c r="H1594" s="8" t="s">
        <v>39</v>
      </c>
      <c r="I1594" s="9" t="s">
        <v>3380</v>
      </c>
      <c r="J1594" s="10" t="s">
        <v>3380</v>
      </c>
      <c r="K1594" s="17"/>
    </row>
    <row r="1595" spans="1:11" x14ac:dyDescent="0.25">
      <c r="A1595" s="3" t="s">
        <v>3214</v>
      </c>
      <c r="B1595" s="4" t="s">
        <v>3215</v>
      </c>
      <c r="C1595" s="5">
        <v>323633</v>
      </c>
      <c r="D1595" s="17" t="s">
        <v>31</v>
      </c>
      <c r="E1595" s="17" t="s">
        <v>17</v>
      </c>
      <c r="F1595" s="15">
        <v>45127</v>
      </c>
      <c r="G1595" s="8">
        <f t="shared" si="24"/>
        <v>45127</v>
      </c>
      <c r="H1595" s="8" t="s">
        <v>13</v>
      </c>
      <c r="I1595" s="9" t="s">
        <v>3380</v>
      </c>
      <c r="J1595" s="10" t="s">
        <v>3380</v>
      </c>
      <c r="K1595" s="17"/>
    </row>
    <row r="1596" spans="1:11" x14ac:dyDescent="0.25">
      <c r="A1596" s="3" t="s">
        <v>3216</v>
      </c>
      <c r="B1596" s="4" t="s">
        <v>3217</v>
      </c>
      <c r="C1596" s="54">
        <v>326003</v>
      </c>
      <c r="D1596" s="17" t="s">
        <v>11</v>
      </c>
      <c r="E1596" s="17" t="s">
        <v>12</v>
      </c>
      <c r="F1596" s="15">
        <v>45139</v>
      </c>
      <c r="G1596" s="8">
        <f t="shared" si="24"/>
        <v>45139</v>
      </c>
      <c r="H1596" s="8" t="s">
        <v>39</v>
      </c>
      <c r="I1596" s="9" t="s">
        <v>3380</v>
      </c>
      <c r="J1596" s="10" t="s">
        <v>3380</v>
      </c>
      <c r="K1596" s="17"/>
    </row>
    <row r="1597" spans="1:11" x14ac:dyDescent="0.25">
      <c r="A1597" s="3" t="s">
        <v>3218</v>
      </c>
      <c r="B1597" s="4" t="s">
        <v>3219</v>
      </c>
      <c r="C1597" s="54">
        <v>326034</v>
      </c>
      <c r="D1597" s="17" t="s">
        <v>34</v>
      </c>
      <c r="E1597" s="17" t="s">
        <v>17</v>
      </c>
      <c r="F1597" s="15">
        <v>45133</v>
      </c>
      <c r="G1597" s="8">
        <f t="shared" si="24"/>
        <v>45133</v>
      </c>
      <c r="H1597" s="8" t="s">
        <v>13</v>
      </c>
      <c r="I1597" s="9" t="s">
        <v>3380</v>
      </c>
      <c r="J1597" s="10" t="s">
        <v>3380</v>
      </c>
      <c r="K1597" s="17"/>
    </row>
    <row r="1598" spans="1:11" x14ac:dyDescent="0.25">
      <c r="A1598" s="3" t="s">
        <v>3220</v>
      </c>
      <c r="B1598" s="4" t="s">
        <v>3221</v>
      </c>
      <c r="C1598" s="54">
        <v>327233</v>
      </c>
      <c r="D1598" s="17" t="s">
        <v>16</v>
      </c>
      <c r="E1598" s="17" t="s">
        <v>17</v>
      </c>
      <c r="F1598" s="15">
        <v>45142</v>
      </c>
      <c r="G1598" s="8">
        <f t="shared" si="24"/>
        <v>45142</v>
      </c>
      <c r="H1598" s="8" t="s">
        <v>13</v>
      </c>
      <c r="I1598" s="9" t="s">
        <v>3380</v>
      </c>
      <c r="J1598" s="10" t="s">
        <v>3380</v>
      </c>
      <c r="K1598" s="17"/>
    </row>
    <row r="1599" spans="1:11" x14ac:dyDescent="0.25">
      <c r="A1599" s="3" t="s">
        <v>3222</v>
      </c>
      <c r="B1599" s="4" t="s">
        <v>3223</v>
      </c>
      <c r="C1599" s="54">
        <v>316576</v>
      </c>
      <c r="D1599" s="17" t="s">
        <v>11</v>
      </c>
      <c r="E1599" s="17" t="s">
        <v>12</v>
      </c>
      <c r="F1599" s="15">
        <v>45152</v>
      </c>
      <c r="G1599" s="8">
        <f t="shared" si="24"/>
        <v>45152</v>
      </c>
      <c r="H1599" s="8" t="s">
        <v>39</v>
      </c>
      <c r="I1599" s="9" t="s">
        <v>3380</v>
      </c>
      <c r="J1599" s="10" t="s">
        <v>3380</v>
      </c>
      <c r="K1599" s="17"/>
    </row>
    <row r="1600" spans="1:11" x14ac:dyDescent="0.25">
      <c r="A1600" s="3" t="s">
        <v>3224</v>
      </c>
      <c r="B1600" s="4" t="s">
        <v>3225</v>
      </c>
      <c r="C1600" s="5">
        <v>316552</v>
      </c>
      <c r="D1600" s="17" t="s">
        <v>34</v>
      </c>
      <c r="E1600" s="17" t="s">
        <v>17</v>
      </c>
      <c r="F1600" s="15">
        <v>45156</v>
      </c>
      <c r="G1600" s="8">
        <f t="shared" si="24"/>
        <v>45156</v>
      </c>
      <c r="H1600" s="8" t="s">
        <v>13</v>
      </c>
      <c r="I1600" s="9" t="s">
        <v>3380</v>
      </c>
      <c r="J1600" s="10" t="s">
        <v>3380</v>
      </c>
      <c r="K1600" s="17"/>
    </row>
    <row r="1601" spans="1:11" x14ac:dyDescent="0.25">
      <c r="A1601" s="3" t="s">
        <v>3226</v>
      </c>
      <c r="B1601" s="4" t="s">
        <v>3227</v>
      </c>
      <c r="C1601" s="5">
        <v>331233</v>
      </c>
      <c r="D1601" s="17" t="s">
        <v>31</v>
      </c>
      <c r="E1601" s="17" t="s">
        <v>17</v>
      </c>
      <c r="F1601" s="15">
        <v>45155</v>
      </c>
      <c r="G1601" s="8">
        <f t="shared" si="24"/>
        <v>45155</v>
      </c>
      <c r="H1601" s="8" t="s">
        <v>13</v>
      </c>
      <c r="I1601" s="9" t="s">
        <v>3380</v>
      </c>
      <c r="J1601" s="10" t="s">
        <v>3380</v>
      </c>
      <c r="K1601" s="17"/>
    </row>
    <row r="1602" spans="1:11" x14ac:dyDescent="0.25">
      <c r="A1602" s="3" t="s">
        <v>3228</v>
      </c>
      <c r="B1602" s="4" t="s">
        <v>3229</v>
      </c>
      <c r="C1602" s="5">
        <v>316575</v>
      </c>
      <c r="D1602" s="17" t="s">
        <v>28</v>
      </c>
      <c r="E1602" s="17" t="s">
        <v>17</v>
      </c>
      <c r="F1602" s="15">
        <v>45160</v>
      </c>
      <c r="G1602" s="8">
        <f t="shared" ref="G1602:G1665" si="25">F1602</f>
        <v>45160</v>
      </c>
      <c r="H1602" s="8" t="s">
        <v>13</v>
      </c>
      <c r="I1602" s="9" t="s">
        <v>3380</v>
      </c>
      <c r="J1602" s="10" t="s">
        <v>3380</v>
      </c>
      <c r="K1602" s="17"/>
    </row>
    <row r="1603" spans="1:11" x14ac:dyDescent="0.25">
      <c r="A1603" s="3" t="s">
        <v>3230</v>
      </c>
      <c r="B1603" s="4" t="s">
        <v>3231</v>
      </c>
      <c r="C1603" s="5">
        <v>316565</v>
      </c>
      <c r="D1603" s="17" t="s">
        <v>11</v>
      </c>
      <c r="E1603" s="17" t="s">
        <v>17</v>
      </c>
      <c r="F1603" s="15">
        <v>45181</v>
      </c>
      <c r="G1603" s="8">
        <f t="shared" si="25"/>
        <v>45181</v>
      </c>
      <c r="H1603" s="8" t="s">
        <v>13</v>
      </c>
      <c r="I1603" s="9" t="s">
        <v>3380</v>
      </c>
      <c r="J1603" s="10" t="s">
        <v>3380</v>
      </c>
      <c r="K1603" s="17"/>
    </row>
    <row r="1604" spans="1:11" x14ac:dyDescent="0.25">
      <c r="A1604" s="3" t="s">
        <v>3232</v>
      </c>
      <c r="B1604" s="4" t="s">
        <v>3233</v>
      </c>
      <c r="C1604" s="5">
        <v>316479</v>
      </c>
      <c r="D1604" s="17" t="s">
        <v>28</v>
      </c>
      <c r="E1604" s="17" t="s">
        <v>17</v>
      </c>
      <c r="F1604" s="15">
        <v>45161</v>
      </c>
      <c r="G1604" s="8">
        <f t="shared" si="25"/>
        <v>45161</v>
      </c>
      <c r="H1604" s="8" t="s">
        <v>13</v>
      </c>
      <c r="I1604" s="9" t="s">
        <v>3380</v>
      </c>
      <c r="J1604" s="10" t="s">
        <v>3380</v>
      </c>
      <c r="K1604" s="17"/>
    </row>
    <row r="1605" spans="1:11" x14ac:dyDescent="0.25">
      <c r="A1605" s="3" t="s">
        <v>3234</v>
      </c>
      <c r="B1605" s="4" t="s">
        <v>3235</v>
      </c>
      <c r="C1605" s="54">
        <v>336833</v>
      </c>
      <c r="D1605" s="17" t="s">
        <v>11</v>
      </c>
      <c r="E1605" s="17" t="s">
        <v>12</v>
      </c>
      <c r="F1605" s="15">
        <v>45181</v>
      </c>
      <c r="G1605" s="8">
        <f t="shared" si="25"/>
        <v>45181</v>
      </c>
      <c r="H1605" s="8" t="s">
        <v>39</v>
      </c>
      <c r="I1605" s="9" t="s">
        <v>3380</v>
      </c>
      <c r="J1605" s="10" t="s">
        <v>3380</v>
      </c>
      <c r="K1605" s="17"/>
    </row>
    <row r="1606" spans="1:11" x14ac:dyDescent="0.25">
      <c r="A1606" s="3" t="s">
        <v>3236</v>
      </c>
      <c r="B1606" s="4" t="s">
        <v>3237</v>
      </c>
      <c r="C1606" s="5">
        <v>336033</v>
      </c>
      <c r="D1606" s="17" t="s">
        <v>28</v>
      </c>
      <c r="E1606" s="17" t="s">
        <v>17</v>
      </c>
      <c r="F1606" s="15">
        <v>45210</v>
      </c>
      <c r="G1606" s="8">
        <f t="shared" si="25"/>
        <v>45210</v>
      </c>
      <c r="H1606" s="8" t="s">
        <v>13</v>
      </c>
      <c r="I1606" s="9" t="s">
        <v>3380</v>
      </c>
      <c r="J1606" s="10" t="s">
        <v>3380</v>
      </c>
      <c r="K1606" s="17"/>
    </row>
    <row r="1607" spans="1:11" x14ac:dyDescent="0.25">
      <c r="A1607" s="3" t="s">
        <v>3238</v>
      </c>
      <c r="B1607" s="4" t="s">
        <v>3239</v>
      </c>
      <c r="C1607" s="5">
        <v>337633</v>
      </c>
      <c r="D1607" s="17" t="s">
        <v>16</v>
      </c>
      <c r="E1607" s="17" t="s">
        <v>17</v>
      </c>
      <c r="F1607" s="15">
        <v>45183</v>
      </c>
      <c r="G1607" s="8">
        <f t="shared" si="25"/>
        <v>45183</v>
      </c>
      <c r="H1607" s="8" t="s">
        <v>13</v>
      </c>
      <c r="I1607" s="9" t="s">
        <v>3380</v>
      </c>
      <c r="J1607" s="10" t="s">
        <v>3380</v>
      </c>
      <c r="K1607" s="17"/>
    </row>
    <row r="1608" spans="1:11" x14ac:dyDescent="0.25">
      <c r="A1608" s="3" t="s">
        <v>3240</v>
      </c>
      <c r="B1608" s="4" t="s">
        <v>3241</v>
      </c>
      <c r="C1608" s="54">
        <v>337638</v>
      </c>
      <c r="D1608" s="17" t="s">
        <v>34</v>
      </c>
      <c r="E1608" s="17" t="s">
        <v>17</v>
      </c>
      <c r="F1608" s="15">
        <v>45184</v>
      </c>
      <c r="G1608" s="8">
        <f t="shared" si="25"/>
        <v>45184</v>
      </c>
      <c r="H1608" s="8" t="s">
        <v>13</v>
      </c>
      <c r="I1608" s="9" t="s">
        <v>3380</v>
      </c>
      <c r="J1608" s="10" t="s">
        <v>3380</v>
      </c>
      <c r="K1608" s="17"/>
    </row>
    <row r="1609" spans="1:11" x14ac:dyDescent="0.25">
      <c r="A1609" s="3" t="s">
        <v>3242</v>
      </c>
      <c r="B1609" s="4" t="s">
        <v>3243</v>
      </c>
      <c r="C1609" s="54">
        <v>338033</v>
      </c>
      <c r="D1609" s="17" t="s">
        <v>34</v>
      </c>
      <c r="E1609" s="17" t="s">
        <v>17</v>
      </c>
      <c r="F1609" s="15">
        <v>45186</v>
      </c>
      <c r="G1609" s="8">
        <f t="shared" si="25"/>
        <v>45186</v>
      </c>
      <c r="H1609" s="8" t="s">
        <v>13</v>
      </c>
      <c r="I1609" s="9" t="s">
        <v>3380</v>
      </c>
      <c r="J1609" s="10" t="s">
        <v>3380</v>
      </c>
      <c r="K1609" s="17"/>
    </row>
    <row r="1610" spans="1:11" x14ac:dyDescent="0.25">
      <c r="A1610" s="3" t="s">
        <v>3244</v>
      </c>
      <c r="B1610" s="4" t="s">
        <v>3245</v>
      </c>
      <c r="C1610" s="54">
        <v>338433</v>
      </c>
      <c r="D1610" s="17" t="s">
        <v>11</v>
      </c>
      <c r="E1610" s="17"/>
      <c r="F1610" s="15">
        <v>45200</v>
      </c>
      <c r="G1610" s="8">
        <f t="shared" si="25"/>
        <v>45200</v>
      </c>
      <c r="H1610" s="8" t="s">
        <v>39</v>
      </c>
      <c r="I1610" s="9" t="s">
        <v>3380</v>
      </c>
      <c r="J1610" s="10" t="s">
        <v>3380</v>
      </c>
      <c r="K1610" s="17"/>
    </row>
    <row r="1611" spans="1:11" x14ac:dyDescent="0.25">
      <c r="A1611" s="3" t="s">
        <v>3246</v>
      </c>
      <c r="B1611" s="4" t="s">
        <v>3247</v>
      </c>
      <c r="C1611" s="54">
        <v>340433</v>
      </c>
      <c r="D1611" s="17" t="s">
        <v>16</v>
      </c>
      <c r="E1611" s="17" t="s">
        <v>17</v>
      </c>
      <c r="F1611" s="15">
        <v>45202</v>
      </c>
      <c r="G1611" s="8">
        <f t="shared" si="25"/>
        <v>45202</v>
      </c>
      <c r="H1611" s="8" t="s">
        <v>13</v>
      </c>
      <c r="I1611" s="9" t="s">
        <v>3380</v>
      </c>
      <c r="J1611" s="10" t="s">
        <v>3380</v>
      </c>
      <c r="K1611" s="17"/>
    </row>
    <row r="1612" spans="1:11" x14ac:dyDescent="0.25">
      <c r="A1612" s="3" t="s">
        <v>3248</v>
      </c>
      <c r="B1612" s="4" t="s">
        <v>3249</v>
      </c>
      <c r="C1612" s="54" t="s">
        <v>3250</v>
      </c>
      <c r="D1612" s="17" t="s">
        <v>11</v>
      </c>
      <c r="E1612" s="17" t="s">
        <v>12</v>
      </c>
      <c r="F1612" s="15">
        <v>45108</v>
      </c>
      <c r="G1612" s="8">
        <f t="shared" si="25"/>
        <v>45108</v>
      </c>
      <c r="H1612" s="8" t="s">
        <v>13</v>
      </c>
      <c r="I1612" s="9" t="s">
        <v>3380</v>
      </c>
      <c r="J1612" s="10" t="s">
        <v>3380</v>
      </c>
      <c r="K1612" s="17"/>
    </row>
    <row r="1613" spans="1:11" x14ac:dyDescent="0.25">
      <c r="A1613" s="3" t="s">
        <v>3251</v>
      </c>
      <c r="B1613" s="4" t="s">
        <v>3252</v>
      </c>
      <c r="C1613" s="54">
        <v>342833</v>
      </c>
      <c r="D1613" s="17" t="s">
        <v>34</v>
      </c>
      <c r="E1613" s="17" t="s">
        <v>17</v>
      </c>
      <c r="F1613" s="15">
        <v>45230</v>
      </c>
      <c r="G1613" s="8">
        <f t="shared" si="25"/>
        <v>45230</v>
      </c>
      <c r="H1613" s="8" t="s">
        <v>13</v>
      </c>
      <c r="I1613" s="9" t="s">
        <v>3380</v>
      </c>
      <c r="J1613" s="10" t="s">
        <v>3380</v>
      </c>
      <c r="K1613" s="17"/>
    </row>
    <row r="1614" spans="1:11" x14ac:dyDescent="0.25">
      <c r="A1614" s="3" t="s">
        <v>3253</v>
      </c>
      <c r="B1614" s="4" t="s">
        <v>3254</v>
      </c>
      <c r="C1614" s="54">
        <v>343233</v>
      </c>
      <c r="D1614" s="17" t="s">
        <v>34</v>
      </c>
      <c r="E1614" s="17" t="s">
        <v>17</v>
      </c>
      <c r="F1614" s="15">
        <v>45230</v>
      </c>
      <c r="G1614" s="8">
        <f t="shared" si="25"/>
        <v>45230</v>
      </c>
      <c r="H1614" s="8" t="s">
        <v>13</v>
      </c>
      <c r="I1614" s="9" t="s">
        <v>3380</v>
      </c>
      <c r="J1614" s="10" t="s">
        <v>3380</v>
      </c>
      <c r="K1614" s="17"/>
    </row>
    <row r="1615" spans="1:11" x14ac:dyDescent="0.25">
      <c r="A1615" s="3" t="s">
        <v>3255</v>
      </c>
      <c r="B1615" s="4" t="s">
        <v>3256</v>
      </c>
      <c r="C1615" s="54">
        <v>322833</v>
      </c>
      <c r="D1615" s="17" t="s">
        <v>28</v>
      </c>
      <c r="E1615" s="17" t="s">
        <v>17</v>
      </c>
      <c r="F1615" s="15">
        <v>45231</v>
      </c>
      <c r="G1615" s="8">
        <f t="shared" si="25"/>
        <v>45231</v>
      </c>
      <c r="H1615" s="8" t="s">
        <v>13</v>
      </c>
      <c r="I1615" s="9" t="s">
        <v>3380</v>
      </c>
      <c r="J1615" s="10" t="s">
        <v>3380</v>
      </c>
      <c r="K1615" s="17"/>
    </row>
    <row r="1616" spans="1:11" x14ac:dyDescent="0.25">
      <c r="A1616" s="3" t="s">
        <v>3257</v>
      </c>
      <c r="B1616" s="4" t="s">
        <v>3258</v>
      </c>
      <c r="C1616" s="54"/>
      <c r="D1616" s="17" t="s">
        <v>31</v>
      </c>
      <c r="E1616" s="17" t="s">
        <v>17</v>
      </c>
      <c r="F1616" s="15">
        <v>45266</v>
      </c>
      <c r="G1616" s="8">
        <f t="shared" si="25"/>
        <v>45266</v>
      </c>
      <c r="H1616" s="8" t="s">
        <v>13</v>
      </c>
      <c r="I1616" s="9" t="s">
        <v>3380</v>
      </c>
      <c r="J1616" s="10" t="s">
        <v>3380</v>
      </c>
      <c r="K1616" s="17"/>
    </row>
    <row r="1617" spans="1:11" x14ac:dyDescent="0.25">
      <c r="A1617" s="3" t="s">
        <v>3259</v>
      </c>
      <c r="B1617" s="4" t="s">
        <v>3260</v>
      </c>
      <c r="C1617" s="54">
        <v>345634</v>
      </c>
      <c r="D1617" s="17" t="s">
        <v>11</v>
      </c>
      <c r="E1617" s="17" t="s">
        <v>12</v>
      </c>
      <c r="F1617" s="15">
        <v>45258</v>
      </c>
      <c r="G1617" s="8">
        <f t="shared" si="25"/>
        <v>45258</v>
      </c>
      <c r="H1617" s="8" t="s">
        <v>39</v>
      </c>
      <c r="I1617" s="9" t="s">
        <v>3380</v>
      </c>
      <c r="J1617" s="10" t="s">
        <v>3380</v>
      </c>
      <c r="K1617" s="17"/>
    </row>
    <row r="1618" spans="1:11" x14ac:dyDescent="0.25">
      <c r="A1618" s="3" t="s">
        <v>3261</v>
      </c>
      <c r="B1618" s="4" t="s">
        <v>3262</v>
      </c>
      <c r="C1618" s="54">
        <v>345234</v>
      </c>
      <c r="D1618" s="17" t="s">
        <v>34</v>
      </c>
      <c r="E1618" s="17" t="s">
        <v>17</v>
      </c>
      <c r="F1618" s="15">
        <v>45279</v>
      </c>
      <c r="G1618" s="8">
        <f t="shared" si="25"/>
        <v>45279</v>
      </c>
      <c r="H1618" s="8" t="s">
        <v>13</v>
      </c>
      <c r="I1618" s="9" t="s">
        <v>3380</v>
      </c>
      <c r="J1618" s="10" t="s">
        <v>3380</v>
      </c>
      <c r="K1618" s="17"/>
    </row>
    <row r="1619" spans="1:11" x14ac:dyDescent="0.25">
      <c r="A1619" s="3" t="s">
        <v>3263</v>
      </c>
      <c r="B1619" s="4" t="s">
        <v>3264</v>
      </c>
      <c r="C1619" s="5">
        <v>346835</v>
      </c>
      <c r="D1619" s="17" t="s">
        <v>11</v>
      </c>
      <c r="E1619" s="17" t="s">
        <v>17</v>
      </c>
      <c r="F1619" s="15">
        <v>45372</v>
      </c>
      <c r="G1619" s="8">
        <f t="shared" si="25"/>
        <v>45372</v>
      </c>
      <c r="H1619" s="8" t="s">
        <v>13</v>
      </c>
      <c r="I1619" s="9" t="s">
        <v>3380</v>
      </c>
      <c r="J1619" s="10" t="s">
        <v>3380</v>
      </c>
      <c r="K1619" s="17"/>
    </row>
    <row r="1620" spans="1:11" x14ac:dyDescent="0.25">
      <c r="A1620" s="3" t="s">
        <v>3265</v>
      </c>
      <c r="B1620" s="4" t="s">
        <v>3266</v>
      </c>
      <c r="C1620" s="54">
        <v>347634</v>
      </c>
      <c r="D1620" s="17" t="s">
        <v>28</v>
      </c>
      <c r="E1620" s="17" t="s">
        <v>17</v>
      </c>
      <c r="F1620" s="15">
        <v>45275</v>
      </c>
      <c r="G1620" s="8">
        <f t="shared" si="25"/>
        <v>45275</v>
      </c>
      <c r="H1620" s="8" t="s">
        <v>13</v>
      </c>
      <c r="I1620" s="9" t="s">
        <v>3380</v>
      </c>
      <c r="J1620" s="10" t="s">
        <v>3380</v>
      </c>
      <c r="K1620" s="17"/>
    </row>
    <row r="1621" spans="1:11" x14ac:dyDescent="0.25">
      <c r="A1621" s="3" t="s">
        <v>3267</v>
      </c>
      <c r="B1621" s="4" t="s">
        <v>3268</v>
      </c>
      <c r="C1621" s="5">
        <v>347635</v>
      </c>
      <c r="D1621" s="17" t="s">
        <v>16</v>
      </c>
      <c r="E1621" s="17" t="s">
        <v>17</v>
      </c>
      <c r="F1621" s="15">
        <v>44913</v>
      </c>
      <c r="G1621" s="8">
        <f t="shared" si="25"/>
        <v>44913</v>
      </c>
      <c r="H1621" s="8" t="s">
        <v>13</v>
      </c>
      <c r="I1621" s="9" t="s">
        <v>3380</v>
      </c>
      <c r="J1621" s="10" t="s">
        <v>3380</v>
      </c>
      <c r="K1621" s="17"/>
    </row>
    <row r="1622" spans="1:11" x14ac:dyDescent="0.25">
      <c r="A1622" s="3" t="s">
        <v>3269</v>
      </c>
      <c r="B1622" s="4" t="s">
        <v>3270</v>
      </c>
      <c r="C1622" s="54">
        <v>348434</v>
      </c>
      <c r="D1622" s="17" t="s">
        <v>34</v>
      </c>
      <c r="E1622" s="17" t="s">
        <v>17</v>
      </c>
      <c r="F1622" s="15">
        <v>45302</v>
      </c>
      <c r="G1622" s="8">
        <f t="shared" si="25"/>
        <v>45302</v>
      </c>
      <c r="H1622" s="8" t="s">
        <v>13</v>
      </c>
      <c r="I1622" s="9" t="s">
        <v>3380</v>
      </c>
      <c r="J1622" s="10" t="s">
        <v>3380</v>
      </c>
      <c r="K1622" s="17"/>
    </row>
    <row r="1623" spans="1:11" x14ac:dyDescent="0.25">
      <c r="A1623" s="3" t="s">
        <v>3271</v>
      </c>
      <c r="B1623" s="4" t="s">
        <v>3272</v>
      </c>
      <c r="C1623" s="54">
        <v>351235</v>
      </c>
      <c r="D1623" s="17" t="s">
        <v>11</v>
      </c>
      <c r="E1623" s="17" t="s">
        <v>12</v>
      </c>
      <c r="F1623" s="15">
        <v>45300</v>
      </c>
      <c r="G1623" s="8">
        <f t="shared" si="25"/>
        <v>45300</v>
      </c>
      <c r="H1623" s="8" t="s">
        <v>39</v>
      </c>
      <c r="I1623" s="9" t="s">
        <v>3380</v>
      </c>
      <c r="J1623" s="10" t="s">
        <v>3380</v>
      </c>
      <c r="K1623" s="17"/>
    </row>
    <row r="1624" spans="1:11" x14ac:dyDescent="0.25">
      <c r="A1624" s="3" t="s">
        <v>3273</v>
      </c>
      <c r="B1624" s="4" t="s">
        <v>3274</v>
      </c>
      <c r="C1624" s="5">
        <v>349234</v>
      </c>
      <c r="D1624" s="17" t="s">
        <v>11</v>
      </c>
      <c r="E1624" s="17" t="s">
        <v>17</v>
      </c>
      <c r="F1624" s="15">
        <v>45300</v>
      </c>
      <c r="G1624" s="8">
        <f t="shared" si="25"/>
        <v>45300</v>
      </c>
      <c r="H1624" s="8" t="s">
        <v>13</v>
      </c>
      <c r="I1624" s="9" t="s">
        <v>3380</v>
      </c>
      <c r="J1624" s="10" t="s">
        <v>3380</v>
      </c>
      <c r="K1624" s="17"/>
    </row>
    <row r="1625" spans="1:11" x14ac:dyDescent="0.25">
      <c r="A1625" s="3" t="s">
        <v>3275</v>
      </c>
      <c r="B1625" s="4" t="s">
        <v>3276</v>
      </c>
      <c r="C1625" s="5">
        <v>349235</v>
      </c>
      <c r="D1625" s="17" t="s">
        <v>11</v>
      </c>
      <c r="E1625" s="17" t="s">
        <v>12</v>
      </c>
      <c r="F1625" s="15">
        <v>45293</v>
      </c>
      <c r="G1625" s="8">
        <f t="shared" si="25"/>
        <v>45293</v>
      </c>
      <c r="H1625" s="8" t="s">
        <v>13</v>
      </c>
      <c r="I1625" s="9" t="s">
        <v>3380</v>
      </c>
      <c r="J1625" s="10" t="s">
        <v>3380</v>
      </c>
      <c r="K1625" s="17"/>
    </row>
    <row r="1626" spans="1:11" x14ac:dyDescent="0.25">
      <c r="A1626" s="3" t="s">
        <v>3277</v>
      </c>
      <c r="B1626" s="4" t="s">
        <v>3278</v>
      </c>
      <c r="C1626" s="54">
        <v>354435</v>
      </c>
      <c r="D1626" s="17" t="s">
        <v>28</v>
      </c>
      <c r="E1626" s="17" t="s">
        <v>17</v>
      </c>
      <c r="F1626" s="15">
        <v>45303</v>
      </c>
      <c r="G1626" s="8">
        <f t="shared" si="25"/>
        <v>45303</v>
      </c>
      <c r="H1626" s="8" t="s">
        <v>13</v>
      </c>
      <c r="I1626" s="9" t="s">
        <v>3380</v>
      </c>
      <c r="J1626" s="10" t="s">
        <v>3380</v>
      </c>
      <c r="K1626" s="17"/>
    </row>
    <row r="1627" spans="1:11" x14ac:dyDescent="0.25">
      <c r="A1627" s="3" t="s">
        <v>3279</v>
      </c>
      <c r="B1627" s="4" t="s">
        <v>3280</v>
      </c>
      <c r="C1627" s="54">
        <v>351234</v>
      </c>
      <c r="D1627" s="17" t="s">
        <v>11</v>
      </c>
      <c r="E1627" s="17" t="s">
        <v>12</v>
      </c>
      <c r="F1627" s="15">
        <v>45308</v>
      </c>
      <c r="G1627" s="8">
        <f t="shared" si="25"/>
        <v>45308</v>
      </c>
      <c r="H1627" s="8" t="s">
        <v>39</v>
      </c>
      <c r="I1627" s="9" t="s">
        <v>3380</v>
      </c>
      <c r="J1627" s="10" t="s">
        <v>3380</v>
      </c>
      <c r="K1627" s="17"/>
    </row>
    <row r="1628" spans="1:11" x14ac:dyDescent="0.25">
      <c r="A1628" s="3" t="s">
        <v>3281</v>
      </c>
      <c r="B1628" s="4" t="s">
        <v>3282</v>
      </c>
      <c r="C1628" s="54">
        <v>350834</v>
      </c>
      <c r="D1628" s="17" t="s">
        <v>28</v>
      </c>
      <c r="E1628" s="17" t="s">
        <v>17</v>
      </c>
      <c r="F1628" s="15">
        <v>45317</v>
      </c>
      <c r="G1628" s="8">
        <f t="shared" si="25"/>
        <v>45317</v>
      </c>
      <c r="H1628" s="8" t="s">
        <v>13</v>
      </c>
      <c r="I1628" s="9" t="s">
        <v>3380</v>
      </c>
      <c r="J1628" s="10" t="s">
        <v>3380</v>
      </c>
      <c r="K1628" s="17"/>
    </row>
    <row r="1629" spans="1:11" x14ac:dyDescent="0.25">
      <c r="A1629" s="3" t="s">
        <v>3283</v>
      </c>
      <c r="B1629" s="4" t="s">
        <v>3284</v>
      </c>
      <c r="C1629" s="5">
        <v>352434</v>
      </c>
      <c r="D1629" s="17" t="s">
        <v>37</v>
      </c>
      <c r="E1629" s="17" t="s">
        <v>38</v>
      </c>
      <c r="F1629" s="15">
        <v>45343</v>
      </c>
      <c r="G1629" s="8">
        <f t="shared" si="25"/>
        <v>45343</v>
      </c>
      <c r="H1629" s="8" t="s">
        <v>39</v>
      </c>
      <c r="I1629" s="9" t="s">
        <v>3380</v>
      </c>
      <c r="J1629" s="10" t="s">
        <v>3380</v>
      </c>
      <c r="K1629" s="17"/>
    </row>
    <row r="1630" spans="1:11" x14ac:dyDescent="0.25">
      <c r="A1630" s="3" t="s">
        <v>3285</v>
      </c>
      <c r="B1630" s="4" t="s">
        <v>3286</v>
      </c>
      <c r="C1630" s="54">
        <v>346835</v>
      </c>
      <c r="D1630" s="17" t="s">
        <v>11</v>
      </c>
      <c r="E1630" s="17" t="s">
        <v>17</v>
      </c>
      <c r="F1630" s="15">
        <v>45371</v>
      </c>
      <c r="G1630" s="8">
        <f t="shared" si="25"/>
        <v>45371</v>
      </c>
      <c r="H1630" s="8" t="s">
        <v>13</v>
      </c>
      <c r="I1630" s="9" t="s">
        <v>3380</v>
      </c>
      <c r="J1630" s="10" t="s">
        <v>3380</v>
      </c>
      <c r="K1630" s="17"/>
    </row>
    <row r="1631" spans="1:11" x14ac:dyDescent="0.25">
      <c r="A1631" s="3" t="s">
        <v>3287</v>
      </c>
      <c r="B1631" s="4" t="s">
        <v>3288</v>
      </c>
      <c r="C1631" s="5">
        <v>359244</v>
      </c>
      <c r="D1631" s="17" t="s">
        <v>34</v>
      </c>
      <c r="E1631" s="17" t="s">
        <v>17</v>
      </c>
      <c r="F1631" s="15">
        <v>45385</v>
      </c>
      <c r="G1631" s="8">
        <f t="shared" si="25"/>
        <v>45385</v>
      </c>
      <c r="H1631" s="8" t="s">
        <v>13</v>
      </c>
      <c r="I1631" s="9" t="s">
        <v>3380</v>
      </c>
      <c r="J1631" s="10" t="s">
        <v>3380</v>
      </c>
      <c r="K1631" s="17"/>
    </row>
    <row r="1632" spans="1:11" x14ac:dyDescent="0.25">
      <c r="A1632" s="3" t="s">
        <v>3289</v>
      </c>
      <c r="B1632" s="4" t="s">
        <v>3290</v>
      </c>
      <c r="C1632" s="54">
        <v>360844</v>
      </c>
      <c r="D1632" s="17" t="s">
        <v>11</v>
      </c>
      <c r="E1632" s="17" t="s">
        <v>12</v>
      </c>
      <c r="F1632" s="15">
        <v>45385</v>
      </c>
      <c r="G1632" s="8">
        <f t="shared" si="25"/>
        <v>45385</v>
      </c>
      <c r="H1632" s="8" t="s">
        <v>39</v>
      </c>
      <c r="I1632" s="9" t="s">
        <v>3380</v>
      </c>
      <c r="J1632" s="10" t="s">
        <v>3380</v>
      </c>
      <c r="K1632" s="17"/>
    </row>
    <row r="1633" spans="1:11" x14ac:dyDescent="0.25">
      <c r="A1633" s="3" t="s">
        <v>3291</v>
      </c>
      <c r="B1633" s="4" t="s">
        <v>3292</v>
      </c>
      <c r="C1633" s="54">
        <v>360444</v>
      </c>
      <c r="D1633" s="17" t="s">
        <v>28</v>
      </c>
      <c r="E1633" s="17" t="s">
        <v>17</v>
      </c>
      <c r="F1633" s="15">
        <v>45394.558969907404</v>
      </c>
      <c r="G1633" s="8">
        <f t="shared" si="25"/>
        <v>45394.558969907404</v>
      </c>
      <c r="H1633" s="8" t="s">
        <v>13</v>
      </c>
      <c r="I1633" s="9" t="s">
        <v>3380</v>
      </c>
      <c r="J1633" s="10" t="s">
        <v>3380</v>
      </c>
      <c r="K1633" s="17"/>
    </row>
    <row r="1634" spans="1:11" x14ac:dyDescent="0.25">
      <c r="A1634" s="3" t="s">
        <v>3293</v>
      </c>
      <c r="B1634" s="4" t="s">
        <v>3294</v>
      </c>
      <c r="C1634" s="54">
        <v>361644</v>
      </c>
      <c r="D1634" s="17" t="s">
        <v>34</v>
      </c>
      <c r="E1634" s="17" t="s">
        <v>17</v>
      </c>
      <c r="F1634" s="15">
        <v>45399.317418981482</v>
      </c>
      <c r="G1634" s="8">
        <f t="shared" si="25"/>
        <v>45399.317418981482</v>
      </c>
      <c r="H1634" s="8" t="s">
        <v>13</v>
      </c>
      <c r="I1634" s="9" t="s">
        <v>3380</v>
      </c>
      <c r="J1634" s="10" t="s">
        <v>3380</v>
      </c>
      <c r="K1634" s="17"/>
    </row>
    <row r="1635" spans="1:11" x14ac:dyDescent="0.25">
      <c r="A1635" s="3" t="s">
        <v>3295</v>
      </c>
      <c r="B1635" s="4" t="s">
        <v>3296</v>
      </c>
      <c r="C1635" s="5">
        <v>362044</v>
      </c>
      <c r="D1635" s="17" t="s">
        <v>16</v>
      </c>
      <c r="E1635" s="17" t="s">
        <v>17</v>
      </c>
      <c r="F1635" s="15">
        <v>45404.310439814813</v>
      </c>
      <c r="G1635" s="8">
        <f t="shared" si="25"/>
        <v>45404.310439814813</v>
      </c>
      <c r="H1635" s="8" t="s">
        <v>13</v>
      </c>
      <c r="I1635" s="9" t="s">
        <v>3380</v>
      </c>
      <c r="J1635" s="10" t="s">
        <v>3380</v>
      </c>
      <c r="K1635" s="17"/>
    </row>
    <row r="1636" spans="1:11" x14ac:dyDescent="0.25">
      <c r="A1636" s="3" t="s">
        <v>3297</v>
      </c>
      <c r="B1636" s="4" t="s">
        <v>3298</v>
      </c>
      <c r="C1636" s="54">
        <v>362444</v>
      </c>
      <c r="D1636" s="17" t="s">
        <v>31</v>
      </c>
      <c r="E1636" s="17" t="s">
        <v>17</v>
      </c>
      <c r="F1636" s="15">
        <v>45404.610613425924</v>
      </c>
      <c r="G1636" s="8">
        <f t="shared" si="25"/>
        <v>45404.610613425924</v>
      </c>
      <c r="H1636" s="8" t="s">
        <v>13</v>
      </c>
      <c r="I1636" s="9" t="s">
        <v>3380</v>
      </c>
      <c r="J1636" s="10" t="s">
        <v>3380</v>
      </c>
      <c r="K1636" s="17"/>
    </row>
    <row r="1637" spans="1:11" x14ac:dyDescent="0.25">
      <c r="A1637" s="3" t="s">
        <v>3299</v>
      </c>
      <c r="B1637" s="4" t="s">
        <v>3300</v>
      </c>
      <c r="C1637" s="5">
        <v>363244</v>
      </c>
      <c r="D1637" s="17" t="s">
        <v>37</v>
      </c>
      <c r="E1637" s="17" t="s">
        <v>38</v>
      </c>
      <c r="F1637" s="15">
        <v>45413.411770833336</v>
      </c>
      <c r="G1637" s="8">
        <f t="shared" si="25"/>
        <v>45413.411770833336</v>
      </c>
      <c r="H1637" s="8" t="s">
        <v>39</v>
      </c>
      <c r="I1637" s="9" t="s">
        <v>3380</v>
      </c>
      <c r="J1637" s="10" t="s">
        <v>3380</v>
      </c>
      <c r="K1637" s="17"/>
    </row>
    <row r="1638" spans="1:11" x14ac:dyDescent="0.25">
      <c r="A1638" s="3" t="s">
        <v>3301</v>
      </c>
      <c r="B1638" s="4" t="s">
        <v>3302</v>
      </c>
      <c r="C1638" s="54">
        <v>364044</v>
      </c>
      <c r="D1638" s="17" t="s">
        <v>16</v>
      </c>
      <c r="E1638" s="17" t="s">
        <v>17</v>
      </c>
      <c r="F1638" s="15">
        <v>45433.624699074076</v>
      </c>
      <c r="G1638" s="8">
        <f t="shared" si="25"/>
        <v>45433.624699074076</v>
      </c>
      <c r="H1638" s="8" t="s">
        <v>13</v>
      </c>
      <c r="I1638" s="9" t="s">
        <v>3380</v>
      </c>
      <c r="J1638" s="10" t="s">
        <v>3380</v>
      </c>
      <c r="K1638" s="17"/>
    </row>
    <row r="1639" spans="1:11" x14ac:dyDescent="0.25">
      <c r="A1639" s="3" t="s">
        <v>3303</v>
      </c>
      <c r="B1639" s="4" t="s">
        <v>3304</v>
      </c>
      <c r="C1639" s="54">
        <v>637645</v>
      </c>
      <c r="D1639" s="17" t="s">
        <v>28</v>
      </c>
      <c r="E1639" s="17" t="s">
        <v>17</v>
      </c>
      <c r="F1639" s="15">
        <v>45450.630833333336</v>
      </c>
      <c r="G1639" s="8">
        <f t="shared" si="25"/>
        <v>45450.630833333336</v>
      </c>
      <c r="H1639" s="8" t="s">
        <v>13</v>
      </c>
      <c r="I1639" s="9" t="s">
        <v>3380</v>
      </c>
      <c r="J1639" s="10" t="s">
        <v>3380</v>
      </c>
      <c r="K1639" s="17"/>
    </row>
    <row r="1640" spans="1:11" x14ac:dyDescent="0.25">
      <c r="A1640" s="3" t="s">
        <v>3305</v>
      </c>
      <c r="B1640" s="4" t="s">
        <v>3306</v>
      </c>
      <c r="C1640" s="54">
        <v>366444</v>
      </c>
      <c r="D1640" s="17" t="s">
        <v>34</v>
      </c>
      <c r="E1640" s="17" t="s">
        <v>17</v>
      </c>
      <c r="F1640" s="15">
        <v>45453.325358796297</v>
      </c>
      <c r="G1640" s="8">
        <f t="shared" si="25"/>
        <v>45453.325358796297</v>
      </c>
      <c r="H1640" s="8" t="s">
        <v>13</v>
      </c>
      <c r="I1640" s="9" t="s">
        <v>3380</v>
      </c>
      <c r="J1640" s="10" t="s">
        <v>3380</v>
      </c>
      <c r="K1640" s="17"/>
    </row>
    <row r="1641" spans="1:11" x14ac:dyDescent="0.25">
      <c r="A1641" s="3" t="s">
        <v>3307</v>
      </c>
      <c r="B1641" s="4" t="s">
        <v>3308</v>
      </c>
      <c r="C1641" s="5">
        <v>367644</v>
      </c>
      <c r="D1641" s="17" t="s">
        <v>31</v>
      </c>
      <c r="E1641" s="17" t="s">
        <v>17</v>
      </c>
      <c r="F1641" s="15">
        <v>45455.321006944447</v>
      </c>
      <c r="G1641" s="8">
        <f t="shared" si="25"/>
        <v>45455.321006944447</v>
      </c>
      <c r="H1641" s="8" t="s">
        <v>13</v>
      </c>
      <c r="I1641" s="9" t="s">
        <v>3380</v>
      </c>
      <c r="J1641" s="10" t="s">
        <v>3380</v>
      </c>
      <c r="K1641" s="17"/>
    </row>
    <row r="1642" spans="1:11" x14ac:dyDescent="0.25">
      <c r="A1642" s="3" t="s">
        <v>3309</v>
      </c>
      <c r="B1642" s="4" t="s">
        <v>3310</v>
      </c>
      <c r="C1642" s="5">
        <v>368444</v>
      </c>
      <c r="D1642" s="17" t="s">
        <v>34</v>
      </c>
      <c r="E1642" s="17" t="s">
        <v>17</v>
      </c>
      <c r="F1642" s="15">
        <v>45460.311909722222</v>
      </c>
      <c r="G1642" s="8">
        <f t="shared" si="25"/>
        <v>45460.311909722222</v>
      </c>
      <c r="H1642" s="8" t="s">
        <v>13</v>
      </c>
      <c r="I1642" s="9" t="s">
        <v>3380</v>
      </c>
      <c r="J1642" s="10" t="s">
        <v>3380</v>
      </c>
      <c r="K1642" s="17"/>
    </row>
    <row r="1643" spans="1:11" x14ac:dyDescent="0.25">
      <c r="A1643" s="3" t="s">
        <v>3311</v>
      </c>
      <c r="B1643" s="4" t="s">
        <v>3312</v>
      </c>
      <c r="C1643" s="54">
        <v>369644</v>
      </c>
      <c r="D1643" s="17" t="s">
        <v>37</v>
      </c>
      <c r="E1643" s="17" t="s">
        <v>38</v>
      </c>
      <c r="F1643" s="15">
        <v>45467.485335648147</v>
      </c>
      <c r="G1643" s="8">
        <f t="shared" si="25"/>
        <v>45467.485335648147</v>
      </c>
      <c r="H1643" s="8" t="s">
        <v>39</v>
      </c>
      <c r="I1643" s="9" t="s">
        <v>3380</v>
      </c>
      <c r="J1643" s="10" t="s">
        <v>3380</v>
      </c>
      <c r="K1643" s="17"/>
    </row>
    <row r="1644" spans="1:11" x14ac:dyDescent="0.25">
      <c r="A1644" s="3" t="s">
        <v>3313</v>
      </c>
      <c r="B1644" s="4" t="s">
        <v>3314</v>
      </c>
      <c r="C1644" s="54">
        <v>370044</v>
      </c>
      <c r="D1644" s="17" t="s">
        <v>28</v>
      </c>
      <c r="E1644" s="17" t="s">
        <v>17</v>
      </c>
      <c r="F1644" s="15">
        <v>45474.317303240743</v>
      </c>
      <c r="G1644" s="8">
        <f t="shared" si="25"/>
        <v>45474.317303240743</v>
      </c>
      <c r="H1644" s="8" t="s">
        <v>13</v>
      </c>
      <c r="I1644" s="9" t="s">
        <v>3380</v>
      </c>
      <c r="J1644" s="10" t="s">
        <v>3380</v>
      </c>
      <c r="K1644" s="17"/>
    </row>
    <row r="1645" spans="1:11" x14ac:dyDescent="0.25">
      <c r="A1645" s="3" t="s">
        <v>3315</v>
      </c>
      <c r="B1645" s="4" t="s">
        <v>3316</v>
      </c>
      <c r="C1645" s="54">
        <v>370844</v>
      </c>
      <c r="D1645" s="17" t="s">
        <v>34</v>
      </c>
      <c r="E1645" s="17" t="s">
        <v>17</v>
      </c>
      <c r="F1645" s="15">
        <v>45489.580995370372</v>
      </c>
      <c r="G1645" s="8">
        <f t="shared" si="25"/>
        <v>45489.580995370372</v>
      </c>
      <c r="H1645" s="8" t="s">
        <v>13</v>
      </c>
      <c r="I1645" s="9" t="s">
        <v>3380</v>
      </c>
      <c r="J1645" s="10" t="s">
        <v>3380</v>
      </c>
      <c r="K1645" s="17"/>
    </row>
    <row r="1646" spans="1:11" x14ac:dyDescent="0.25">
      <c r="A1646" s="3" t="s">
        <v>3317</v>
      </c>
      <c r="B1646" s="4" t="s">
        <v>3318</v>
      </c>
      <c r="C1646" s="54">
        <v>371244</v>
      </c>
      <c r="D1646" s="17" t="s">
        <v>11</v>
      </c>
      <c r="E1646" s="17" t="s">
        <v>12</v>
      </c>
      <c r="F1646" s="15">
        <v>45491.576226851852</v>
      </c>
      <c r="G1646" s="8">
        <f t="shared" si="25"/>
        <v>45491.576226851852</v>
      </c>
      <c r="H1646" s="8" t="s">
        <v>39</v>
      </c>
      <c r="I1646" s="9" t="s">
        <v>3380</v>
      </c>
      <c r="J1646" s="10" t="s">
        <v>3380</v>
      </c>
      <c r="K1646" s="17"/>
    </row>
    <row r="1647" spans="1:11" x14ac:dyDescent="0.25">
      <c r="A1647" s="3" t="s">
        <v>3319</v>
      </c>
      <c r="B1647" s="4" t="s">
        <v>3320</v>
      </c>
      <c r="C1647" s="54">
        <v>372844</v>
      </c>
      <c r="D1647" s="17" t="s">
        <v>37</v>
      </c>
      <c r="E1647" s="17" t="s">
        <v>38</v>
      </c>
      <c r="F1647" s="15">
        <v>45505.406180555554</v>
      </c>
      <c r="G1647" s="8">
        <f t="shared" si="25"/>
        <v>45505.406180555554</v>
      </c>
      <c r="H1647" s="8" t="s">
        <v>39</v>
      </c>
      <c r="I1647" s="9" t="s">
        <v>3380</v>
      </c>
      <c r="J1647" s="10" t="s">
        <v>3380</v>
      </c>
      <c r="K1647" s="17"/>
    </row>
    <row r="1648" spans="1:11" x14ac:dyDescent="0.25">
      <c r="A1648" s="3" t="s">
        <v>3321</v>
      </c>
      <c r="B1648" s="4" t="s">
        <v>3322</v>
      </c>
      <c r="C1648" s="5">
        <v>373644</v>
      </c>
      <c r="D1648" s="17" t="s">
        <v>34</v>
      </c>
      <c r="E1648" s="17" t="s">
        <v>17</v>
      </c>
      <c r="F1648" s="15">
        <v>45510.605717592596</v>
      </c>
      <c r="G1648" s="8">
        <f t="shared" si="25"/>
        <v>45510.605717592596</v>
      </c>
      <c r="H1648" s="8" t="s">
        <v>13</v>
      </c>
      <c r="I1648" s="9" t="s">
        <v>3380</v>
      </c>
      <c r="J1648" s="10" t="s">
        <v>3380</v>
      </c>
      <c r="K1648" s="17"/>
    </row>
    <row r="1649" spans="1:11" x14ac:dyDescent="0.25">
      <c r="A1649" s="3" t="s">
        <v>3323</v>
      </c>
      <c r="B1649" s="4" t="s">
        <v>3324</v>
      </c>
      <c r="C1649" s="54">
        <v>374044</v>
      </c>
      <c r="D1649" s="17" t="s">
        <v>34</v>
      </c>
      <c r="E1649" s="17" t="s">
        <v>17</v>
      </c>
      <c r="F1649" s="15">
        <v>45519</v>
      </c>
      <c r="G1649" s="8">
        <f t="shared" si="25"/>
        <v>45519</v>
      </c>
      <c r="H1649" s="8" t="s">
        <v>13</v>
      </c>
      <c r="I1649" s="9" t="s">
        <v>3380</v>
      </c>
      <c r="J1649" s="10" t="s">
        <v>3380</v>
      </c>
      <c r="K1649" s="17"/>
    </row>
    <row r="1650" spans="1:11" x14ac:dyDescent="0.25">
      <c r="A1650" s="3" t="s">
        <v>3325</v>
      </c>
      <c r="B1650" s="4" t="s">
        <v>3326</v>
      </c>
      <c r="C1650" s="5">
        <v>374444</v>
      </c>
      <c r="D1650" s="17" t="s">
        <v>34</v>
      </c>
      <c r="E1650" s="17" t="s">
        <v>17</v>
      </c>
      <c r="F1650" s="15">
        <v>45480</v>
      </c>
      <c r="G1650" s="8">
        <f t="shared" si="25"/>
        <v>45480</v>
      </c>
      <c r="H1650" s="8" t="s">
        <v>13</v>
      </c>
      <c r="I1650" s="9" t="s">
        <v>3380</v>
      </c>
      <c r="J1650" s="10" t="s">
        <v>3380</v>
      </c>
      <c r="K1650" s="17"/>
    </row>
    <row r="1651" spans="1:11" x14ac:dyDescent="0.25">
      <c r="A1651" s="3" t="s">
        <v>3327</v>
      </c>
      <c r="B1651" s="4" t="s">
        <v>3328</v>
      </c>
      <c r="C1651" s="5">
        <v>380444</v>
      </c>
      <c r="D1651" s="17" t="s">
        <v>11</v>
      </c>
      <c r="E1651" s="17" t="s">
        <v>12</v>
      </c>
      <c r="F1651" s="15">
        <v>45585</v>
      </c>
      <c r="G1651" s="8">
        <f t="shared" si="25"/>
        <v>45585</v>
      </c>
      <c r="H1651" s="8" t="s">
        <v>39</v>
      </c>
      <c r="I1651" s="9" t="s">
        <v>3380</v>
      </c>
      <c r="J1651" s="10" t="s">
        <v>3380</v>
      </c>
      <c r="K1651" s="17"/>
    </row>
    <row r="1652" spans="1:11" x14ac:dyDescent="0.25">
      <c r="A1652" s="3" t="s">
        <v>3329</v>
      </c>
      <c r="B1652" s="4" t="s">
        <v>3330</v>
      </c>
      <c r="C1652" s="54">
        <v>381244</v>
      </c>
      <c r="D1652" s="17" t="s">
        <v>28</v>
      </c>
      <c r="E1652" s="17" t="s">
        <v>17</v>
      </c>
      <c r="F1652" s="15">
        <v>45593</v>
      </c>
      <c r="G1652" s="8">
        <f t="shared" si="25"/>
        <v>45593</v>
      </c>
      <c r="H1652" s="8" t="s">
        <v>13</v>
      </c>
      <c r="I1652" s="9" t="s">
        <v>3380</v>
      </c>
      <c r="J1652" s="10" t="s">
        <v>3380</v>
      </c>
      <c r="K1652" s="17"/>
    </row>
    <row r="1653" spans="1:11" x14ac:dyDescent="0.25">
      <c r="A1653" s="3" t="s">
        <v>3331</v>
      </c>
      <c r="B1653" s="4" t="s">
        <v>3332</v>
      </c>
      <c r="C1653" s="54">
        <v>382444</v>
      </c>
      <c r="D1653" s="17" t="s">
        <v>11</v>
      </c>
      <c r="E1653" s="17" t="s">
        <v>12</v>
      </c>
      <c r="F1653" s="15">
        <v>45594</v>
      </c>
      <c r="G1653" s="8">
        <f t="shared" si="25"/>
        <v>45594</v>
      </c>
      <c r="H1653" s="8" t="s">
        <v>39</v>
      </c>
      <c r="I1653" s="9" t="s">
        <v>3380</v>
      </c>
      <c r="J1653" s="10" t="s">
        <v>3380</v>
      </c>
      <c r="K1653" s="17"/>
    </row>
    <row r="1654" spans="1:11" x14ac:dyDescent="0.25">
      <c r="A1654" s="3" t="s">
        <v>3333</v>
      </c>
      <c r="B1654" s="4" t="s">
        <v>3334</v>
      </c>
      <c r="C1654" s="54">
        <v>383244</v>
      </c>
      <c r="D1654" s="17" t="s">
        <v>28</v>
      </c>
      <c r="E1654" s="17" t="s">
        <v>17</v>
      </c>
      <c r="F1654" s="15">
        <v>45602.454293981478</v>
      </c>
      <c r="G1654" s="8">
        <f t="shared" si="25"/>
        <v>45602.454293981478</v>
      </c>
      <c r="H1654" s="8" t="s">
        <v>13</v>
      </c>
      <c r="I1654" s="9" t="s">
        <v>3380</v>
      </c>
      <c r="J1654" s="10" t="s">
        <v>3380</v>
      </c>
      <c r="K1654" s="17"/>
    </row>
    <row r="1655" spans="1:11" x14ac:dyDescent="0.25">
      <c r="A1655" s="3" t="s">
        <v>3335</v>
      </c>
      <c r="B1655" s="4" t="s">
        <v>3336</v>
      </c>
      <c r="C1655" s="5">
        <v>383644</v>
      </c>
      <c r="D1655" s="17" t="s">
        <v>11</v>
      </c>
      <c r="E1655" s="17" t="s">
        <v>12</v>
      </c>
      <c r="F1655" s="15">
        <v>45602.529074074075</v>
      </c>
      <c r="G1655" s="8">
        <f t="shared" si="25"/>
        <v>45602.529074074075</v>
      </c>
      <c r="H1655" s="8" t="s">
        <v>39</v>
      </c>
      <c r="I1655" s="9" t="s">
        <v>3380</v>
      </c>
      <c r="J1655" s="10" t="s">
        <v>3380</v>
      </c>
      <c r="K1655" s="17"/>
    </row>
    <row r="1656" spans="1:11" x14ac:dyDescent="0.25">
      <c r="A1656" s="3" t="s">
        <v>3337</v>
      </c>
      <c r="B1656" s="4" t="s">
        <v>3338</v>
      </c>
      <c r="C1656" s="54">
        <v>386444</v>
      </c>
      <c r="D1656" s="17" t="s">
        <v>11</v>
      </c>
      <c r="E1656" s="17" t="s">
        <v>12</v>
      </c>
      <c r="F1656" s="15">
        <v>45631.659236111111</v>
      </c>
      <c r="G1656" s="8">
        <f t="shared" si="25"/>
        <v>45631.659236111111</v>
      </c>
      <c r="H1656" s="8" t="s">
        <v>39</v>
      </c>
      <c r="I1656" s="9" t="s">
        <v>3380</v>
      </c>
      <c r="J1656" s="10" t="s">
        <v>3380</v>
      </c>
      <c r="K1656" s="17"/>
    </row>
    <row r="1657" spans="1:11" x14ac:dyDescent="0.25">
      <c r="A1657" s="3" t="s">
        <v>3339</v>
      </c>
      <c r="B1657" s="4" t="s">
        <v>3340</v>
      </c>
      <c r="C1657" s="5">
        <v>386445</v>
      </c>
      <c r="D1657" s="17" t="s">
        <v>11</v>
      </c>
      <c r="E1657" s="17" t="s">
        <v>12</v>
      </c>
      <c r="F1657" s="15">
        <v>45635.571898148148</v>
      </c>
      <c r="G1657" s="8">
        <f t="shared" si="25"/>
        <v>45635.571898148148</v>
      </c>
      <c r="H1657" s="8" t="s">
        <v>39</v>
      </c>
      <c r="I1657" s="9" t="s">
        <v>3380</v>
      </c>
      <c r="J1657" s="10" t="s">
        <v>3380</v>
      </c>
      <c r="K1657" s="17"/>
    </row>
    <row r="1658" spans="1:11" x14ac:dyDescent="0.25">
      <c r="A1658" s="3" t="s">
        <v>3341</v>
      </c>
      <c r="B1658" s="4" t="s">
        <v>3342</v>
      </c>
      <c r="C1658" s="54">
        <v>389644</v>
      </c>
      <c r="D1658" s="17" t="s">
        <v>11</v>
      </c>
      <c r="E1658" s="17" t="s">
        <v>12</v>
      </c>
      <c r="F1658" s="15">
        <v>45664.616249999999</v>
      </c>
      <c r="G1658" s="8">
        <f t="shared" si="25"/>
        <v>45664.616249999999</v>
      </c>
      <c r="H1658" s="8" t="s">
        <v>39</v>
      </c>
      <c r="I1658" s="9" t="s">
        <v>3380</v>
      </c>
      <c r="J1658" s="10" t="s">
        <v>3380</v>
      </c>
      <c r="K1658" s="17"/>
    </row>
    <row r="1659" spans="1:11" x14ac:dyDescent="0.25">
      <c r="A1659" s="3" t="s">
        <v>3343</v>
      </c>
      <c r="B1659" s="4" t="s">
        <v>3344</v>
      </c>
      <c r="C1659" s="54">
        <v>392445</v>
      </c>
      <c r="D1659" s="17" t="s">
        <v>28</v>
      </c>
      <c r="E1659" s="17" t="s">
        <v>17</v>
      </c>
      <c r="F1659" s="15">
        <v>45670.620532407411</v>
      </c>
      <c r="G1659" s="8">
        <f t="shared" si="25"/>
        <v>45670.620532407411</v>
      </c>
      <c r="H1659" s="8" t="s">
        <v>13</v>
      </c>
      <c r="I1659" s="9" t="s">
        <v>3380</v>
      </c>
      <c r="J1659" s="10" t="s">
        <v>3380</v>
      </c>
      <c r="K1659" s="17"/>
    </row>
    <row r="1660" spans="1:11" x14ac:dyDescent="0.25">
      <c r="A1660" s="3" t="s">
        <v>3345</v>
      </c>
      <c r="B1660" s="4" t="s">
        <v>3346</v>
      </c>
      <c r="C1660" s="54">
        <v>395645</v>
      </c>
      <c r="D1660" s="17" t="s">
        <v>28</v>
      </c>
      <c r="E1660" s="17" t="s">
        <v>17</v>
      </c>
      <c r="F1660" s="15">
        <v>45687.652094907404</v>
      </c>
      <c r="G1660" s="8">
        <f t="shared" si="25"/>
        <v>45687.652094907404</v>
      </c>
      <c r="H1660" s="8" t="s">
        <v>13</v>
      </c>
      <c r="I1660" s="9" t="s">
        <v>3380</v>
      </c>
      <c r="J1660" s="10" t="s">
        <v>3380</v>
      </c>
      <c r="K1660" s="17"/>
    </row>
    <row r="1661" spans="1:11" x14ac:dyDescent="0.25">
      <c r="A1661" s="3" t="s">
        <v>3347</v>
      </c>
      <c r="B1661" s="4" t="s">
        <v>3348</v>
      </c>
      <c r="C1661" s="5">
        <v>396045</v>
      </c>
      <c r="D1661" s="17" t="s">
        <v>37</v>
      </c>
      <c r="E1661" s="17" t="s">
        <v>38</v>
      </c>
      <c r="F1661" s="15">
        <v>45692.650185185186</v>
      </c>
      <c r="G1661" s="8">
        <f t="shared" si="25"/>
        <v>45692.650185185186</v>
      </c>
      <c r="H1661" s="8" t="s">
        <v>39</v>
      </c>
      <c r="I1661" s="9" t="s">
        <v>3380</v>
      </c>
      <c r="J1661" s="10" t="s">
        <v>3380</v>
      </c>
      <c r="K1661" s="17"/>
    </row>
    <row r="1662" spans="1:11" x14ac:dyDescent="0.25">
      <c r="A1662" s="3" t="s">
        <v>3349</v>
      </c>
      <c r="B1662" s="4" t="s">
        <v>3350</v>
      </c>
      <c r="C1662" s="54">
        <v>396845</v>
      </c>
      <c r="D1662" s="17" t="s">
        <v>28</v>
      </c>
      <c r="E1662" s="17" t="s">
        <v>17</v>
      </c>
      <c r="F1662" s="15">
        <v>45698.660474537035</v>
      </c>
      <c r="G1662" s="8">
        <f t="shared" si="25"/>
        <v>45698.660474537035</v>
      </c>
      <c r="H1662" s="8" t="s">
        <v>13</v>
      </c>
      <c r="I1662" s="9" t="s">
        <v>3380</v>
      </c>
      <c r="J1662" s="10" t="s">
        <v>3380</v>
      </c>
      <c r="K1662" s="17"/>
    </row>
    <row r="1663" spans="1:11" x14ac:dyDescent="0.25">
      <c r="A1663" s="3" t="s">
        <v>3351</v>
      </c>
      <c r="B1663" s="4" t="s">
        <v>3352</v>
      </c>
      <c r="C1663" s="54">
        <v>398845</v>
      </c>
      <c r="D1663" s="17" t="s">
        <v>11</v>
      </c>
      <c r="E1663" s="17" t="s">
        <v>12</v>
      </c>
      <c r="F1663" s="15">
        <v>45720.631527777776</v>
      </c>
      <c r="G1663" s="8">
        <f t="shared" si="25"/>
        <v>45720.631527777776</v>
      </c>
      <c r="H1663" s="8" t="s">
        <v>39</v>
      </c>
      <c r="I1663" s="9" t="s">
        <v>3380</v>
      </c>
      <c r="J1663" s="10" t="s">
        <v>3380</v>
      </c>
      <c r="K1663" s="17"/>
    </row>
    <row r="1664" spans="1:11" x14ac:dyDescent="0.25">
      <c r="A1664" s="3" t="s">
        <v>3353</v>
      </c>
      <c r="B1664" s="4" t="s">
        <v>3354</v>
      </c>
      <c r="C1664" s="5">
        <v>404045</v>
      </c>
      <c r="D1664" s="17" t="s">
        <v>34</v>
      </c>
      <c r="E1664" s="17" t="s">
        <v>17</v>
      </c>
      <c r="F1664" s="15">
        <v>45782.585601851853</v>
      </c>
      <c r="G1664" s="8">
        <f t="shared" si="25"/>
        <v>45782.585601851853</v>
      </c>
      <c r="H1664" s="8" t="s">
        <v>13</v>
      </c>
      <c r="I1664" s="9" t="s">
        <v>3380</v>
      </c>
      <c r="J1664" s="10" t="s">
        <v>3380</v>
      </c>
      <c r="K1664" s="17"/>
    </row>
    <row r="1665" spans="1:11" x14ac:dyDescent="0.25">
      <c r="A1665" s="3" t="s">
        <v>3355</v>
      </c>
      <c r="B1665" s="4" t="s">
        <v>3356</v>
      </c>
      <c r="C1665" s="5">
        <v>403646</v>
      </c>
      <c r="D1665" s="17" t="s">
        <v>28</v>
      </c>
      <c r="E1665" s="17" t="s">
        <v>17</v>
      </c>
      <c r="F1665" s="15">
        <v>45775.307164351849</v>
      </c>
      <c r="G1665" s="8">
        <f t="shared" si="25"/>
        <v>45775.307164351849</v>
      </c>
      <c r="H1665" s="8" t="s">
        <v>13</v>
      </c>
      <c r="I1665" s="9" t="s">
        <v>3380</v>
      </c>
      <c r="J1665" s="10" t="s">
        <v>3380</v>
      </c>
      <c r="K1665" s="17"/>
    </row>
    <row r="1666" spans="1:11" x14ac:dyDescent="0.25">
      <c r="A1666" s="3" t="s">
        <v>3357</v>
      </c>
      <c r="B1666" s="4" t="s">
        <v>3358</v>
      </c>
      <c r="C1666" s="54">
        <v>403647</v>
      </c>
      <c r="D1666" s="17" t="s">
        <v>28</v>
      </c>
      <c r="E1666" s="17" t="s">
        <v>17</v>
      </c>
      <c r="F1666" s="15">
        <v>45775.615393518521</v>
      </c>
      <c r="G1666" s="8">
        <f t="shared" ref="G1666:G1674" si="26">F1666</f>
        <v>45775.615393518521</v>
      </c>
      <c r="H1666" s="8" t="s">
        <v>13</v>
      </c>
      <c r="I1666" s="9" t="s">
        <v>3380</v>
      </c>
      <c r="J1666" s="10" t="s">
        <v>3380</v>
      </c>
      <c r="K1666" s="17"/>
    </row>
    <row r="1667" spans="1:11" x14ac:dyDescent="0.25">
      <c r="A1667" s="3" t="s">
        <v>3359</v>
      </c>
      <c r="B1667" s="4" t="s">
        <v>3360</v>
      </c>
      <c r="C1667" s="5">
        <v>404445</v>
      </c>
      <c r="D1667" s="17" t="s">
        <v>37</v>
      </c>
      <c r="E1667" s="17" t="s">
        <v>38</v>
      </c>
      <c r="F1667" s="15">
        <v>45776.395254629628</v>
      </c>
      <c r="G1667" s="8">
        <f t="shared" si="26"/>
        <v>45776.395254629628</v>
      </c>
      <c r="H1667" s="8" t="s">
        <v>39</v>
      </c>
      <c r="I1667" s="9" t="s">
        <v>3380</v>
      </c>
      <c r="J1667" s="10" t="s">
        <v>3380</v>
      </c>
      <c r="K1667" s="17"/>
    </row>
    <row r="1668" spans="1:11" ht="37.5" customHeight="1" x14ac:dyDescent="0.25">
      <c r="A1668" s="3" t="s">
        <v>3361</v>
      </c>
      <c r="B1668" s="4" t="s">
        <v>3362</v>
      </c>
      <c r="C1668" s="54">
        <v>405245</v>
      </c>
      <c r="D1668" s="17" t="s">
        <v>28</v>
      </c>
      <c r="E1668" s="17" t="s">
        <v>17</v>
      </c>
      <c r="F1668" s="15">
        <v>45782.641030092593</v>
      </c>
      <c r="G1668" s="8">
        <f t="shared" si="26"/>
        <v>45782.641030092593</v>
      </c>
      <c r="H1668" s="8" t="s">
        <v>13</v>
      </c>
      <c r="I1668" s="9" t="s">
        <v>3380</v>
      </c>
      <c r="J1668" s="10" t="s">
        <v>3380</v>
      </c>
      <c r="K1668" s="17"/>
    </row>
    <row r="1669" spans="1:11" ht="36" customHeight="1" x14ac:dyDescent="0.25">
      <c r="A1669" s="3" t="s">
        <v>3363</v>
      </c>
      <c r="B1669" s="4" t="s">
        <v>3364</v>
      </c>
      <c r="C1669" s="54">
        <v>406045</v>
      </c>
      <c r="D1669" s="17" t="s">
        <v>34</v>
      </c>
      <c r="E1669" s="17" t="s">
        <v>17</v>
      </c>
      <c r="F1669" s="15">
        <v>45784</v>
      </c>
      <c r="G1669" s="8">
        <f t="shared" si="26"/>
        <v>45784</v>
      </c>
      <c r="H1669" s="8" t="s">
        <v>13</v>
      </c>
      <c r="I1669" s="9" t="s">
        <v>3380</v>
      </c>
      <c r="J1669" s="10" t="s">
        <v>3380</v>
      </c>
      <c r="K1669" s="17"/>
    </row>
    <row r="1670" spans="1:11" ht="30" x14ac:dyDescent="0.25">
      <c r="A1670" s="3" t="s">
        <v>3365</v>
      </c>
      <c r="B1670" s="4" t="s">
        <v>3366</v>
      </c>
      <c r="C1670" s="54">
        <v>80418</v>
      </c>
      <c r="D1670" s="17" t="s">
        <v>16</v>
      </c>
      <c r="E1670" s="17" t="s">
        <v>17</v>
      </c>
      <c r="F1670" s="15">
        <v>39727</v>
      </c>
      <c r="G1670" s="8">
        <f t="shared" si="26"/>
        <v>39727</v>
      </c>
      <c r="H1670" s="8" t="s">
        <v>13</v>
      </c>
      <c r="I1670" s="9" t="s">
        <v>3380</v>
      </c>
      <c r="J1670" s="10" t="s">
        <v>3380</v>
      </c>
      <c r="K1670" s="17"/>
    </row>
    <row r="1671" spans="1:11" ht="30" x14ac:dyDescent="0.25">
      <c r="A1671" s="3" t="s">
        <v>3367</v>
      </c>
      <c r="B1671" s="4" t="s">
        <v>3368</v>
      </c>
      <c r="C1671" s="54">
        <v>111156</v>
      </c>
      <c r="D1671" s="17" t="s">
        <v>34</v>
      </c>
      <c r="E1671" s="17" t="s">
        <v>17</v>
      </c>
      <c r="F1671" s="15">
        <v>39756</v>
      </c>
      <c r="G1671" s="8">
        <f t="shared" si="26"/>
        <v>39756</v>
      </c>
      <c r="H1671" s="8" t="s">
        <v>13</v>
      </c>
      <c r="I1671" s="9" t="s">
        <v>3380</v>
      </c>
      <c r="J1671" s="10" t="s">
        <v>3380</v>
      </c>
      <c r="K1671" s="17"/>
    </row>
    <row r="1672" spans="1:11" ht="30" x14ac:dyDescent="0.25">
      <c r="A1672" s="3" t="s">
        <v>3369</v>
      </c>
      <c r="B1672" s="4" t="s">
        <v>3370</v>
      </c>
      <c r="C1672" s="54">
        <v>54801</v>
      </c>
      <c r="D1672" s="17" t="s">
        <v>11</v>
      </c>
      <c r="E1672" s="17" t="s">
        <v>17</v>
      </c>
      <c r="F1672" s="15">
        <v>38210</v>
      </c>
      <c r="G1672" s="8">
        <f t="shared" si="26"/>
        <v>38210</v>
      </c>
      <c r="H1672" s="8" t="s">
        <v>39</v>
      </c>
      <c r="I1672" s="9" t="s">
        <v>3380</v>
      </c>
      <c r="J1672" s="10" t="s">
        <v>3380</v>
      </c>
      <c r="K1672" s="17"/>
    </row>
    <row r="1673" spans="1:11" ht="30" x14ac:dyDescent="0.25">
      <c r="A1673" s="3" t="s">
        <v>3371</v>
      </c>
      <c r="B1673" s="4" t="s">
        <v>3372</v>
      </c>
      <c r="C1673" s="54">
        <v>110838</v>
      </c>
      <c r="D1673" s="17" t="s">
        <v>31</v>
      </c>
      <c r="E1673" s="17" t="s">
        <v>17</v>
      </c>
      <c r="F1673" s="15">
        <v>40094</v>
      </c>
      <c r="G1673" s="8">
        <f t="shared" si="26"/>
        <v>40094</v>
      </c>
      <c r="H1673" s="8" t="s">
        <v>13</v>
      </c>
      <c r="I1673" s="9" t="s">
        <v>3380</v>
      </c>
      <c r="J1673" s="10" t="s">
        <v>3380</v>
      </c>
      <c r="K1673" s="17"/>
    </row>
    <row r="1674" spans="1:11" ht="30" x14ac:dyDescent="0.25">
      <c r="A1674" s="3" t="s">
        <v>3373</v>
      </c>
      <c r="B1674" s="4" t="s">
        <v>3374</v>
      </c>
      <c r="C1674" s="54">
        <v>72143</v>
      </c>
      <c r="D1674" s="17" t="s">
        <v>37</v>
      </c>
      <c r="E1674" s="17" t="s">
        <v>38</v>
      </c>
      <c r="F1674" s="15">
        <v>38931</v>
      </c>
      <c r="G1674" s="8">
        <f t="shared" si="26"/>
        <v>38931</v>
      </c>
      <c r="H1674" s="8" t="s">
        <v>39</v>
      </c>
      <c r="I1674" s="9" t="s">
        <v>3380</v>
      </c>
      <c r="J1674" s="10" t="s">
        <v>3380</v>
      </c>
      <c r="K1674" s="17"/>
    </row>
  </sheetData>
  <conditionalFormatting sqref="A3">
    <cfRule type="duplicateValues" dxfId="112" priority="30"/>
    <cfRule type="duplicateValues" dxfId="113" priority="31"/>
  </conditionalFormatting>
  <conditionalFormatting sqref="A34:A42">
    <cfRule type="duplicateValues" dxfId="111" priority="46"/>
  </conditionalFormatting>
  <conditionalFormatting sqref="A43:A46">
    <cfRule type="duplicateValues" dxfId="110" priority="36"/>
  </conditionalFormatting>
  <conditionalFormatting sqref="A260">
    <cfRule type="duplicateValues" dxfId="109" priority="34"/>
  </conditionalFormatting>
  <conditionalFormatting sqref="A1313">
    <cfRule type="duplicateValues" dxfId="108" priority="32"/>
  </conditionalFormatting>
  <conditionalFormatting sqref="A1392">
    <cfRule type="duplicateValues" dxfId="107" priority="38"/>
  </conditionalFormatting>
  <conditionalFormatting sqref="A1393 A57:A189 A1 A261:A1312 A1314:A1391 A191:A259">
    <cfRule type="duplicateValues" dxfId="106" priority="39"/>
  </conditionalFormatting>
  <conditionalFormatting sqref="A1394:A1396 A1412:A1416">
    <cfRule type="duplicateValues" dxfId="105" priority="37"/>
  </conditionalFormatting>
  <conditionalFormatting sqref="A1417:A1419">
    <cfRule type="duplicateValues" dxfId="104" priority="35"/>
  </conditionalFormatting>
  <conditionalFormatting sqref="A1420">
    <cfRule type="duplicateValues" dxfId="103" priority="33"/>
  </conditionalFormatting>
  <conditionalFormatting sqref="A1468:A1474">
    <cfRule type="duplicateValues" dxfId="102" priority="43"/>
  </conditionalFormatting>
  <conditionalFormatting sqref="A1475">
    <cfRule type="duplicateValues" dxfId="101" priority="44"/>
  </conditionalFormatting>
  <conditionalFormatting sqref="A1476:A1482">
    <cfRule type="duplicateValues" dxfId="100" priority="51"/>
  </conditionalFormatting>
  <conditionalFormatting sqref="A1483">
    <cfRule type="duplicateValues" dxfId="99" priority="29"/>
  </conditionalFormatting>
  <conditionalFormatting sqref="A1484:A1491">
    <cfRule type="duplicateValues" dxfId="98" priority="45"/>
  </conditionalFormatting>
  <conditionalFormatting sqref="A1492:A1516">
    <cfRule type="duplicateValues" dxfId="97" priority="48"/>
  </conditionalFormatting>
  <conditionalFormatting sqref="A1517:A1522">
    <cfRule type="duplicateValues" dxfId="96" priority="49"/>
  </conditionalFormatting>
  <conditionalFormatting sqref="A1523:A1526">
    <cfRule type="duplicateValues" dxfId="95" priority="28"/>
  </conditionalFormatting>
  <conditionalFormatting sqref="A1527:A1532">
    <cfRule type="duplicateValues" dxfId="94" priority="27"/>
  </conditionalFormatting>
  <conditionalFormatting sqref="A1533:A1537">
    <cfRule type="duplicateValues" dxfId="93" priority="26"/>
  </conditionalFormatting>
  <conditionalFormatting sqref="A1538">
    <cfRule type="duplicateValues" dxfId="92" priority="25"/>
  </conditionalFormatting>
  <conditionalFormatting sqref="A1539">
    <cfRule type="duplicateValues" dxfId="91" priority="21"/>
  </conditionalFormatting>
  <conditionalFormatting sqref="A1540:A1542">
    <cfRule type="duplicateValues" dxfId="90" priority="20"/>
  </conditionalFormatting>
  <conditionalFormatting sqref="A1543">
    <cfRule type="duplicateValues" dxfId="89" priority="18"/>
  </conditionalFormatting>
  <conditionalFormatting sqref="A1544:A1545">
    <cfRule type="duplicateValues" dxfId="88" priority="19"/>
  </conditionalFormatting>
  <conditionalFormatting sqref="A1546:A1582">
    <cfRule type="duplicateValues" dxfId="87" priority="16"/>
  </conditionalFormatting>
  <conditionalFormatting sqref="A1583:A1588">
    <cfRule type="duplicateValues" dxfId="86" priority="53"/>
  </conditionalFormatting>
  <conditionalFormatting sqref="A1589">
    <cfRule type="duplicateValues" dxfId="85" priority="10"/>
  </conditionalFormatting>
  <conditionalFormatting sqref="A1590:A1591">
    <cfRule type="duplicateValues" dxfId="84" priority="12"/>
  </conditionalFormatting>
  <conditionalFormatting sqref="A1592">
    <cfRule type="duplicateValues" dxfId="83" priority="4"/>
  </conditionalFormatting>
  <conditionalFormatting sqref="A1593">
    <cfRule type="duplicateValues" dxfId="82" priority="6"/>
  </conditionalFormatting>
  <conditionalFormatting sqref="A1597:A1669">
    <cfRule type="duplicateValues" dxfId="81" priority="55"/>
  </conditionalFormatting>
  <conditionalFormatting sqref="A1670:A1673 A1594:A1596">
    <cfRule type="duplicateValues" dxfId="80" priority="8"/>
  </conditionalFormatting>
  <conditionalFormatting sqref="A1674">
    <cfRule type="duplicateValues" dxfId="79" priority="2"/>
  </conditionalFormatting>
  <conditionalFormatting sqref="B1:B9 B12:B1545">
    <cfRule type="duplicateValues" dxfId="78" priority="17"/>
  </conditionalFormatting>
  <conditionalFormatting sqref="B10:B11">
    <cfRule type="duplicateValues" dxfId="77" priority="57"/>
  </conditionalFormatting>
  <conditionalFormatting sqref="B1546:B1582">
    <cfRule type="duplicateValues" dxfId="76" priority="15"/>
  </conditionalFormatting>
  <conditionalFormatting sqref="B1583:B1588">
    <cfRule type="duplicateValues" dxfId="75" priority="54"/>
  </conditionalFormatting>
  <conditionalFormatting sqref="B1589">
    <cfRule type="duplicateValues" dxfId="74" priority="11"/>
  </conditionalFormatting>
  <conditionalFormatting sqref="B1590:B1591">
    <cfRule type="duplicateValues" dxfId="73" priority="13"/>
  </conditionalFormatting>
  <conditionalFormatting sqref="B1592">
    <cfRule type="duplicateValues" dxfId="72" priority="5"/>
  </conditionalFormatting>
  <conditionalFormatting sqref="B1593">
    <cfRule type="duplicateValues" dxfId="71" priority="7"/>
  </conditionalFormatting>
  <conditionalFormatting sqref="B1597:B1669">
    <cfRule type="duplicateValues" dxfId="70" priority="56"/>
  </conditionalFormatting>
  <conditionalFormatting sqref="B1670:B1673 B1594:B1596">
    <cfRule type="duplicateValues" dxfId="69" priority="9"/>
  </conditionalFormatting>
  <conditionalFormatting sqref="B1674">
    <cfRule type="duplicateValues" dxfId="68" priority="3"/>
  </conditionalFormatting>
  <conditionalFormatting sqref="C5:C6">
    <cfRule type="duplicateValues" dxfId="67" priority="50"/>
  </conditionalFormatting>
  <conditionalFormatting sqref="C7">
    <cfRule type="duplicateValues" dxfId="66" priority="23"/>
  </conditionalFormatting>
  <conditionalFormatting sqref="C8">
    <cfRule type="duplicateValues" dxfId="65" priority="22"/>
  </conditionalFormatting>
  <conditionalFormatting sqref="C10:C11">
    <cfRule type="duplicateValues" dxfId="64" priority="14"/>
  </conditionalFormatting>
  <conditionalFormatting sqref="C15">
    <cfRule type="duplicateValues" dxfId="63" priority="24"/>
  </conditionalFormatting>
  <conditionalFormatting sqref="C16:C30 C9 C12:C14">
    <cfRule type="duplicateValues" dxfId="62" priority="52"/>
  </conditionalFormatting>
  <conditionalFormatting sqref="C31:C115">
    <cfRule type="duplicateValues" dxfId="61" priority="47"/>
  </conditionalFormatting>
  <conditionalFormatting sqref="C1387">
    <cfRule type="duplicateValues" dxfId="60" priority="41"/>
  </conditionalFormatting>
  <conditionalFormatting sqref="C1388:C1394 C1:C4 C1412:C1415 C116:C1303 C1305:C1386">
    <cfRule type="duplicateValues" dxfId="59" priority="40"/>
  </conditionalFormatting>
  <conditionalFormatting sqref="C1395:C1411">
    <cfRule type="duplicateValues" dxfId="58" priority="42"/>
  </conditionalFormatting>
  <conditionalFormatting sqref="M2:O130">
    <cfRule type="expression" dxfId="57" priority="1">
      <formula>MOD(ROW(),2)=1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B3F90-B1DE-45AB-BB28-C312DF5F5CD0}">
  <dimension ref="A1"/>
  <sheetViews>
    <sheetView workbookViewId="0">
      <selection activeCell="P21" sqref="P21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C9F9-9341-41BB-AF1E-8B488537C6EE}">
  <sheetPr>
    <tabColor rgb="FFFFFF00"/>
  </sheetPr>
  <dimension ref="A1:AJ143"/>
  <sheetViews>
    <sheetView showGridLines="0" workbookViewId="0">
      <pane ySplit="2" topLeftCell="A3" activePane="bottomLeft" state="frozen"/>
      <selection activeCell="B1" sqref="B1"/>
      <selection pane="bottomLeft" activeCell="M17" sqref="M17"/>
    </sheetView>
  </sheetViews>
  <sheetFormatPr defaultRowHeight="16.5" x14ac:dyDescent="0.25"/>
  <cols>
    <col min="1" max="1" width="16.28515625" bestFit="1" customWidth="1"/>
    <col min="2" max="2" width="11" bestFit="1" customWidth="1"/>
    <col min="3" max="3" width="30.28515625" bestFit="1" customWidth="1"/>
    <col min="4" max="4" width="5.140625" style="80" bestFit="1" customWidth="1"/>
    <col min="5" max="5" width="2.140625" customWidth="1"/>
    <col min="6" max="6" width="8.5703125" style="63" customWidth="1"/>
    <col min="7" max="7" width="1.7109375" style="89" customWidth="1"/>
    <col min="8" max="8" width="8.42578125" style="63" customWidth="1"/>
    <col min="9" max="9" width="9.140625" style="63" customWidth="1"/>
    <col min="10" max="10" width="1.7109375" style="90" customWidth="1"/>
    <col min="11" max="11" width="9.140625" customWidth="1"/>
    <col min="12" max="12" width="2.140625" customWidth="1"/>
    <col min="13" max="13" width="7.140625" customWidth="1"/>
    <col min="14" max="14" width="2" bestFit="1" customWidth="1"/>
    <col min="15" max="16" width="8.5703125" style="63" customWidth="1"/>
    <col min="17" max="17" width="10.28515625" style="107" bestFit="1" customWidth="1"/>
    <col min="18" max="18" width="2.140625" customWidth="1"/>
    <col min="19" max="19" width="10" style="87" customWidth="1"/>
    <col min="20" max="20" width="10" style="80" customWidth="1"/>
    <col min="21" max="21" width="2.140625" style="88" customWidth="1"/>
    <col min="22" max="26" width="8.5703125" style="80" customWidth="1"/>
    <col min="36" max="36" width="9.140625" style="107"/>
  </cols>
  <sheetData>
    <row r="1" spans="1:26" ht="15.75" thickBot="1" x14ac:dyDescent="0.3">
      <c r="A1" s="66"/>
      <c r="B1" s="67" t="s">
        <v>3381</v>
      </c>
      <c r="C1" s="67"/>
      <c r="D1" s="68"/>
      <c r="E1" s="66"/>
      <c r="F1" s="69" t="s">
        <v>3382</v>
      </c>
      <c r="G1" s="69"/>
      <c r="H1" s="69"/>
      <c r="I1" s="69"/>
      <c r="J1" s="69"/>
      <c r="K1" s="69"/>
      <c r="L1" s="66"/>
      <c r="M1" s="69" t="s">
        <v>3383</v>
      </c>
      <c r="N1" s="69"/>
      <c r="O1" s="69"/>
      <c r="P1" s="69"/>
      <c r="Q1" s="69"/>
      <c r="R1" s="66"/>
      <c r="S1" s="70" t="s">
        <v>3384</v>
      </c>
      <c r="T1" s="70"/>
      <c r="U1" s="66"/>
      <c r="V1" s="67" t="s">
        <v>3385</v>
      </c>
      <c r="W1" s="67"/>
      <c r="X1" s="67"/>
      <c r="Y1" s="67"/>
      <c r="Z1" s="67"/>
    </row>
    <row r="2" spans="1:26" ht="32.25" customHeight="1" x14ac:dyDescent="0.25">
      <c r="A2" s="66" t="s">
        <v>3386</v>
      </c>
      <c r="B2" s="66" t="s">
        <v>3387</v>
      </c>
      <c r="C2" s="66" t="s">
        <v>3388</v>
      </c>
      <c r="D2" s="71" t="s">
        <v>3389</v>
      </c>
      <c r="E2" s="66"/>
      <c r="F2" s="72" t="s">
        <v>3390</v>
      </c>
      <c r="G2" s="73"/>
      <c r="H2" s="72" t="s">
        <v>3391</v>
      </c>
      <c r="I2" s="72" t="s">
        <v>3392</v>
      </c>
      <c r="J2" s="74"/>
      <c r="K2" s="75" t="s">
        <v>3393</v>
      </c>
      <c r="L2" s="76"/>
      <c r="M2" s="72" t="s">
        <v>3394</v>
      </c>
      <c r="N2" s="73"/>
      <c r="O2" s="72" t="s">
        <v>3390</v>
      </c>
      <c r="P2" s="72" t="s">
        <v>3391</v>
      </c>
      <c r="Q2" s="77" t="s">
        <v>3393</v>
      </c>
      <c r="R2" s="76"/>
      <c r="S2" s="78" t="s">
        <v>3395</v>
      </c>
      <c r="T2" s="79" t="s">
        <v>3396</v>
      </c>
      <c r="U2" s="66"/>
      <c r="V2" s="79" t="s">
        <v>3397</v>
      </c>
      <c r="W2" s="79" t="s">
        <v>3398</v>
      </c>
      <c r="X2" s="79" t="s">
        <v>3399</v>
      </c>
      <c r="Y2" s="79" t="s">
        <v>3400</v>
      </c>
      <c r="Z2" s="79" t="s">
        <v>3401</v>
      </c>
    </row>
    <row r="3" spans="1:26" x14ac:dyDescent="0.25">
      <c r="F3" s="81" t="s">
        <v>3402</v>
      </c>
      <c r="G3" s="82"/>
      <c r="H3" s="81" t="s">
        <v>3403</v>
      </c>
      <c r="I3" s="81" t="s">
        <v>3403</v>
      </c>
      <c r="J3" s="83"/>
      <c r="K3" s="84" t="s">
        <v>3404</v>
      </c>
      <c r="L3" s="85"/>
      <c r="M3" s="84" t="s">
        <v>3404</v>
      </c>
      <c r="O3" s="81" t="s">
        <v>3402</v>
      </c>
      <c r="P3" s="81" t="s">
        <v>3403</v>
      </c>
      <c r="Q3" s="86" t="s">
        <v>3404</v>
      </c>
      <c r="R3" s="85"/>
    </row>
    <row r="4" spans="1:26" x14ac:dyDescent="0.25">
      <c r="A4" t="s">
        <v>3405</v>
      </c>
      <c r="B4" t="s">
        <v>1029</v>
      </c>
      <c r="C4" t="s">
        <v>3406</v>
      </c>
      <c r="D4" s="80">
        <v>4</v>
      </c>
      <c r="F4" s="63">
        <v>1484.5624399999999</v>
      </c>
      <c r="G4" s="89">
        <v>1</v>
      </c>
      <c r="H4" s="63">
        <v>2868.8733350499833</v>
      </c>
      <c r="I4" s="63">
        <v>2800</v>
      </c>
      <c r="J4" s="90">
        <v>2</v>
      </c>
      <c r="K4" s="91">
        <v>1.0245976196607083</v>
      </c>
      <c r="L4" s="91"/>
      <c r="M4" s="92">
        <v>2.3739266808964897E-2</v>
      </c>
      <c r="N4" s="93">
        <v>1</v>
      </c>
      <c r="O4" s="63">
        <f t="shared" ref="O4:O67" si="0">F4*(1+M4)^10</f>
        <v>1877.120202085654</v>
      </c>
      <c r="P4" s="63">
        <f t="shared" ref="P4:P67" si="1">(18+SQRT(O4/100))/(4+SQRT(O4/100))*O4*1000/1440</f>
        <v>3493.7286953881894</v>
      </c>
      <c r="Q4" s="91">
        <f t="shared" ref="Q4:Q67" si="2">P4/I4</f>
        <v>1.2477602483529249</v>
      </c>
      <c r="R4" s="91"/>
      <c r="S4" s="94" t="s">
        <v>3407</v>
      </c>
      <c r="T4" s="80">
        <v>2024</v>
      </c>
      <c r="V4" s="80">
        <v>3</v>
      </c>
      <c r="W4" s="80">
        <v>2</v>
      </c>
      <c r="X4" s="80">
        <v>1</v>
      </c>
      <c r="Y4" s="80">
        <v>1</v>
      </c>
      <c r="Z4" s="80">
        <v>0</v>
      </c>
    </row>
    <row r="5" spans="1:26" x14ac:dyDescent="0.25">
      <c r="A5" t="s">
        <v>3405</v>
      </c>
      <c r="B5" t="s">
        <v>236</v>
      </c>
      <c r="C5" t="s">
        <v>3408</v>
      </c>
      <c r="D5" s="80">
        <v>3</v>
      </c>
      <c r="F5" s="63">
        <v>359.66475000000003</v>
      </c>
      <c r="G5" s="89">
        <v>1</v>
      </c>
      <c r="H5" s="63">
        <v>842.7885982464926</v>
      </c>
      <c r="I5" s="63">
        <v>700</v>
      </c>
      <c r="J5" s="90">
        <v>2</v>
      </c>
      <c r="K5" s="91">
        <v>1.2039837117807037</v>
      </c>
      <c r="L5" s="91"/>
      <c r="M5" s="92">
        <v>1.8404211614928102E-2</v>
      </c>
      <c r="N5" s="93">
        <v>1</v>
      </c>
      <c r="O5" s="63">
        <f t="shared" si="0"/>
        <v>431.61819315294696</v>
      </c>
      <c r="P5" s="63">
        <f t="shared" si="1"/>
        <v>990.19290577897175</v>
      </c>
      <c r="Q5" s="91">
        <f t="shared" si="2"/>
        <v>1.4145612939699597</v>
      </c>
      <c r="R5" s="91"/>
      <c r="S5" s="94" t="s">
        <v>3409</v>
      </c>
      <c r="T5" s="80">
        <v>2025</v>
      </c>
      <c r="V5" s="80">
        <v>2</v>
      </c>
      <c r="W5" s="80">
        <v>1</v>
      </c>
      <c r="X5" s="80">
        <v>0</v>
      </c>
      <c r="Y5" s="80">
        <v>1</v>
      </c>
      <c r="Z5" s="80">
        <v>0</v>
      </c>
    </row>
    <row r="6" spans="1:26" x14ac:dyDescent="0.25">
      <c r="A6" t="s">
        <v>3405</v>
      </c>
      <c r="B6" t="s">
        <v>226</v>
      </c>
      <c r="C6" t="s">
        <v>3410</v>
      </c>
      <c r="D6" s="80">
        <v>3</v>
      </c>
      <c r="F6" s="63">
        <v>300.83789999999999</v>
      </c>
      <c r="G6" s="89">
        <v>1</v>
      </c>
      <c r="H6" s="63">
        <v>718.95606171305565</v>
      </c>
      <c r="I6" s="63">
        <v>800</v>
      </c>
      <c r="J6" s="90">
        <v>2</v>
      </c>
      <c r="K6" s="91">
        <v>0.89869507714131958</v>
      </c>
      <c r="L6" s="91"/>
      <c r="M6" s="92">
        <v>5.6539838096063598E-3</v>
      </c>
      <c r="N6" s="93">
        <v>1</v>
      </c>
      <c r="O6" s="63">
        <f t="shared" si="0"/>
        <v>318.28658316078804</v>
      </c>
      <c r="P6" s="63">
        <f t="shared" si="1"/>
        <v>756.02913876179502</v>
      </c>
      <c r="Q6" s="91">
        <f t="shared" si="2"/>
        <v>0.94503642345224381</v>
      </c>
      <c r="R6" s="91"/>
      <c r="S6" s="94" t="s">
        <v>3411</v>
      </c>
      <c r="T6" s="80">
        <v>2026</v>
      </c>
      <c r="V6" s="80">
        <v>2</v>
      </c>
      <c r="W6" s="80">
        <v>1</v>
      </c>
      <c r="X6" s="80">
        <v>1</v>
      </c>
      <c r="Y6" s="80">
        <v>1</v>
      </c>
      <c r="Z6" s="80">
        <v>0</v>
      </c>
    </row>
    <row r="7" spans="1:26" x14ac:dyDescent="0.25">
      <c r="A7" t="s">
        <v>3405</v>
      </c>
      <c r="B7" t="s">
        <v>424</v>
      </c>
      <c r="C7" t="s">
        <v>3412</v>
      </c>
      <c r="D7" s="80">
        <v>4</v>
      </c>
      <c r="F7" s="63">
        <v>1816.5661</v>
      </c>
      <c r="G7" s="89">
        <v>1</v>
      </c>
      <c r="H7" s="63">
        <v>3399.0985561735256</v>
      </c>
      <c r="I7" s="63">
        <v>3100</v>
      </c>
      <c r="J7" s="90">
        <v>2</v>
      </c>
      <c r="K7" s="91">
        <v>1.0964834052172663</v>
      </c>
      <c r="L7" s="91"/>
      <c r="M7" s="92">
        <v>2.7202132913642801E-2</v>
      </c>
      <c r="N7" s="93">
        <v>1</v>
      </c>
      <c r="O7" s="63">
        <f t="shared" si="0"/>
        <v>2375.8024747854915</v>
      </c>
      <c r="P7" s="63">
        <f t="shared" si="1"/>
        <v>4252.6919809769888</v>
      </c>
      <c r="Q7" s="91">
        <f t="shared" si="2"/>
        <v>1.3718361228958029</v>
      </c>
      <c r="R7" s="91"/>
      <c r="S7" s="94" t="s">
        <v>3413</v>
      </c>
      <c r="T7" s="80">
        <v>2028</v>
      </c>
      <c r="V7" s="80">
        <v>3</v>
      </c>
      <c r="W7" s="80">
        <v>1</v>
      </c>
      <c r="X7" s="80">
        <v>1</v>
      </c>
      <c r="Y7" s="80">
        <v>1</v>
      </c>
      <c r="Z7" s="80">
        <v>0</v>
      </c>
    </row>
    <row r="8" spans="1:26" x14ac:dyDescent="0.25">
      <c r="A8" t="s">
        <v>3405</v>
      </c>
      <c r="B8" t="s">
        <v>1752</v>
      </c>
      <c r="C8" t="s">
        <v>3414</v>
      </c>
      <c r="D8" s="80">
        <v>3</v>
      </c>
      <c r="F8" s="63">
        <v>604.55655000000002</v>
      </c>
      <c r="G8" s="89">
        <v>1</v>
      </c>
      <c r="H8" s="63">
        <v>1329.8540905936047</v>
      </c>
      <c r="I8" s="63">
        <v>900</v>
      </c>
      <c r="J8" s="90">
        <v>2</v>
      </c>
      <c r="K8" s="91">
        <v>1.4776156562151164</v>
      </c>
      <c r="L8" s="91"/>
      <c r="M8" s="92">
        <v>5.5848368411557802E-4</v>
      </c>
      <c r="N8" s="93">
        <v>1</v>
      </c>
      <c r="O8" s="63">
        <f t="shared" si="0"/>
        <v>607.94139770549509</v>
      </c>
      <c r="P8" s="63">
        <f t="shared" si="1"/>
        <v>1336.3269442766571</v>
      </c>
      <c r="Q8" s="91">
        <f t="shared" si="2"/>
        <v>1.4848077158629522</v>
      </c>
      <c r="R8" s="91"/>
      <c r="S8" s="94" t="s">
        <v>3415</v>
      </c>
      <c r="T8" s="80">
        <v>2028</v>
      </c>
      <c r="V8" s="80">
        <v>2</v>
      </c>
      <c r="W8" s="80">
        <v>1</v>
      </c>
      <c r="X8" s="80">
        <v>0</v>
      </c>
      <c r="Y8" s="80">
        <v>1</v>
      </c>
      <c r="Z8" s="80">
        <v>0</v>
      </c>
    </row>
    <row r="9" spans="1:26" x14ac:dyDescent="0.25">
      <c r="A9" t="s">
        <v>3405</v>
      </c>
      <c r="B9" t="s">
        <v>58</v>
      </c>
      <c r="C9" t="s">
        <v>3416</v>
      </c>
      <c r="D9" s="80">
        <v>4</v>
      </c>
      <c r="F9" s="63">
        <v>1224.44444</v>
      </c>
      <c r="G9" s="89">
        <v>1</v>
      </c>
      <c r="H9" s="63">
        <v>2437.7194318533866</v>
      </c>
      <c r="I9" s="63">
        <v>3770</v>
      </c>
      <c r="J9" s="90">
        <v>2</v>
      </c>
      <c r="K9" s="91">
        <v>0.64660992887357738</v>
      </c>
      <c r="L9" s="91"/>
      <c r="M9" s="92">
        <v>2.76699311988946E-2</v>
      </c>
      <c r="N9" s="93">
        <v>1</v>
      </c>
      <c r="O9" s="63">
        <f t="shared" si="0"/>
        <v>1608.7019177384034</v>
      </c>
      <c r="P9" s="63">
        <f t="shared" si="1"/>
        <v>3069.5228145990836</v>
      </c>
      <c r="Q9" s="91">
        <f t="shared" si="2"/>
        <v>0.81419703305015478</v>
      </c>
      <c r="R9" s="91"/>
      <c r="S9" s="94"/>
      <c r="V9" s="80">
        <v>4</v>
      </c>
      <c r="W9" s="80">
        <v>2</v>
      </c>
      <c r="X9" s="80">
        <v>1</v>
      </c>
      <c r="Y9" s="80">
        <v>0</v>
      </c>
      <c r="Z9" s="80">
        <v>0</v>
      </c>
    </row>
    <row r="10" spans="1:26" x14ac:dyDescent="0.25">
      <c r="A10" t="s">
        <v>3405</v>
      </c>
      <c r="B10" t="s">
        <v>82</v>
      </c>
      <c r="C10" t="s">
        <v>3417</v>
      </c>
      <c r="D10" s="80">
        <v>4</v>
      </c>
      <c r="F10" s="63">
        <v>2713.6212990654499</v>
      </c>
      <c r="G10" s="89">
        <v>4</v>
      </c>
      <c r="H10" s="63">
        <v>4749.2364161857304</v>
      </c>
      <c r="I10" s="63">
        <v>8000</v>
      </c>
      <c r="J10" s="90">
        <v>2</v>
      </c>
      <c r="K10" s="91">
        <v>0.59365455202321626</v>
      </c>
      <c r="L10" s="91"/>
      <c r="M10" s="92">
        <v>1.3116069519570299E-2</v>
      </c>
      <c r="N10" s="93">
        <v>1</v>
      </c>
      <c r="O10" s="63">
        <f t="shared" si="0"/>
        <v>3091.3008903202203</v>
      </c>
      <c r="P10" s="63">
        <f t="shared" si="1"/>
        <v>5290.5109263863287</v>
      </c>
      <c r="Q10" s="91">
        <f t="shared" si="2"/>
        <v>0.6613138657982911</v>
      </c>
      <c r="R10" s="91"/>
      <c r="S10" s="94"/>
      <c r="V10" s="80">
        <v>4</v>
      </c>
      <c r="W10" s="80">
        <v>2</v>
      </c>
      <c r="X10" s="80">
        <v>0</v>
      </c>
      <c r="Y10" s="80">
        <v>1</v>
      </c>
      <c r="Z10" s="80">
        <v>1</v>
      </c>
    </row>
    <row r="11" spans="1:26" x14ac:dyDescent="0.25">
      <c r="A11" t="s">
        <v>3405</v>
      </c>
      <c r="B11" t="s">
        <v>120</v>
      </c>
      <c r="C11" t="s">
        <v>3418</v>
      </c>
      <c r="D11" s="80">
        <v>3</v>
      </c>
      <c r="F11" s="63">
        <v>170.8</v>
      </c>
      <c r="G11" s="89">
        <v>2</v>
      </c>
      <c r="H11" s="63">
        <v>431.51583370235448</v>
      </c>
      <c r="I11" s="63">
        <v>533.66602291713798</v>
      </c>
      <c r="J11" s="90">
        <v>1</v>
      </c>
      <c r="K11" s="91">
        <v>0.80858779680893367</v>
      </c>
      <c r="L11" s="91"/>
      <c r="M11" s="92">
        <v>3.2458029459824299E-3</v>
      </c>
      <c r="N11" s="93">
        <v>1</v>
      </c>
      <c r="O11" s="63">
        <f t="shared" si="0"/>
        <v>176.4255101250088</v>
      </c>
      <c r="P11" s="63">
        <f t="shared" si="1"/>
        <v>444.43338413890007</v>
      </c>
      <c r="Q11" s="91">
        <f t="shared" si="2"/>
        <v>0.83279310477651858</v>
      </c>
      <c r="R11" s="91"/>
      <c r="S11" s="94"/>
      <c r="V11" s="80">
        <v>2</v>
      </c>
      <c r="W11" s="80">
        <v>1</v>
      </c>
      <c r="X11" s="80">
        <v>0</v>
      </c>
      <c r="Y11" s="80">
        <v>0</v>
      </c>
      <c r="Z11" s="80">
        <v>0</v>
      </c>
    </row>
    <row r="12" spans="1:26" x14ac:dyDescent="0.25">
      <c r="A12" t="s">
        <v>3405</v>
      </c>
      <c r="B12" t="s">
        <v>2582</v>
      </c>
      <c r="C12" t="s">
        <v>3419</v>
      </c>
      <c r="D12" s="80">
        <v>3</v>
      </c>
      <c r="F12" s="63">
        <v>268.01287000000002</v>
      </c>
      <c r="G12" s="89">
        <v>1</v>
      </c>
      <c r="H12" s="63">
        <v>648.35703607111009</v>
      </c>
      <c r="I12" s="63">
        <v>1360</v>
      </c>
      <c r="J12" s="90">
        <v>2</v>
      </c>
      <c r="K12" s="91">
        <v>0.47673311475816921</v>
      </c>
      <c r="L12" s="91"/>
      <c r="M12" s="92">
        <v>4.2099215481434496E-4</v>
      </c>
      <c r="N12" s="93">
        <v>1</v>
      </c>
      <c r="O12" s="63">
        <f t="shared" si="0"/>
        <v>269.14332310751462</v>
      </c>
      <c r="P12" s="63">
        <f t="shared" si="1"/>
        <v>650.80791531878913</v>
      </c>
      <c r="Q12" s="91">
        <f t="shared" si="2"/>
        <v>0.47853523185205082</v>
      </c>
      <c r="R12" s="91"/>
      <c r="S12" s="94"/>
      <c r="V12" s="80">
        <v>3</v>
      </c>
      <c r="W12" s="80">
        <v>2</v>
      </c>
      <c r="X12" s="80">
        <v>0</v>
      </c>
      <c r="Y12" s="80">
        <v>1</v>
      </c>
      <c r="Z12" s="80">
        <v>0</v>
      </c>
    </row>
    <row r="13" spans="1:26" x14ac:dyDescent="0.25">
      <c r="A13" t="s">
        <v>3405</v>
      </c>
      <c r="B13" t="s">
        <v>216</v>
      </c>
      <c r="C13" t="s">
        <v>3420</v>
      </c>
      <c r="D13" s="80">
        <v>3</v>
      </c>
      <c r="F13" s="63">
        <v>585.01531</v>
      </c>
      <c r="G13" s="89">
        <v>1</v>
      </c>
      <c r="H13" s="63">
        <v>1292.3654343941735</v>
      </c>
      <c r="I13" s="63">
        <v>2400</v>
      </c>
      <c r="J13" s="90">
        <v>2</v>
      </c>
      <c r="K13" s="91">
        <v>0.53848559766423898</v>
      </c>
      <c r="L13" s="91"/>
      <c r="M13" s="92">
        <v>1.9950733351248901E-3</v>
      </c>
      <c r="N13" s="93">
        <v>1</v>
      </c>
      <c r="O13" s="63">
        <f t="shared" si="0"/>
        <v>596.79213848520158</v>
      </c>
      <c r="P13" s="63">
        <f t="shared" si="1"/>
        <v>1314.9831686344146</v>
      </c>
      <c r="Q13" s="91">
        <f t="shared" si="2"/>
        <v>0.54790965359767274</v>
      </c>
      <c r="R13" s="91"/>
      <c r="S13" s="94"/>
      <c r="V13" s="80">
        <v>3</v>
      </c>
      <c r="W13" s="80">
        <v>1</v>
      </c>
      <c r="X13" s="80">
        <v>0</v>
      </c>
      <c r="Y13" s="80">
        <v>1</v>
      </c>
      <c r="Z13" s="80">
        <v>0</v>
      </c>
    </row>
    <row r="14" spans="1:26" x14ac:dyDescent="0.25">
      <c r="A14" t="s">
        <v>3405</v>
      </c>
      <c r="B14" t="s">
        <v>232</v>
      </c>
      <c r="C14" t="s">
        <v>3421</v>
      </c>
      <c r="D14" s="80">
        <v>3</v>
      </c>
      <c r="F14" s="63">
        <v>357.75031999999999</v>
      </c>
      <c r="G14" s="89">
        <v>1</v>
      </c>
      <c r="H14" s="63">
        <v>838.80861241192645</v>
      </c>
      <c r="I14" s="63">
        <v>900</v>
      </c>
      <c r="J14" s="90">
        <v>2</v>
      </c>
      <c r="K14" s="91">
        <v>0.93200956934658497</v>
      </c>
      <c r="L14" s="91"/>
      <c r="M14" s="92">
        <v>0</v>
      </c>
      <c r="N14" s="93">
        <v>2</v>
      </c>
      <c r="O14" s="63">
        <f t="shared" si="0"/>
        <v>357.75031999999999</v>
      </c>
      <c r="P14" s="63">
        <f t="shared" si="1"/>
        <v>838.80861241192645</v>
      </c>
      <c r="Q14" s="91">
        <f t="shared" si="2"/>
        <v>0.93200956934658497</v>
      </c>
      <c r="R14" s="91"/>
      <c r="S14" s="94"/>
      <c r="V14" s="80">
        <v>2</v>
      </c>
      <c r="W14" s="80">
        <v>1</v>
      </c>
      <c r="X14" s="80">
        <v>0</v>
      </c>
      <c r="Y14" s="80">
        <v>1</v>
      </c>
      <c r="Z14" s="80">
        <v>0</v>
      </c>
    </row>
    <row r="15" spans="1:26" x14ac:dyDescent="0.25">
      <c r="A15" t="s">
        <v>3405</v>
      </c>
      <c r="B15" t="s">
        <v>240</v>
      </c>
      <c r="C15" t="s">
        <v>3422</v>
      </c>
      <c r="D15" s="80">
        <v>3</v>
      </c>
      <c r="F15" s="63">
        <v>312.79853000000003</v>
      </c>
      <c r="G15" s="89">
        <v>1</v>
      </c>
      <c r="H15" s="63">
        <v>744.40127216449889</v>
      </c>
      <c r="I15" s="63">
        <v>1458.69338692406</v>
      </c>
      <c r="J15" s="90">
        <v>1</v>
      </c>
      <c r="K15" s="91">
        <v>0.51032059159067999</v>
      </c>
      <c r="L15" s="91"/>
      <c r="M15" s="92">
        <v>3.6535777173403103E-2</v>
      </c>
      <c r="N15" s="93">
        <v>1</v>
      </c>
      <c r="O15" s="63">
        <f t="shared" si="0"/>
        <v>447.82431660735193</v>
      </c>
      <c r="P15" s="63">
        <f t="shared" si="1"/>
        <v>1022.8457341133306</v>
      </c>
      <c r="Q15" s="91">
        <f t="shared" si="2"/>
        <v>0.70120680828628468</v>
      </c>
      <c r="R15" s="91"/>
      <c r="S15" s="94"/>
      <c r="V15" s="80">
        <v>2</v>
      </c>
      <c r="W15" s="80">
        <v>1</v>
      </c>
      <c r="X15" s="80">
        <v>0</v>
      </c>
      <c r="Y15" s="80">
        <v>1</v>
      </c>
      <c r="Z15" s="80">
        <v>0</v>
      </c>
    </row>
    <row r="16" spans="1:26" x14ac:dyDescent="0.25">
      <c r="A16" t="s">
        <v>3405</v>
      </c>
      <c r="B16" t="s">
        <v>292</v>
      </c>
      <c r="C16" t="s">
        <v>3423</v>
      </c>
      <c r="D16" s="80">
        <v>3</v>
      </c>
      <c r="F16" s="63">
        <v>233</v>
      </c>
      <c r="G16" s="89">
        <v>3</v>
      </c>
      <c r="H16" s="63">
        <v>571.7042134118235</v>
      </c>
      <c r="I16" s="63">
        <v>1000</v>
      </c>
      <c r="J16" s="90">
        <v>2</v>
      </c>
      <c r="K16" s="91">
        <v>0.57170421341182354</v>
      </c>
      <c r="L16" s="91"/>
      <c r="M16" s="92">
        <v>3.9501976284044497E-2</v>
      </c>
      <c r="N16" s="93">
        <v>1</v>
      </c>
      <c r="O16" s="63">
        <f t="shared" si="0"/>
        <v>343.24886862596509</v>
      </c>
      <c r="P16" s="63">
        <f t="shared" si="1"/>
        <v>808.55591823910061</v>
      </c>
      <c r="Q16" s="91">
        <f t="shared" si="2"/>
        <v>0.80855591823910056</v>
      </c>
      <c r="R16" s="91"/>
      <c r="S16" s="94"/>
      <c r="V16" s="80">
        <v>2</v>
      </c>
      <c r="W16" s="80">
        <v>1</v>
      </c>
      <c r="X16" s="80">
        <v>0</v>
      </c>
      <c r="Y16" s="80">
        <v>1</v>
      </c>
      <c r="Z16" s="80">
        <v>0</v>
      </c>
    </row>
    <row r="17" spans="1:26" x14ac:dyDescent="0.25">
      <c r="A17" t="s">
        <v>3405</v>
      </c>
      <c r="B17" t="s">
        <v>382</v>
      </c>
      <c r="C17" t="s">
        <v>3424</v>
      </c>
      <c r="D17" s="80">
        <v>4</v>
      </c>
      <c r="F17" s="63">
        <v>295.08814000000001</v>
      </c>
      <c r="G17" s="89">
        <v>1</v>
      </c>
      <c r="H17" s="63">
        <v>706.67228700374562</v>
      </c>
      <c r="I17" s="63">
        <v>1200</v>
      </c>
      <c r="J17" s="90">
        <v>2</v>
      </c>
      <c r="K17" s="91">
        <v>0.58889357250312135</v>
      </c>
      <c r="L17" s="91"/>
      <c r="M17" s="92">
        <v>2.2522119750070801E-2</v>
      </c>
      <c r="N17" s="93">
        <v>1</v>
      </c>
      <c r="O17" s="63">
        <f t="shared" si="0"/>
        <v>368.70486805836407</v>
      </c>
      <c r="P17" s="63">
        <f t="shared" si="1"/>
        <v>861.53970632340031</v>
      </c>
      <c r="Q17" s="91">
        <f t="shared" si="2"/>
        <v>0.71794975526950022</v>
      </c>
      <c r="R17" s="91"/>
      <c r="S17" s="94"/>
      <c r="V17" s="80">
        <v>4</v>
      </c>
      <c r="W17" s="80">
        <v>1</v>
      </c>
      <c r="X17" s="80">
        <v>1</v>
      </c>
      <c r="Y17" s="80">
        <v>1</v>
      </c>
      <c r="Z17" s="80">
        <v>0</v>
      </c>
    </row>
    <row r="18" spans="1:26" x14ac:dyDescent="0.25">
      <c r="A18" t="s">
        <v>3405</v>
      </c>
      <c r="B18" t="s">
        <v>29</v>
      </c>
      <c r="C18" t="s">
        <v>3425</v>
      </c>
      <c r="D18" s="80">
        <v>4</v>
      </c>
      <c r="F18" s="63">
        <v>12497.05867</v>
      </c>
      <c r="G18" s="89">
        <v>1</v>
      </c>
      <c r="H18" s="63">
        <v>16682.926045679833</v>
      </c>
      <c r="I18" s="63">
        <v>19500</v>
      </c>
      <c r="J18" s="90">
        <v>2</v>
      </c>
      <c r="K18" s="91">
        <v>0.85553466900922215</v>
      </c>
      <c r="L18" s="91"/>
      <c r="M18" s="92">
        <v>8.5762833366799501E-3</v>
      </c>
      <c r="N18" s="93">
        <v>4</v>
      </c>
      <c r="O18" s="63">
        <f t="shared" si="0"/>
        <v>13611.165787320449</v>
      </c>
      <c r="P18" s="63">
        <f t="shared" si="1"/>
        <v>17898.831265179884</v>
      </c>
      <c r="Q18" s="91">
        <f t="shared" si="2"/>
        <v>0.91788878282973763</v>
      </c>
      <c r="R18" s="91"/>
      <c r="S18" s="94"/>
      <c r="V18" s="80">
        <v>6</v>
      </c>
      <c r="W18" s="80">
        <v>2</v>
      </c>
      <c r="X18" s="80">
        <v>1</v>
      </c>
      <c r="Y18" s="80">
        <v>1</v>
      </c>
      <c r="Z18" s="80">
        <v>0</v>
      </c>
    </row>
    <row r="19" spans="1:26" x14ac:dyDescent="0.25">
      <c r="A19" t="s">
        <v>3405</v>
      </c>
      <c r="B19" t="s">
        <v>470</v>
      </c>
      <c r="C19" t="s">
        <v>3426</v>
      </c>
      <c r="D19" s="80">
        <v>3</v>
      </c>
      <c r="F19" s="63">
        <v>269.68929000000003</v>
      </c>
      <c r="G19" s="89">
        <v>1</v>
      </c>
      <c r="H19" s="63">
        <v>651.99108335398842</v>
      </c>
      <c r="I19" s="63">
        <v>1130</v>
      </c>
      <c r="J19" s="90">
        <v>2</v>
      </c>
      <c r="K19" s="91">
        <v>0.5769832596052995</v>
      </c>
      <c r="L19" s="91"/>
      <c r="M19" s="92">
        <v>6.2091023170130002E-3</v>
      </c>
      <c r="N19" s="93">
        <v>1</v>
      </c>
      <c r="O19" s="63">
        <f t="shared" si="0"/>
        <v>286.91028504027173</v>
      </c>
      <c r="P19" s="63">
        <f t="shared" si="1"/>
        <v>689.14185642261498</v>
      </c>
      <c r="Q19" s="91">
        <f t="shared" si="2"/>
        <v>0.60986004993151766</v>
      </c>
      <c r="R19" s="91"/>
      <c r="S19" s="94"/>
      <c r="V19" s="80">
        <v>2</v>
      </c>
      <c r="W19" s="80">
        <v>1</v>
      </c>
      <c r="X19" s="80">
        <v>1</v>
      </c>
      <c r="Y19" s="80">
        <v>1</v>
      </c>
      <c r="Z19" s="80">
        <v>0</v>
      </c>
    </row>
    <row r="20" spans="1:26" x14ac:dyDescent="0.25">
      <c r="A20" t="s">
        <v>3405</v>
      </c>
      <c r="B20" t="s">
        <v>476</v>
      </c>
      <c r="C20" t="s">
        <v>3427</v>
      </c>
      <c r="D20" s="80">
        <v>3</v>
      </c>
      <c r="F20" s="63">
        <v>199.869</v>
      </c>
      <c r="G20" s="89">
        <v>1</v>
      </c>
      <c r="H20" s="63">
        <v>497.73039680038255</v>
      </c>
      <c r="I20" s="63">
        <v>1026.6981659175799</v>
      </c>
      <c r="J20" s="90">
        <v>1</v>
      </c>
      <c r="K20" s="91">
        <v>0.4847874607388154</v>
      </c>
      <c r="L20" s="91"/>
      <c r="M20" s="92">
        <v>6.2275976466802897E-3</v>
      </c>
      <c r="N20" s="93">
        <v>1</v>
      </c>
      <c r="O20" s="63">
        <f t="shared" si="0"/>
        <v>212.67071166990803</v>
      </c>
      <c r="P20" s="63">
        <f t="shared" si="1"/>
        <v>526.49147843304934</v>
      </c>
      <c r="Q20" s="91">
        <f t="shared" si="2"/>
        <v>0.512800641815225</v>
      </c>
      <c r="R20" s="91"/>
      <c r="S20" s="94"/>
      <c r="V20" s="80">
        <v>2</v>
      </c>
      <c r="W20" s="80">
        <v>1</v>
      </c>
      <c r="X20" s="80">
        <v>0</v>
      </c>
      <c r="Y20" s="80">
        <v>0</v>
      </c>
      <c r="Z20" s="80">
        <v>0</v>
      </c>
    </row>
    <row r="21" spans="1:26" x14ac:dyDescent="0.25">
      <c r="A21" t="s">
        <v>3405</v>
      </c>
      <c r="B21" t="s">
        <v>512</v>
      </c>
      <c r="C21" t="s">
        <v>3428</v>
      </c>
      <c r="D21" s="80">
        <v>3</v>
      </c>
      <c r="F21" s="63">
        <v>182.6088</v>
      </c>
      <c r="G21" s="89">
        <v>1</v>
      </c>
      <c r="H21" s="63">
        <v>458.57291456828449</v>
      </c>
      <c r="I21" s="63">
        <v>800</v>
      </c>
      <c r="J21" s="90">
        <v>2</v>
      </c>
      <c r="K21" s="91">
        <v>0.57321614321035563</v>
      </c>
      <c r="L21" s="91"/>
      <c r="M21" s="92">
        <v>0</v>
      </c>
      <c r="N21" s="93">
        <v>3</v>
      </c>
      <c r="O21" s="63">
        <f t="shared" si="0"/>
        <v>182.6088</v>
      </c>
      <c r="P21" s="63">
        <f t="shared" si="1"/>
        <v>458.57291456828443</v>
      </c>
      <c r="Q21" s="91">
        <f t="shared" si="2"/>
        <v>0.57321614321035552</v>
      </c>
      <c r="R21" s="91"/>
      <c r="S21" s="94"/>
      <c r="V21" s="80">
        <v>2</v>
      </c>
      <c r="W21" s="80">
        <v>1</v>
      </c>
      <c r="X21" s="80">
        <v>0</v>
      </c>
      <c r="Y21" s="80">
        <v>1</v>
      </c>
      <c r="Z21" s="80">
        <v>0</v>
      </c>
    </row>
    <row r="22" spans="1:26" x14ac:dyDescent="0.25">
      <c r="A22" t="s">
        <v>3405</v>
      </c>
      <c r="B22" t="s">
        <v>644</v>
      </c>
      <c r="C22" t="s">
        <v>3429</v>
      </c>
      <c r="D22" s="80">
        <v>3</v>
      </c>
      <c r="F22" s="63">
        <v>138.91722999999999</v>
      </c>
      <c r="G22" s="89">
        <v>1</v>
      </c>
      <c r="H22" s="63">
        <v>357.26973392663632</v>
      </c>
      <c r="I22" s="63">
        <v>1000</v>
      </c>
      <c r="J22" s="90">
        <v>2</v>
      </c>
      <c r="K22" s="91">
        <v>0.3572697339266363</v>
      </c>
      <c r="L22" s="91"/>
      <c r="M22" s="92">
        <v>4.5432045135314202E-2</v>
      </c>
      <c r="N22" s="93">
        <v>3</v>
      </c>
      <c r="O22" s="63">
        <f t="shared" si="0"/>
        <v>216.62780380748995</v>
      </c>
      <c r="P22" s="63">
        <f t="shared" si="1"/>
        <v>535.3354269141638</v>
      </c>
      <c r="Q22" s="91">
        <f t="shared" si="2"/>
        <v>0.5353354269141638</v>
      </c>
      <c r="R22" s="91"/>
      <c r="S22" s="94"/>
      <c r="V22" s="80">
        <v>3</v>
      </c>
      <c r="W22" s="80">
        <v>1</v>
      </c>
      <c r="X22" s="80">
        <v>0</v>
      </c>
      <c r="Y22" s="80">
        <v>1</v>
      </c>
      <c r="Z22" s="80">
        <v>0</v>
      </c>
    </row>
    <row r="23" spans="1:26" x14ac:dyDescent="0.25">
      <c r="A23" t="s">
        <v>3405</v>
      </c>
      <c r="B23" t="s">
        <v>122</v>
      </c>
      <c r="C23" t="s">
        <v>3430</v>
      </c>
      <c r="D23" s="80">
        <v>4</v>
      </c>
      <c r="F23" s="63">
        <v>23</v>
      </c>
      <c r="G23" s="89">
        <v>3</v>
      </c>
      <c r="H23" s="63">
        <v>65.890061339627394</v>
      </c>
      <c r="I23" s="63">
        <v>1700</v>
      </c>
      <c r="J23" s="90">
        <v>2</v>
      </c>
      <c r="K23" s="91">
        <v>3.8758859611545529E-2</v>
      </c>
      <c r="L23" s="91"/>
      <c r="M23" s="92">
        <v>0</v>
      </c>
      <c r="N23" s="93">
        <v>3</v>
      </c>
      <c r="O23" s="63">
        <f t="shared" si="0"/>
        <v>23</v>
      </c>
      <c r="P23" s="63">
        <f t="shared" si="1"/>
        <v>65.890061339627408</v>
      </c>
      <c r="Q23" s="91">
        <f t="shared" si="2"/>
        <v>3.8758859611545536E-2</v>
      </c>
      <c r="R23" s="91"/>
      <c r="S23" s="94"/>
      <c r="V23" s="80">
        <v>3</v>
      </c>
      <c r="W23" s="80">
        <v>1</v>
      </c>
      <c r="X23" s="80">
        <v>0</v>
      </c>
      <c r="Y23" s="80">
        <v>0</v>
      </c>
      <c r="Z23" s="80">
        <v>0</v>
      </c>
    </row>
    <row r="24" spans="1:26" x14ac:dyDescent="0.25">
      <c r="A24" t="s">
        <v>3405</v>
      </c>
      <c r="B24" t="s">
        <v>726</v>
      </c>
      <c r="C24" t="s">
        <v>3431</v>
      </c>
      <c r="D24" s="80">
        <v>3</v>
      </c>
      <c r="F24" s="63">
        <v>388.16489999999999</v>
      </c>
      <c r="G24" s="89">
        <v>1</v>
      </c>
      <c r="H24" s="63">
        <v>901.67039168641429</v>
      </c>
      <c r="I24" s="63">
        <v>1650</v>
      </c>
      <c r="J24" s="90">
        <v>2</v>
      </c>
      <c r="K24" s="91">
        <v>0.5464669040523723</v>
      </c>
      <c r="L24" s="91"/>
      <c r="M24" s="92">
        <v>3.97680894457084E-3</v>
      </c>
      <c r="N24" s="93">
        <v>3</v>
      </c>
      <c r="O24" s="63">
        <f t="shared" si="0"/>
        <v>403.88067392279447</v>
      </c>
      <c r="P24" s="63">
        <f t="shared" si="1"/>
        <v>933.8550325558125</v>
      </c>
      <c r="Q24" s="91">
        <f t="shared" si="2"/>
        <v>0.56597274700352274</v>
      </c>
      <c r="R24" s="91"/>
      <c r="S24" s="94"/>
      <c r="V24" s="80">
        <v>3</v>
      </c>
      <c r="W24" s="80">
        <v>1</v>
      </c>
      <c r="X24" s="80">
        <v>1</v>
      </c>
      <c r="Y24" s="80">
        <v>1</v>
      </c>
      <c r="Z24" s="80">
        <v>0</v>
      </c>
    </row>
    <row r="25" spans="1:26" x14ac:dyDescent="0.25">
      <c r="A25" t="s">
        <v>3405</v>
      </c>
      <c r="B25" t="s">
        <v>768</v>
      </c>
      <c r="C25" t="s">
        <v>3432</v>
      </c>
      <c r="D25" s="80">
        <v>3</v>
      </c>
      <c r="F25" s="63">
        <v>166.61463000000001</v>
      </c>
      <c r="G25" s="89">
        <v>1</v>
      </c>
      <c r="H25" s="63">
        <v>421.87127714325902</v>
      </c>
      <c r="I25" s="63">
        <v>2000</v>
      </c>
      <c r="J25" s="90">
        <v>2</v>
      </c>
      <c r="K25" s="91">
        <v>0.2109356385716295</v>
      </c>
      <c r="L25" s="91"/>
      <c r="M25" s="92">
        <v>3.7702262177694099E-3</v>
      </c>
      <c r="N25" s="93">
        <v>1</v>
      </c>
      <c r="O25" s="63">
        <f t="shared" si="0"/>
        <v>173.00403333300295</v>
      </c>
      <c r="P25" s="63">
        <f t="shared" si="1"/>
        <v>436.58300084910485</v>
      </c>
      <c r="Q25" s="91">
        <f t="shared" si="2"/>
        <v>0.21829150042455242</v>
      </c>
      <c r="R25" s="91"/>
      <c r="S25" s="94"/>
      <c r="V25" s="80">
        <v>3</v>
      </c>
      <c r="W25" s="80">
        <v>1</v>
      </c>
      <c r="X25" s="80">
        <v>0</v>
      </c>
      <c r="Y25" s="80">
        <v>0</v>
      </c>
      <c r="Z25" s="80">
        <v>0</v>
      </c>
    </row>
    <row r="26" spans="1:26" x14ac:dyDescent="0.25">
      <c r="A26" t="s">
        <v>3405</v>
      </c>
      <c r="B26" t="s">
        <v>1147</v>
      </c>
      <c r="C26" t="s">
        <v>3433</v>
      </c>
      <c r="D26" s="80">
        <v>3</v>
      </c>
      <c r="F26" s="63">
        <v>71.811324020335803</v>
      </c>
      <c r="G26" s="89">
        <v>2</v>
      </c>
      <c r="H26" s="63">
        <v>193.89740259658285</v>
      </c>
      <c r="I26" s="63">
        <v>497.69927010139997</v>
      </c>
      <c r="J26" s="90">
        <v>1</v>
      </c>
      <c r="K26" s="91">
        <v>0.38958747630286594</v>
      </c>
      <c r="L26" s="91"/>
      <c r="M26" s="92">
        <v>0.05</v>
      </c>
      <c r="N26" s="93">
        <v>2</v>
      </c>
      <c r="O26" s="63">
        <f t="shared" si="0"/>
        <v>116.97307983849882</v>
      </c>
      <c r="P26" s="63">
        <f t="shared" si="1"/>
        <v>305.02922231727092</v>
      </c>
      <c r="Q26" s="91">
        <f t="shared" si="2"/>
        <v>0.61287858078458712</v>
      </c>
      <c r="R26" s="91"/>
      <c r="S26" s="94"/>
      <c r="V26" s="80">
        <v>2</v>
      </c>
      <c r="W26" s="80">
        <v>1</v>
      </c>
      <c r="X26" s="80">
        <v>0</v>
      </c>
      <c r="Y26" s="80">
        <v>1</v>
      </c>
      <c r="Z26" s="80">
        <v>0</v>
      </c>
    </row>
    <row r="27" spans="1:26" x14ac:dyDescent="0.25">
      <c r="A27" t="s">
        <v>3405</v>
      </c>
      <c r="B27" t="s">
        <v>825</v>
      </c>
      <c r="C27" t="s">
        <v>3434</v>
      </c>
      <c r="D27" s="80">
        <v>3</v>
      </c>
      <c r="F27" s="63">
        <v>1259</v>
      </c>
      <c r="G27" s="89">
        <v>3</v>
      </c>
      <c r="H27" s="63">
        <v>2495.9126321245326</v>
      </c>
      <c r="I27" s="63">
        <v>2500</v>
      </c>
      <c r="J27" s="90">
        <v>2</v>
      </c>
      <c r="K27" s="91">
        <v>0.99836505284981303</v>
      </c>
      <c r="L27" s="91"/>
      <c r="M27" s="92">
        <v>2.0358980235071901E-3</v>
      </c>
      <c r="N27" s="93">
        <v>1</v>
      </c>
      <c r="O27" s="63">
        <f t="shared" si="0"/>
        <v>1284.8680637857001</v>
      </c>
      <c r="P27" s="63">
        <f t="shared" si="1"/>
        <v>2539.2816271312295</v>
      </c>
      <c r="Q27" s="91">
        <f t="shared" si="2"/>
        <v>1.0157126508524918</v>
      </c>
      <c r="R27" s="91"/>
      <c r="S27" s="95" t="s">
        <v>3435</v>
      </c>
      <c r="V27" s="80">
        <v>2</v>
      </c>
      <c r="W27" s="80">
        <v>2</v>
      </c>
      <c r="X27" s="80">
        <v>0</v>
      </c>
      <c r="Y27" s="80">
        <v>1</v>
      </c>
      <c r="Z27" s="80">
        <v>0</v>
      </c>
    </row>
    <row r="28" spans="1:26" x14ac:dyDescent="0.25">
      <c r="A28" t="s">
        <v>3405</v>
      </c>
      <c r="B28" t="s">
        <v>845</v>
      </c>
      <c r="C28" t="s">
        <v>3436</v>
      </c>
      <c r="D28" s="80">
        <v>4</v>
      </c>
      <c r="F28" s="63">
        <v>487.76839999999999</v>
      </c>
      <c r="G28" s="89">
        <v>1</v>
      </c>
      <c r="H28" s="63">
        <v>1102.5447843903271</v>
      </c>
      <c r="I28" s="63">
        <v>2000</v>
      </c>
      <c r="J28" s="90">
        <v>3</v>
      </c>
      <c r="K28" s="91">
        <v>0.55127239219516355</v>
      </c>
      <c r="L28" s="91"/>
      <c r="M28" s="92">
        <v>1.2877141668033699E-2</v>
      </c>
      <c r="N28" s="93">
        <v>1</v>
      </c>
      <c r="O28" s="63">
        <f t="shared" si="0"/>
        <v>554.34656815620065</v>
      </c>
      <c r="P28" s="63">
        <f t="shared" si="1"/>
        <v>1233.1047419161546</v>
      </c>
      <c r="Q28" s="91">
        <f t="shared" si="2"/>
        <v>0.61655237095807724</v>
      </c>
      <c r="R28" s="91"/>
      <c r="S28" s="94"/>
      <c r="V28" s="80">
        <v>3</v>
      </c>
      <c r="W28" s="80">
        <v>1</v>
      </c>
      <c r="X28" s="80">
        <v>1</v>
      </c>
      <c r="Y28" s="80">
        <v>1</v>
      </c>
      <c r="Z28" s="80">
        <v>0</v>
      </c>
    </row>
    <row r="29" spans="1:26" x14ac:dyDescent="0.25">
      <c r="A29" t="s">
        <v>3405</v>
      </c>
      <c r="B29" t="s">
        <v>877</v>
      </c>
      <c r="C29" t="s">
        <v>3437</v>
      </c>
      <c r="D29" s="80">
        <v>3</v>
      </c>
      <c r="F29" s="63">
        <v>119.43772</v>
      </c>
      <c r="G29" s="89">
        <v>1</v>
      </c>
      <c r="H29" s="63">
        <v>310.94765328250753</v>
      </c>
      <c r="I29" s="63">
        <v>1200</v>
      </c>
      <c r="J29" s="90">
        <v>2</v>
      </c>
      <c r="K29" s="91">
        <v>0.25912304440208961</v>
      </c>
      <c r="L29" s="91"/>
      <c r="M29" s="92">
        <v>3.2279624489261499E-2</v>
      </c>
      <c r="N29" s="93">
        <v>3</v>
      </c>
      <c r="O29" s="63">
        <f t="shared" si="0"/>
        <v>164.10244659739473</v>
      </c>
      <c r="P29" s="63">
        <f t="shared" si="1"/>
        <v>416.06815000128853</v>
      </c>
      <c r="Q29" s="91">
        <f t="shared" si="2"/>
        <v>0.3467234583344071</v>
      </c>
      <c r="R29" s="91"/>
      <c r="S29" s="94"/>
      <c r="V29" s="80">
        <v>2</v>
      </c>
      <c r="W29" s="80">
        <v>1</v>
      </c>
      <c r="X29" s="80">
        <v>0</v>
      </c>
      <c r="Y29" s="80">
        <v>1</v>
      </c>
      <c r="Z29" s="80">
        <v>0</v>
      </c>
    </row>
    <row r="30" spans="1:26" x14ac:dyDescent="0.25">
      <c r="A30" t="s">
        <v>3405</v>
      </c>
      <c r="B30" t="s">
        <v>931</v>
      </c>
      <c r="C30" t="s">
        <v>3438</v>
      </c>
      <c r="D30" s="80">
        <v>3</v>
      </c>
      <c r="F30" s="63">
        <v>423.22649000000001</v>
      </c>
      <c r="G30" s="89">
        <v>1</v>
      </c>
      <c r="H30" s="63">
        <v>973.20962104422631</v>
      </c>
      <c r="I30" s="63">
        <v>1400</v>
      </c>
      <c r="J30" s="90">
        <v>3</v>
      </c>
      <c r="K30" s="91">
        <v>0.69514972931730445</v>
      </c>
      <c r="L30" s="91"/>
      <c r="M30" s="92">
        <v>3.4387390803925902E-2</v>
      </c>
      <c r="N30" s="93">
        <v>1</v>
      </c>
      <c r="O30" s="63">
        <f t="shared" si="0"/>
        <v>593.47854205013516</v>
      </c>
      <c r="P30" s="63">
        <f t="shared" si="1"/>
        <v>1308.626909120662</v>
      </c>
      <c r="Q30" s="91">
        <f t="shared" si="2"/>
        <v>0.93473350651475862</v>
      </c>
      <c r="R30" s="91"/>
      <c r="S30" s="94"/>
      <c r="V30" s="80">
        <v>2</v>
      </c>
      <c r="W30" s="80">
        <v>2</v>
      </c>
      <c r="X30" s="80">
        <v>0</v>
      </c>
      <c r="Y30" s="80">
        <v>1</v>
      </c>
      <c r="Z30" s="80">
        <v>0</v>
      </c>
    </row>
    <row r="31" spans="1:26" x14ac:dyDescent="0.25">
      <c r="A31" t="s">
        <v>3405</v>
      </c>
      <c r="B31" t="s">
        <v>1023</v>
      </c>
      <c r="C31" t="s">
        <v>3439</v>
      </c>
      <c r="D31" s="80">
        <v>4</v>
      </c>
      <c r="F31" s="63">
        <v>948.16813000000002</v>
      </c>
      <c r="G31" s="89">
        <v>1</v>
      </c>
      <c r="H31" s="63">
        <v>1960.6109480140638</v>
      </c>
      <c r="I31" s="63">
        <v>3200</v>
      </c>
      <c r="J31" s="90">
        <v>2</v>
      </c>
      <c r="K31" s="91">
        <v>0.61269092125439495</v>
      </c>
      <c r="L31" s="91"/>
      <c r="M31" s="92">
        <v>4.3491527177530499E-3</v>
      </c>
      <c r="N31" s="93">
        <v>1</v>
      </c>
      <c r="O31" s="63">
        <f t="shared" si="0"/>
        <v>990.22190423726727</v>
      </c>
      <c r="P31" s="63">
        <f t="shared" si="1"/>
        <v>2034.7164894198372</v>
      </c>
      <c r="Q31" s="91">
        <f t="shared" si="2"/>
        <v>0.63584890294369911</v>
      </c>
      <c r="R31" s="91"/>
      <c r="S31" s="94"/>
      <c r="V31" s="80">
        <v>2</v>
      </c>
      <c r="W31" s="80">
        <v>2</v>
      </c>
      <c r="X31" s="80">
        <v>0</v>
      </c>
      <c r="Y31" s="80">
        <v>1</v>
      </c>
      <c r="Z31" s="80">
        <v>0</v>
      </c>
    </row>
    <row r="32" spans="1:26" x14ac:dyDescent="0.25">
      <c r="A32" t="s">
        <v>3405</v>
      </c>
      <c r="B32" t="s">
        <v>1059</v>
      </c>
      <c r="C32" t="s">
        <v>3440</v>
      </c>
      <c r="D32" s="80">
        <v>4</v>
      </c>
      <c r="F32" s="63">
        <v>3465.98972</v>
      </c>
      <c r="G32" s="89">
        <v>1</v>
      </c>
      <c r="H32" s="63">
        <v>5815.0708952243722</v>
      </c>
      <c r="I32" s="63">
        <v>7000</v>
      </c>
      <c r="J32" s="90">
        <v>2</v>
      </c>
      <c r="K32" s="91">
        <f>H32/I32</f>
        <v>0.8307244136034817</v>
      </c>
      <c r="L32" s="91"/>
      <c r="M32" s="92">
        <v>2.1296507081150898E-2</v>
      </c>
      <c r="N32" s="93">
        <v>1</v>
      </c>
      <c r="O32" s="63">
        <f t="shared" si="0"/>
        <v>4279.033988859821</v>
      </c>
      <c r="P32" s="63">
        <f t="shared" si="1"/>
        <v>6918.0471836876968</v>
      </c>
      <c r="Q32" s="91">
        <f t="shared" si="2"/>
        <v>0.98829245481252814</v>
      </c>
      <c r="R32" s="91"/>
      <c r="S32" s="95" t="s">
        <v>3435</v>
      </c>
      <c r="V32" s="80">
        <v>3</v>
      </c>
      <c r="W32" s="80">
        <v>2</v>
      </c>
      <c r="X32" s="80">
        <v>1</v>
      </c>
      <c r="Y32" s="80">
        <v>1</v>
      </c>
      <c r="Z32" s="80">
        <v>0</v>
      </c>
    </row>
    <row r="33" spans="1:26" x14ac:dyDescent="0.25">
      <c r="A33" t="s">
        <v>3405</v>
      </c>
      <c r="B33" t="s">
        <v>1143</v>
      </c>
      <c r="C33" t="s">
        <v>3441</v>
      </c>
      <c r="D33" s="80">
        <v>3</v>
      </c>
      <c r="F33" s="63">
        <v>263</v>
      </c>
      <c r="G33" s="89">
        <v>3</v>
      </c>
      <c r="H33" s="63">
        <v>637.47140367367194</v>
      </c>
      <c r="I33" s="63">
        <v>1547.9593227294199</v>
      </c>
      <c r="J33" s="90">
        <v>1</v>
      </c>
      <c r="K33" s="91">
        <v>0.41181405371147511</v>
      </c>
      <c r="L33" s="91"/>
      <c r="M33" s="92">
        <v>1.4887645033718899E-2</v>
      </c>
      <c r="N33" s="93">
        <v>1</v>
      </c>
      <c r="O33" s="63">
        <f t="shared" si="0"/>
        <v>304.88454085498847</v>
      </c>
      <c r="P33" s="63">
        <f t="shared" si="1"/>
        <v>727.58103131128587</v>
      </c>
      <c r="Q33" s="91">
        <f t="shared" si="2"/>
        <v>0.47002593713405061</v>
      </c>
      <c r="R33" s="91"/>
      <c r="S33" s="94"/>
      <c r="V33" s="80">
        <v>2</v>
      </c>
      <c r="W33" s="80">
        <v>1</v>
      </c>
      <c r="X33" s="80">
        <v>0</v>
      </c>
      <c r="Y33" s="80">
        <v>1</v>
      </c>
      <c r="Z33" s="80">
        <v>0</v>
      </c>
    </row>
    <row r="34" spans="1:26" x14ac:dyDescent="0.25">
      <c r="A34" t="s">
        <v>3405</v>
      </c>
      <c r="B34" t="s">
        <v>1175</v>
      </c>
      <c r="C34" t="s">
        <v>3442</v>
      </c>
      <c r="D34" s="80">
        <v>3</v>
      </c>
      <c r="F34" s="63">
        <v>231.68027432798601</v>
      </c>
      <c r="G34" s="89">
        <v>2</v>
      </c>
      <c r="H34" s="63">
        <v>568.78556641738737</v>
      </c>
      <c r="I34" s="63">
        <v>1048.37839806377</v>
      </c>
      <c r="J34" s="90">
        <v>1</v>
      </c>
      <c r="K34" s="91">
        <v>0.54253842645734263</v>
      </c>
      <c r="L34" s="91"/>
      <c r="M34" s="92">
        <v>1.5895064352691401E-4</v>
      </c>
      <c r="N34" s="93">
        <v>1</v>
      </c>
      <c r="O34" s="63">
        <f t="shared" si="0"/>
        <v>232.04879513293335</v>
      </c>
      <c r="P34" s="63">
        <f t="shared" si="1"/>
        <v>569.60079503150712</v>
      </c>
      <c r="Q34" s="91">
        <f t="shared" si="2"/>
        <v>0.54331603558742902</v>
      </c>
      <c r="R34" s="91"/>
      <c r="S34" s="94"/>
      <c r="V34" s="80">
        <v>2</v>
      </c>
      <c r="W34" s="80">
        <v>1</v>
      </c>
      <c r="X34" s="80">
        <v>0</v>
      </c>
      <c r="Y34" s="80">
        <v>1</v>
      </c>
      <c r="Z34" s="80">
        <v>0</v>
      </c>
    </row>
    <row r="35" spans="1:26" x14ac:dyDescent="0.25">
      <c r="A35" t="s">
        <v>3405</v>
      </c>
      <c r="B35" t="s">
        <v>1410</v>
      </c>
      <c r="C35" t="s">
        <v>3443</v>
      </c>
      <c r="D35" s="80">
        <v>3</v>
      </c>
      <c r="F35" s="63">
        <v>184.3553</v>
      </c>
      <c r="G35" s="89">
        <v>1</v>
      </c>
      <c r="H35" s="63">
        <v>462.55576769515926</v>
      </c>
      <c r="I35" s="63">
        <v>1490</v>
      </c>
      <c r="J35" s="90">
        <v>2</v>
      </c>
      <c r="K35" s="91">
        <v>0.31044011254708676</v>
      </c>
      <c r="L35" s="91"/>
      <c r="M35" s="92">
        <v>6.6357064828584E-2</v>
      </c>
      <c r="N35" s="93">
        <v>1</v>
      </c>
      <c r="O35" s="63">
        <f t="shared" si="0"/>
        <v>350.49524735213686</v>
      </c>
      <c r="P35" s="63">
        <f t="shared" si="1"/>
        <v>823.69657818691189</v>
      </c>
      <c r="Q35" s="91">
        <f t="shared" si="2"/>
        <v>0.5528164954274577</v>
      </c>
      <c r="R35" s="91"/>
      <c r="S35" s="94"/>
      <c r="V35" s="80">
        <v>3</v>
      </c>
      <c r="W35" s="80">
        <v>1</v>
      </c>
      <c r="X35" s="80">
        <v>0</v>
      </c>
      <c r="Y35" s="80">
        <v>1</v>
      </c>
      <c r="Z35" s="80">
        <v>0</v>
      </c>
    </row>
    <row r="36" spans="1:26" x14ac:dyDescent="0.25">
      <c r="A36" t="s">
        <v>3405</v>
      </c>
      <c r="B36" t="s">
        <v>1800</v>
      </c>
      <c r="C36" t="s">
        <v>3444</v>
      </c>
      <c r="D36" s="80">
        <v>4</v>
      </c>
      <c r="F36" s="63">
        <v>40.660666244299897</v>
      </c>
      <c r="G36" s="89">
        <v>2</v>
      </c>
      <c r="H36" s="63">
        <v>113.47617185969531</v>
      </c>
      <c r="I36" s="63">
        <v>2221.01432733296</v>
      </c>
      <c r="J36" s="90">
        <v>1</v>
      </c>
      <c r="K36" s="91">
        <v>5.1092048557813609E-2</v>
      </c>
      <c r="L36" s="91"/>
      <c r="M36" s="92">
        <v>0</v>
      </c>
      <c r="N36" s="93">
        <v>3</v>
      </c>
      <c r="O36" s="63">
        <f t="shared" si="0"/>
        <v>40.660666244299897</v>
      </c>
      <c r="P36" s="63">
        <f t="shared" si="1"/>
        <v>113.47617185969531</v>
      </c>
      <c r="Q36" s="91">
        <f t="shared" si="2"/>
        <v>5.1092048557813609E-2</v>
      </c>
      <c r="R36" s="91"/>
      <c r="S36" s="94"/>
      <c r="V36" s="80">
        <v>2</v>
      </c>
      <c r="W36" s="80">
        <v>1</v>
      </c>
      <c r="X36" s="80">
        <v>0</v>
      </c>
      <c r="Y36" s="80">
        <v>1</v>
      </c>
      <c r="Z36" s="80">
        <v>0</v>
      </c>
    </row>
    <row r="37" spans="1:26" x14ac:dyDescent="0.25">
      <c r="A37" t="s">
        <v>3405</v>
      </c>
      <c r="B37" t="s">
        <v>1894</v>
      </c>
      <c r="C37" t="s">
        <v>3445</v>
      </c>
      <c r="D37" s="80">
        <v>4</v>
      </c>
      <c r="F37" s="63">
        <v>382.72638999999998</v>
      </c>
      <c r="G37" s="89">
        <v>1</v>
      </c>
      <c r="H37" s="63">
        <v>890.48654384328393</v>
      </c>
      <c r="I37" s="63">
        <v>1750</v>
      </c>
      <c r="J37" s="90">
        <v>2</v>
      </c>
      <c r="K37" s="91">
        <v>0.50884945362473366</v>
      </c>
      <c r="L37" s="91"/>
      <c r="M37" s="92">
        <v>4.3661691500953399E-2</v>
      </c>
      <c r="N37" s="93">
        <v>1</v>
      </c>
      <c r="O37" s="63">
        <f t="shared" si="0"/>
        <v>586.79423047985517</v>
      </c>
      <c r="P37" s="63">
        <f t="shared" si="1"/>
        <v>1295.7867375885933</v>
      </c>
      <c r="Q37" s="91">
        <f t="shared" si="2"/>
        <v>0.74044956433633902</v>
      </c>
      <c r="R37" s="91"/>
      <c r="S37" s="94"/>
      <c r="V37" s="80">
        <v>3</v>
      </c>
      <c r="W37" s="80">
        <v>1</v>
      </c>
      <c r="X37" s="80">
        <v>0</v>
      </c>
      <c r="Y37" s="80">
        <v>0</v>
      </c>
      <c r="Z37" s="80">
        <v>0</v>
      </c>
    </row>
    <row r="38" spans="1:26" x14ac:dyDescent="0.25">
      <c r="A38" t="s">
        <v>3405</v>
      </c>
      <c r="B38" t="s">
        <v>18</v>
      </c>
      <c r="C38" t="s">
        <v>3446</v>
      </c>
      <c r="D38" s="80">
        <v>4</v>
      </c>
      <c r="F38" s="63">
        <v>932</v>
      </c>
      <c r="G38" s="89">
        <v>3</v>
      </c>
      <c r="H38" s="63">
        <v>1931.9636561618959</v>
      </c>
      <c r="I38" s="63">
        <v>3040</v>
      </c>
      <c r="J38" s="90">
        <v>2</v>
      </c>
      <c r="K38" s="91">
        <v>0.635514360579571</v>
      </c>
      <c r="L38" s="91"/>
      <c r="M38" s="92">
        <v>2.8942129993682602E-3</v>
      </c>
      <c r="N38" s="93">
        <v>3</v>
      </c>
      <c r="O38" s="63">
        <f t="shared" si="0"/>
        <v>959.32809940873767</v>
      </c>
      <c r="P38" s="63">
        <f t="shared" si="1"/>
        <v>1980.3333393290047</v>
      </c>
      <c r="Q38" s="91">
        <f t="shared" si="2"/>
        <v>0.65142544056875151</v>
      </c>
      <c r="R38" s="91"/>
      <c r="S38" s="94"/>
      <c r="V38" s="80">
        <v>3</v>
      </c>
      <c r="W38" s="80">
        <v>1</v>
      </c>
      <c r="X38" s="80">
        <v>1</v>
      </c>
      <c r="Y38" s="80">
        <v>1</v>
      </c>
      <c r="Z38" s="80">
        <v>0</v>
      </c>
    </row>
    <row r="39" spans="1:26" x14ac:dyDescent="0.25">
      <c r="A39" t="s">
        <v>3405</v>
      </c>
      <c r="B39" t="s">
        <v>1947</v>
      </c>
      <c r="C39" t="s">
        <v>3447</v>
      </c>
      <c r="D39" s="80">
        <v>3</v>
      </c>
      <c r="F39" s="63">
        <v>62.388350395596298</v>
      </c>
      <c r="G39" s="89">
        <v>2</v>
      </c>
      <c r="H39" s="63">
        <v>169.95796978147681</v>
      </c>
      <c r="I39" s="63">
        <v>1061</v>
      </c>
      <c r="J39" s="90">
        <v>2</v>
      </c>
      <c r="K39" s="91">
        <v>0.16018658791845128</v>
      </c>
      <c r="L39" s="91"/>
      <c r="M39" s="92">
        <v>1.33070629049602E-2</v>
      </c>
      <c r="N39" s="93">
        <v>1</v>
      </c>
      <c r="O39" s="63">
        <f t="shared" si="0"/>
        <v>71.205608192115548</v>
      </c>
      <c r="P39" s="63">
        <f t="shared" si="1"/>
        <v>192.36750679188302</v>
      </c>
      <c r="Q39" s="91">
        <f t="shared" si="2"/>
        <v>0.18130773495936195</v>
      </c>
      <c r="R39" s="91"/>
      <c r="S39" s="94"/>
      <c r="V39" s="80">
        <v>2</v>
      </c>
      <c r="W39" s="80">
        <v>1</v>
      </c>
      <c r="X39" s="80">
        <v>0</v>
      </c>
      <c r="Y39" s="80">
        <v>1</v>
      </c>
      <c r="Z39" s="80">
        <v>0</v>
      </c>
    </row>
    <row r="40" spans="1:26" x14ac:dyDescent="0.25">
      <c r="A40" t="s">
        <v>3405</v>
      </c>
      <c r="B40" t="s">
        <v>2061</v>
      </c>
      <c r="C40" t="s">
        <v>3448</v>
      </c>
      <c r="D40" s="80">
        <v>4</v>
      </c>
      <c r="F40" s="63">
        <v>1037.9628600000001</v>
      </c>
      <c r="G40" s="89">
        <v>1</v>
      </c>
      <c r="H40" s="63">
        <v>2118.1579381178067</v>
      </c>
      <c r="I40" s="63">
        <v>3150</v>
      </c>
      <c r="J40" s="90">
        <v>3</v>
      </c>
      <c r="K40" s="91">
        <v>0.67243109146597035</v>
      </c>
      <c r="L40" s="91"/>
      <c r="M40" s="92">
        <v>0.03</v>
      </c>
      <c r="N40" s="93">
        <v>2</v>
      </c>
      <c r="O40" s="63">
        <f t="shared" si="0"/>
        <v>1394.9352887048697</v>
      </c>
      <c r="P40" s="63">
        <f t="shared" si="1"/>
        <v>2722.0438548353395</v>
      </c>
      <c r="Q40" s="91">
        <f t="shared" si="2"/>
        <v>0.86414090629693319</v>
      </c>
      <c r="R40" s="91"/>
      <c r="S40" s="94"/>
      <c r="V40" s="80">
        <v>3</v>
      </c>
      <c r="W40" s="80">
        <v>2</v>
      </c>
      <c r="X40" s="80">
        <v>1</v>
      </c>
      <c r="Y40" s="80">
        <v>1</v>
      </c>
      <c r="Z40" s="80">
        <v>0</v>
      </c>
    </row>
    <row r="41" spans="1:26" x14ac:dyDescent="0.25">
      <c r="A41" t="s">
        <v>3405</v>
      </c>
      <c r="B41" t="s">
        <v>2071</v>
      </c>
      <c r="C41" t="s">
        <v>3449</v>
      </c>
      <c r="D41" s="80">
        <v>3</v>
      </c>
      <c r="F41" s="63">
        <v>320.53672999999998</v>
      </c>
      <c r="G41" s="89">
        <v>1</v>
      </c>
      <c r="H41" s="63">
        <v>760.78818470173292</v>
      </c>
      <c r="I41" s="63">
        <v>900</v>
      </c>
      <c r="J41" s="90">
        <v>2</v>
      </c>
      <c r="K41" s="91">
        <v>0.84532020522414764</v>
      </c>
      <c r="L41" s="91"/>
      <c r="M41" s="92">
        <v>8.2285438849337197E-3</v>
      </c>
      <c r="N41" s="93">
        <v>1</v>
      </c>
      <c r="O41" s="63">
        <f t="shared" si="0"/>
        <v>347.91062146717121</v>
      </c>
      <c r="P41" s="63">
        <f t="shared" si="1"/>
        <v>818.30163813746265</v>
      </c>
      <c r="Q41" s="91">
        <f t="shared" si="2"/>
        <v>0.90922404237495846</v>
      </c>
      <c r="R41" s="91"/>
      <c r="S41" s="94"/>
      <c r="V41" s="80">
        <v>3</v>
      </c>
      <c r="W41" s="80">
        <v>1</v>
      </c>
      <c r="X41" s="80">
        <v>0</v>
      </c>
      <c r="Y41" s="80">
        <v>1</v>
      </c>
      <c r="Z41" s="80">
        <v>0</v>
      </c>
    </row>
    <row r="42" spans="1:26" x14ac:dyDescent="0.25">
      <c r="A42" t="s">
        <v>3405</v>
      </c>
      <c r="B42" t="s">
        <v>2173</v>
      </c>
      <c r="C42" t="s">
        <v>3450</v>
      </c>
      <c r="D42" s="80">
        <v>3</v>
      </c>
      <c r="F42" s="63">
        <v>696.15003000000002</v>
      </c>
      <c r="G42" s="89">
        <v>1</v>
      </c>
      <c r="H42" s="63">
        <v>1502.9691085655068</v>
      </c>
      <c r="I42" s="63">
        <v>1700</v>
      </c>
      <c r="J42" s="90">
        <v>3</v>
      </c>
      <c r="K42" s="91">
        <v>0.88409947562676872</v>
      </c>
      <c r="L42" s="91"/>
      <c r="M42" s="92">
        <v>2.8394634976331599E-3</v>
      </c>
      <c r="N42" s="93">
        <v>1</v>
      </c>
      <c r="O42" s="63">
        <f t="shared" si="0"/>
        <v>716.17145158051278</v>
      </c>
      <c r="P42" s="63">
        <f t="shared" si="1"/>
        <v>1540.2762905961479</v>
      </c>
      <c r="Q42" s="91">
        <f t="shared" si="2"/>
        <v>0.90604487682126345</v>
      </c>
      <c r="R42" s="91"/>
      <c r="S42" s="94"/>
      <c r="V42" s="80">
        <v>3</v>
      </c>
      <c r="W42" s="80">
        <v>1</v>
      </c>
      <c r="X42" s="80">
        <v>0</v>
      </c>
      <c r="Y42" s="80">
        <v>0</v>
      </c>
      <c r="Z42" s="80">
        <v>0</v>
      </c>
    </row>
    <row r="43" spans="1:26" x14ac:dyDescent="0.25">
      <c r="A43" t="s">
        <v>3405</v>
      </c>
      <c r="B43" t="s">
        <v>2227</v>
      </c>
      <c r="C43" t="s">
        <v>3451</v>
      </c>
      <c r="D43" s="80">
        <v>3</v>
      </c>
      <c r="F43" s="63">
        <v>166.793923067793</v>
      </c>
      <c r="G43" s="89">
        <v>2</v>
      </c>
      <c r="H43" s="63">
        <v>422.28503366589746</v>
      </c>
      <c r="I43" s="63">
        <v>2375.2079014455699</v>
      </c>
      <c r="J43" s="90">
        <v>1</v>
      </c>
      <c r="K43" s="91">
        <v>0.17778866153522457</v>
      </c>
      <c r="L43" s="91"/>
      <c r="M43" s="92">
        <v>6.2432867431964304E-3</v>
      </c>
      <c r="N43" s="93">
        <v>1</v>
      </c>
      <c r="O43" s="63">
        <f t="shared" si="0"/>
        <v>177.50483331740145</v>
      </c>
      <c r="P43" s="63">
        <f t="shared" si="1"/>
        <v>446.90589909812923</v>
      </c>
      <c r="Q43" s="91">
        <f t="shared" si="2"/>
        <v>0.18815443432389176</v>
      </c>
      <c r="R43" s="91"/>
      <c r="S43" s="94"/>
      <c r="V43" s="80">
        <v>2</v>
      </c>
      <c r="W43" s="80">
        <v>1</v>
      </c>
      <c r="X43" s="80">
        <v>0</v>
      </c>
      <c r="Y43" s="80">
        <v>1</v>
      </c>
      <c r="Z43" s="80">
        <v>0</v>
      </c>
    </row>
    <row r="44" spans="1:26" x14ac:dyDescent="0.25">
      <c r="A44" t="s">
        <v>3405</v>
      </c>
      <c r="B44" t="s">
        <v>2233</v>
      </c>
      <c r="C44" t="s">
        <v>3452</v>
      </c>
      <c r="D44" s="80">
        <v>4</v>
      </c>
      <c r="F44" s="63">
        <v>462.27551</v>
      </c>
      <c r="G44" s="89">
        <v>1</v>
      </c>
      <c r="H44" s="63">
        <v>1051.8054536594193</v>
      </c>
      <c r="I44" s="63">
        <v>1500</v>
      </c>
      <c r="J44" s="90">
        <v>2</v>
      </c>
      <c r="K44" s="91">
        <f>H44/I44</f>
        <v>0.7012036357729462</v>
      </c>
      <c r="L44" s="91"/>
      <c r="M44" s="92">
        <v>4.0527624427504801E-2</v>
      </c>
      <c r="N44" s="93">
        <v>1</v>
      </c>
      <c r="O44" s="63">
        <f t="shared" si="0"/>
        <v>687.76018728524218</v>
      </c>
      <c r="P44" s="63">
        <f t="shared" si="1"/>
        <v>1487.2811496511115</v>
      </c>
      <c r="Q44" s="91">
        <f t="shared" si="2"/>
        <v>0.99152076643407427</v>
      </c>
      <c r="R44" s="91"/>
      <c r="S44" s="95" t="s">
        <v>3435</v>
      </c>
      <c r="V44" s="80">
        <v>3</v>
      </c>
      <c r="W44" s="80">
        <v>1</v>
      </c>
      <c r="X44" s="80">
        <v>0</v>
      </c>
      <c r="Y44" s="80">
        <v>1</v>
      </c>
      <c r="Z44" s="80">
        <v>0</v>
      </c>
    </row>
    <row r="45" spans="1:26" x14ac:dyDescent="0.25">
      <c r="A45" t="s">
        <v>3405</v>
      </c>
      <c r="B45" t="s">
        <v>2249</v>
      </c>
      <c r="C45" t="s">
        <v>3453</v>
      </c>
      <c r="D45" s="80">
        <v>3</v>
      </c>
      <c r="F45" s="63">
        <v>403.02978000000002</v>
      </c>
      <c r="G45" s="89">
        <v>1</v>
      </c>
      <c r="H45" s="63">
        <v>932.11747109874375</v>
      </c>
      <c r="I45" s="63">
        <v>1930</v>
      </c>
      <c r="J45" s="90">
        <v>2</v>
      </c>
      <c r="K45" s="91">
        <v>0.48296242025841646</v>
      </c>
      <c r="L45" s="91"/>
      <c r="M45" s="92">
        <v>7.2549187400972298E-4</v>
      </c>
      <c r="N45" s="93">
        <v>1</v>
      </c>
      <c r="O45" s="63">
        <f t="shared" si="0"/>
        <v>405.9632926483493</v>
      </c>
      <c r="P45" s="63">
        <f t="shared" si="1"/>
        <v>938.10544588527557</v>
      </c>
      <c r="Q45" s="91">
        <f t="shared" si="2"/>
        <v>0.48606499786801843</v>
      </c>
      <c r="R45" s="91"/>
      <c r="S45" s="94"/>
      <c r="V45" s="80">
        <v>2</v>
      </c>
      <c r="W45" s="80">
        <v>1</v>
      </c>
      <c r="X45" s="80">
        <v>0</v>
      </c>
      <c r="Y45" s="80">
        <v>1</v>
      </c>
      <c r="Z45" s="80">
        <v>0</v>
      </c>
    </row>
    <row r="46" spans="1:26" x14ac:dyDescent="0.25">
      <c r="A46" t="s">
        <v>3405</v>
      </c>
      <c r="B46" t="s">
        <v>2251</v>
      </c>
      <c r="C46" t="s">
        <v>3454</v>
      </c>
      <c r="D46" s="80">
        <v>4</v>
      </c>
      <c r="F46" s="63">
        <v>544.16174999999998</v>
      </c>
      <c r="G46" s="89">
        <v>1</v>
      </c>
      <c r="H46" s="63">
        <v>1213.3060405567819</v>
      </c>
      <c r="I46" s="63">
        <v>2560</v>
      </c>
      <c r="J46" s="90">
        <v>2</v>
      </c>
      <c r="K46" s="91">
        <v>0.47394767209249294</v>
      </c>
      <c r="L46" s="91"/>
      <c r="M46" s="92">
        <v>9.2713376372369899E-3</v>
      </c>
      <c r="N46" s="93">
        <v>1</v>
      </c>
      <c r="O46" s="63">
        <f t="shared" si="0"/>
        <v>596.77058703989019</v>
      </c>
      <c r="P46" s="63">
        <f t="shared" si="1"/>
        <v>1314.9418469736397</v>
      </c>
      <c r="Q46" s="91">
        <f t="shared" si="2"/>
        <v>0.51364915897407804</v>
      </c>
      <c r="R46" s="91"/>
      <c r="S46" s="94"/>
      <c r="V46" s="80">
        <v>3</v>
      </c>
      <c r="W46" s="80">
        <v>2</v>
      </c>
      <c r="X46" s="80">
        <v>0</v>
      </c>
      <c r="Y46" s="80">
        <v>1</v>
      </c>
      <c r="Z46" s="80">
        <v>0</v>
      </c>
    </row>
    <row r="47" spans="1:26" x14ac:dyDescent="0.25">
      <c r="A47" t="s">
        <v>3405</v>
      </c>
      <c r="B47" t="s">
        <v>2341</v>
      </c>
      <c r="C47" t="s">
        <v>3455</v>
      </c>
      <c r="D47" s="80">
        <v>3</v>
      </c>
      <c r="F47" s="63">
        <v>79.5</v>
      </c>
      <c r="G47" s="89">
        <v>2</v>
      </c>
      <c r="H47" s="63">
        <v>213.2</v>
      </c>
      <c r="I47" s="63">
        <v>721.52366894842396</v>
      </c>
      <c r="J47" s="90">
        <v>1</v>
      </c>
      <c r="K47" s="91">
        <v>0.29548580202604546</v>
      </c>
      <c r="L47" s="91"/>
      <c r="M47" s="92">
        <v>0.01</v>
      </c>
      <c r="N47" s="93">
        <v>2</v>
      </c>
      <c r="O47" s="63">
        <f t="shared" si="0"/>
        <v>87.817458970190771</v>
      </c>
      <c r="P47" s="63">
        <f t="shared" si="1"/>
        <v>233.91565713022817</v>
      </c>
      <c r="Q47" s="91">
        <f t="shared" si="2"/>
        <v>0.32419678965091436</v>
      </c>
      <c r="R47" s="91"/>
      <c r="S47" s="94"/>
      <c r="V47" s="80">
        <v>2</v>
      </c>
      <c r="W47" s="80">
        <v>1</v>
      </c>
      <c r="X47" s="80">
        <v>0</v>
      </c>
      <c r="Y47" s="80">
        <v>0</v>
      </c>
      <c r="Z47" s="80">
        <v>0</v>
      </c>
    </row>
    <row r="48" spans="1:26" x14ac:dyDescent="0.25">
      <c r="A48" t="s">
        <v>3405</v>
      </c>
      <c r="B48" t="s">
        <v>20</v>
      </c>
      <c r="C48" t="s">
        <v>3456</v>
      </c>
      <c r="D48" s="80">
        <v>4</v>
      </c>
      <c r="F48" s="63">
        <v>2827.5405312834</v>
      </c>
      <c r="G48" s="89">
        <v>4</v>
      </c>
      <c r="H48" s="63">
        <v>4913.941545748492</v>
      </c>
      <c r="I48" s="63">
        <v>5000</v>
      </c>
      <c r="J48" s="90">
        <v>2</v>
      </c>
      <c r="K48" s="91">
        <v>0.98278830914969839</v>
      </c>
      <c r="L48" s="91"/>
      <c r="M48" s="92">
        <v>4.7771567673190298E-3</v>
      </c>
      <c r="N48" s="93">
        <v>1</v>
      </c>
      <c r="O48" s="63">
        <f t="shared" si="0"/>
        <v>2965.5576348281106</v>
      </c>
      <c r="P48" s="63">
        <f t="shared" si="1"/>
        <v>5111.791296642702</v>
      </c>
      <c r="Q48" s="91">
        <f t="shared" si="2"/>
        <v>1.0223582593285403</v>
      </c>
      <c r="R48" s="91"/>
      <c r="S48" s="95" t="s">
        <v>3435</v>
      </c>
      <c r="V48" s="80">
        <v>4</v>
      </c>
      <c r="W48" s="80">
        <v>1</v>
      </c>
      <c r="X48" s="80">
        <v>1</v>
      </c>
      <c r="Y48" s="80">
        <v>1</v>
      </c>
      <c r="Z48" s="80">
        <v>1</v>
      </c>
    </row>
    <row r="49" spans="1:26" x14ac:dyDescent="0.25">
      <c r="A49" t="s">
        <v>3457</v>
      </c>
      <c r="B49" t="s">
        <v>9</v>
      </c>
      <c r="C49" t="s">
        <v>3458</v>
      </c>
      <c r="D49" s="80">
        <v>4</v>
      </c>
      <c r="F49" s="63">
        <v>2861.0844856553099</v>
      </c>
      <c r="G49" s="89">
        <v>4</v>
      </c>
      <c r="H49" s="63">
        <v>4962.1947525349815</v>
      </c>
      <c r="I49" s="63">
        <v>7000</v>
      </c>
      <c r="J49" s="90">
        <v>2</v>
      </c>
      <c r="K49" s="91">
        <v>0.70888496464785444</v>
      </c>
      <c r="L49" s="91"/>
      <c r="M49" s="92">
        <v>5.3983788748413197E-2</v>
      </c>
      <c r="N49" s="93">
        <v>4</v>
      </c>
      <c r="O49" s="63">
        <f t="shared" si="0"/>
        <v>4840.2745136357335</v>
      </c>
      <c r="P49" s="63">
        <f t="shared" si="1"/>
        <v>7656.029364756223</v>
      </c>
      <c r="Q49" s="91">
        <f t="shared" si="2"/>
        <v>1.0937184806794604</v>
      </c>
      <c r="R49" s="91"/>
      <c r="S49" s="94" t="s">
        <v>3459</v>
      </c>
      <c r="T49" s="80">
        <v>2026</v>
      </c>
      <c r="V49" s="80">
        <v>3</v>
      </c>
      <c r="W49" s="80">
        <v>2</v>
      </c>
      <c r="X49" s="80">
        <v>1</v>
      </c>
      <c r="Y49" s="80">
        <v>1</v>
      </c>
      <c r="Z49" s="80">
        <v>1</v>
      </c>
    </row>
    <row r="50" spans="1:26" x14ac:dyDescent="0.25">
      <c r="A50" t="s">
        <v>3457</v>
      </c>
      <c r="B50" t="s">
        <v>22</v>
      </c>
      <c r="C50" t="s">
        <v>3460</v>
      </c>
      <c r="D50" s="80">
        <v>4</v>
      </c>
      <c r="F50" s="63">
        <v>2481.3276099999998</v>
      </c>
      <c r="G50" s="89">
        <v>1</v>
      </c>
      <c r="H50" s="63">
        <v>4409.1738431764088</v>
      </c>
      <c r="I50" s="63">
        <v>4400</v>
      </c>
      <c r="J50" s="90">
        <v>2</v>
      </c>
      <c r="K50" s="91">
        <v>1.0020849643582748</v>
      </c>
      <c r="L50" s="91"/>
      <c r="M50" s="92">
        <v>6.2523724149375501E-2</v>
      </c>
      <c r="N50" s="93">
        <v>1</v>
      </c>
      <c r="O50" s="63">
        <f t="shared" si="0"/>
        <v>4550.6188983900338</v>
      </c>
      <c r="P50" s="63">
        <f t="shared" si="1"/>
        <v>7277.2968375761511</v>
      </c>
      <c r="Q50" s="91">
        <f t="shared" si="2"/>
        <v>1.6539310994491252</v>
      </c>
      <c r="R50" s="91"/>
      <c r="S50" s="94" t="s">
        <v>3459</v>
      </c>
      <c r="T50" s="80">
        <v>2026</v>
      </c>
      <c r="V50" s="80">
        <v>2</v>
      </c>
      <c r="W50" s="80">
        <v>2</v>
      </c>
      <c r="X50" s="80">
        <v>1</v>
      </c>
      <c r="Y50" s="80">
        <v>1</v>
      </c>
      <c r="Z50" s="80">
        <v>0</v>
      </c>
    </row>
    <row r="51" spans="1:26" x14ac:dyDescent="0.25">
      <c r="A51" t="s">
        <v>3457</v>
      </c>
      <c r="B51" t="s">
        <v>2781</v>
      </c>
      <c r="C51" t="s">
        <v>3461</v>
      </c>
      <c r="D51" s="80">
        <v>3</v>
      </c>
      <c r="F51" s="63">
        <v>228.05537000000001</v>
      </c>
      <c r="G51" s="89">
        <v>1</v>
      </c>
      <c r="H51" s="63">
        <v>560.75736330897746</v>
      </c>
      <c r="I51" s="63">
        <v>970</v>
      </c>
      <c r="J51" s="90">
        <v>2</v>
      </c>
      <c r="K51" s="91">
        <v>0.57810037454533758</v>
      </c>
      <c r="L51" s="91"/>
      <c r="M51" s="92">
        <v>0.05</v>
      </c>
      <c r="N51" s="93">
        <v>2</v>
      </c>
      <c r="O51" s="63">
        <f t="shared" si="0"/>
        <v>371.47816680074135</v>
      </c>
      <c r="P51" s="63">
        <f t="shared" si="1"/>
        <v>867.27812781373245</v>
      </c>
      <c r="Q51" s="91">
        <f t="shared" si="2"/>
        <v>0.89410116269456952</v>
      </c>
      <c r="R51" s="91"/>
      <c r="S51" s="94"/>
      <c r="V51" s="80">
        <v>3</v>
      </c>
      <c r="W51" s="80">
        <v>1</v>
      </c>
      <c r="X51" s="80">
        <v>1</v>
      </c>
      <c r="Y51" s="80">
        <v>1</v>
      </c>
      <c r="Z51" s="80">
        <v>0</v>
      </c>
    </row>
    <row r="52" spans="1:26" x14ac:dyDescent="0.25">
      <c r="A52" t="s">
        <v>3457</v>
      </c>
      <c r="B52" t="s">
        <v>2437</v>
      </c>
      <c r="C52" t="s">
        <v>3462</v>
      </c>
      <c r="D52" s="80">
        <v>3</v>
      </c>
      <c r="F52" s="63">
        <v>251.69112999999999</v>
      </c>
      <c r="G52" s="89">
        <v>1</v>
      </c>
      <c r="H52" s="63">
        <v>612.80696791080129</v>
      </c>
      <c r="I52" s="63">
        <v>1500</v>
      </c>
      <c r="J52" s="90">
        <v>2</v>
      </c>
      <c r="K52" s="91">
        <v>0.40853797860720087</v>
      </c>
      <c r="L52" s="91"/>
      <c r="M52" s="92">
        <v>1.4550699798172501E-4</v>
      </c>
      <c r="N52" s="93">
        <v>1</v>
      </c>
      <c r="O52" s="63">
        <f t="shared" si="0"/>
        <v>252.05759809997102</v>
      </c>
      <c r="P52" s="63">
        <f t="shared" si="1"/>
        <v>613.60859030936967</v>
      </c>
      <c r="Q52" s="91">
        <f t="shared" si="2"/>
        <v>0.4090723935395798</v>
      </c>
      <c r="R52" s="91"/>
      <c r="S52" s="94"/>
      <c r="V52" s="80">
        <v>3</v>
      </c>
      <c r="W52" s="80">
        <v>1</v>
      </c>
      <c r="X52" s="80">
        <v>0</v>
      </c>
      <c r="Y52" s="80">
        <v>1</v>
      </c>
      <c r="Z52" s="80">
        <v>0</v>
      </c>
    </row>
    <row r="53" spans="1:26" x14ac:dyDescent="0.25">
      <c r="A53" t="s">
        <v>3457</v>
      </c>
      <c r="B53" t="s">
        <v>1091</v>
      </c>
      <c r="C53" t="s">
        <v>3463</v>
      </c>
      <c r="D53" s="80">
        <v>3</v>
      </c>
      <c r="F53" s="63">
        <v>243.85941243127499</v>
      </c>
      <c r="G53" s="89">
        <v>2</v>
      </c>
      <c r="H53" s="63">
        <v>595.63699293281059</v>
      </c>
      <c r="I53" s="63">
        <v>1241.0038172324901</v>
      </c>
      <c r="J53" s="90">
        <v>1</v>
      </c>
      <c r="K53" s="91">
        <v>0.47996386849245587</v>
      </c>
      <c r="L53" s="91"/>
      <c r="M53" s="92">
        <v>7.4360481893140998E-3</v>
      </c>
      <c r="N53" s="93">
        <v>1</v>
      </c>
      <c r="O53" s="63">
        <f t="shared" si="0"/>
        <v>262.61189332449004</v>
      </c>
      <c r="P53" s="63">
        <f t="shared" si="1"/>
        <v>636.62741747768189</v>
      </c>
      <c r="Q53" s="91">
        <f t="shared" si="2"/>
        <v>0.51299392365883101</v>
      </c>
      <c r="R53" s="91"/>
      <c r="S53" s="94"/>
      <c r="V53" s="80">
        <v>2</v>
      </c>
      <c r="W53" s="80">
        <v>1</v>
      </c>
      <c r="X53" s="80">
        <v>0</v>
      </c>
      <c r="Y53" s="80">
        <v>0</v>
      </c>
      <c r="Z53" s="80">
        <v>0</v>
      </c>
    </row>
    <row r="54" spans="1:26" x14ac:dyDescent="0.25">
      <c r="A54" t="s">
        <v>3457</v>
      </c>
      <c r="B54" t="s">
        <v>2518</v>
      </c>
      <c r="C54" t="s">
        <v>3464</v>
      </c>
      <c r="D54" s="80">
        <v>3</v>
      </c>
      <c r="F54" s="63">
        <v>108.14677</v>
      </c>
      <c r="G54" s="89">
        <v>1</v>
      </c>
      <c r="H54" s="63">
        <v>283.72101097993692</v>
      </c>
      <c r="I54" s="63">
        <v>1324</v>
      </c>
      <c r="J54" s="90">
        <v>2</v>
      </c>
      <c r="K54" s="91">
        <v>0.21429079379149316</v>
      </c>
      <c r="L54" s="91"/>
      <c r="M54" s="92">
        <v>8.6520406172127001E-2</v>
      </c>
      <c r="N54" s="93">
        <v>1</v>
      </c>
      <c r="O54" s="63">
        <f t="shared" si="0"/>
        <v>247.96616541317948</v>
      </c>
      <c r="P54" s="63">
        <f t="shared" si="1"/>
        <v>604.64974490856957</v>
      </c>
      <c r="Q54" s="91">
        <f t="shared" si="2"/>
        <v>0.45668409736296794</v>
      </c>
      <c r="R54" s="91"/>
      <c r="S54" s="94"/>
      <c r="V54" s="80">
        <v>3</v>
      </c>
      <c r="W54" s="80">
        <v>1</v>
      </c>
      <c r="X54" s="80">
        <v>0</v>
      </c>
      <c r="Y54" s="80">
        <v>1</v>
      </c>
      <c r="Z54" s="80">
        <v>0</v>
      </c>
    </row>
    <row r="55" spans="1:26" x14ac:dyDescent="0.25">
      <c r="A55" t="s">
        <v>3457</v>
      </c>
      <c r="B55" t="s">
        <v>3174</v>
      </c>
      <c r="C55" t="s">
        <v>3465</v>
      </c>
      <c r="D55" s="80">
        <v>3</v>
      </c>
      <c r="F55" s="63">
        <v>3.2688000000000001</v>
      </c>
      <c r="G55" s="89">
        <v>4</v>
      </c>
      <c r="H55" s="63">
        <v>9.8714192149600972</v>
      </c>
      <c r="I55" s="63">
        <v>617.159661332361</v>
      </c>
      <c r="J55" s="90">
        <v>1</v>
      </c>
      <c r="K55" s="91">
        <v>1.599491968358575E-2</v>
      </c>
      <c r="L55" s="91"/>
      <c r="M55" s="92">
        <v>0.1</v>
      </c>
      <c r="N55" s="93">
        <v>2</v>
      </c>
      <c r="O55" s="63">
        <f t="shared" si="0"/>
        <v>8.4784253535748864</v>
      </c>
      <c r="P55" s="63">
        <f t="shared" si="1"/>
        <v>25.09677429959903</v>
      </c>
      <c r="Q55" s="91">
        <f t="shared" si="2"/>
        <v>4.0664962200249156E-2</v>
      </c>
      <c r="R55" s="91"/>
      <c r="S55" s="94"/>
      <c r="V55" s="80">
        <v>2</v>
      </c>
      <c r="W55" s="80">
        <v>2</v>
      </c>
      <c r="X55" s="80">
        <v>0</v>
      </c>
      <c r="Y55" s="80">
        <v>0</v>
      </c>
      <c r="Z55" s="80">
        <v>1</v>
      </c>
    </row>
    <row r="56" spans="1:26" x14ac:dyDescent="0.25">
      <c r="A56" t="s">
        <v>3457</v>
      </c>
      <c r="B56" t="s">
        <v>1842</v>
      </c>
      <c r="C56" t="s">
        <v>3466</v>
      </c>
      <c r="D56" s="80">
        <v>3</v>
      </c>
      <c r="F56" s="63">
        <v>165.60205999999999</v>
      </c>
      <c r="G56" s="89">
        <v>1</v>
      </c>
      <c r="H56" s="63">
        <v>419.53353750521194</v>
      </c>
      <c r="I56" s="63">
        <v>1140</v>
      </c>
      <c r="J56" s="90">
        <v>2</v>
      </c>
      <c r="K56" s="91">
        <v>0.36801187500457189</v>
      </c>
      <c r="L56" s="91"/>
      <c r="M56" s="92">
        <v>5.6194471255642503E-2</v>
      </c>
      <c r="N56" s="93">
        <v>1</v>
      </c>
      <c r="O56" s="63">
        <f t="shared" si="0"/>
        <v>286.09128798180274</v>
      </c>
      <c r="P56" s="63">
        <f t="shared" si="1"/>
        <v>687.38232369960701</v>
      </c>
      <c r="Q56" s="91">
        <f t="shared" si="2"/>
        <v>0.60296695061369032</v>
      </c>
      <c r="R56" s="91"/>
      <c r="S56" s="94"/>
      <c r="V56" s="80">
        <v>3</v>
      </c>
      <c r="W56" s="80">
        <v>1</v>
      </c>
      <c r="X56" s="80">
        <v>1</v>
      </c>
      <c r="Y56" s="80">
        <v>0</v>
      </c>
      <c r="Z56" s="80">
        <v>0</v>
      </c>
    </row>
    <row r="57" spans="1:26" x14ac:dyDescent="0.25">
      <c r="A57" t="s">
        <v>3457</v>
      </c>
      <c r="B57" t="s">
        <v>2698</v>
      </c>
      <c r="C57" t="s">
        <v>3467</v>
      </c>
      <c r="D57" s="80">
        <v>3</v>
      </c>
      <c r="F57" s="63">
        <v>242.23177999999999</v>
      </c>
      <c r="G57" s="89">
        <v>1</v>
      </c>
      <c r="H57" s="63">
        <v>592.05925279268467</v>
      </c>
      <c r="I57" s="63">
        <v>1600</v>
      </c>
      <c r="J57" s="90">
        <v>2</v>
      </c>
      <c r="K57" s="91">
        <v>0.37003703299542789</v>
      </c>
      <c r="L57" s="91"/>
      <c r="M57" s="92">
        <v>0.03</v>
      </c>
      <c r="N57" s="93">
        <v>2</v>
      </c>
      <c r="O57" s="63">
        <f t="shared" si="0"/>
        <v>325.53925673968183</v>
      </c>
      <c r="P57" s="63">
        <f t="shared" si="1"/>
        <v>771.35104702770525</v>
      </c>
      <c r="Q57" s="91">
        <f t="shared" si="2"/>
        <v>0.48209440439231577</v>
      </c>
      <c r="R57" s="91"/>
      <c r="S57" s="94"/>
      <c r="V57" s="80">
        <v>2</v>
      </c>
      <c r="W57" s="80">
        <v>1</v>
      </c>
      <c r="X57" s="80">
        <v>1</v>
      </c>
      <c r="Y57" s="80">
        <v>0</v>
      </c>
      <c r="Z57" s="80">
        <v>0</v>
      </c>
    </row>
    <row r="58" spans="1:26" x14ac:dyDescent="0.25">
      <c r="A58" t="s">
        <v>3457</v>
      </c>
      <c r="B58" t="s">
        <v>2117</v>
      </c>
      <c r="C58" t="s">
        <v>3468</v>
      </c>
      <c r="D58" s="80">
        <v>3</v>
      </c>
      <c r="F58" s="63">
        <v>96</v>
      </c>
      <c r="G58" s="89">
        <v>3</v>
      </c>
      <c r="H58" s="63">
        <v>254.09068014368</v>
      </c>
      <c r="I58" s="63">
        <v>1485.0567212968899</v>
      </c>
      <c r="J58" s="90">
        <v>1</v>
      </c>
      <c r="K58" s="91">
        <v>0.17109829981563557</v>
      </c>
      <c r="L58" s="91"/>
      <c r="M58" s="92">
        <v>0.11552519473114266</v>
      </c>
      <c r="N58" s="93">
        <v>1</v>
      </c>
      <c r="O58" s="63">
        <f t="shared" si="0"/>
        <v>286.46071268517591</v>
      </c>
      <c r="P58" s="63">
        <f t="shared" si="1"/>
        <v>688.17608399318419</v>
      </c>
      <c r="Q58" s="91">
        <f t="shared" si="2"/>
        <v>0.4634005382583668</v>
      </c>
      <c r="R58" s="91"/>
      <c r="S58" s="94"/>
      <c r="V58" s="80">
        <v>2</v>
      </c>
      <c r="W58" s="80">
        <v>1</v>
      </c>
      <c r="X58" s="80">
        <v>0</v>
      </c>
      <c r="Y58" s="80">
        <v>1</v>
      </c>
      <c r="Z58" s="80">
        <v>0</v>
      </c>
    </row>
    <row r="59" spans="1:26" x14ac:dyDescent="0.25">
      <c r="A59" t="s">
        <v>3469</v>
      </c>
      <c r="B59" t="s">
        <v>54</v>
      </c>
      <c r="C59" t="s">
        <v>3470</v>
      </c>
      <c r="D59" s="80">
        <v>4</v>
      </c>
      <c r="F59" s="63">
        <v>510.47935000000001</v>
      </c>
      <c r="G59" s="89">
        <v>1</v>
      </c>
      <c r="H59" s="63">
        <v>1147.3886953661988</v>
      </c>
      <c r="I59" s="63">
        <v>1250</v>
      </c>
      <c r="J59" s="90">
        <v>2</v>
      </c>
      <c r="K59" s="91">
        <v>0.91791095629295905</v>
      </c>
      <c r="L59" s="91"/>
      <c r="M59" s="92">
        <v>8.6086813681646598E-2</v>
      </c>
      <c r="N59" s="93">
        <v>1</v>
      </c>
      <c r="O59" s="63">
        <f t="shared" si="0"/>
        <v>1165.7987562531478</v>
      </c>
      <c r="P59" s="63">
        <f t="shared" si="1"/>
        <v>2338.2544955919648</v>
      </c>
      <c r="Q59" s="91">
        <f t="shared" si="2"/>
        <v>1.8706035964735719</v>
      </c>
      <c r="R59" s="91"/>
      <c r="S59" s="94" t="s">
        <v>3471</v>
      </c>
      <c r="T59" s="80">
        <v>2024</v>
      </c>
      <c r="V59" s="80">
        <v>3</v>
      </c>
      <c r="W59" s="80">
        <v>1</v>
      </c>
      <c r="X59" s="80">
        <v>0</v>
      </c>
      <c r="Y59" s="80">
        <v>1</v>
      </c>
      <c r="Z59" s="80">
        <v>0</v>
      </c>
    </row>
    <row r="60" spans="1:26" x14ac:dyDescent="0.25">
      <c r="A60" t="s">
        <v>3469</v>
      </c>
      <c r="B60" t="s">
        <v>2347</v>
      </c>
      <c r="C60" t="s">
        <v>3472</v>
      </c>
      <c r="D60" s="80">
        <v>3</v>
      </c>
      <c r="F60" s="63">
        <v>426.18148000000002</v>
      </c>
      <c r="G60" s="89">
        <v>1</v>
      </c>
      <c r="H60" s="63">
        <v>979.19593778539775</v>
      </c>
      <c r="I60" s="63">
        <v>1600</v>
      </c>
      <c r="J60" s="90">
        <v>2</v>
      </c>
      <c r="K60" s="91">
        <v>0.61199746111587361</v>
      </c>
      <c r="L60" s="91"/>
      <c r="M60" s="92">
        <v>8.4830141281132809E-2</v>
      </c>
      <c r="N60" s="93">
        <v>3</v>
      </c>
      <c r="O60" s="63">
        <f t="shared" si="0"/>
        <v>962.08181532582523</v>
      </c>
      <c r="P60" s="63">
        <f t="shared" si="1"/>
        <v>1985.1934596879389</v>
      </c>
      <c r="Q60" s="91">
        <f t="shared" si="2"/>
        <v>1.2407459123049618</v>
      </c>
      <c r="R60" s="91"/>
      <c r="S60" s="94" t="s">
        <v>3471</v>
      </c>
      <c r="T60" s="80">
        <v>2024</v>
      </c>
      <c r="V60" s="80">
        <v>3</v>
      </c>
      <c r="W60" s="80">
        <v>2</v>
      </c>
      <c r="X60" s="80">
        <v>0</v>
      </c>
      <c r="Y60" s="80">
        <v>0</v>
      </c>
      <c r="Z60" s="80">
        <v>0</v>
      </c>
    </row>
    <row r="61" spans="1:26" x14ac:dyDescent="0.25">
      <c r="A61" t="s">
        <v>3469</v>
      </c>
      <c r="B61" t="s">
        <v>2079</v>
      </c>
      <c r="C61" t="s">
        <v>3473</v>
      </c>
      <c r="D61" s="80">
        <v>4</v>
      </c>
      <c r="F61" s="63">
        <v>1462.2751900000001</v>
      </c>
      <c r="G61" s="89">
        <v>1</v>
      </c>
      <c r="H61" s="63">
        <v>2832.5212324417912</v>
      </c>
      <c r="I61" s="63">
        <v>6000</v>
      </c>
      <c r="J61" s="90">
        <v>2</v>
      </c>
      <c r="K61" s="91">
        <v>0.47208687207363187</v>
      </c>
      <c r="L61" s="91"/>
      <c r="M61" s="92">
        <v>1.2329321265707601E-2</v>
      </c>
      <c r="N61" s="93">
        <v>1</v>
      </c>
      <c r="O61" s="63">
        <f t="shared" si="0"/>
        <v>1652.9026332722754</v>
      </c>
      <c r="P61" s="63">
        <f t="shared" si="1"/>
        <v>3140.2495649809543</v>
      </c>
      <c r="Q61" s="91">
        <f t="shared" si="2"/>
        <v>0.52337492749682568</v>
      </c>
      <c r="R61" s="91"/>
      <c r="S61" s="94" t="s">
        <v>3474</v>
      </c>
      <c r="T61" s="80">
        <v>2025</v>
      </c>
      <c r="V61" s="80">
        <v>2</v>
      </c>
      <c r="W61" s="80">
        <v>1</v>
      </c>
      <c r="X61" s="80">
        <v>0</v>
      </c>
      <c r="Y61" s="80">
        <v>0</v>
      </c>
      <c r="Z61" s="80">
        <v>0</v>
      </c>
    </row>
    <row r="62" spans="1:26" x14ac:dyDescent="0.25">
      <c r="A62" t="s">
        <v>3469</v>
      </c>
      <c r="B62" t="s">
        <v>2183</v>
      </c>
      <c r="C62" t="s">
        <v>3475</v>
      </c>
      <c r="D62" s="80">
        <v>4</v>
      </c>
      <c r="F62" s="63">
        <v>8275.8713399999997</v>
      </c>
      <c r="G62" s="89">
        <v>1</v>
      </c>
      <c r="H62" s="63">
        <v>11890.428630809049</v>
      </c>
      <c r="I62" s="63">
        <v>46000</v>
      </c>
      <c r="J62" s="90">
        <v>2</v>
      </c>
      <c r="K62" s="91">
        <v>0.25848757893063151</v>
      </c>
      <c r="L62" s="91"/>
      <c r="M62" s="92">
        <v>3.2128238431980601E-2</v>
      </c>
      <c r="N62" s="93">
        <v>1</v>
      </c>
      <c r="O62" s="63">
        <f t="shared" si="0"/>
        <v>11354.037726181356</v>
      </c>
      <c r="P62" s="63">
        <f t="shared" si="1"/>
        <v>15416.817033080071</v>
      </c>
      <c r="Q62" s="91">
        <f t="shared" si="2"/>
        <v>0.33514819637130588</v>
      </c>
      <c r="R62" s="91"/>
      <c r="S62" s="94" t="s">
        <v>3476</v>
      </c>
      <c r="T62" s="80">
        <v>2028</v>
      </c>
      <c r="V62" s="80">
        <v>3</v>
      </c>
      <c r="W62" s="80">
        <v>0</v>
      </c>
      <c r="X62" s="80">
        <v>1</v>
      </c>
      <c r="Y62" s="80">
        <v>0</v>
      </c>
      <c r="Z62" s="80">
        <v>0</v>
      </c>
    </row>
    <row r="63" spans="1:26" x14ac:dyDescent="0.25">
      <c r="A63" t="s">
        <v>3469</v>
      </c>
      <c r="B63" t="s">
        <v>46</v>
      </c>
      <c r="C63" t="s">
        <v>3477</v>
      </c>
      <c r="D63" s="80">
        <v>4</v>
      </c>
      <c r="F63" s="63">
        <v>1014.99549</v>
      </c>
      <c r="G63" s="89">
        <v>1</v>
      </c>
      <c r="H63" s="63">
        <v>2078.1045524580163</v>
      </c>
      <c r="I63" s="63">
        <v>2500</v>
      </c>
      <c r="J63" s="90">
        <v>2</v>
      </c>
      <c r="K63" s="91">
        <f>H63/I63</f>
        <v>0.83124182098320654</v>
      </c>
      <c r="L63" s="91"/>
      <c r="M63" s="92">
        <v>2.0475743225131099E-2</v>
      </c>
      <c r="N63" s="93">
        <v>1</v>
      </c>
      <c r="O63" s="63">
        <f t="shared" si="0"/>
        <v>1243.0567957786061</v>
      </c>
      <c r="P63" s="63">
        <f t="shared" si="1"/>
        <v>2469.1008089957277</v>
      </c>
      <c r="Q63" s="91">
        <f t="shared" si="2"/>
        <v>0.98764032359829113</v>
      </c>
      <c r="R63" s="91"/>
      <c r="S63" s="95" t="s">
        <v>3435</v>
      </c>
      <c r="V63" s="80">
        <v>2</v>
      </c>
      <c r="W63" s="80">
        <v>1</v>
      </c>
      <c r="X63" s="80">
        <v>0</v>
      </c>
      <c r="Y63" s="80">
        <v>1</v>
      </c>
      <c r="Z63" s="80">
        <v>0</v>
      </c>
    </row>
    <row r="64" spans="1:26" x14ac:dyDescent="0.25">
      <c r="A64" t="s">
        <v>3469</v>
      </c>
      <c r="B64" t="s">
        <v>48</v>
      </c>
      <c r="C64" t="s">
        <v>3478</v>
      </c>
      <c r="D64" s="80">
        <v>3</v>
      </c>
      <c r="F64" s="63">
        <v>94.847048976280703</v>
      </c>
      <c r="G64" s="89">
        <v>2</v>
      </c>
      <c r="H64" s="63">
        <v>251.25877802847435</v>
      </c>
      <c r="I64" s="63">
        <v>1500</v>
      </c>
      <c r="J64" s="90">
        <v>2</v>
      </c>
      <c r="K64" s="91">
        <v>0.16750585201898291</v>
      </c>
      <c r="L64" s="91"/>
      <c r="M64" s="92">
        <v>1.4801199163513901E-2</v>
      </c>
      <c r="N64" s="93">
        <v>3</v>
      </c>
      <c r="O64" s="63">
        <f t="shared" si="0"/>
        <v>109.85846852054075</v>
      </c>
      <c r="P64" s="63">
        <f t="shared" si="1"/>
        <v>287.8674875499778</v>
      </c>
      <c r="Q64" s="91">
        <f t="shared" si="2"/>
        <v>0.19191165836665186</v>
      </c>
      <c r="R64" s="91"/>
      <c r="S64" s="94"/>
      <c r="V64" s="80">
        <v>2</v>
      </c>
      <c r="W64" s="80">
        <v>1</v>
      </c>
      <c r="X64" s="80">
        <v>0</v>
      </c>
      <c r="Y64" s="80">
        <v>0</v>
      </c>
      <c r="Z64" s="80">
        <v>0</v>
      </c>
    </row>
    <row r="65" spans="1:26" x14ac:dyDescent="0.25">
      <c r="A65" t="s">
        <v>3469</v>
      </c>
      <c r="B65" t="s">
        <v>52</v>
      </c>
      <c r="C65" t="s">
        <v>3479</v>
      </c>
      <c r="D65" s="80">
        <v>4</v>
      </c>
      <c r="F65" s="63">
        <v>1852.55414</v>
      </c>
      <c r="G65" s="89">
        <v>1</v>
      </c>
      <c r="H65" s="63">
        <v>3455.4096433211002</v>
      </c>
      <c r="I65" s="63">
        <v>10000</v>
      </c>
      <c r="J65" s="90">
        <v>2</v>
      </c>
      <c r="K65" s="91">
        <v>0.34554096433211001</v>
      </c>
      <c r="L65" s="91"/>
      <c r="M65" s="92">
        <v>7.3170038229784393E-2</v>
      </c>
      <c r="N65" s="93">
        <v>1</v>
      </c>
      <c r="O65" s="63">
        <f t="shared" si="0"/>
        <v>3753.6718214796779</v>
      </c>
      <c r="P65" s="63">
        <f t="shared" si="1"/>
        <v>6210.4525638654113</v>
      </c>
      <c r="Q65" s="91">
        <f t="shared" si="2"/>
        <v>0.62104525638654118</v>
      </c>
      <c r="R65" s="91"/>
      <c r="S65" s="94"/>
      <c r="V65" s="80">
        <v>4</v>
      </c>
      <c r="W65" s="80">
        <v>2</v>
      </c>
      <c r="X65" s="80">
        <v>1</v>
      </c>
      <c r="Y65" s="80">
        <v>0</v>
      </c>
      <c r="Z65" s="80">
        <v>0</v>
      </c>
    </row>
    <row r="66" spans="1:26" x14ac:dyDescent="0.25">
      <c r="A66" t="s">
        <v>3469</v>
      </c>
      <c r="B66" t="s">
        <v>200</v>
      </c>
      <c r="C66" t="s">
        <v>3480</v>
      </c>
      <c r="D66" s="80">
        <v>3</v>
      </c>
      <c r="F66" s="63">
        <v>652.41836000000001</v>
      </c>
      <c r="G66" s="89">
        <v>1</v>
      </c>
      <c r="H66" s="63">
        <v>1420.8309130804328</v>
      </c>
      <c r="I66" s="63">
        <v>2000</v>
      </c>
      <c r="J66" s="90">
        <v>2</v>
      </c>
      <c r="K66" s="91">
        <v>0.71041545654021643</v>
      </c>
      <c r="L66" s="91"/>
      <c r="M66" s="92">
        <v>1.4491238149006901E-2</v>
      </c>
      <c r="N66" s="93">
        <v>1</v>
      </c>
      <c r="O66" s="63">
        <f t="shared" si="0"/>
        <v>753.37148706277173</v>
      </c>
      <c r="P66" s="63">
        <f t="shared" si="1"/>
        <v>1609.1204071200048</v>
      </c>
      <c r="Q66" s="91">
        <f t="shared" si="2"/>
        <v>0.80456020356000235</v>
      </c>
      <c r="R66" s="91"/>
      <c r="S66" s="94"/>
      <c r="V66" s="80">
        <v>3</v>
      </c>
      <c r="W66" s="80">
        <v>2</v>
      </c>
      <c r="X66" s="80">
        <v>0</v>
      </c>
      <c r="Y66" s="80">
        <v>1</v>
      </c>
      <c r="Z66" s="80">
        <v>0</v>
      </c>
    </row>
    <row r="67" spans="1:26" x14ac:dyDescent="0.25">
      <c r="A67" t="s">
        <v>3469</v>
      </c>
      <c r="B67" t="s">
        <v>220</v>
      </c>
      <c r="C67" t="s">
        <v>3481</v>
      </c>
      <c r="D67" s="80">
        <v>4</v>
      </c>
      <c r="F67" s="63">
        <v>3443.5861300000001</v>
      </c>
      <c r="G67" s="89">
        <v>1</v>
      </c>
      <c r="H67" s="63">
        <v>5784.0226532657389</v>
      </c>
      <c r="I67" s="63">
        <v>19250</v>
      </c>
      <c r="J67" s="90">
        <v>2</v>
      </c>
      <c r="K67" s="91">
        <v>0.30046870926055785</v>
      </c>
      <c r="L67" s="91"/>
      <c r="M67" s="92">
        <v>3.3043761520676902E-2</v>
      </c>
      <c r="N67" s="93">
        <v>1</v>
      </c>
      <c r="O67" s="63">
        <f t="shared" si="0"/>
        <v>4766.4840452454864</v>
      </c>
      <c r="P67" s="63">
        <f t="shared" si="1"/>
        <v>7559.9604827718022</v>
      </c>
      <c r="Q67" s="91">
        <f t="shared" si="2"/>
        <v>0.39272521988424947</v>
      </c>
      <c r="R67" s="91"/>
      <c r="S67" s="94"/>
      <c r="V67" s="80">
        <v>4</v>
      </c>
      <c r="W67" s="80">
        <v>0</v>
      </c>
      <c r="X67" s="80">
        <v>1</v>
      </c>
      <c r="Y67" s="80">
        <v>1</v>
      </c>
      <c r="Z67" s="80">
        <v>0</v>
      </c>
    </row>
    <row r="68" spans="1:26" x14ac:dyDescent="0.25">
      <c r="A68" t="s">
        <v>3469</v>
      </c>
      <c r="B68" t="s">
        <v>282</v>
      </c>
      <c r="C68" t="s">
        <v>3482</v>
      </c>
      <c r="D68" s="80">
        <v>3</v>
      </c>
      <c r="F68" s="63">
        <v>140</v>
      </c>
      <c r="G68" s="89">
        <v>3</v>
      </c>
      <c r="H68" s="63">
        <v>359.82195229380471</v>
      </c>
      <c r="I68" s="63">
        <v>928.66749321792997</v>
      </c>
      <c r="J68" s="90">
        <v>1</v>
      </c>
      <c r="K68" s="91">
        <v>0.38746047958132357</v>
      </c>
      <c r="L68" s="91"/>
      <c r="M68" s="92">
        <v>1.9469486929881E-2</v>
      </c>
      <c r="N68" s="93">
        <v>3</v>
      </c>
      <c r="O68" s="63">
        <f t="shared" ref="O68:O131" si="3">F68*(1+M68)^10</f>
        <v>169.77367626863582</v>
      </c>
      <c r="P68" s="63">
        <f t="shared" ref="P68:P131" si="4">(18+SQRT(O68/100))/(4+SQRT(O68/100))*O68*1000/1440</f>
        <v>429.15353171186359</v>
      </c>
      <c r="Q68" s="91">
        <f t="shared" ref="Q68:Q131" si="5">P68/I68</f>
        <v>0.46211753382774468</v>
      </c>
      <c r="R68" s="91"/>
      <c r="S68" s="94"/>
      <c r="V68" s="80">
        <v>2</v>
      </c>
      <c r="W68" s="80">
        <v>1</v>
      </c>
      <c r="X68" s="80">
        <v>0</v>
      </c>
      <c r="Y68" s="80">
        <v>1</v>
      </c>
      <c r="Z68" s="80">
        <v>0</v>
      </c>
    </row>
    <row r="69" spans="1:26" x14ac:dyDescent="0.25">
      <c r="A69" t="s">
        <v>3469</v>
      </c>
      <c r="B69" t="s">
        <v>376</v>
      </c>
      <c r="C69" t="s">
        <v>3483</v>
      </c>
      <c r="D69" s="80">
        <v>3</v>
      </c>
      <c r="F69" s="63">
        <v>357.21904000000001</v>
      </c>
      <c r="G69" s="89">
        <v>1</v>
      </c>
      <c r="H69" s="63">
        <v>837.70354648063471</v>
      </c>
      <c r="I69" s="63">
        <v>1700</v>
      </c>
      <c r="J69" s="90">
        <v>2</v>
      </c>
      <c r="K69" s="91">
        <v>0.49276679204743218</v>
      </c>
      <c r="L69" s="91"/>
      <c r="M69" s="92">
        <v>1.26868600255642E-2</v>
      </c>
      <c r="N69" s="93">
        <v>1</v>
      </c>
      <c r="O69" s="63">
        <f t="shared" si="3"/>
        <v>405.21577859366937</v>
      </c>
      <c r="P69" s="63">
        <f t="shared" si="4"/>
        <v>936.5802341361989</v>
      </c>
      <c r="Q69" s="91">
        <f t="shared" si="5"/>
        <v>0.55092954949188166</v>
      </c>
      <c r="R69" s="91"/>
      <c r="S69" s="94"/>
      <c r="V69" s="80">
        <v>2</v>
      </c>
      <c r="W69" s="80">
        <v>1</v>
      </c>
      <c r="X69" s="80">
        <v>0</v>
      </c>
      <c r="Y69" s="80">
        <v>1</v>
      </c>
      <c r="Z69" s="80">
        <v>0</v>
      </c>
    </row>
    <row r="70" spans="1:26" x14ac:dyDescent="0.25">
      <c r="A70" t="s">
        <v>3469</v>
      </c>
      <c r="B70" t="s">
        <v>418</v>
      </c>
      <c r="C70" t="s">
        <v>3484</v>
      </c>
      <c r="D70" s="80">
        <v>3</v>
      </c>
      <c r="F70" s="63">
        <v>36.665046070611503</v>
      </c>
      <c r="G70" s="89">
        <v>2</v>
      </c>
      <c r="H70" s="63">
        <v>102.86156265149651</v>
      </c>
      <c r="I70" s="63">
        <v>423.39457371236898</v>
      </c>
      <c r="J70" s="90">
        <v>1</v>
      </c>
      <c r="K70" s="91">
        <v>0.24294492428090259</v>
      </c>
      <c r="L70" s="91"/>
      <c r="M70" s="92">
        <v>0.01</v>
      </c>
      <c r="N70" s="93">
        <v>2</v>
      </c>
      <c r="O70" s="63">
        <f t="shared" si="3"/>
        <v>40.50102111881862</v>
      </c>
      <c r="P70" s="63">
        <f t="shared" si="4"/>
        <v>113.05357925921592</v>
      </c>
      <c r="Q70" s="91">
        <f t="shared" si="5"/>
        <v>0.26701707173039568</v>
      </c>
      <c r="R70" s="91"/>
      <c r="S70" s="94"/>
      <c r="V70" s="80">
        <v>2</v>
      </c>
      <c r="W70" s="80">
        <v>1</v>
      </c>
      <c r="X70" s="80">
        <v>0</v>
      </c>
      <c r="Y70" s="80">
        <v>0</v>
      </c>
      <c r="Z70" s="80">
        <v>0</v>
      </c>
    </row>
    <row r="71" spans="1:26" x14ac:dyDescent="0.25">
      <c r="A71" t="s">
        <v>3469</v>
      </c>
      <c r="B71" t="s">
        <v>740</v>
      </c>
      <c r="C71" t="s">
        <v>3485</v>
      </c>
      <c r="D71" s="80">
        <v>3</v>
      </c>
      <c r="F71" s="63">
        <v>403.34084999999999</v>
      </c>
      <c r="G71" s="89">
        <v>1</v>
      </c>
      <c r="H71" s="63">
        <v>932.75275483818803</v>
      </c>
      <c r="I71" s="63">
        <v>1000</v>
      </c>
      <c r="J71" s="90">
        <v>2</v>
      </c>
      <c r="K71" s="91">
        <v>0.93275275483818798</v>
      </c>
      <c r="L71" s="91"/>
      <c r="M71" s="92">
        <v>0</v>
      </c>
      <c r="N71" s="93">
        <v>4</v>
      </c>
      <c r="O71" s="63">
        <f t="shared" si="3"/>
        <v>403.34084999999999</v>
      </c>
      <c r="P71" s="63">
        <f t="shared" si="4"/>
        <v>932.75275483818814</v>
      </c>
      <c r="Q71" s="91">
        <f t="shared" si="5"/>
        <v>0.93275275483818809</v>
      </c>
      <c r="R71" s="91"/>
      <c r="S71" s="94"/>
      <c r="V71" s="80">
        <v>2</v>
      </c>
      <c r="W71" s="80">
        <v>1</v>
      </c>
      <c r="X71" s="80">
        <v>0</v>
      </c>
      <c r="Y71" s="80">
        <v>1</v>
      </c>
      <c r="Z71" s="80">
        <v>0</v>
      </c>
    </row>
    <row r="72" spans="1:26" x14ac:dyDescent="0.25">
      <c r="A72" t="s">
        <v>3469</v>
      </c>
      <c r="B72" t="s">
        <v>422</v>
      </c>
      <c r="C72" t="s">
        <v>3486</v>
      </c>
      <c r="D72" s="80">
        <v>4</v>
      </c>
      <c r="F72" s="63">
        <v>532.90860999999995</v>
      </c>
      <c r="G72" s="89">
        <v>1</v>
      </c>
      <c r="H72" s="63">
        <v>1191.359604511091</v>
      </c>
      <c r="I72" s="63">
        <v>8000</v>
      </c>
      <c r="J72" s="90">
        <v>2</v>
      </c>
      <c r="K72" s="91">
        <v>0.14891995056388638</v>
      </c>
      <c r="L72" s="91"/>
      <c r="M72" s="92">
        <v>2.09272811305664E-2</v>
      </c>
      <c r="N72" s="93">
        <v>1</v>
      </c>
      <c r="O72" s="63">
        <f t="shared" si="3"/>
        <v>655.5424630136481</v>
      </c>
      <c r="P72" s="63">
        <f t="shared" si="4"/>
        <v>1426.7291801126726</v>
      </c>
      <c r="Q72" s="91">
        <f t="shared" si="5"/>
        <v>0.17834114751408406</v>
      </c>
      <c r="R72" s="91"/>
      <c r="S72" s="94"/>
      <c r="V72" s="80">
        <v>3</v>
      </c>
      <c r="W72" s="80">
        <v>1</v>
      </c>
      <c r="X72" s="80">
        <v>1</v>
      </c>
      <c r="Y72" s="80">
        <v>1</v>
      </c>
      <c r="Z72" s="80">
        <v>0</v>
      </c>
    </row>
    <row r="73" spans="1:26" x14ac:dyDescent="0.25">
      <c r="A73" t="s">
        <v>3469</v>
      </c>
      <c r="B73" t="s">
        <v>781</v>
      </c>
      <c r="C73" t="s">
        <v>3487</v>
      </c>
      <c r="D73" s="80">
        <v>3</v>
      </c>
      <c r="F73" s="63">
        <v>26</v>
      </c>
      <c r="G73" s="89">
        <v>3</v>
      </c>
      <c r="H73" s="63">
        <v>74.105061842846538</v>
      </c>
      <c r="I73" s="63">
        <v>2000</v>
      </c>
      <c r="J73" s="90">
        <v>2</v>
      </c>
      <c r="K73" s="91">
        <v>3.7052530921423271E-2</v>
      </c>
      <c r="L73" s="91"/>
      <c r="M73" s="92">
        <v>0.19979272413093802</v>
      </c>
      <c r="N73" s="93">
        <v>1</v>
      </c>
      <c r="O73" s="63">
        <f t="shared" si="3"/>
        <v>160.70729355324039</v>
      </c>
      <c r="P73" s="63">
        <f t="shared" si="4"/>
        <v>408.20818583004626</v>
      </c>
      <c r="Q73" s="91">
        <f t="shared" si="5"/>
        <v>0.20410409291502313</v>
      </c>
      <c r="R73" s="91"/>
      <c r="S73" s="94"/>
      <c r="V73" s="80">
        <v>2</v>
      </c>
      <c r="W73" s="80">
        <v>1</v>
      </c>
      <c r="X73" s="80">
        <v>0</v>
      </c>
      <c r="Y73" s="80">
        <v>1</v>
      </c>
      <c r="Z73" s="80">
        <v>0</v>
      </c>
    </row>
    <row r="74" spans="1:26" x14ac:dyDescent="0.25">
      <c r="A74" t="s">
        <v>3469</v>
      </c>
      <c r="B74" t="s">
        <v>1005</v>
      </c>
      <c r="C74" t="s">
        <v>3488</v>
      </c>
      <c r="D74" s="80">
        <v>4</v>
      </c>
      <c r="F74" s="63">
        <v>426.15107</v>
      </c>
      <c r="G74" s="89">
        <v>1</v>
      </c>
      <c r="H74" s="63">
        <v>979.13436528647856</v>
      </c>
      <c r="I74" s="63">
        <v>3800</v>
      </c>
      <c r="J74" s="90">
        <v>2</v>
      </c>
      <c r="K74" s="91">
        <v>0.25766693823328385</v>
      </c>
      <c r="L74" s="91"/>
      <c r="M74" s="92">
        <v>9.4466469770242804E-3</v>
      </c>
      <c r="N74" s="93">
        <v>1</v>
      </c>
      <c r="O74" s="63">
        <f t="shared" si="3"/>
        <v>468.16320893730642</v>
      </c>
      <c r="P74" s="63">
        <f t="shared" si="4"/>
        <v>1063.5627909220339</v>
      </c>
      <c r="Q74" s="91">
        <f t="shared" si="5"/>
        <v>0.27988494497948258</v>
      </c>
      <c r="R74" s="91"/>
      <c r="S74" s="94"/>
      <c r="V74" s="80">
        <v>3</v>
      </c>
      <c r="W74" s="80">
        <v>1</v>
      </c>
      <c r="X74" s="80">
        <v>1</v>
      </c>
      <c r="Y74" s="80">
        <v>1</v>
      </c>
      <c r="Z74" s="80">
        <v>0</v>
      </c>
    </row>
    <row r="75" spans="1:26" x14ac:dyDescent="0.25">
      <c r="A75" t="s">
        <v>3469</v>
      </c>
      <c r="B75" t="s">
        <v>1039</v>
      </c>
      <c r="C75" t="s">
        <v>3489</v>
      </c>
      <c r="D75" s="80">
        <v>4</v>
      </c>
      <c r="F75" s="63">
        <v>2306.2282300000002</v>
      </c>
      <c r="G75" s="89">
        <v>1</v>
      </c>
      <c r="H75" s="63">
        <v>4148.7919768951633</v>
      </c>
      <c r="I75" s="63">
        <v>11250</v>
      </c>
      <c r="J75" s="90">
        <v>2</v>
      </c>
      <c r="K75" s="91">
        <v>0.36878150905734786</v>
      </c>
      <c r="L75" s="91"/>
      <c r="M75" s="92">
        <v>1.1187758574306398E-2</v>
      </c>
      <c r="N75" s="93">
        <v>1</v>
      </c>
      <c r="O75" s="63">
        <f t="shared" si="3"/>
        <v>2577.6284587276723</v>
      </c>
      <c r="P75" s="63">
        <f t="shared" si="4"/>
        <v>4550.8636540742782</v>
      </c>
      <c r="Q75" s="91">
        <f t="shared" si="5"/>
        <v>0.40452121369549138</v>
      </c>
      <c r="R75" s="91"/>
      <c r="S75" s="94"/>
      <c r="V75" s="80">
        <v>2</v>
      </c>
      <c r="W75" s="80">
        <v>1</v>
      </c>
      <c r="X75" s="80">
        <v>0</v>
      </c>
      <c r="Y75" s="80">
        <v>1</v>
      </c>
      <c r="Z75" s="80">
        <v>0</v>
      </c>
    </row>
    <row r="76" spans="1:26" x14ac:dyDescent="0.25">
      <c r="A76" t="s">
        <v>3469</v>
      </c>
      <c r="B76" t="s">
        <v>1095</v>
      </c>
      <c r="C76" t="s">
        <v>3490</v>
      </c>
      <c r="D76" s="80">
        <v>3</v>
      </c>
      <c r="F76" s="63">
        <v>421.00006172687</v>
      </c>
      <c r="G76" s="89">
        <v>2</v>
      </c>
      <c r="H76" s="63">
        <v>968.69494066990467</v>
      </c>
      <c r="I76" s="63">
        <v>2000</v>
      </c>
      <c r="J76" s="90">
        <v>2</v>
      </c>
      <c r="K76" s="91">
        <v>0.48434747033495235</v>
      </c>
      <c r="L76" s="91"/>
      <c r="M76" s="92">
        <v>4.9607225963382E-3</v>
      </c>
      <c r="N76" s="93">
        <v>1</v>
      </c>
      <c r="O76" s="63">
        <f t="shared" si="3"/>
        <v>442.3571413157311</v>
      </c>
      <c r="P76" s="63">
        <f t="shared" si="4"/>
        <v>1011.8513481234716</v>
      </c>
      <c r="Q76" s="91">
        <f t="shared" si="5"/>
        <v>0.50592567406173583</v>
      </c>
      <c r="R76" s="91"/>
      <c r="S76" s="94"/>
      <c r="V76" s="80">
        <v>2</v>
      </c>
      <c r="W76" s="80">
        <v>1</v>
      </c>
      <c r="X76" s="80">
        <v>0</v>
      </c>
      <c r="Y76" s="80">
        <v>1</v>
      </c>
      <c r="Z76" s="80">
        <v>0</v>
      </c>
    </row>
    <row r="77" spans="1:26" x14ac:dyDescent="0.25">
      <c r="A77" t="s">
        <v>3469</v>
      </c>
      <c r="B77" t="s">
        <v>1155</v>
      </c>
      <c r="C77" t="s">
        <v>3491</v>
      </c>
      <c r="D77" s="80">
        <v>4</v>
      </c>
      <c r="F77" s="63">
        <v>1043.2197200000001</v>
      </c>
      <c r="G77" s="89">
        <v>1</v>
      </c>
      <c r="H77" s="63">
        <v>2127.3027538384431</v>
      </c>
      <c r="I77" s="63">
        <v>5400</v>
      </c>
      <c r="J77" s="90">
        <v>2</v>
      </c>
      <c r="K77" s="91">
        <v>0.39394495441452648</v>
      </c>
      <c r="L77" s="91"/>
      <c r="M77" s="92">
        <v>1.5374976791878901E-2</v>
      </c>
      <c r="N77" s="93">
        <v>1</v>
      </c>
      <c r="O77" s="63">
        <f t="shared" si="3"/>
        <v>1215.1792669317365</v>
      </c>
      <c r="P77" s="63">
        <f t="shared" si="4"/>
        <v>2422.0650028317582</v>
      </c>
      <c r="Q77" s="91">
        <f t="shared" si="5"/>
        <v>0.44853055607995523</v>
      </c>
      <c r="R77" s="91"/>
      <c r="S77" s="94"/>
      <c r="V77" s="80">
        <v>2</v>
      </c>
      <c r="W77" s="80">
        <v>1</v>
      </c>
      <c r="X77" s="80">
        <v>1</v>
      </c>
      <c r="Y77" s="80">
        <v>1</v>
      </c>
      <c r="Z77" s="80">
        <v>0</v>
      </c>
    </row>
    <row r="78" spans="1:26" x14ac:dyDescent="0.25">
      <c r="A78" t="s">
        <v>3469</v>
      </c>
      <c r="B78" t="s">
        <v>1159</v>
      </c>
      <c r="C78" t="s">
        <v>3492</v>
      </c>
      <c r="D78" s="80">
        <v>4</v>
      </c>
      <c r="F78" s="63">
        <v>197.70162999999999</v>
      </c>
      <c r="G78" s="89">
        <v>1</v>
      </c>
      <c r="H78" s="63">
        <v>492.8378197388223</v>
      </c>
      <c r="I78" s="63">
        <v>1450</v>
      </c>
      <c r="J78" s="90">
        <v>2</v>
      </c>
      <c r="K78" s="91">
        <v>0.33988815154401536</v>
      </c>
      <c r="L78" s="91"/>
      <c r="M78" s="92">
        <v>8.8783016849845103E-2</v>
      </c>
      <c r="N78" s="93">
        <v>1</v>
      </c>
      <c r="O78" s="63">
        <f t="shared" si="3"/>
        <v>462.83226825105993</v>
      </c>
      <c r="P78" s="63">
        <f t="shared" si="4"/>
        <v>1052.9182783317494</v>
      </c>
      <c r="Q78" s="91">
        <f t="shared" si="5"/>
        <v>0.72615053678051689</v>
      </c>
      <c r="R78" s="91"/>
      <c r="S78" s="94"/>
      <c r="V78" s="80">
        <v>2</v>
      </c>
      <c r="W78" s="80">
        <v>1</v>
      </c>
      <c r="X78" s="80">
        <v>0</v>
      </c>
      <c r="Y78" s="80">
        <v>1</v>
      </c>
      <c r="Z78" s="80">
        <v>0</v>
      </c>
    </row>
    <row r="79" spans="1:26" x14ac:dyDescent="0.25">
      <c r="A79" t="s">
        <v>3469</v>
      </c>
      <c r="B79" t="s">
        <v>1229</v>
      </c>
      <c r="C79" t="s">
        <v>3493</v>
      </c>
      <c r="D79" s="80">
        <v>4</v>
      </c>
      <c r="F79" s="63">
        <v>451.14413999999999</v>
      </c>
      <c r="G79" s="89">
        <v>1</v>
      </c>
      <c r="H79" s="63">
        <v>1029.5114843298795</v>
      </c>
      <c r="I79" s="63">
        <v>4000</v>
      </c>
      <c r="J79" s="90">
        <v>2</v>
      </c>
      <c r="K79" s="91">
        <v>0.2573778710824699</v>
      </c>
      <c r="L79" s="91"/>
      <c r="M79" s="92">
        <v>2.2445286347125101E-2</v>
      </c>
      <c r="N79" s="93">
        <v>1</v>
      </c>
      <c r="O79" s="63">
        <f t="shared" si="3"/>
        <v>563.26931315827994</v>
      </c>
      <c r="P79" s="63">
        <f t="shared" si="4"/>
        <v>1250.4007758146777</v>
      </c>
      <c r="Q79" s="91">
        <f t="shared" si="5"/>
        <v>0.31260019395366939</v>
      </c>
      <c r="R79" s="91"/>
      <c r="S79" s="94"/>
      <c r="V79" s="80">
        <v>3</v>
      </c>
      <c r="W79" s="80">
        <v>1</v>
      </c>
      <c r="X79" s="80">
        <v>0</v>
      </c>
      <c r="Y79" s="80">
        <v>1</v>
      </c>
      <c r="Z79" s="80">
        <v>0</v>
      </c>
    </row>
    <row r="80" spans="1:26" x14ac:dyDescent="0.25">
      <c r="A80" t="s">
        <v>3469</v>
      </c>
      <c r="B80" t="s">
        <v>1265</v>
      </c>
      <c r="C80" t="s">
        <v>3494</v>
      </c>
      <c r="D80" s="80">
        <v>4</v>
      </c>
      <c r="F80" s="63">
        <v>310.86790999999999</v>
      </c>
      <c r="G80" s="89">
        <v>1</v>
      </c>
      <c r="H80" s="63">
        <v>740.30371681702513</v>
      </c>
      <c r="I80" s="63">
        <v>1800</v>
      </c>
      <c r="J80" s="90">
        <v>2</v>
      </c>
      <c r="K80" s="91">
        <v>0.41127984267612505</v>
      </c>
      <c r="L80" s="91"/>
      <c r="M80" s="92">
        <v>2.16392234337161E-2</v>
      </c>
      <c r="N80" s="93">
        <v>1</v>
      </c>
      <c r="O80" s="63">
        <f t="shared" si="3"/>
        <v>385.08045499466107</v>
      </c>
      <c r="P80" s="63">
        <f t="shared" si="4"/>
        <v>895.33044500747519</v>
      </c>
      <c r="Q80" s="91">
        <f t="shared" si="5"/>
        <v>0.49740580278193064</v>
      </c>
      <c r="R80" s="91"/>
      <c r="S80" s="94"/>
      <c r="V80" s="80">
        <v>3</v>
      </c>
      <c r="W80" s="80">
        <v>1</v>
      </c>
      <c r="X80" s="80">
        <v>0</v>
      </c>
      <c r="Y80" s="80">
        <v>1</v>
      </c>
      <c r="Z80" s="80">
        <v>0</v>
      </c>
    </row>
    <row r="81" spans="1:26" x14ac:dyDescent="0.25">
      <c r="A81" t="s">
        <v>3469</v>
      </c>
      <c r="B81" t="s">
        <v>1367</v>
      </c>
      <c r="C81" t="s">
        <v>3495</v>
      </c>
      <c r="D81" s="80">
        <v>3</v>
      </c>
      <c r="F81" s="63">
        <v>49.977153320404398</v>
      </c>
      <c r="G81" s="89">
        <v>2</v>
      </c>
      <c r="H81" s="63">
        <v>137.93445212668573</v>
      </c>
      <c r="I81" s="63">
        <v>522.70451684515399</v>
      </c>
      <c r="J81" s="90">
        <v>1</v>
      </c>
      <c r="K81" s="91">
        <v>0.26388609181953449</v>
      </c>
      <c r="L81" s="91"/>
      <c r="M81" s="92">
        <v>0.05</v>
      </c>
      <c r="N81" s="93">
        <v>2</v>
      </c>
      <c r="O81" s="63">
        <f t="shared" si="3"/>
        <v>81.407516505239101</v>
      </c>
      <c r="P81" s="63">
        <f t="shared" si="4"/>
        <v>217.98134628272939</v>
      </c>
      <c r="Q81" s="91">
        <f t="shared" si="5"/>
        <v>0.41702594727587594</v>
      </c>
      <c r="R81" s="91"/>
      <c r="S81" s="94"/>
      <c r="V81" s="80">
        <v>2</v>
      </c>
      <c r="W81" s="80">
        <v>1</v>
      </c>
      <c r="X81" s="80">
        <v>0</v>
      </c>
      <c r="Y81" s="80">
        <v>0</v>
      </c>
      <c r="Z81" s="80">
        <v>0</v>
      </c>
    </row>
    <row r="82" spans="1:26" x14ac:dyDescent="0.25">
      <c r="A82" t="s">
        <v>3469</v>
      </c>
      <c r="B82" t="s">
        <v>1361</v>
      </c>
      <c r="C82" t="s">
        <v>3496</v>
      </c>
      <c r="D82" s="80">
        <v>4</v>
      </c>
      <c r="F82" s="63">
        <v>6192.2453400000004</v>
      </c>
      <c r="G82" s="89">
        <v>1</v>
      </c>
      <c r="H82" s="63">
        <v>9372.3726434634555</v>
      </c>
      <c r="I82" s="63">
        <v>23500</v>
      </c>
      <c r="J82" s="90">
        <v>2</v>
      </c>
      <c r="K82" s="91">
        <v>0.39882436780695557</v>
      </c>
      <c r="L82" s="91"/>
      <c r="M82" s="92">
        <v>3.6984680275396101E-2</v>
      </c>
      <c r="N82" s="93">
        <v>1</v>
      </c>
      <c r="O82" s="63">
        <f t="shared" si="3"/>
        <v>8903.721343111436</v>
      </c>
      <c r="P82" s="63">
        <f t="shared" si="4"/>
        <v>12625.850360704506</v>
      </c>
      <c r="Q82" s="91">
        <f t="shared" si="5"/>
        <v>0.5372702281150854</v>
      </c>
      <c r="R82" s="91"/>
      <c r="S82" s="94"/>
      <c r="V82" s="80">
        <v>4</v>
      </c>
      <c r="W82" s="80">
        <v>1</v>
      </c>
      <c r="X82" s="80">
        <v>1</v>
      </c>
      <c r="Y82" s="80">
        <v>1</v>
      </c>
      <c r="Z82" s="80">
        <v>0</v>
      </c>
    </row>
    <row r="83" spans="1:26" x14ac:dyDescent="0.25">
      <c r="A83" t="s">
        <v>3469</v>
      </c>
      <c r="B83" t="s">
        <v>1492</v>
      </c>
      <c r="C83" t="s">
        <v>3497</v>
      </c>
      <c r="D83" s="80">
        <v>3</v>
      </c>
      <c r="F83" s="63">
        <v>299</v>
      </c>
      <c r="G83" s="89">
        <v>3</v>
      </c>
      <c r="H83" s="63">
        <v>715.03327287877187</v>
      </c>
      <c r="I83" s="63">
        <v>3212.0857043523501</v>
      </c>
      <c r="J83" s="90">
        <v>1</v>
      </c>
      <c r="K83" s="91">
        <v>0.22260715892789149</v>
      </c>
      <c r="L83" s="91"/>
      <c r="M83" s="92">
        <v>4.9924867112623401E-2</v>
      </c>
      <c r="N83" s="93">
        <v>1</v>
      </c>
      <c r="O83" s="63">
        <f t="shared" si="3"/>
        <v>486.69110385521685</v>
      </c>
      <c r="P83" s="63">
        <f t="shared" si="4"/>
        <v>1100.4093526243139</v>
      </c>
      <c r="Q83" s="91">
        <f t="shared" si="5"/>
        <v>0.34258405718541945</v>
      </c>
      <c r="R83" s="91"/>
      <c r="S83" s="94"/>
      <c r="V83" s="80">
        <v>2</v>
      </c>
      <c r="W83" s="80">
        <v>1</v>
      </c>
      <c r="X83" s="80">
        <v>0</v>
      </c>
      <c r="Y83" s="80">
        <v>0</v>
      </c>
      <c r="Z83" s="80">
        <v>0</v>
      </c>
    </row>
    <row r="84" spans="1:26" x14ac:dyDescent="0.25">
      <c r="A84" t="s">
        <v>3469</v>
      </c>
      <c r="B84" t="s">
        <v>1546</v>
      </c>
      <c r="C84" t="s">
        <v>3498</v>
      </c>
      <c r="D84" s="80">
        <v>4</v>
      </c>
      <c r="F84" s="63">
        <v>496.69457</v>
      </c>
      <c r="G84" s="89">
        <v>1</v>
      </c>
      <c r="H84" s="63">
        <v>1120.2093422025262</v>
      </c>
      <c r="I84" s="63">
        <v>2300</v>
      </c>
      <c r="J84" s="90">
        <v>2</v>
      </c>
      <c r="K84" s="91">
        <v>0.48704754008805484</v>
      </c>
      <c r="L84" s="91"/>
      <c r="M84" s="92">
        <v>7.5311524356548301E-3</v>
      </c>
      <c r="N84" s="93">
        <v>1</v>
      </c>
      <c r="O84" s="63">
        <f t="shared" si="3"/>
        <v>535.39491786730059</v>
      </c>
      <c r="P84" s="63">
        <f t="shared" si="4"/>
        <v>1196.2150123181307</v>
      </c>
      <c r="Q84" s="91">
        <f t="shared" si="5"/>
        <v>0.52009348361657859</v>
      </c>
      <c r="R84" s="91"/>
      <c r="S84" s="94"/>
      <c r="V84" s="80">
        <v>2</v>
      </c>
      <c r="W84" s="80">
        <v>1</v>
      </c>
      <c r="X84" s="80">
        <v>0</v>
      </c>
      <c r="Y84" s="80">
        <v>1</v>
      </c>
      <c r="Z84" s="80">
        <v>0</v>
      </c>
    </row>
    <row r="85" spans="1:26" x14ac:dyDescent="0.25">
      <c r="A85" t="s">
        <v>3469</v>
      </c>
      <c r="B85" t="s">
        <v>1818</v>
      </c>
      <c r="C85" t="s">
        <v>3499</v>
      </c>
      <c r="D85" s="80">
        <v>3</v>
      </c>
      <c r="F85" s="63">
        <v>81.514233781550303</v>
      </c>
      <c r="G85" s="89">
        <v>2</v>
      </c>
      <c r="H85" s="63">
        <v>218.24760522881803</v>
      </c>
      <c r="I85" s="63">
        <v>1170</v>
      </c>
      <c r="J85" s="90">
        <v>2</v>
      </c>
      <c r="K85" s="91">
        <v>0.18653641472548549</v>
      </c>
      <c r="L85" s="91"/>
      <c r="M85" s="92">
        <v>1.6884931632759701E-2</v>
      </c>
      <c r="N85" s="93">
        <v>1</v>
      </c>
      <c r="O85" s="63">
        <f t="shared" si="3"/>
        <v>96.372154893208531</v>
      </c>
      <c r="P85" s="63">
        <f t="shared" si="4"/>
        <v>255.00403320946731</v>
      </c>
      <c r="Q85" s="91">
        <f t="shared" si="5"/>
        <v>0.21795216513629684</v>
      </c>
      <c r="R85" s="91"/>
      <c r="S85" s="94"/>
      <c r="V85" s="80">
        <v>2</v>
      </c>
      <c r="W85" s="80">
        <v>1</v>
      </c>
      <c r="X85" s="80">
        <v>0</v>
      </c>
      <c r="Y85" s="80">
        <v>1</v>
      </c>
      <c r="Z85" s="80">
        <v>0</v>
      </c>
    </row>
    <row r="86" spans="1:26" x14ac:dyDescent="0.25">
      <c r="A86" t="s">
        <v>3469</v>
      </c>
      <c r="B86" t="s">
        <v>1856</v>
      </c>
      <c r="C86" t="s">
        <v>3500</v>
      </c>
      <c r="D86" s="80">
        <v>4</v>
      </c>
      <c r="F86" s="63">
        <v>297.41985</v>
      </c>
      <c r="G86" s="89">
        <v>1</v>
      </c>
      <c r="H86" s="63">
        <v>711.65785152038268</v>
      </c>
      <c r="I86" s="63">
        <v>1400</v>
      </c>
      <c r="J86" s="90">
        <v>2</v>
      </c>
      <c r="K86" s="91">
        <v>0.50832703680027336</v>
      </c>
      <c r="L86" s="91"/>
      <c r="M86" s="92">
        <v>2.7392901162391299E-2</v>
      </c>
      <c r="N86" s="93">
        <v>1</v>
      </c>
      <c r="O86" s="63">
        <f t="shared" si="3"/>
        <v>389.70462174531434</v>
      </c>
      <c r="P86" s="63">
        <f t="shared" si="4"/>
        <v>904.83233802859286</v>
      </c>
      <c r="Q86" s="91">
        <f t="shared" si="5"/>
        <v>0.64630881287756636</v>
      </c>
      <c r="R86" s="91"/>
      <c r="S86" s="94"/>
      <c r="V86" s="80">
        <v>3</v>
      </c>
      <c r="W86" s="80">
        <v>1</v>
      </c>
      <c r="X86" s="80">
        <v>0</v>
      </c>
      <c r="Y86" s="80">
        <v>1</v>
      </c>
      <c r="Z86" s="80">
        <v>0</v>
      </c>
    </row>
    <row r="87" spans="1:26" x14ac:dyDescent="0.25">
      <c r="A87" t="s">
        <v>3469</v>
      </c>
      <c r="B87" t="s">
        <v>2123</v>
      </c>
      <c r="C87" t="s">
        <v>3501</v>
      </c>
      <c r="D87" s="80">
        <v>4</v>
      </c>
      <c r="F87" s="63">
        <v>1705.6086</v>
      </c>
      <c r="G87" s="89">
        <v>1</v>
      </c>
      <c r="H87" s="63">
        <v>3224.1191546010036</v>
      </c>
      <c r="I87" s="63">
        <v>18500</v>
      </c>
      <c r="J87" s="90">
        <v>2</v>
      </c>
      <c r="K87" s="91">
        <v>0.1742767110595137</v>
      </c>
      <c r="L87" s="91"/>
      <c r="M87" s="92">
        <v>3.05802101889215E-2</v>
      </c>
      <c r="N87" s="93">
        <v>1</v>
      </c>
      <c r="O87" s="63">
        <f t="shared" si="3"/>
        <v>2305.1402999101861</v>
      </c>
      <c r="P87" s="63">
        <f t="shared" si="4"/>
        <v>4147.1625581855533</v>
      </c>
      <c r="Q87" s="91">
        <f t="shared" si="5"/>
        <v>0.22417094909111099</v>
      </c>
      <c r="R87" s="91"/>
      <c r="S87" s="94"/>
      <c r="V87" s="80">
        <v>4</v>
      </c>
      <c r="W87" s="80">
        <v>0</v>
      </c>
      <c r="X87" s="80">
        <v>1</v>
      </c>
      <c r="Y87" s="80">
        <v>1</v>
      </c>
      <c r="Z87" s="80">
        <v>0</v>
      </c>
    </row>
    <row r="88" spans="1:26" x14ac:dyDescent="0.25">
      <c r="A88" t="s">
        <v>3469</v>
      </c>
      <c r="B88" t="s">
        <v>2125</v>
      </c>
      <c r="C88" t="s">
        <v>3502</v>
      </c>
      <c r="D88" s="80">
        <v>3</v>
      </c>
      <c r="F88" s="63">
        <v>461.21197999999998</v>
      </c>
      <c r="G88" s="89">
        <v>1</v>
      </c>
      <c r="H88" s="63">
        <v>1049.6791225010977</v>
      </c>
      <c r="I88" s="63">
        <v>1260</v>
      </c>
      <c r="J88" s="90">
        <v>2</v>
      </c>
      <c r="K88" s="91">
        <v>0.8330786686516648</v>
      </c>
      <c r="L88" s="91"/>
      <c r="M88" s="92">
        <v>1.6045132274704398E-2</v>
      </c>
      <c r="N88" s="93">
        <v>1</v>
      </c>
      <c r="O88" s="63">
        <f t="shared" si="3"/>
        <v>540.79239426572792</v>
      </c>
      <c r="P88" s="63">
        <f t="shared" si="4"/>
        <v>1206.742833213842</v>
      </c>
      <c r="Q88" s="91">
        <f t="shared" si="5"/>
        <v>0.95773240731257303</v>
      </c>
      <c r="R88" s="91"/>
      <c r="S88" s="95" t="s">
        <v>3435</v>
      </c>
      <c r="V88" s="80">
        <v>2</v>
      </c>
      <c r="W88" s="80">
        <v>1</v>
      </c>
      <c r="X88" s="80">
        <v>0</v>
      </c>
      <c r="Y88" s="80">
        <v>1</v>
      </c>
      <c r="Z88" s="80">
        <v>0</v>
      </c>
    </row>
    <row r="89" spans="1:26" x14ac:dyDescent="0.25">
      <c r="A89" t="s">
        <v>3469</v>
      </c>
      <c r="B89" t="s">
        <v>2185</v>
      </c>
      <c r="C89" t="s">
        <v>3503</v>
      </c>
      <c r="D89" s="80">
        <v>3</v>
      </c>
      <c r="F89" s="63">
        <v>209.19665000000001</v>
      </c>
      <c r="G89" s="89">
        <v>1</v>
      </c>
      <c r="H89" s="63">
        <v>518.70929073687364</v>
      </c>
      <c r="I89" s="63">
        <v>800</v>
      </c>
      <c r="J89" s="90">
        <v>3</v>
      </c>
      <c r="K89" s="91">
        <v>0.64838661342109205</v>
      </c>
      <c r="L89" s="91"/>
      <c r="M89" s="92">
        <v>7.2931128660385699E-3</v>
      </c>
      <c r="N89" s="93">
        <v>3</v>
      </c>
      <c r="O89" s="63">
        <f t="shared" si="3"/>
        <v>224.96417918030468</v>
      </c>
      <c r="P89" s="63">
        <f t="shared" si="4"/>
        <v>553.89771117880184</v>
      </c>
      <c r="Q89" s="91">
        <f t="shared" si="5"/>
        <v>0.69237213897350225</v>
      </c>
      <c r="R89" s="91"/>
      <c r="S89" s="94"/>
      <c r="V89" s="80">
        <v>2</v>
      </c>
      <c r="W89" s="80">
        <v>0</v>
      </c>
      <c r="X89" s="80">
        <v>0</v>
      </c>
      <c r="Y89" s="80">
        <v>0</v>
      </c>
      <c r="Z89" s="80">
        <v>0</v>
      </c>
    </row>
    <row r="90" spans="1:26" x14ac:dyDescent="0.25">
      <c r="A90" t="s">
        <v>3469</v>
      </c>
      <c r="B90" t="s">
        <v>2285</v>
      </c>
      <c r="C90" t="s">
        <v>3504</v>
      </c>
      <c r="D90" s="80">
        <v>4</v>
      </c>
      <c r="F90" s="63">
        <v>3916.58826</v>
      </c>
      <c r="G90" s="89">
        <v>1</v>
      </c>
      <c r="H90" s="63">
        <v>6431.7809389311542</v>
      </c>
      <c r="I90" s="63">
        <v>28500</v>
      </c>
      <c r="J90" s="90">
        <v>2</v>
      </c>
      <c r="K90" s="91">
        <v>0.22567652417302295</v>
      </c>
      <c r="L90" s="91"/>
      <c r="M90" s="92">
        <v>3.4118216376385901E-2</v>
      </c>
      <c r="N90" s="93">
        <v>1</v>
      </c>
      <c r="O90" s="63">
        <f t="shared" si="3"/>
        <v>5477.8457937873227</v>
      </c>
      <c r="P90" s="63">
        <f t="shared" si="4"/>
        <v>8475.2007146527776</v>
      </c>
      <c r="Q90" s="91">
        <f t="shared" si="5"/>
        <v>0.29737546367202727</v>
      </c>
      <c r="R90" s="91"/>
      <c r="S90" s="94"/>
      <c r="V90" s="80">
        <v>4</v>
      </c>
      <c r="W90" s="80">
        <v>0</v>
      </c>
      <c r="X90" s="80">
        <v>1</v>
      </c>
      <c r="Y90" s="80">
        <v>1</v>
      </c>
      <c r="Z90" s="80">
        <v>0</v>
      </c>
    </row>
    <row r="91" spans="1:26" x14ac:dyDescent="0.25">
      <c r="A91" t="s">
        <v>3469</v>
      </c>
      <c r="B91" t="s">
        <v>2325</v>
      </c>
      <c r="C91" t="s">
        <v>3505</v>
      </c>
      <c r="D91" s="80">
        <v>4</v>
      </c>
      <c r="F91" s="63">
        <v>437.53928000000002</v>
      </c>
      <c r="G91" s="89">
        <v>1</v>
      </c>
      <c r="H91" s="63">
        <v>1002.1449662184129</v>
      </c>
      <c r="I91" s="63">
        <v>3500</v>
      </c>
      <c r="J91" s="90">
        <v>2</v>
      </c>
      <c r="K91" s="91">
        <v>0.28632713320526082</v>
      </c>
      <c r="L91" s="91"/>
      <c r="M91" s="92">
        <v>4.5271344748490698E-2</v>
      </c>
      <c r="N91" s="93">
        <v>1</v>
      </c>
      <c r="O91" s="63">
        <f t="shared" si="3"/>
        <v>681.2515370519734</v>
      </c>
      <c r="P91" s="63">
        <f t="shared" si="4"/>
        <v>1475.0881835826074</v>
      </c>
      <c r="Q91" s="91">
        <f t="shared" si="5"/>
        <v>0.42145376673788781</v>
      </c>
      <c r="R91" s="91"/>
      <c r="S91" s="94"/>
      <c r="V91" s="80">
        <v>2</v>
      </c>
      <c r="W91" s="80">
        <v>1</v>
      </c>
      <c r="X91" s="80">
        <v>0</v>
      </c>
      <c r="Y91" s="80">
        <v>1</v>
      </c>
      <c r="Z91" s="80">
        <v>0</v>
      </c>
    </row>
    <row r="92" spans="1:26" x14ac:dyDescent="0.25">
      <c r="A92" t="s">
        <v>3469</v>
      </c>
      <c r="B92" t="s">
        <v>2383</v>
      </c>
      <c r="C92" t="s">
        <v>3506</v>
      </c>
      <c r="D92" s="80">
        <v>3</v>
      </c>
      <c r="F92" s="63">
        <v>204.75654</v>
      </c>
      <c r="G92" s="89">
        <v>1</v>
      </c>
      <c r="H92" s="63">
        <v>508.7384668393488</v>
      </c>
      <c r="I92" s="63">
        <v>940</v>
      </c>
      <c r="J92" s="90">
        <v>2</v>
      </c>
      <c r="K92" s="91">
        <v>0.54121113493547746</v>
      </c>
      <c r="L92" s="91"/>
      <c r="M92" s="92">
        <v>9.1913656962206297E-3</v>
      </c>
      <c r="N92" s="93">
        <v>1</v>
      </c>
      <c r="O92" s="63">
        <f t="shared" si="3"/>
        <v>224.37426538193139</v>
      </c>
      <c r="P92" s="63">
        <f t="shared" si="4"/>
        <v>552.58721199331137</v>
      </c>
      <c r="Q92" s="91">
        <f t="shared" si="5"/>
        <v>0.58785873616309725</v>
      </c>
      <c r="R92" s="91"/>
      <c r="S92" s="94"/>
      <c r="V92" s="80">
        <v>2</v>
      </c>
      <c r="W92" s="80">
        <v>0</v>
      </c>
      <c r="X92" s="80">
        <v>0</v>
      </c>
      <c r="Y92" s="80">
        <v>0</v>
      </c>
      <c r="Z92" s="80">
        <v>0</v>
      </c>
    </row>
    <row r="93" spans="1:26" x14ac:dyDescent="0.25">
      <c r="A93" t="s">
        <v>3469</v>
      </c>
      <c r="B93" t="s">
        <v>2413</v>
      </c>
      <c r="C93" t="s">
        <v>3507</v>
      </c>
      <c r="D93" s="80">
        <v>3</v>
      </c>
      <c r="F93" s="63">
        <v>181.95948999999999</v>
      </c>
      <c r="G93" s="89">
        <v>1</v>
      </c>
      <c r="H93" s="63">
        <v>457.09096116783593</v>
      </c>
      <c r="I93" s="63">
        <v>1400</v>
      </c>
      <c r="J93" s="90">
        <v>2</v>
      </c>
      <c r="K93" s="91">
        <v>0.32649354369131139</v>
      </c>
      <c r="L93" s="91"/>
      <c r="M93" s="92">
        <v>6.6181576015151896E-3</v>
      </c>
      <c r="N93" s="93">
        <v>1</v>
      </c>
      <c r="O93" s="63">
        <f t="shared" si="3"/>
        <v>194.36690141692304</v>
      </c>
      <c r="P93" s="63">
        <f t="shared" si="4"/>
        <v>485.29659252851098</v>
      </c>
      <c r="Q93" s="91">
        <f t="shared" si="5"/>
        <v>0.34664042323465072</v>
      </c>
      <c r="R93" s="91"/>
      <c r="S93" s="94"/>
      <c r="V93" s="80">
        <v>2</v>
      </c>
      <c r="W93" s="80">
        <v>1</v>
      </c>
      <c r="X93" s="80">
        <v>0</v>
      </c>
      <c r="Y93" s="80">
        <v>0</v>
      </c>
      <c r="Z93" s="80">
        <v>0</v>
      </c>
    </row>
    <row r="94" spans="1:26" x14ac:dyDescent="0.25">
      <c r="A94" t="s">
        <v>3508</v>
      </c>
      <c r="B94" t="s">
        <v>975</v>
      </c>
      <c r="C94" t="s">
        <v>3509</v>
      </c>
      <c r="D94" s="80">
        <v>4</v>
      </c>
      <c r="F94" s="63">
        <v>3482.6292199999998</v>
      </c>
      <c r="G94" s="89">
        <v>1</v>
      </c>
      <c r="H94" s="63">
        <v>5838.1060799191173</v>
      </c>
      <c r="I94" s="63">
        <v>4190</v>
      </c>
      <c r="J94" s="90">
        <v>2</v>
      </c>
      <c r="K94" s="91">
        <v>1.3933427398374982</v>
      </c>
      <c r="L94" s="91"/>
      <c r="M94" s="92">
        <v>4.6020689440663398E-2</v>
      </c>
      <c r="N94" s="93">
        <v>1</v>
      </c>
      <c r="O94" s="63">
        <f t="shared" si="3"/>
        <v>5461.4754477761344</v>
      </c>
      <c r="P94" s="63">
        <f t="shared" si="4"/>
        <v>8454.3981080547164</v>
      </c>
      <c r="Q94" s="91">
        <f t="shared" si="5"/>
        <v>2.0177561117075697</v>
      </c>
      <c r="R94" s="91"/>
      <c r="S94" s="94" t="s">
        <v>3510</v>
      </c>
      <c r="T94" s="80">
        <v>2025</v>
      </c>
      <c r="V94" s="80">
        <v>2</v>
      </c>
      <c r="W94" s="80">
        <v>2</v>
      </c>
      <c r="X94" s="80">
        <v>1</v>
      </c>
      <c r="Y94" s="80">
        <v>1</v>
      </c>
      <c r="Z94" s="80">
        <v>0</v>
      </c>
    </row>
    <row r="95" spans="1:26" x14ac:dyDescent="0.25">
      <c r="A95" t="s">
        <v>3508</v>
      </c>
      <c r="B95" t="s">
        <v>1151</v>
      </c>
      <c r="C95" t="s">
        <v>3511</v>
      </c>
      <c r="D95" s="80">
        <v>3</v>
      </c>
      <c r="F95" s="63">
        <v>624.54106999999999</v>
      </c>
      <c r="G95" s="89">
        <v>1</v>
      </c>
      <c r="H95" s="63">
        <v>1367.983654879039</v>
      </c>
      <c r="I95" s="63">
        <v>1090</v>
      </c>
      <c r="J95" s="90">
        <v>2</v>
      </c>
      <c r="K95" s="91">
        <v>1.2550308760358155</v>
      </c>
      <c r="L95" s="91"/>
      <c r="M95" s="92">
        <v>3.06499025630163E-2</v>
      </c>
      <c r="N95" s="93">
        <v>1</v>
      </c>
      <c r="O95" s="63">
        <f t="shared" si="3"/>
        <v>844.64199096800996</v>
      </c>
      <c r="P95" s="63">
        <f t="shared" si="4"/>
        <v>1775.5915615566776</v>
      </c>
      <c r="Q95" s="91">
        <f t="shared" si="5"/>
        <v>1.6289830839969519</v>
      </c>
      <c r="R95" s="91"/>
      <c r="S95" s="94" t="s">
        <v>3512</v>
      </c>
      <c r="T95" s="80">
        <v>2025</v>
      </c>
      <c r="V95" s="80">
        <v>2</v>
      </c>
      <c r="W95" s="80">
        <v>1</v>
      </c>
      <c r="X95" s="80">
        <v>0</v>
      </c>
      <c r="Y95" s="80">
        <v>1</v>
      </c>
      <c r="Z95" s="80">
        <v>0</v>
      </c>
    </row>
    <row r="96" spans="1:26" x14ac:dyDescent="0.25">
      <c r="A96" t="s">
        <v>3508</v>
      </c>
      <c r="B96" t="s">
        <v>1758</v>
      </c>
      <c r="C96" t="s">
        <v>3513</v>
      </c>
      <c r="D96" s="80">
        <v>4</v>
      </c>
      <c r="F96" s="63">
        <v>1233.2608700000001</v>
      </c>
      <c r="G96" s="89">
        <v>1</v>
      </c>
      <c r="H96" s="63">
        <v>2452.5953150982346</v>
      </c>
      <c r="I96" s="63">
        <v>4790</v>
      </c>
      <c r="J96" s="90">
        <v>2</v>
      </c>
      <c r="K96" s="91">
        <v>0.51202407413324313</v>
      </c>
      <c r="L96" s="91"/>
      <c r="M96" s="92">
        <v>3.2325809844050299E-2</v>
      </c>
      <c r="N96" s="93">
        <v>1</v>
      </c>
      <c r="O96" s="63">
        <f t="shared" si="3"/>
        <v>1695.2072753149407</v>
      </c>
      <c r="P96" s="63">
        <f t="shared" si="4"/>
        <v>3207.6072260465148</v>
      </c>
      <c r="Q96" s="91">
        <f t="shared" si="5"/>
        <v>0.66964660251493002</v>
      </c>
      <c r="R96" s="91"/>
      <c r="S96" s="94" t="s">
        <v>3514</v>
      </c>
      <c r="T96" s="80">
        <v>2028</v>
      </c>
      <c r="V96" s="80">
        <v>3</v>
      </c>
      <c r="W96" s="80">
        <v>1</v>
      </c>
      <c r="X96" s="80">
        <v>0</v>
      </c>
      <c r="Y96" s="80">
        <v>1</v>
      </c>
      <c r="Z96" s="80">
        <v>0</v>
      </c>
    </row>
    <row r="97" spans="1:26" x14ac:dyDescent="0.25">
      <c r="A97" t="s">
        <v>3508</v>
      </c>
      <c r="B97" t="s">
        <v>704</v>
      </c>
      <c r="C97" t="s">
        <v>3515</v>
      </c>
      <c r="D97" s="80">
        <v>4</v>
      </c>
      <c r="F97" s="63">
        <v>825.18538999999998</v>
      </c>
      <c r="G97" s="89">
        <v>1</v>
      </c>
      <c r="H97" s="63">
        <v>1740.3810664496332</v>
      </c>
      <c r="I97" s="63">
        <v>2300</v>
      </c>
      <c r="J97" s="90">
        <v>2</v>
      </c>
      <c r="K97" s="91">
        <v>0.75668742019549273</v>
      </c>
      <c r="L97" s="91"/>
      <c r="M97" s="92">
        <v>7.6320500224466098E-2</v>
      </c>
      <c r="N97" s="93">
        <v>3</v>
      </c>
      <c r="O97" s="63">
        <f t="shared" si="3"/>
        <v>1721.7403277716855</v>
      </c>
      <c r="P97" s="63">
        <f t="shared" si="4"/>
        <v>3249.6902418390532</v>
      </c>
      <c r="Q97" s="91">
        <f t="shared" si="5"/>
        <v>1.4129088007995882</v>
      </c>
      <c r="R97" s="91"/>
      <c r="S97" s="94" t="s">
        <v>3516</v>
      </c>
      <c r="T97" s="80">
        <v>2029</v>
      </c>
      <c r="V97" s="80">
        <v>3</v>
      </c>
      <c r="W97" s="80">
        <v>1</v>
      </c>
      <c r="X97" s="80">
        <v>0</v>
      </c>
      <c r="Y97" s="80">
        <v>1</v>
      </c>
      <c r="Z97" s="80">
        <v>0</v>
      </c>
    </row>
    <row r="98" spans="1:26" x14ac:dyDescent="0.25">
      <c r="A98" t="s">
        <v>3508</v>
      </c>
      <c r="B98" t="s">
        <v>544</v>
      </c>
      <c r="C98" t="s">
        <v>3517</v>
      </c>
      <c r="D98" s="80">
        <v>3</v>
      </c>
      <c r="F98" s="63">
        <v>182.1311</v>
      </c>
      <c r="G98" s="89">
        <v>1</v>
      </c>
      <c r="H98" s="63">
        <v>457.48269978391306</v>
      </c>
      <c r="I98" s="63">
        <v>1190</v>
      </c>
      <c r="J98" s="90">
        <v>2</v>
      </c>
      <c r="K98" s="91">
        <v>0.38443924351589331</v>
      </c>
      <c r="L98" s="91"/>
      <c r="M98" s="92">
        <v>2.23223897125449E-2</v>
      </c>
      <c r="N98" s="93">
        <v>1</v>
      </c>
      <c r="O98" s="63">
        <f t="shared" si="3"/>
        <v>227.12389827846201</v>
      </c>
      <c r="P98" s="63">
        <f t="shared" si="4"/>
        <v>558.69165121546769</v>
      </c>
      <c r="Q98" s="91">
        <f t="shared" si="5"/>
        <v>0.46948878253400644</v>
      </c>
      <c r="R98" s="91"/>
      <c r="S98" s="94"/>
      <c r="V98" s="80">
        <v>3</v>
      </c>
      <c r="W98" s="80">
        <v>1</v>
      </c>
      <c r="X98" s="80">
        <v>0</v>
      </c>
      <c r="Y98" s="80">
        <v>1</v>
      </c>
      <c r="Z98" s="80">
        <v>0</v>
      </c>
    </row>
    <row r="99" spans="1:26" x14ac:dyDescent="0.25">
      <c r="A99" t="s">
        <v>3508</v>
      </c>
      <c r="B99" t="s">
        <v>752</v>
      </c>
      <c r="C99" t="s">
        <v>3518</v>
      </c>
      <c r="D99" s="80">
        <v>3</v>
      </c>
      <c r="F99" s="63">
        <v>2</v>
      </c>
      <c r="G99" s="89">
        <v>3</v>
      </c>
      <c r="H99" s="63">
        <v>6.0840026606763384</v>
      </c>
      <c r="I99" s="63">
        <v>770</v>
      </c>
      <c r="J99" s="90">
        <v>2</v>
      </c>
      <c r="K99" s="91">
        <v>7.9013021567225176E-3</v>
      </c>
      <c r="L99" s="91"/>
      <c r="M99" s="92">
        <v>0</v>
      </c>
      <c r="N99" s="93">
        <v>2</v>
      </c>
      <c r="O99" s="63">
        <f t="shared" si="3"/>
        <v>2</v>
      </c>
      <c r="P99" s="63">
        <f t="shared" si="4"/>
        <v>6.0840026606763384</v>
      </c>
      <c r="Q99" s="91">
        <f t="shared" si="5"/>
        <v>7.9013021567225176E-3</v>
      </c>
      <c r="R99" s="91"/>
      <c r="S99" s="94"/>
      <c r="V99" s="80">
        <v>3</v>
      </c>
      <c r="W99" s="80">
        <v>1</v>
      </c>
      <c r="X99" s="80">
        <v>0</v>
      </c>
      <c r="Y99" s="80">
        <v>1</v>
      </c>
      <c r="Z99" s="80">
        <v>0</v>
      </c>
    </row>
    <row r="100" spans="1:26" x14ac:dyDescent="0.25">
      <c r="A100" t="s">
        <v>3508</v>
      </c>
      <c r="B100" t="s">
        <v>2578</v>
      </c>
      <c r="C100" t="s">
        <v>3519</v>
      </c>
      <c r="D100" s="80">
        <v>3</v>
      </c>
      <c r="F100" s="63">
        <v>44.6</v>
      </c>
      <c r="G100" s="89">
        <v>2</v>
      </c>
      <c r="H100" s="63">
        <v>123.9</v>
      </c>
      <c r="I100" s="63">
        <v>652.09273710349896</v>
      </c>
      <c r="J100" s="90">
        <v>1</v>
      </c>
      <c r="K100" s="91">
        <v>0.19000364971145942</v>
      </c>
      <c r="L100" s="91"/>
      <c r="M100" s="92">
        <v>0.05</v>
      </c>
      <c r="N100" s="93">
        <v>2</v>
      </c>
      <c r="O100" s="63">
        <f t="shared" si="3"/>
        <v>72.648700354273899</v>
      </c>
      <c r="P100" s="63">
        <f t="shared" si="4"/>
        <v>196.01046520336084</v>
      </c>
      <c r="Q100" s="91">
        <f t="shared" si="5"/>
        <v>0.30058679394898768</v>
      </c>
      <c r="R100" s="91"/>
      <c r="S100" s="94"/>
      <c r="V100" s="80">
        <v>2</v>
      </c>
      <c r="W100" s="80">
        <v>1</v>
      </c>
      <c r="X100" s="80">
        <v>0</v>
      </c>
      <c r="Y100" s="80">
        <v>0</v>
      </c>
      <c r="Z100" s="80">
        <v>0</v>
      </c>
    </row>
    <row r="101" spans="1:26" x14ac:dyDescent="0.25">
      <c r="A101" t="s">
        <v>3508</v>
      </c>
      <c r="B101" t="s">
        <v>1387</v>
      </c>
      <c r="C101" t="s">
        <v>3520</v>
      </c>
      <c r="D101" s="80">
        <v>4</v>
      </c>
      <c r="F101" s="63">
        <v>249.38462000000001</v>
      </c>
      <c r="G101" s="89">
        <v>1</v>
      </c>
      <c r="H101" s="63">
        <v>607.75795596245962</v>
      </c>
      <c r="I101" s="63">
        <v>1490</v>
      </c>
      <c r="J101" s="90">
        <v>2</v>
      </c>
      <c r="K101" s="91">
        <v>0.40789124561238899</v>
      </c>
      <c r="L101" s="91"/>
      <c r="M101" s="92">
        <v>2.6485215009691499E-3</v>
      </c>
      <c r="N101" s="93">
        <v>1</v>
      </c>
      <c r="O101" s="63">
        <f t="shared" si="3"/>
        <v>256.06890459208415</v>
      </c>
      <c r="P101" s="63">
        <f t="shared" si="4"/>
        <v>622.37260643625712</v>
      </c>
      <c r="Q101" s="91">
        <f t="shared" si="5"/>
        <v>0.41769973586325981</v>
      </c>
      <c r="R101" s="91"/>
      <c r="S101" s="94"/>
      <c r="V101" s="80">
        <v>3</v>
      </c>
      <c r="W101" s="80">
        <v>1</v>
      </c>
      <c r="X101" s="80">
        <v>0</v>
      </c>
      <c r="Y101" s="80">
        <v>1</v>
      </c>
      <c r="Z101" s="80">
        <v>0</v>
      </c>
    </row>
    <row r="102" spans="1:26" x14ac:dyDescent="0.25">
      <c r="A102" t="s">
        <v>3508</v>
      </c>
      <c r="B102" t="s">
        <v>1808</v>
      </c>
      <c r="C102" t="s">
        <v>3521</v>
      </c>
      <c r="D102" s="80">
        <v>3</v>
      </c>
      <c r="F102" s="63">
        <v>381.25587000000002</v>
      </c>
      <c r="G102" s="89">
        <v>1</v>
      </c>
      <c r="H102" s="63">
        <v>887.45838555008834</v>
      </c>
      <c r="I102" s="63">
        <v>1200</v>
      </c>
      <c r="J102" s="90">
        <v>2</v>
      </c>
      <c r="K102" s="91">
        <f>H102/I102</f>
        <v>0.73954865462507358</v>
      </c>
      <c r="L102" s="91"/>
      <c r="M102" s="92">
        <v>0.02</v>
      </c>
      <c r="N102" s="93">
        <v>2</v>
      </c>
      <c r="O102" s="63">
        <f t="shared" si="3"/>
        <v>464.74877812024653</v>
      </c>
      <c r="P102" s="63">
        <f t="shared" si="4"/>
        <v>1056.7472902016041</v>
      </c>
      <c r="Q102" s="91">
        <f t="shared" si="5"/>
        <v>0.88062274183467004</v>
      </c>
      <c r="R102" s="91"/>
      <c r="S102" s="94"/>
      <c r="V102" s="80">
        <v>3</v>
      </c>
      <c r="W102" s="80">
        <v>1</v>
      </c>
      <c r="X102" s="80">
        <v>0</v>
      </c>
      <c r="Y102" s="80">
        <v>1</v>
      </c>
      <c r="Z102" s="80">
        <v>0</v>
      </c>
    </row>
    <row r="103" spans="1:26" x14ac:dyDescent="0.25">
      <c r="A103" t="s">
        <v>3522</v>
      </c>
      <c r="B103" t="s">
        <v>206</v>
      </c>
      <c r="C103" t="s">
        <v>3523</v>
      </c>
      <c r="D103" s="80">
        <v>3</v>
      </c>
      <c r="F103" s="63">
        <v>352.23629</v>
      </c>
      <c r="G103" s="89">
        <v>1</v>
      </c>
      <c r="H103" s="63">
        <v>827.32733875433587</v>
      </c>
      <c r="I103" s="63">
        <v>2120</v>
      </c>
      <c r="J103" s="90">
        <v>2</v>
      </c>
      <c r="K103" s="91">
        <v>0.39024874469544146</v>
      </c>
      <c r="L103" s="91"/>
      <c r="M103" s="92">
        <v>1.6266427346299198E-2</v>
      </c>
      <c r="N103" s="93">
        <v>1</v>
      </c>
      <c r="O103" s="63">
        <f t="shared" si="3"/>
        <v>413.91378071631374</v>
      </c>
      <c r="P103" s="63">
        <f t="shared" si="4"/>
        <v>954.30073561383585</v>
      </c>
      <c r="Q103" s="91">
        <f t="shared" si="5"/>
        <v>0.45014185642162069</v>
      </c>
      <c r="R103" s="91"/>
      <c r="S103" s="94"/>
      <c r="V103" s="80">
        <v>3</v>
      </c>
      <c r="W103" s="80">
        <v>1</v>
      </c>
      <c r="X103" s="80">
        <v>0</v>
      </c>
      <c r="Y103" s="80">
        <v>1</v>
      </c>
      <c r="Z103" s="80">
        <v>0</v>
      </c>
    </row>
    <row r="104" spans="1:26" x14ac:dyDescent="0.25">
      <c r="A104" t="s">
        <v>3522</v>
      </c>
      <c r="B104" t="s">
        <v>210</v>
      </c>
      <c r="C104" t="s">
        <v>3524</v>
      </c>
      <c r="D104" s="80">
        <v>4</v>
      </c>
      <c r="F104" s="63">
        <v>103</v>
      </c>
      <c r="G104" s="89">
        <v>3</v>
      </c>
      <c r="H104" s="63">
        <v>271.21093280606135</v>
      </c>
      <c r="I104" s="63">
        <v>1040</v>
      </c>
      <c r="J104" s="90">
        <v>2</v>
      </c>
      <c r="K104" s="91">
        <v>0.26077974308275131</v>
      </c>
      <c r="L104" s="91"/>
      <c r="M104" s="92">
        <v>8.9516229720812496E-2</v>
      </c>
      <c r="N104" s="93">
        <v>1</v>
      </c>
      <c r="O104" s="63">
        <f t="shared" si="3"/>
        <v>242.75839901074045</v>
      </c>
      <c r="P104" s="63">
        <f t="shared" si="4"/>
        <v>593.21718426913606</v>
      </c>
      <c r="Q104" s="91">
        <f t="shared" si="5"/>
        <v>0.57040113872032316</v>
      </c>
      <c r="R104" s="91"/>
      <c r="S104" s="94"/>
      <c r="V104" s="80">
        <v>3</v>
      </c>
      <c r="W104" s="80">
        <v>1</v>
      </c>
      <c r="X104" s="80">
        <v>0</v>
      </c>
      <c r="Y104" s="80">
        <v>1</v>
      </c>
      <c r="Z104" s="80">
        <v>0</v>
      </c>
    </row>
    <row r="105" spans="1:26" x14ac:dyDescent="0.25">
      <c r="A105" t="s">
        <v>3522</v>
      </c>
      <c r="B105" t="s">
        <v>2494</v>
      </c>
      <c r="C105" t="s">
        <v>3525</v>
      </c>
      <c r="D105" s="80">
        <v>3</v>
      </c>
      <c r="F105" s="63">
        <v>42.943339999999999</v>
      </c>
      <c r="G105" s="89">
        <v>1</v>
      </c>
      <c r="H105" s="63">
        <v>119.50527446831055</v>
      </c>
      <c r="I105" s="63">
        <v>1140</v>
      </c>
      <c r="J105" s="90">
        <v>2</v>
      </c>
      <c r="K105" s="91">
        <v>0.10482918813009696</v>
      </c>
      <c r="L105" s="91"/>
      <c r="M105" s="92">
        <v>0.11105707615704499</v>
      </c>
      <c r="N105" s="93">
        <v>1</v>
      </c>
      <c r="O105" s="63">
        <f t="shared" si="3"/>
        <v>123.10041476823017</v>
      </c>
      <c r="P105" s="63">
        <f t="shared" si="4"/>
        <v>319.71834376245874</v>
      </c>
      <c r="Q105" s="91">
        <f t="shared" si="5"/>
        <v>0.28045468751092872</v>
      </c>
      <c r="R105" s="91"/>
      <c r="S105" s="94"/>
      <c r="V105" s="80">
        <v>3</v>
      </c>
      <c r="W105" s="80">
        <v>1</v>
      </c>
      <c r="X105" s="80">
        <v>0</v>
      </c>
      <c r="Y105" s="80">
        <v>0</v>
      </c>
      <c r="Z105" s="80">
        <v>0</v>
      </c>
    </row>
    <row r="106" spans="1:26" x14ac:dyDescent="0.25">
      <c r="A106" t="s">
        <v>3522</v>
      </c>
      <c r="B106" t="s">
        <v>248</v>
      </c>
      <c r="C106" t="s">
        <v>3526</v>
      </c>
      <c r="D106" s="80">
        <v>3</v>
      </c>
      <c r="F106" s="63">
        <v>578.95362999999998</v>
      </c>
      <c r="G106" s="89">
        <v>1</v>
      </c>
      <c r="H106" s="63">
        <v>1280.6942759332519</v>
      </c>
      <c r="I106" s="63">
        <v>1760</v>
      </c>
      <c r="J106" s="90">
        <v>2</v>
      </c>
      <c r="K106" s="91">
        <v>0.72766720223480219</v>
      </c>
      <c r="L106" s="91"/>
      <c r="M106" s="92">
        <v>2.88938140999382E-2</v>
      </c>
      <c r="N106" s="93">
        <v>1</v>
      </c>
      <c r="O106" s="63">
        <f t="shared" si="3"/>
        <v>769.7493715236219</v>
      </c>
      <c r="P106" s="63">
        <f t="shared" si="4"/>
        <v>1639.2415727108701</v>
      </c>
      <c r="Q106" s="91">
        <f t="shared" si="5"/>
        <v>0.93138725722208526</v>
      </c>
      <c r="R106" s="91"/>
      <c r="S106" s="94"/>
      <c r="V106" s="80">
        <v>3</v>
      </c>
      <c r="W106" s="80">
        <v>1</v>
      </c>
      <c r="X106" s="80">
        <v>0</v>
      </c>
      <c r="Y106" s="80">
        <v>0</v>
      </c>
      <c r="Z106" s="80">
        <v>0</v>
      </c>
    </row>
    <row r="107" spans="1:26" x14ac:dyDescent="0.25">
      <c r="A107" t="s">
        <v>3522</v>
      </c>
      <c r="B107" t="s">
        <v>398</v>
      </c>
      <c r="C107" t="s">
        <v>3527</v>
      </c>
      <c r="D107" s="80">
        <v>3</v>
      </c>
      <c r="F107" s="63">
        <v>258.71035000000001</v>
      </c>
      <c r="G107" s="89">
        <v>1</v>
      </c>
      <c r="H107" s="63">
        <v>628.13336088448523</v>
      </c>
      <c r="I107" s="63">
        <v>870</v>
      </c>
      <c r="J107" s="90">
        <v>2</v>
      </c>
      <c r="K107" s="91">
        <v>0.72199236883274165</v>
      </c>
      <c r="L107" s="91"/>
      <c r="M107" s="92">
        <v>7.8026567624105104E-3</v>
      </c>
      <c r="N107" s="93">
        <v>1</v>
      </c>
      <c r="O107" s="63">
        <f t="shared" si="3"/>
        <v>279.62036131746316</v>
      </c>
      <c r="P107" s="63">
        <f t="shared" si="4"/>
        <v>673.45487035020381</v>
      </c>
      <c r="Q107" s="91">
        <f t="shared" si="5"/>
        <v>0.77408605787379747</v>
      </c>
      <c r="R107" s="91"/>
      <c r="S107" s="94"/>
      <c r="V107" s="80">
        <v>3</v>
      </c>
      <c r="W107" s="80">
        <v>1</v>
      </c>
      <c r="X107" s="80">
        <v>0</v>
      </c>
      <c r="Y107" s="80">
        <v>1</v>
      </c>
      <c r="Z107" s="80">
        <v>0</v>
      </c>
    </row>
    <row r="108" spans="1:26" x14ac:dyDescent="0.25">
      <c r="A108" t="s">
        <v>3522</v>
      </c>
      <c r="B108" t="s">
        <v>578</v>
      </c>
      <c r="C108" t="s">
        <v>3528</v>
      </c>
      <c r="D108" s="80">
        <v>3</v>
      </c>
      <c r="F108" s="63">
        <v>446.48687999999999</v>
      </c>
      <c r="G108" s="89">
        <v>1</v>
      </c>
      <c r="H108" s="63">
        <v>1020.1581408410841</v>
      </c>
      <c r="I108" s="63">
        <v>1890</v>
      </c>
      <c r="J108" s="90">
        <v>2</v>
      </c>
      <c r="K108" s="91">
        <v>0.53976621208522968</v>
      </c>
      <c r="L108" s="91"/>
      <c r="M108" s="92">
        <v>6.8333416068326103E-2</v>
      </c>
      <c r="N108" s="93">
        <v>1</v>
      </c>
      <c r="O108" s="63">
        <f t="shared" si="3"/>
        <v>864.72263926268306</v>
      </c>
      <c r="P108" s="63">
        <f t="shared" si="4"/>
        <v>1811.7811846015202</v>
      </c>
      <c r="Q108" s="91">
        <f t="shared" si="5"/>
        <v>0.95861438338704774</v>
      </c>
      <c r="R108" s="91"/>
      <c r="S108" s="95" t="s">
        <v>3435</v>
      </c>
      <c r="V108" s="80">
        <v>3</v>
      </c>
      <c r="W108" s="80">
        <v>1</v>
      </c>
      <c r="X108" s="80">
        <v>0</v>
      </c>
      <c r="Y108" s="80">
        <v>1</v>
      </c>
      <c r="Z108" s="80">
        <v>0</v>
      </c>
    </row>
    <row r="109" spans="1:26" x14ac:dyDescent="0.25">
      <c r="A109" t="s">
        <v>3522</v>
      </c>
      <c r="B109" t="s">
        <v>24</v>
      </c>
      <c r="C109" t="s">
        <v>3529</v>
      </c>
      <c r="D109" s="80">
        <v>4</v>
      </c>
      <c r="F109" s="63">
        <v>166.464</v>
      </c>
      <c r="G109" s="89">
        <v>4</v>
      </c>
      <c r="H109" s="63">
        <v>421.5236247008562</v>
      </c>
      <c r="I109" s="63">
        <v>1200</v>
      </c>
      <c r="J109" s="90">
        <v>2</v>
      </c>
      <c r="K109" s="91">
        <v>0.3512696872507135</v>
      </c>
      <c r="L109" s="91"/>
      <c r="M109" s="92">
        <v>0.05</v>
      </c>
      <c r="N109" s="93">
        <v>2</v>
      </c>
      <c r="O109" s="63">
        <f t="shared" si="3"/>
        <v>271.15231515188003</v>
      </c>
      <c r="P109" s="63">
        <f t="shared" si="4"/>
        <v>655.1599633316182</v>
      </c>
      <c r="Q109" s="91">
        <f t="shared" si="5"/>
        <v>0.54596663610968188</v>
      </c>
      <c r="R109" s="91"/>
      <c r="S109" s="94"/>
      <c r="V109" s="80">
        <v>3</v>
      </c>
      <c r="W109" s="80">
        <v>1</v>
      </c>
      <c r="X109" s="80">
        <v>1</v>
      </c>
      <c r="Y109" s="80">
        <v>1</v>
      </c>
      <c r="Z109" s="80">
        <v>1</v>
      </c>
    </row>
    <row r="110" spans="1:26" x14ac:dyDescent="0.25">
      <c r="A110" t="s">
        <v>3522</v>
      </c>
      <c r="B110" t="s">
        <v>869</v>
      </c>
      <c r="C110" t="s">
        <v>3530</v>
      </c>
      <c r="D110" s="80">
        <v>4</v>
      </c>
      <c r="F110" s="63">
        <v>278.46985000000001</v>
      </c>
      <c r="G110" s="89">
        <v>1</v>
      </c>
      <c r="H110" s="63">
        <v>670.97386314123332</v>
      </c>
      <c r="I110" s="63">
        <v>1100</v>
      </c>
      <c r="J110" s="90">
        <v>2</v>
      </c>
      <c r="K110" s="91">
        <v>0.609976239219303</v>
      </c>
      <c r="L110" s="91"/>
      <c r="M110" s="92">
        <v>2.9320966314999998E-4</v>
      </c>
      <c r="N110" s="93">
        <v>1</v>
      </c>
      <c r="O110" s="63">
        <f t="shared" si="3"/>
        <v>279.28742867822166</v>
      </c>
      <c r="P110" s="63">
        <f t="shared" si="4"/>
        <v>672.73706993620453</v>
      </c>
      <c r="Q110" s="91">
        <f t="shared" si="5"/>
        <v>0.6115791544874587</v>
      </c>
      <c r="R110" s="91"/>
      <c r="S110" s="94"/>
      <c r="V110" s="80">
        <v>2</v>
      </c>
      <c r="W110" s="80">
        <v>1</v>
      </c>
      <c r="X110" s="80">
        <v>0</v>
      </c>
      <c r="Y110" s="80">
        <v>1</v>
      </c>
      <c r="Z110" s="80">
        <v>0</v>
      </c>
    </row>
    <row r="111" spans="1:26" x14ac:dyDescent="0.25">
      <c r="A111" t="s">
        <v>3522</v>
      </c>
      <c r="B111" t="s">
        <v>1137</v>
      </c>
      <c r="C111" t="s">
        <v>3531</v>
      </c>
      <c r="D111" s="80">
        <v>3</v>
      </c>
      <c r="F111" s="63">
        <v>328.64335999999997</v>
      </c>
      <c r="G111" s="89">
        <v>1</v>
      </c>
      <c r="H111" s="63">
        <v>777.89339142090125</v>
      </c>
      <c r="I111" s="63">
        <v>1500</v>
      </c>
      <c r="J111" s="90">
        <v>2</v>
      </c>
      <c r="K111" s="91">
        <f>H111/I111</f>
        <v>0.51859559428060087</v>
      </c>
      <c r="L111" s="91"/>
      <c r="M111" s="92">
        <v>0.03</v>
      </c>
      <c r="N111" s="93">
        <v>2</v>
      </c>
      <c r="O111" s="63">
        <f t="shared" si="3"/>
        <v>441.66919446668675</v>
      </c>
      <c r="P111" s="63">
        <f t="shared" si="4"/>
        <v>1010.4663873387981</v>
      </c>
      <c r="Q111" s="91">
        <f t="shared" si="5"/>
        <v>0.67364425822586538</v>
      </c>
      <c r="R111" s="91"/>
      <c r="S111" s="94"/>
      <c r="V111" s="80">
        <v>3</v>
      </c>
      <c r="W111" s="80">
        <v>1</v>
      </c>
      <c r="X111" s="80">
        <v>0</v>
      </c>
      <c r="Y111" s="80">
        <v>1</v>
      </c>
      <c r="Z111" s="80">
        <v>0</v>
      </c>
    </row>
    <row r="112" spans="1:26" x14ac:dyDescent="0.25">
      <c r="A112" t="s">
        <v>3522</v>
      </c>
      <c r="B112" t="s">
        <v>14</v>
      </c>
      <c r="C112" t="s">
        <v>3532</v>
      </c>
      <c r="D112" s="80">
        <v>4</v>
      </c>
      <c r="F112" s="63">
        <v>2714.5384836302601</v>
      </c>
      <c r="G112" s="89">
        <v>4</v>
      </c>
      <c r="H112" s="63">
        <v>4750.5677268784912</v>
      </c>
      <c r="I112" s="63">
        <v>9370</v>
      </c>
      <c r="J112" s="90">
        <v>2</v>
      </c>
      <c r="K112" s="91">
        <v>0.50699762293260309</v>
      </c>
      <c r="L112" s="91"/>
      <c r="M112" s="92">
        <v>3.8639879883316401E-2</v>
      </c>
      <c r="N112" s="93">
        <v>1</v>
      </c>
      <c r="O112" s="63">
        <f t="shared" si="3"/>
        <v>3965.9381921313734</v>
      </c>
      <c r="P112" s="63">
        <f t="shared" si="4"/>
        <v>6498.4764609855829</v>
      </c>
      <c r="Q112" s="91">
        <f t="shared" si="5"/>
        <v>0.69354071088426716</v>
      </c>
      <c r="R112" s="91"/>
      <c r="S112" s="94"/>
      <c r="V112" s="80">
        <v>4</v>
      </c>
      <c r="W112" s="80">
        <v>2</v>
      </c>
      <c r="X112" s="80">
        <v>1</v>
      </c>
      <c r="Y112" s="80">
        <v>1</v>
      </c>
      <c r="Z112" s="80">
        <v>1</v>
      </c>
    </row>
    <row r="113" spans="1:27" x14ac:dyDescent="0.25">
      <c r="A113" t="s">
        <v>3522</v>
      </c>
      <c r="B113" t="s">
        <v>1594</v>
      </c>
      <c r="C113" t="s">
        <v>3533</v>
      </c>
      <c r="D113" s="80">
        <v>3</v>
      </c>
      <c r="F113" s="63">
        <v>313.18831</v>
      </c>
      <c r="G113" s="89">
        <v>1</v>
      </c>
      <c r="H113" s="63">
        <v>745.22809632419956</v>
      </c>
      <c r="I113" s="63">
        <v>1370</v>
      </c>
      <c r="J113" s="90">
        <v>2</v>
      </c>
      <c r="K113" s="91">
        <v>0.54396211410525519</v>
      </c>
      <c r="L113" s="91"/>
      <c r="M113" s="92">
        <v>6.0960454917370101E-2</v>
      </c>
      <c r="N113" s="93">
        <v>1</v>
      </c>
      <c r="O113" s="63">
        <f t="shared" si="3"/>
        <v>565.9753427453121</v>
      </c>
      <c r="P113" s="63">
        <f t="shared" si="4"/>
        <v>1255.6372210027166</v>
      </c>
      <c r="Q113" s="91">
        <f t="shared" si="5"/>
        <v>0.91652351898008511</v>
      </c>
      <c r="R113" s="91"/>
      <c r="S113" s="94"/>
      <c r="V113" s="80">
        <v>3</v>
      </c>
      <c r="W113" s="80">
        <v>1</v>
      </c>
      <c r="X113" s="80">
        <v>0</v>
      </c>
      <c r="Y113" s="80">
        <v>1</v>
      </c>
      <c r="Z113" s="80">
        <v>0</v>
      </c>
    </row>
    <row r="114" spans="1:27" x14ac:dyDescent="0.25">
      <c r="A114" t="s">
        <v>3522</v>
      </c>
      <c r="B114" t="s">
        <v>2101</v>
      </c>
      <c r="C114" t="s">
        <v>3534</v>
      </c>
      <c r="D114" s="80">
        <v>3</v>
      </c>
      <c r="F114" s="63">
        <v>227.75339</v>
      </c>
      <c r="G114" s="89">
        <v>1</v>
      </c>
      <c r="H114" s="63">
        <v>560.08779012113837</v>
      </c>
      <c r="I114" s="63">
        <v>2400</v>
      </c>
      <c r="J114" s="90">
        <v>2</v>
      </c>
      <c r="K114" s="91">
        <v>0.23336991255047432</v>
      </c>
      <c r="L114" s="91"/>
      <c r="M114" s="92">
        <v>6.5410531177037597E-3</v>
      </c>
      <c r="N114" s="93">
        <v>1</v>
      </c>
      <c r="O114" s="63">
        <f t="shared" si="3"/>
        <v>243.09710033643697</v>
      </c>
      <c r="P114" s="63">
        <f t="shared" si="4"/>
        <v>593.96174121727393</v>
      </c>
      <c r="Q114" s="91">
        <f t="shared" si="5"/>
        <v>0.24748405884053079</v>
      </c>
      <c r="R114" s="91"/>
      <c r="S114" s="94"/>
      <c r="V114" s="80">
        <v>3</v>
      </c>
      <c r="W114" s="80">
        <v>1</v>
      </c>
      <c r="X114" s="80">
        <v>0</v>
      </c>
      <c r="Y114" s="80">
        <v>1</v>
      </c>
      <c r="Z114" s="80">
        <v>0</v>
      </c>
    </row>
    <row r="115" spans="1:27" x14ac:dyDescent="0.25">
      <c r="A115" t="s">
        <v>3535</v>
      </c>
      <c r="B115" t="s">
        <v>2235</v>
      </c>
      <c r="C115" t="s">
        <v>3536</v>
      </c>
      <c r="D115" s="80">
        <v>3</v>
      </c>
      <c r="F115" s="63">
        <v>404.22679433188</v>
      </c>
      <c r="G115" s="89">
        <v>2</v>
      </c>
      <c r="H115" s="63">
        <v>934.56166332448629</v>
      </c>
      <c r="I115" s="63">
        <v>700</v>
      </c>
      <c r="J115" s="90">
        <v>2</v>
      </c>
      <c r="K115" s="91">
        <v>1.3350880904635518</v>
      </c>
      <c r="L115" s="91"/>
      <c r="M115" s="92">
        <v>1.2419979664297301E-2</v>
      </c>
      <c r="N115" s="93">
        <v>1</v>
      </c>
      <c r="O115" s="63">
        <f t="shared" si="3"/>
        <v>457.33260955439022</v>
      </c>
      <c r="P115" s="63">
        <f t="shared" si="4"/>
        <v>1041.9164198570031</v>
      </c>
      <c r="Q115" s="91">
        <f t="shared" si="5"/>
        <v>1.4884520283671474</v>
      </c>
      <c r="R115" s="91"/>
      <c r="S115" s="94" t="s">
        <v>3537</v>
      </c>
      <c r="T115" s="80">
        <v>2025</v>
      </c>
      <c r="V115" s="80">
        <v>3</v>
      </c>
      <c r="W115" s="80">
        <v>2</v>
      </c>
      <c r="X115" s="80">
        <v>0</v>
      </c>
      <c r="Y115" s="80">
        <v>0</v>
      </c>
      <c r="Z115" s="80">
        <v>0</v>
      </c>
    </row>
    <row r="116" spans="1:27" x14ac:dyDescent="0.25">
      <c r="A116" t="s">
        <v>3535</v>
      </c>
      <c r="B116" t="s">
        <v>1399</v>
      </c>
      <c r="C116" t="s">
        <v>3538</v>
      </c>
      <c r="D116" s="80">
        <v>3</v>
      </c>
      <c r="F116" s="63">
        <v>263.26753000000002</v>
      </c>
      <c r="G116" s="89">
        <v>1</v>
      </c>
      <c r="H116" s="63">
        <v>638.05308011541376</v>
      </c>
      <c r="I116" s="63">
        <v>720</v>
      </c>
      <c r="J116" s="90">
        <v>2</v>
      </c>
      <c r="K116" s="91">
        <v>0.8861848334936302</v>
      </c>
      <c r="L116" s="91"/>
      <c r="M116" s="92">
        <v>7.8453022611527593E-3</v>
      </c>
      <c r="N116" s="93">
        <v>1</v>
      </c>
      <c r="O116" s="63">
        <f t="shared" si="3"/>
        <v>284.66630038465524</v>
      </c>
      <c r="P116" s="63">
        <f t="shared" si="4"/>
        <v>684.31917400659245</v>
      </c>
      <c r="Q116" s="91">
        <f t="shared" si="5"/>
        <v>0.95044329723137844</v>
      </c>
      <c r="R116" s="91"/>
      <c r="S116" s="94" t="s">
        <v>3539</v>
      </c>
      <c r="T116" s="80">
        <v>2026</v>
      </c>
      <c r="V116" s="80">
        <v>2</v>
      </c>
      <c r="W116" s="80">
        <v>1</v>
      </c>
      <c r="X116" s="80">
        <v>0</v>
      </c>
      <c r="Y116" s="80">
        <v>1</v>
      </c>
      <c r="Z116" s="80">
        <v>0</v>
      </c>
    </row>
    <row r="117" spans="1:27" x14ac:dyDescent="0.25">
      <c r="A117" t="s">
        <v>3535</v>
      </c>
      <c r="B117" t="s">
        <v>1714</v>
      </c>
      <c r="C117" t="s">
        <v>3540</v>
      </c>
      <c r="D117" s="80">
        <v>3</v>
      </c>
      <c r="F117" s="63">
        <v>279.71996000000001</v>
      </c>
      <c r="G117" s="89">
        <v>1</v>
      </c>
      <c r="H117" s="63">
        <v>673.66958094339543</v>
      </c>
      <c r="I117" s="63">
        <v>680</v>
      </c>
      <c r="J117" s="90">
        <v>2</v>
      </c>
      <c r="K117" s="91">
        <v>0.99069056021087565</v>
      </c>
      <c r="L117" s="91"/>
      <c r="M117" s="92">
        <v>1.6116443979101E-3</v>
      </c>
      <c r="N117" s="93">
        <v>1</v>
      </c>
      <c r="O117" s="63">
        <f t="shared" si="3"/>
        <v>284.26088645259966</v>
      </c>
      <c r="P117" s="63">
        <f t="shared" si="4"/>
        <v>683.44729996021863</v>
      </c>
      <c r="Q117" s="91">
        <f t="shared" si="5"/>
        <v>1.0050695587650273</v>
      </c>
      <c r="R117" s="91"/>
      <c r="S117" s="94" t="s">
        <v>3541</v>
      </c>
      <c r="T117" s="80">
        <v>2026</v>
      </c>
      <c r="V117" s="80">
        <v>2</v>
      </c>
      <c r="W117" s="80">
        <v>1</v>
      </c>
      <c r="X117" s="80">
        <v>0</v>
      </c>
      <c r="Y117" s="80">
        <v>1</v>
      </c>
      <c r="Z117" s="80">
        <v>0</v>
      </c>
    </row>
    <row r="118" spans="1:27" x14ac:dyDescent="0.25">
      <c r="A118" t="s">
        <v>3535</v>
      </c>
      <c r="B118" t="s">
        <v>452</v>
      </c>
      <c r="C118" t="s">
        <v>3542</v>
      </c>
      <c r="D118" s="80">
        <v>3</v>
      </c>
      <c r="F118" s="63">
        <v>351.03762</v>
      </c>
      <c r="G118" s="89">
        <v>1</v>
      </c>
      <c r="H118" s="63">
        <v>824.82792761642463</v>
      </c>
      <c r="I118" s="63">
        <v>900</v>
      </c>
      <c r="J118" s="90">
        <v>2</v>
      </c>
      <c r="K118" s="91">
        <v>0.91647547512936067</v>
      </c>
      <c r="L118" s="91"/>
      <c r="M118" s="92">
        <v>2.2404044762272802E-2</v>
      </c>
      <c r="N118" s="93">
        <v>1</v>
      </c>
      <c r="O118" s="63">
        <f t="shared" si="3"/>
        <v>438.10605027694379</v>
      </c>
      <c r="P118" s="63">
        <f t="shared" si="4"/>
        <v>1003.2876883334507</v>
      </c>
      <c r="Q118" s="91">
        <f t="shared" si="5"/>
        <v>1.1147640981482785</v>
      </c>
      <c r="R118" s="91"/>
      <c r="S118" s="94" t="s">
        <v>3543</v>
      </c>
      <c r="T118" s="80">
        <v>2028</v>
      </c>
      <c r="V118" s="80">
        <v>2</v>
      </c>
      <c r="W118" s="80">
        <v>1</v>
      </c>
      <c r="X118" s="80">
        <v>0</v>
      </c>
      <c r="Y118" s="80">
        <v>1</v>
      </c>
      <c r="Z118" s="80">
        <v>0</v>
      </c>
    </row>
    <row r="119" spans="1:27" x14ac:dyDescent="0.25">
      <c r="A119" t="s">
        <v>3544</v>
      </c>
      <c r="B119" t="s">
        <v>72</v>
      </c>
      <c r="C119" t="s">
        <v>3545</v>
      </c>
      <c r="D119" s="80">
        <v>4</v>
      </c>
      <c r="F119" s="63">
        <v>3940.17598</v>
      </c>
      <c r="G119" s="89">
        <v>1</v>
      </c>
      <c r="H119" s="63">
        <v>6463.6791126043445</v>
      </c>
      <c r="I119" s="63">
        <v>15000</v>
      </c>
      <c r="J119" s="90">
        <v>2</v>
      </c>
      <c r="K119" s="91">
        <v>0.43091194084028961</v>
      </c>
      <c r="L119" s="91"/>
      <c r="M119" s="92">
        <v>2.8747152222492699E-2</v>
      </c>
      <c r="N119" s="93">
        <v>1</v>
      </c>
      <c r="O119" s="63">
        <f t="shared" si="3"/>
        <v>5231.2090926459932</v>
      </c>
      <c r="P119" s="63">
        <f t="shared" si="4"/>
        <v>8160.5408163743259</v>
      </c>
      <c r="Q119" s="91">
        <f t="shared" si="5"/>
        <v>0.54403605442495506</v>
      </c>
      <c r="R119" s="91"/>
      <c r="S119" s="94" t="s">
        <v>3546</v>
      </c>
      <c r="T119" s="80">
        <v>2024</v>
      </c>
      <c r="V119" s="80">
        <v>4</v>
      </c>
      <c r="W119" s="80">
        <v>2</v>
      </c>
      <c r="X119" s="80">
        <v>1</v>
      </c>
      <c r="Y119" s="80">
        <v>0</v>
      </c>
      <c r="Z119" s="80">
        <v>0</v>
      </c>
    </row>
    <row r="120" spans="1:27" x14ac:dyDescent="0.25">
      <c r="A120" t="s">
        <v>3544</v>
      </c>
      <c r="B120" t="s">
        <v>2217</v>
      </c>
      <c r="C120" t="s">
        <v>3547</v>
      </c>
      <c r="D120" s="80">
        <v>4</v>
      </c>
      <c r="F120" s="63">
        <v>675.93882816540099</v>
      </c>
      <c r="G120" s="89">
        <v>2</v>
      </c>
      <c r="H120" s="63">
        <v>1465.1208478254828</v>
      </c>
      <c r="I120" s="63">
        <v>2800</v>
      </c>
      <c r="J120" s="90">
        <v>2</v>
      </c>
      <c r="K120" s="91">
        <v>0.52325744565195809</v>
      </c>
      <c r="L120" s="91"/>
      <c r="M120" s="92">
        <v>7.0950371576800194E-3</v>
      </c>
      <c r="N120" s="93">
        <v>1</v>
      </c>
      <c r="O120" s="63">
        <f t="shared" si="3"/>
        <v>725.45746285847179</v>
      </c>
      <c r="P120" s="63">
        <f t="shared" si="4"/>
        <v>1557.5182347043767</v>
      </c>
      <c r="Q120" s="91">
        <f t="shared" si="5"/>
        <v>0.5562565123944202</v>
      </c>
      <c r="R120" s="91"/>
      <c r="S120" s="94" t="s">
        <v>3548</v>
      </c>
      <c r="T120" s="80">
        <v>2024</v>
      </c>
      <c r="V120" s="80">
        <v>3</v>
      </c>
      <c r="W120" s="80">
        <v>1</v>
      </c>
      <c r="X120" s="80">
        <v>1</v>
      </c>
      <c r="Y120" s="80">
        <v>1</v>
      </c>
      <c r="Z120" s="80">
        <v>0</v>
      </c>
    </row>
    <row r="121" spans="1:27" x14ac:dyDescent="0.25">
      <c r="A121" t="s">
        <v>3544</v>
      </c>
      <c r="B121" t="s">
        <v>2387</v>
      </c>
      <c r="C121" t="s">
        <v>3549</v>
      </c>
      <c r="D121" s="80">
        <v>4</v>
      </c>
      <c r="F121" s="63">
        <v>1002.5804000000001</v>
      </c>
      <c r="G121" s="89">
        <v>1</v>
      </c>
      <c r="H121" s="63">
        <v>2056.3852290514087</v>
      </c>
      <c r="I121" s="63">
        <v>2360</v>
      </c>
      <c r="J121" s="90">
        <v>2</v>
      </c>
      <c r="K121" s="91">
        <v>0.87134967332686808</v>
      </c>
      <c r="L121" s="91"/>
      <c r="M121" s="92">
        <v>2.0001467151657001E-2</v>
      </c>
      <c r="N121" s="93">
        <v>1</v>
      </c>
      <c r="O121" s="63">
        <f t="shared" si="3"/>
        <v>1222.1574923745914</v>
      </c>
      <c r="P121" s="63">
        <f t="shared" si="4"/>
        <v>2433.8574508662141</v>
      </c>
      <c r="Q121" s="91">
        <f t="shared" si="5"/>
        <v>1.0312955300280569</v>
      </c>
      <c r="R121" s="91"/>
      <c r="S121" s="94" t="s">
        <v>3550</v>
      </c>
      <c r="T121" s="80">
        <v>2024</v>
      </c>
      <c r="V121" s="80">
        <v>3</v>
      </c>
      <c r="W121" s="80">
        <v>1</v>
      </c>
      <c r="X121" s="80">
        <v>1</v>
      </c>
      <c r="Y121" s="80">
        <v>0</v>
      </c>
      <c r="Z121" s="80">
        <v>0</v>
      </c>
    </row>
    <row r="122" spans="1:27" x14ac:dyDescent="0.25">
      <c r="A122" t="s">
        <v>3544</v>
      </c>
      <c r="B122" t="s">
        <v>340</v>
      </c>
      <c r="C122" t="s">
        <v>3551</v>
      </c>
      <c r="D122" s="80">
        <v>3</v>
      </c>
      <c r="F122" s="63">
        <v>906.66407000000004</v>
      </c>
      <c r="G122" s="89">
        <v>1</v>
      </c>
      <c r="H122" s="63">
        <v>1886.8922777916675</v>
      </c>
      <c r="I122" s="63">
        <v>1650</v>
      </c>
      <c r="J122" s="90">
        <v>2</v>
      </c>
      <c r="K122" s="91">
        <v>1.1435710774494954</v>
      </c>
      <c r="L122" s="91"/>
      <c r="M122" s="92">
        <v>1.0291571059879202E-2</v>
      </c>
      <c r="N122" s="93">
        <v>1</v>
      </c>
      <c r="O122" s="63">
        <f>(F122-400)*(1+M122)^10</f>
        <v>561.29012811468522</v>
      </c>
      <c r="P122" s="63">
        <f t="shared" si="4"/>
        <v>1246.5682142913449</v>
      </c>
      <c r="Q122" s="91">
        <f t="shared" si="5"/>
        <v>0.75549588744929996</v>
      </c>
      <c r="R122" s="91"/>
      <c r="S122" s="94" t="s">
        <v>3552</v>
      </c>
      <c r="T122" s="80">
        <v>2025</v>
      </c>
      <c r="V122" s="80">
        <v>3</v>
      </c>
      <c r="W122" s="80">
        <v>1</v>
      </c>
      <c r="X122" s="80">
        <v>0</v>
      </c>
      <c r="Y122" s="80">
        <v>1</v>
      </c>
      <c r="Z122" s="80">
        <v>0</v>
      </c>
      <c r="AA122" t="s">
        <v>3553</v>
      </c>
    </row>
    <row r="123" spans="1:27" x14ac:dyDescent="0.25">
      <c r="A123" t="s">
        <v>3544</v>
      </c>
      <c r="B123" t="s">
        <v>1634</v>
      </c>
      <c r="C123" t="s">
        <v>3554</v>
      </c>
      <c r="D123" s="80">
        <v>4</v>
      </c>
      <c r="F123" s="63">
        <v>275.01758999999998</v>
      </c>
      <c r="G123" s="89">
        <v>1</v>
      </c>
      <c r="H123" s="63">
        <v>663.52057147628091</v>
      </c>
      <c r="I123" s="63">
        <v>2730</v>
      </c>
      <c r="J123" s="90">
        <v>2</v>
      </c>
      <c r="K123" s="91">
        <v>0.24304782837959008</v>
      </c>
      <c r="L123" s="91"/>
      <c r="M123" s="92">
        <v>5.7131395242465501E-2</v>
      </c>
      <c r="N123" s="93">
        <v>1</v>
      </c>
      <c r="O123" s="63">
        <f t="shared" si="3"/>
        <v>479.34718493555209</v>
      </c>
      <c r="P123" s="63">
        <f t="shared" si="4"/>
        <v>1085.8318009172913</v>
      </c>
      <c r="Q123" s="91">
        <f t="shared" si="5"/>
        <v>0.39774058641659021</v>
      </c>
      <c r="R123" s="91"/>
      <c r="S123" s="94" t="s">
        <v>3555</v>
      </c>
      <c r="T123" s="80">
        <v>2028</v>
      </c>
      <c r="V123" s="80">
        <v>2</v>
      </c>
      <c r="W123" s="80">
        <v>1</v>
      </c>
      <c r="X123" s="80">
        <v>0</v>
      </c>
      <c r="Y123" s="80">
        <v>1</v>
      </c>
      <c r="Z123" s="80">
        <v>0</v>
      </c>
    </row>
    <row r="124" spans="1:27" x14ac:dyDescent="0.25">
      <c r="A124" t="s">
        <v>3544</v>
      </c>
      <c r="B124" t="s">
        <v>2564</v>
      </c>
      <c r="C124" t="s">
        <v>3556</v>
      </c>
      <c r="D124" s="80">
        <v>3</v>
      </c>
      <c r="F124" s="63">
        <v>300.15562</v>
      </c>
      <c r="G124" s="89">
        <v>1</v>
      </c>
      <c r="H124" s="63">
        <v>717.50021590200208</v>
      </c>
      <c r="I124" s="63">
        <v>1060</v>
      </c>
      <c r="J124" s="90">
        <v>2</v>
      </c>
      <c r="K124" s="91">
        <v>0.67688699613396419</v>
      </c>
      <c r="L124" s="91"/>
      <c r="M124" s="92">
        <v>1.35073021211265E-3</v>
      </c>
      <c r="N124" s="93">
        <v>1</v>
      </c>
      <c r="O124" s="63">
        <f t="shared" si="3"/>
        <v>304.23464476620296</v>
      </c>
      <c r="P124" s="63">
        <f t="shared" si="4"/>
        <v>726.19696766477341</v>
      </c>
      <c r="Q124" s="91">
        <f t="shared" si="5"/>
        <v>0.68509147892903155</v>
      </c>
      <c r="R124" s="91"/>
      <c r="S124" s="94"/>
      <c r="V124" s="80">
        <v>3</v>
      </c>
      <c r="W124" s="80">
        <v>1</v>
      </c>
      <c r="X124" s="80">
        <v>0</v>
      </c>
      <c r="Y124" s="80">
        <v>1</v>
      </c>
      <c r="Z124" s="80">
        <v>0</v>
      </c>
    </row>
    <row r="125" spans="1:27" x14ac:dyDescent="0.25">
      <c r="A125" t="s">
        <v>3544</v>
      </c>
      <c r="B125" t="s">
        <v>84</v>
      </c>
      <c r="C125" t="s">
        <v>3557</v>
      </c>
      <c r="D125" s="80">
        <v>3</v>
      </c>
      <c r="F125" s="63">
        <v>264.04188685144698</v>
      </c>
      <c r="G125" s="89">
        <v>2</v>
      </c>
      <c r="H125" s="63">
        <v>639.73626072299135</v>
      </c>
      <c r="I125" s="63">
        <v>800</v>
      </c>
      <c r="J125" s="90">
        <v>2</v>
      </c>
      <c r="K125" s="91">
        <v>0.79967032590373921</v>
      </c>
      <c r="L125" s="91"/>
      <c r="M125" s="92">
        <v>5.9923239844143503E-3</v>
      </c>
      <c r="N125" s="93">
        <v>1</v>
      </c>
      <c r="O125" s="63">
        <f t="shared" si="3"/>
        <v>280.29767599992283</v>
      </c>
      <c r="P125" s="63">
        <f t="shared" si="4"/>
        <v>674.91478358682957</v>
      </c>
      <c r="Q125" s="91">
        <f t="shared" si="5"/>
        <v>0.84364347948353702</v>
      </c>
      <c r="R125" s="91"/>
      <c r="S125" s="94"/>
      <c r="V125" s="80">
        <v>2</v>
      </c>
      <c r="W125" s="80">
        <v>2</v>
      </c>
      <c r="X125" s="80">
        <v>0</v>
      </c>
      <c r="Y125" s="80">
        <v>1</v>
      </c>
      <c r="Z125" s="80">
        <v>0</v>
      </c>
    </row>
    <row r="126" spans="1:27" x14ac:dyDescent="0.25">
      <c r="A126" t="s">
        <v>3544</v>
      </c>
      <c r="B126" t="s">
        <v>104</v>
      </c>
      <c r="C126" t="s">
        <v>3558</v>
      </c>
      <c r="D126" s="80">
        <v>4</v>
      </c>
      <c r="F126" s="63">
        <v>1799.3911974615701</v>
      </c>
      <c r="G126" s="89">
        <v>4</v>
      </c>
      <c r="H126" s="63">
        <v>3372.1499230951313</v>
      </c>
      <c r="I126" s="63">
        <v>6500</v>
      </c>
      <c r="J126" s="90">
        <v>2</v>
      </c>
      <c r="K126" s="91">
        <v>0.51879229586078945</v>
      </c>
      <c r="L126" s="91"/>
      <c r="M126" s="92">
        <v>4.1146795438278996E-2</v>
      </c>
      <c r="N126" s="93">
        <v>1</v>
      </c>
      <c r="O126" s="63">
        <f t="shared" si="3"/>
        <v>2693.0552227907101</v>
      </c>
      <c r="P126" s="63">
        <f t="shared" si="4"/>
        <v>4719.361591410363</v>
      </c>
      <c r="Q126" s="91">
        <f t="shared" si="5"/>
        <v>0.72605562944774815</v>
      </c>
      <c r="R126" s="91"/>
      <c r="S126" s="94"/>
      <c r="V126" s="80">
        <v>3</v>
      </c>
      <c r="W126" s="80">
        <v>2</v>
      </c>
      <c r="X126" s="80">
        <v>1</v>
      </c>
      <c r="Y126" s="80">
        <v>1</v>
      </c>
      <c r="Z126" s="80">
        <v>1</v>
      </c>
    </row>
    <row r="127" spans="1:27" x14ac:dyDescent="0.25">
      <c r="A127" t="s">
        <v>3544</v>
      </c>
      <c r="B127" t="s">
        <v>146</v>
      </c>
      <c r="C127" t="s">
        <v>3559</v>
      </c>
      <c r="D127" s="80">
        <v>4</v>
      </c>
      <c r="F127" s="63">
        <v>114</v>
      </c>
      <c r="G127" s="89">
        <v>3</v>
      </c>
      <c r="H127" s="63">
        <v>297.87172456706122</v>
      </c>
      <c r="I127" s="63">
        <v>800</v>
      </c>
      <c r="J127" s="90">
        <v>2</v>
      </c>
      <c r="K127" s="91">
        <v>0.37233965570882654</v>
      </c>
      <c r="L127" s="91"/>
      <c r="M127" s="92">
        <v>0.01</v>
      </c>
      <c r="N127" s="93">
        <v>2</v>
      </c>
      <c r="O127" s="63">
        <f t="shared" si="3"/>
        <v>125.92692229687734</v>
      </c>
      <c r="P127" s="63">
        <f t="shared" si="4"/>
        <v>326.46691926134281</v>
      </c>
      <c r="Q127" s="91">
        <f t="shared" si="5"/>
        <v>0.40808364907667849</v>
      </c>
      <c r="R127" s="91"/>
      <c r="S127" s="94"/>
      <c r="V127" s="80">
        <v>3</v>
      </c>
      <c r="W127" s="80">
        <v>1</v>
      </c>
      <c r="X127" s="80">
        <v>0</v>
      </c>
      <c r="Y127" s="80">
        <v>0</v>
      </c>
      <c r="Z127" s="80">
        <v>0</v>
      </c>
    </row>
    <row r="128" spans="1:27" x14ac:dyDescent="0.25">
      <c r="A128" t="s">
        <v>3544</v>
      </c>
      <c r="B128" t="s">
        <v>837</v>
      </c>
      <c r="C128" t="s">
        <v>3560</v>
      </c>
      <c r="D128" s="80">
        <v>4</v>
      </c>
      <c r="F128" s="63">
        <v>1710.8420799999999</v>
      </c>
      <c r="G128" s="89">
        <v>1</v>
      </c>
      <c r="H128" s="63">
        <v>3232.4199804323398</v>
      </c>
      <c r="I128" s="63">
        <v>4600</v>
      </c>
      <c r="J128" s="90">
        <v>2</v>
      </c>
      <c r="K128" s="91">
        <v>0.70269999574616082</v>
      </c>
      <c r="L128" s="91"/>
      <c r="M128" s="92">
        <v>3.8712010932464902E-2</v>
      </c>
      <c r="N128" s="93">
        <v>1</v>
      </c>
      <c r="O128" s="63">
        <f t="shared" si="3"/>
        <v>2501.2750950622062</v>
      </c>
      <c r="P128" s="63">
        <f t="shared" si="4"/>
        <v>4438.6085871405739</v>
      </c>
      <c r="Q128" s="91">
        <f t="shared" si="5"/>
        <v>0.96491491024795084</v>
      </c>
      <c r="R128" s="91"/>
      <c r="S128" s="95" t="s">
        <v>3435</v>
      </c>
      <c r="V128" s="80">
        <v>3</v>
      </c>
      <c r="W128" s="80">
        <v>2</v>
      </c>
      <c r="X128" s="80">
        <v>1</v>
      </c>
      <c r="Y128" s="80">
        <v>1</v>
      </c>
      <c r="Z128" s="80">
        <v>0</v>
      </c>
    </row>
    <row r="129" spans="1:26" x14ac:dyDescent="0.25">
      <c r="A129" t="s">
        <v>3544</v>
      </c>
      <c r="B129" t="s">
        <v>1247</v>
      </c>
      <c r="C129" t="s">
        <v>3561</v>
      </c>
      <c r="D129" s="80">
        <v>3</v>
      </c>
      <c r="F129" s="63">
        <v>1246.09149</v>
      </c>
      <c r="G129" s="89">
        <v>1</v>
      </c>
      <c r="H129" s="63">
        <v>2474.2091716653422</v>
      </c>
      <c r="I129" s="63">
        <v>4050</v>
      </c>
      <c r="J129" s="90">
        <v>2</v>
      </c>
      <c r="K129" s="91">
        <v>0.6109158448556401</v>
      </c>
      <c r="L129" s="91"/>
      <c r="M129" s="92">
        <v>4.9122787563600896E-2</v>
      </c>
      <c r="N129" s="93">
        <v>1</v>
      </c>
      <c r="O129" s="63">
        <f t="shared" si="3"/>
        <v>2012.8579753155448</v>
      </c>
      <c r="P129" s="63">
        <f t="shared" si="4"/>
        <v>3703.772068731219</v>
      </c>
      <c r="Q129" s="91">
        <f t="shared" si="5"/>
        <v>0.91451162190894297</v>
      </c>
      <c r="R129" s="91"/>
      <c r="S129" s="94"/>
      <c r="V129" s="80">
        <v>3</v>
      </c>
      <c r="W129" s="80">
        <v>2</v>
      </c>
      <c r="X129" s="80">
        <v>1</v>
      </c>
      <c r="Y129" s="80">
        <v>1</v>
      </c>
      <c r="Z129" s="80">
        <v>0</v>
      </c>
    </row>
    <row r="130" spans="1:26" x14ac:dyDescent="0.25">
      <c r="A130" t="s">
        <v>3544</v>
      </c>
      <c r="B130" t="s">
        <v>26</v>
      </c>
      <c r="C130" t="s">
        <v>3562</v>
      </c>
      <c r="D130" s="80">
        <v>4</v>
      </c>
      <c r="F130" s="63">
        <v>2297.9376000000002</v>
      </c>
      <c r="G130" s="89">
        <v>4</v>
      </c>
      <c r="H130" s="63">
        <v>4136.3711747521365</v>
      </c>
      <c r="I130" s="63">
        <v>5000</v>
      </c>
      <c r="J130" s="90">
        <v>2</v>
      </c>
      <c r="K130" s="91">
        <v>0.82727423495042729</v>
      </c>
      <c r="L130" s="91"/>
      <c r="M130" s="92">
        <v>2.12704515481709E-2</v>
      </c>
      <c r="N130" s="93">
        <v>4</v>
      </c>
      <c r="O130" s="63">
        <f t="shared" si="3"/>
        <v>2836.2590696958055</v>
      </c>
      <c r="P130" s="63">
        <f t="shared" si="4"/>
        <v>4926.4937497525671</v>
      </c>
      <c r="Q130" s="91">
        <f t="shared" si="5"/>
        <v>0.98529874995051336</v>
      </c>
      <c r="R130" s="91"/>
      <c r="S130" s="95" t="s">
        <v>3435</v>
      </c>
      <c r="V130" s="80">
        <v>4</v>
      </c>
      <c r="W130" s="80">
        <v>2</v>
      </c>
      <c r="X130" s="80">
        <v>1</v>
      </c>
      <c r="Y130" s="80">
        <v>1</v>
      </c>
      <c r="Z130" s="80">
        <v>1</v>
      </c>
    </row>
    <row r="131" spans="1:26" x14ac:dyDescent="0.25">
      <c r="A131" t="s">
        <v>3544</v>
      </c>
      <c r="B131" t="s">
        <v>2081</v>
      </c>
      <c r="C131" t="s">
        <v>3563</v>
      </c>
      <c r="D131" s="80">
        <v>4</v>
      </c>
      <c r="F131" s="63">
        <v>232.62317999999999</v>
      </c>
      <c r="G131" s="89">
        <v>1</v>
      </c>
      <c r="H131" s="63">
        <v>570.87108211818781</v>
      </c>
      <c r="I131" s="63">
        <v>2050</v>
      </c>
      <c r="J131" s="90">
        <v>2</v>
      </c>
      <c r="K131" s="91">
        <v>0.27847369859423798</v>
      </c>
      <c r="L131" s="91"/>
      <c r="M131" s="92">
        <v>1.4484853308827199E-2</v>
      </c>
      <c r="N131" s="93">
        <v>1</v>
      </c>
      <c r="O131" s="63">
        <f t="shared" si="3"/>
        <v>268.60164028678713</v>
      </c>
      <c r="P131" s="63">
        <f t="shared" si="4"/>
        <v>649.63369959269471</v>
      </c>
      <c r="Q131" s="91">
        <f t="shared" si="5"/>
        <v>0.31689448760619254</v>
      </c>
      <c r="R131" s="91"/>
      <c r="S131" s="94"/>
      <c r="V131" s="80">
        <v>3</v>
      </c>
      <c r="W131" s="80">
        <v>1</v>
      </c>
      <c r="X131" s="80">
        <v>0</v>
      </c>
      <c r="Y131" s="80">
        <v>0</v>
      </c>
      <c r="Z131" s="80">
        <v>0</v>
      </c>
    </row>
    <row r="132" spans="1:26" ht="17.25" thickBot="1" x14ac:dyDescent="0.3">
      <c r="A132" t="s">
        <v>3544</v>
      </c>
      <c r="B132" s="64" t="s">
        <v>2187</v>
      </c>
      <c r="C132" s="64" t="s">
        <v>3564</v>
      </c>
      <c r="D132" s="96">
        <v>3</v>
      </c>
      <c r="E132" s="64"/>
      <c r="F132" s="65">
        <v>424.53237999999999</v>
      </c>
      <c r="G132" s="97">
        <v>1</v>
      </c>
      <c r="H132" s="65">
        <v>975.85593846415577</v>
      </c>
      <c r="I132" s="65">
        <v>1490</v>
      </c>
      <c r="J132" s="98">
        <v>2</v>
      </c>
      <c r="K132" s="99">
        <v>0.6549368714524535</v>
      </c>
      <c r="L132" s="99"/>
      <c r="M132" s="100">
        <v>2.6102634315162297E-3</v>
      </c>
      <c r="N132" s="101">
        <v>1</v>
      </c>
      <c r="O132" s="65">
        <f t="shared" ref="O132:O164" si="6">F132*(1+M132)^10</f>
        <v>435.74486799461573</v>
      </c>
      <c r="P132" s="65">
        <f t="shared" ref="P132" si="7">(18+SQRT(O132/100))/(4+SQRT(O132/100))*O132*1000/1440</f>
        <v>998.52553728109751</v>
      </c>
      <c r="Q132" s="99">
        <f t="shared" ref="Q132" si="8">P132/I132</f>
        <v>0.67015136730275005</v>
      </c>
      <c r="R132" s="99"/>
      <c r="S132" s="102"/>
      <c r="T132" s="96"/>
      <c r="U132" s="103"/>
      <c r="V132" s="96">
        <v>3</v>
      </c>
      <c r="W132" s="80">
        <v>1</v>
      </c>
      <c r="X132" s="80">
        <v>0</v>
      </c>
      <c r="Y132" s="80">
        <v>1</v>
      </c>
      <c r="Z132" s="80">
        <v>0</v>
      </c>
    </row>
    <row r="133" spans="1:26" ht="12.75" customHeight="1" thickTop="1" x14ac:dyDescent="0.25">
      <c r="A133" s="104"/>
      <c r="B133" s="105" t="s">
        <v>3565</v>
      </c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spans="1:26" ht="12.75" customHeight="1" x14ac:dyDescent="0.25">
      <c r="B134" s="106" t="s">
        <v>3566</v>
      </c>
      <c r="K134" s="91"/>
      <c r="L134" s="91"/>
      <c r="Q134" s="91"/>
      <c r="R134" s="91"/>
      <c r="S134" s="94"/>
    </row>
    <row r="135" spans="1:26" ht="12.75" customHeight="1" x14ac:dyDescent="0.25">
      <c r="B135" s="106" t="s">
        <v>3567</v>
      </c>
      <c r="K135" s="91"/>
      <c r="L135" s="91"/>
      <c r="Q135" s="91"/>
      <c r="R135" s="91"/>
      <c r="S135" s="94"/>
    </row>
    <row r="136" spans="1:26" ht="12.75" customHeight="1" x14ac:dyDescent="0.25">
      <c r="B136" s="106" t="s">
        <v>3568</v>
      </c>
      <c r="K136" s="91"/>
      <c r="L136" s="91"/>
      <c r="Q136" s="91"/>
      <c r="R136" s="91"/>
      <c r="S136" s="94"/>
    </row>
    <row r="137" spans="1:26" ht="12.75" customHeight="1" x14ac:dyDescent="0.25">
      <c r="B137" s="106" t="s">
        <v>3569</v>
      </c>
      <c r="K137" s="91"/>
      <c r="L137" s="91"/>
      <c r="Q137" s="91"/>
      <c r="R137" s="91"/>
      <c r="S137" s="94"/>
    </row>
    <row r="138" spans="1:26" x14ac:dyDescent="0.25">
      <c r="K138" s="107"/>
      <c r="L138" s="107"/>
      <c r="R138" s="107"/>
      <c r="S138" s="108"/>
    </row>
    <row r="139" spans="1:26" x14ac:dyDescent="0.25">
      <c r="K139" s="107"/>
      <c r="L139" s="107"/>
      <c r="R139" s="107"/>
      <c r="S139" s="108"/>
    </row>
    <row r="140" spans="1:26" x14ac:dyDescent="0.25">
      <c r="K140" s="107"/>
      <c r="L140" s="107"/>
      <c r="R140" s="107"/>
      <c r="S140" s="108"/>
    </row>
    <row r="141" spans="1:26" x14ac:dyDescent="0.25">
      <c r="K141" s="107"/>
      <c r="L141" s="107"/>
      <c r="R141" s="107"/>
      <c r="S141" s="108"/>
    </row>
    <row r="142" spans="1:26" x14ac:dyDescent="0.25">
      <c r="K142" s="107"/>
      <c r="L142" s="107"/>
      <c r="R142" s="107"/>
      <c r="S142" s="108"/>
    </row>
    <row r="143" spans="1:26" x14ac:dyDescent="0.25">
      <c r="K143" s="107"/>
      <c r="L143" s="107"/>
      <c r="R143" s="107"/>
      <c r="S143" s="108"/>
    </row>
  </sheetData>
  <mergeCells count="5">
    <mergeCell ref="B1:C1"/>
    <mergeCell ref="F1:K1"/>
    <mergeCell ref="M1:Q1"/>
    <mergeCell ref="S1:T1"/>
    <mergeCell ref="V1:Z1"/>
  </mergeCells>
  <conditionalFormatting sqref="A4:Z132">
    <cfRule type="expression" dxfId="56" priority="1">
      <formula>MOD(ROW(),2)=1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24EC6355-5D5A-4B1B-B26B-6FB170689A79}">
            <x14:iconSet iconSet="5Quarters" showValue="0" custom="1">
              <x14:cfvo type="percent">
                <xm:f>0</xm:f>
              </x14:cfvo>
              <x14:cfvo type="num">
                <xm:f>0.25</xm:f>
              </x14:cfvo>
              <x14:cfvo type="num">
                <xm:f>0.5</xm:f>
              </x14:cfvo>
              <x14:cfvo type="num">
                <xm:f>0.75</xm:f>
              </x14:cfvo>
              <x14:cfvo type="num">
                <xm:f>1</xm:f>
              </x14:cfvo>
              <x14:cfIcon iconSet="5Quarters" iconId="0"/>
              <x14:cfIcon iconSet="4TrafficLights" iconId="0"/>
              <x14:cfIcon iconSet="4TrafficLights" iconId="0"/>
              <x14:cfIcon iconSet="4TrafficLights" iconId="0"/>
              <x14:cfIcon iconSet="4TrafficLights" iconId="0"/>
            </x14:iconSet>
          </x14:cfRule>
          <xm:sqref>W4:Z132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24E0-D8F9-44EE-9BC9-19BC8D4C505A}">
  <sheetPr>
    <tabColor rgb="FFFFFF00"/>
  </sheetPr>
  <dimension ref="A1:C1471"/>
  <sheetViews>
    <sheetView workbookViewId="0">
      <selection activeCell="I23" sqref="I23"/>
    </sheetView>
  </sheetViews>
  <sheetFormatPr defaultRowHeight="15" x14ac:dyDescent="0.25"/>
  <sheetData>
    <row r="1" spans="1:3" x14ac:dyDescent="0.25">
      <c r="A1" t="s">
        <v>3377</v>
      </c>
      <c r="B1" t="s">
        <v>3378</v>
      </c>
      <c r="C1" t="s">
        <v>3379</v>
      </c>
    </row>
    <row r="2" spans="1:3" x14ac:dyDescent="0.25">
      <c r="A2" t="s">
        <v>488</v>
      </c>
      <c r="B2">
        <v>131.29719019494701</v>
      </c>
      <c r="C2">
        <v>252.090198014827</v>
      </c>
    </row>
    <row r="3" spans="1:3" x14ac:dyDescent="0.25">
      <c r="A3" t="s">
        <v>2093</v>
      </c>
      <c r="B3">
        <v>0.111172747777081</v>
      </c>
      <c r="C3">
        <v>13.9418553569518</v>
      </c>
    </row>
    <row r="4" spans="1:3" x14ac:dyDescent="0.25">
      <c r="A4" t="s">
        <v>734</v>
      </c>
      <c r="B4">
        <v>0.15356611166515099</v>
      </c>
      <c r="C4">
        <v>227.91013144792899</v>
      </c>
    </row>
    <row r="5" spans="1:3" x14ac:dyDescent="0.25">
      <c r="A5" t="s">
        <v>2524</v>
      </c>
      <c r="B5">
        <v>0.203285346035077</v>
      </c>
      <c r="C5">
        <v>58.329711104038402</v>
      </c>
    </row>
    <row r="6" spans="1:3" x14ac:dyDescent="0.25">
      <c r="A6" t="s">
        <v>2091</v>
      </c>
      <c r="B6">
        <v>0.24837128888339799</v>
      </c>
      <c r="C6">
        <v>54.101283221918401</v>
      </c>
    </row>
    <row r="7" spans="1:3" x14ac:dyDescent="0.25">
      <c r="A7" t="s">
        <v>1518</v>
      </c>
      <c r="B7">
        <v>0.27064437722149398</v>
      </c>
      <c r="C7">
        <v>15.4622944051363</v>
      </c>
    </row>
    <row r="8" spans="1:3" x14ac:dyDescent="0.25">
      <c r="A8" t="s">
        <v>604</v>
      </c>
      <c r="B8">
        <v>0.29507933824332899</v>
      </c>
      <c r="C8">
        <v>7.3561859319597396</v>
      </c>
    </row>
    <row r="9" spans="1:3" x14ac:dyDescent="0.25">
      <c r="A9" t="s">
        <v>2807</v>
      </c>
      <c r="B9">
        <v>0.37024167089181798</v>
      </c>
      <c r="C9">
        <v>11.3308825572998</v>
      </c>
    </row>
    <row r="10" spans="1:3" x14ac:dyDescent="0.25">
      <c r="A10" t="s">
        <v>1822</v>
      </c>
      <c r="B10">
        <v>0.39873164119167298</v>
      </c>
      <c r="C10">
        <v>99.941410156643599</v>
      </c>
    </row>
    <row r="11" spans="1:3" x14ac:dyDescent="0.25">
      <c r="A11" t="s">
        <v>1414</v>
      </c>
      <c r="B11">
        <v>0.42895099464234199</v>
      </c>
      <c r="C11">
        <v>98.317884040493794</v>
      </c>
    </row>
    <row r="12" spans="1:3" x14ac:dyDescent="0.25">
      <c r="A12" t="s">
        <v>2536</v>
      </c>
      <c r="B12">
        <v>0.431192599749053</v>
      </c>
      <c r="C12">
        <v>376.56858930538101</v>
      </c>
    </row>
    <row r="13" spans="1:3" x14ac:dyDescent="0.25">
      <c r="A13" t="s">
        <v>2726</v>
      </c>
      <c r="B13">
        <v>0.51633583923294202</v>
      </c>
      <c r="C13">
        <v>164.284528071436</v>
      </c>
    </row>
    <row r="14" spans="1:3" x14ac:dyDescent="0.25">
      <c r="A14" t="s">
        <v>1444</v>
      </c>
      <c r="B14">
        <v>0.55014731958297303</v>
      </c>
      <c r="C14">
        <v>19.4816350948681</v>
      </c>
    </row>
    <row r="15" spans="1:3" x14ac:dyDescent="0.25">
      <c r="A15" t="s">
        <v>2377</v>
      </c>
      <c r="B15">
        <v>0.59309011513238996</v>
      </c>
      <c r="C15">
        <v>107.181215005486</v>
      </c>
    </row>
    <row r="16" spans="1:3" x14ac:dyDescent="0.25">
      <c r="A16" t="s">
        <v>1600</v>
      </c>
      <c r="B16">
        <v>0.59464791652431903</v>
      </c>
      <c r="C16">
        <v>35.2933953346744</v>
      </c>
    </row>
    <row r="17" spans="1:3" x14ac:dyDescent="0.25">
      <c r="A17" t="s">
        <v>94</v>
      </c>
      <c r="B17">
        <v>0.59560672193948005</v>
      </c>
      <c r="C17">
        <v>74.420631876838499</v>
      </c>
    </row>
    <row r="18" spans="1:3" x14ac:dyDescent="0.25">
      <c r="A18" t="s">
        <v>1528</v>
      </c>
      <c r="B18">
        <v>0.66584268018460002</v>
      </c>
      <c r="C18">
        <v>62.593457096739201</v>
      </c>
    </row>
    <row r="19" spans="1:3" x14ac:dyDescent="0.25">
      <c r="A19" t="s">
        <v>330</v>
      </c>
      <c r="B19">
        <v>0.67893801156224398</v>
      </c>
      <c r="C19">
        <v>5.70888574034106</v>
      </c>
    </row>
    <row r="20" spans="1:3" x14ac:dyDescent="0.25">
      <c r="A20" t="s">
        <v>42</v>
      </c>
      <c r="B20">
        <v>0.67930482599487296</v>
      </c>
      <c r="C20">
        <v>178.695352082179</v>
      </c>
    </row>
    <row r="21" spans="1:3" x14ac:dyDescent="0.25">
      <c r="A21" t="s">
        <v>833</v>
      </c>
      <c r="B21">
        <v>0.69553207663138295</v>
      </c>
      <c r="C21">
        <v>8.4371067249928196</v>
      </c>
    </row>
    <row r="22" spans="1:3" x14ac:dyDescent="0.25">
      <c r="A22" t="s">
        <v>352</v>
      </c>
      <c r="B22">
        <v>0.72741526677665302</v>
      </c>
      <c r="C22">
        <v>18.945719789090699</v>
      </c>
    </row>
    <row r="23" spans="1:3" x14ac:dyDescent="0.25">
      <c r="A23" t="s">
        <v>1878</v>
      </c>
      <c r="B23">
        <v>0.72888492189866405</v>
      </c>
      <c r="C23">
        <v>20.349619915915699</v>
      </c>
    </row>
    <row r="24" spans="1:3" x14ac:dyDescent="0.25">
      <c r="A24" t="s">
        <v>2025</v>
      </c>
      <c r="B24">
        <v>0.74528279521775898</v>
      </c>
      <c r="C24">
        <v>212.20695674643099</v>
      </c>
    </row>
    <row r="25" spans="1:3" x14ac:dyDescent="0.25">
      <c r="A25" t="s">
        <v>600</v>
      </c>
      <c r="B25">
        <v>0.77787306979517101</v>
      </c>
      <c r="C25">
        <v>234.53004435671701</v>
      </c>
    </row>
    <row r="26" spans="1:3" x14ac:dyDescent="0.25">
      <c r="A26" t="s">
        <v>1868</v>
      </c>
      <c r="B26">
        <v>0.80257371682918699</v>
      </c>
      <c r="C26">
        <v>190.296762627459</v>
      </c>
    </row>
    <row r="27" spans="1:3" x14ac:dyDescent="0.25">
      <c r="A27" t="s">
        <v>1405</v>
      </c>
      <c r="B27">
        <v>0.83190840209781003</v>
      </c>
      <c r="C27">
        <v>196.16561035452199</v>
      </c>
    </row>
    <row r="28" spans="1:3" x14ac:dyDescent="0.25">
      <c r="A28" t="s">
        <v>3244</v>
      </c>
      <c r="B28">
        <v>0.86376842891255201</v>
      </c>
      <c r="C28">
        <v>249.89377524560101</v>
      </c>
    </row>
    <row r="29" spans="1:3" x14ac:dyDescent="0.25">
      <c r="A29" t="s">
        <v>162</v>
      </c>
      <c r="B29">
        <v>0.880539891870605</v>
      </c>
      <c r="C29">
        <v>42.319762086656901</v>
      </c>
    </row>
    <row r="30" spans="1:3" x14ac:dyDescent="0.25">
      <c r="A30" t="s">
        <v>2580</v>
      </c>
      <c r="B30">
        <v>0.93346066322019094</v>
      </c>
      <c r="C30">
        <v>38.246483227731098</v>
      </c>
    </row>
    <row r="31" spans="1:3" x14ac:dyDescent="0.25">
      <c r="A31" t="s">
        <v>2379</v>
      </c>
      <c r="B31">
        <v>0.94721629307481503</v>
      </c>
      <c r="C31">
        <v>33.125498430027903</v>
      </c>
    </row>
    <row r="32" spans="1:3" x14ac:dyDescent="0.25">
      <c r="A32" t="s">
        <v>1684</v>
      </c>
      <c r="B32">
        <v>0.95503283895362201</v>
      </c>
      <c r="C32">
        <v>43.247526244845403</v>
      </c>
    </row>
    <row r="33" spans="1:3" x14ac:dyDescent="0.25">
      <c r="A33" t="s">
        <v>414</v>
      </c>
      <c r="B33">
        <v>0.96652166002310802</v>
      </c>
      <c r="C33">
        <v>17.9348056877114</v>
      </c>
    </row>
    <row r="34" spans="1:3" x14ac:dyDescent="0.25">
      <c r="A34" t="s">
        <v>2145</v>
      </c>
      <c r="B34">
        <v>0.96823722207249296</v>
      </c>
      <c r="C34">
        <v>48.757217250231299</v>
      </c>
    </row>
    <row r="35" spans="1:3" x14ac:dyDescent="0.25">
      <c r="A35" t="s">
        <v>1738</v>
      </c>
      <c r="B35">
        <v>1.0295162556790001</v>
      </c>
      <c r="C35">
        <v>324.20189163588799</v>
      </c>
    </row>
    <row r="36" spans="1:3" x14ac:dyDescent="0.25">
      <c r="A36" t="s">
        <v>2147</v>
      </c>
      <c r="B36">
        <v>1.05332968800837</v>
      </c>
      <c r="C36">
        <v>76.793556525621796</v>
      </c>
    </row>
    <row r="37" spans="1:3" x14ac:dyDescent="0.25">
      <c r="A37" t="s">
        <v>172</v>
      </c>
      <c r="B37">
        <v>1.0548723190500799</v>
      </c>
      <c r="C37">
        <v>150.647341924492</v>
      </c>
    </row>
    <row r="38" spans="1:3" x14ac:dyDescent="0.25">
      <c r="A38" t="s">
        <v>2829</v>
      </c>
      <c r="B38">
        <v>1.0801828349783</v>
      </c>
      <c r="C38">
        <v>137.12078686987701</v>
      </c>
    </row>
    <row r="39" spans="1:3" x14ac:dyDescent="0.25">
      <c r="A39" t="s">
        <v>2532</v>
      </c>
      <c r="B39">
        <v>1.14080670083971</v>
      </c>
      <c r="C39">
        <v>230.087080064768</v>
      </c>
    </row>
    <row r="40" spans="1:3" x14ac:dyDescent="0.25">
      <c r="A40" t="s">
        <v>1347</v>
      </c>
      <c r="B40">
        <v>1.1436981160120101</v>
      </c>
      <c r="C40">
        <v>383.32353076467803</v>
      </c>
    </row>
    <row r="41" spans="1:3" x14ac:dyDescent="0.25">
      <c r="A41" t="s">
        <v>2634</v>
      </c>
      <c r="B41">
        <v>1.1978297106587199</v>
      </c>
      <c r="C41">
        <v>63.746787010617403</v>
      </c>
    </row>
    <row r="42" spans="1:3" x14ac:dyDescent="0.25">
      <c r="A42" t="s">
        <v>1544</v>
      </c>
      <c r="B42">
        <v>1.2083504791299999</v>
      </c>
      <c r="C42">
        <v>56.7255224649479</v>
      </c>
    </row>
    <row r="43" spans="1:3" x14ac:dyDescent="0.25">
      <c r="A43" t="s">
        <v>2131</v>
      </c>
      <c r="B43">
        <v>1.25174902432999</v>
      </c>
      <c r="C43">
        <v>29.625800107883901</v>
      </c>
    </row>
    <row r="44" spans="1:3" x14ac:dyDescent="0.25">
      <c r="A44" t="s">
        <v>859</v>
      </c>
      <c r="B44">
        <v>1.2847889264174599</v>
      </c>
      <c r="C44">
        <v>73.691896505617706</v>
      </c>
    </row>
    <row r="45" spans="1:3" x14ac:dyDescent="0.25">
      <c r="A45" t="s">
        <v>2951</v>
      </c>
      <c r="B45">
        <v>1.2918896905486501</v>
      </c>
      <c r="C45">
        <v>258.76402929958601</v>
      </c>
    </row>
    <row r="46" spans="1:3" x14ac:dyDescent="0.25">
      <c r="A46" t="s">
        <v>1045</v>
      </c>
      <c r="B46">
        <v>1.35595454414948</v>
      </c>
      <c r="C46">
        <v>30.599425568632601</v>
      </c>
    </row>
    <row r="47" spans="1:3" x14ac:dyDescent="0.25">
      <c r="A47" t="s">
        <v>348</v>
      </c>
      <c r="B47">
        <v>1.4242328963750199</v>
      </c>
      <c r="C47">
        <v>48.682950153252598</v>
      </c>
    </row>
    <row r="48" spans="1:3" x14ac:dyDescent="0.25">
      <c r="A48" t="s">
        <v>1474</v>
      </c>
      <c r="B48">
        <v>1.43687906577573</v>
      </c>
      <c r="C48">
        <v>44.727952156609703</v>
      </c>
    </row>
    <row r="49" spans="1:3" x14ac:dyDescent="0.25">
      <c r="A49" t="s">
        <v>1570</v>
      </c>
      <c r="B49">
        <v>1.43763386379661</v>
      </c>
      <c r="C49">
        <v>261.93875418521998</v>
      </c>
    </row>
    <row r="50" spans="1:3" x14ac:dyDescent="0.25">
      <c r="A50" t="s">
        <v>2299</v>
      </c>
      <c r="B50">
        <v>1.4424191812963501</v>
      </c>
      <c r="C50">
        <v>118.437148724064</v>
      </c>
    </row>
    <row r="51" spans="1:3" x14ac:dyDescent="0.25">
      <c r="A51" t="s">
        <v>204</v>
      </c>
      <c r="B51">
        <v>1.44674724619441</v>
      </c>
      <c r="C51">
        <v>36.716842079020502</v>
      </c>
    </row>
    <row r="52" spans="1:3" x14ac:dyDescent="0.25">
      <c r="A52" t="s">
        <v>1061</v>
      </c>
      <c r="B52">
        <v>1.46746519593694</v>
      </c>
      <c r="C52">
        <v>32.747794366342298</v>
      </c>
    </row>
    <row r="53" spans="1:3" x14ac:dyDescent="0.25">
      <c r="A53" t="s">
        <v>3248</v>
      </c>
      <c r="B53">
        <v>1.4748917998083</v>
      </c>
      <c r="C53">
        <v>185.875911296434</v>
      </c>
    </row>
    <row r="54" spans="1:3" x14ac:dyDescent="0.25">
      <c r="A54" t="s">
        <v>1323</v>
      </c>
      <c r="B54">
        <v>1.4890901676339301</v>
      </c>
      <c r="C54">
        <v>270.121679924582</v>
      </c>
    </row>
    <row r="55" spans="1:3" x14ac:dyDescent="0.25">
      <c r="A55" t="s">
        <v>2367</v>
      </c>
      <c r="B55">
        <v>1.4976733920013701</v>
      </c>
      <c r="C55">
        <v>495.58631516709602</v>
      </c>
    </row>
    <row r="56" spans="1:3" x14ac:dyDescent="0.25">
      <c r="A56" t="s">
        <v>88</v>
      </c>
      <c r="B56">
        <v>1.5038919871176699</v>
      </c>
      <c r="C56">
        <v>218.86512962089401</v>
      </c>
    </row>
    <row r="57" spans="1:3" x14ac:dyDescent="0.25">
      <c r="A57" t="s">
        <v>660</v>
      </c>
      <c r="B57">
        <v>1.51446738002958</v>
      </c>
      <c r="C57">
        <v>21.064380014174699</v>
      </c>
    </row>
    <row r="58" spans="1:3" x14ac:dyDescent="0.25">
      <c r="A58" t="s">
        <v>712</v>
      </c>
      <c r="B58">
        <v>1.5176998677520099</v>
      </c>
      <c r="C58">
        <v>45.385126927708399</v>
      </c>
    </row>
    <row r="59" spans="1:3" x14ac:dyDescent="0.25">
      <c r="A59" t="s">
        <v>2149</v>
      </c>
      <c r="B59">
        <v>1.5460448562375899</v>
      </c>
      <c r="C59">
        <v>15.659895060966999</v>
      </c>
    </row>
    <row r="60" spans="1:3" x14ac:dyDescent="0.25">
      <c r="A60" t="s">
        <v>2327</v>
      </c>
      <c r="B60">
        <v>1.56114987644507</v>
      </c>
      <c r="C60">
        <v>20.6553181901361</v>
      </c>
    </row>
    <row r="61" spans="1:3" x14ac:dyDescent="0.25">
      <c r="A61" t="s">
        <v>997</v>
      </c>
      <c r="B61">
        <v>1.5934028722703699</v>
      </c>
      <c r="C61">
        <v>73.889494312467903</v>
      </c>
    </row>
    <row r="62" spans="1:3" x14ac:dyDescent="0.25">
      <c r="A62" t="s">
        <v>2470</v>
      </c>
      <c r="B62">
        <v>1.6205602508864001</v>
      </c>
      <c r="C62">
        <v>78.027700642633903</v>
      </c>
    </row>
    <row r="63" spans="1:3" x14ac:dyDescent="0.25">
      <c r="A63" t="s">
        <v>935</v>
      </c>
      <c r="B63">
        <v>1.6237220458010799</v>
      </c>
      <c r="C63">
        <v>276.04190537615602</v>
      </c>
    </row>
    <row r="64" spans="1:3" x14ac:dyDescent="0.25">
      <c r="A64" t="s">
        <v>1648</v>
      </c>
      <c r="B64">
        <v>1.63609704176394</v>
      </c>
      <c r="C64">
        <v>340.60925934141</v>
      </c>
    </row>
    <row r="65" spans="1:3" x14ac:dyDescent="0.25">
      <c r="A65" t="s">
        <v>1510</v>
      </c>
      <c r="B65">
        <v>1.64508485591909</v>
      </c>
      <c r="C65">
        <v>103.469124248003</v>
      </c>
    </row>
    <row r="66" spans="1:3" x14ac:dyDescent="0.25">
      <c r="A66" t="s">
        <v>959</v>
      </c>
      <c r="B66">
        <v>1.65347704899995</v>
      </c>
      <c r="C66">
        <v>63.9035707818405</v>
      </c>
    </row>
    <row r="67" spans="1:3" x14ac:dyDescent="0.25">
      <c r="A67" t="s">
        <v>1961</v>
      </c>
      <c r="B67">
        <v>1.6912264778791599</v>
      </c>
      <c r="C67">
        <v>382.20619319365397</v>
      </c>
    </row>
    <row r="68" spans="1:3" x14ac:dyDescent="0.25">
      <c r="A68" t="s">
        <v>2435</v>
      </c>
      <c r="B68">
        <v>1.7778027184262</v>
      </c>
      <c r="C68">
        <v>82.7320092699116</v>
      </c>
    </row>
    <row r="69" spans="1:3" x14ac:dyDescent="0.25">
      <c r="A69" t="s">
        <v>2199</v>
      </c>
      <c r="B69">
        <v>1.8509093494117901</v>
      </c>
      <c r="C69">
        <v>25.976656955659401</v>
      </c>
    </row>
    <row r="70" spans="1:3" x14ac:dyDescent="0.25">
      <c r="A70" t="s">
        <v>218</v>
      </c>
      <c r="B70">
        <v>1.8799985236985299</v>
      </c>
      <c r="C70">
        <v>96.347902826816593</v>
      </c>
    </row>
    <row r="71" spans="1:3" x14ac:dyDescent="0.25">
      <c r="A71" t="s">
        <v>1744</v>
      </c>
      <c r="B71">
        <v>1.9019626538702701</v>
      </c>
      <c r="C71">
        <v>149.81591121300599</v>
      </c>
    </row>
    <row r="72" spans="1:3" x14ac:dyDescent="0.25">
      <c r="A72" t="s">
        <v>748</v>
      </c>
      <c r="B72">
        <v>1.92221102403091</v>
      </c>
      <c r="C72">
        <v>119.034277795207</v>
      </c>
    </row>
    <row r="73" spans="1:3" x14ac:dyDescent="0.25">
      <c r="A73" t="s">
        <v>2544</v>
      </c>
      <c r="B73">
        <v>1.9292749974752701</v>
      </c>
      <c r="C73">
        <v>44.827937162644901</v>
      </c>
    </row>
    <row r="74" spans="1:3" x14ac:dyDescent="0.25">
      <c r="A74" t="s">
        <v>1442</v>
      </c>
      <c r="B74">
        <v>1.9673597387444099</v>
      </c>
      <c r="C74">
        <v>97.994786341730403</v>
      </c>
    </row>
    <row r="75" spans="1:3" x14ac:dyDescent="0.25">
      <c r="A75" t="s">
        <v>1971</v>
      </c>
      <c r="B75">
        <v>1.9678639317342901</v>
      </c>
      <c r="C75">
        <v>19.619574793943801</v>
      </c>
    </row>
    <row r="76" spans="1:3" x14ac:dyDescent="0.25">
      <c r="A76" t="s">
        <v>1494</v>
      </c>
      <c r="B76">
        <v>1.99615081989577</v>
      </c>
      <c r="C76">
        <v>41.564917764777597</v>
      </c>
    </row>
    <row r="77" spans="1:3" x14ac:dyDescent="0.25">
      <c r="A77" t="s">
        <v>853</v>
      </c>
      <c r="B77">
        <v>1.99832949873803</v>
      </c>
      <c r="C77">
        <v>29.640283018788701</v>
      </c>
    </row>
    <row r="78" spans="1:3" x14ac:dyDescent="0.25">
      <c r="A78" t="s">
        <v>1646</v>
      </c>
      <c r="B78">
        <v>2.0235515553262098</v>
      </c>
      <c r="C78">
        <v>122.311446463802</v>
      </c>
    </row>
    <row r="79" spans="1:3" x14ac:dyDescent="0.25">
      <c r="A79" t="s">
        <v>863</v>
      </c>
      <c r="B79">
        <v>2.0487947462622902</v>
      </c>
      <c r="C79">
        <v>244.49698638979899</v>
      </c>
    </row>
    <row r="80" spans="1:3" x14ac:dyDescent="0.25">
      <c r="A80" t="s">
        <v>480</v>
      </c>
      <c r="B80">
        <v>2.05512436891425</v>
      </c>
      <c r="C80">
        <v>171.70384153596399</v>
      </c>
    </row>
    <row r="81" spans="1:3" x14ac:dyDescent="0.25">
      <c r="A81" t="s">
        <v>2189</v>
      </c>
      <c r="B81">
        <v>2.0946197179527699</v>
      </c>
      <c r="C81">
        <v>133.158461928289</v>
      </c>
    </row>
    <row r="82" spans="1:3" x14ac:dyDescent="0.25">
      <c r="A82" t="s">
        <v>2486</v>
      </c>
      <c r="B82">
        <v>2.12146630328593</v>
      </c>
      <c r="C82">
        <v>59.855500296656501</v>
      </c>
    </row>
    <row r="83" spans="1:3" x14ac:dyDescent="0.25">
      <c r="A83" t="s">
        <v>1211</v>
      </c>
      <c r="B83">
        <v>2.13782761745153</v>
      </c>
      <c r="C83">
        <v>104.265002108593</v>
      </c>
    </row>
    <row r="84" spans="1:3" x14ac:dyDescent="0.25">
      <c r="A84" t="s">
        <v>1742</v>
      </c>
      <c r="B84">
        <v>2.1700958524210701</v>
      </c>
      <c r="C84">
        <v>55.804616595322599</v>
      </c>
    </row>
    <row r="85" spans="1:3" x14ac:dyDescent="0.25">
      <c r="A85" t="s">
        <v>1173</v>
      </c>
      <c r="B85">
        <v>2.2726410811094699</v>
      </c>
      <c r="C85">
        <v>292.44211471691</v>
      </c>
    </row>
    <row r="86" spans="1:3" x14ac:dyDescent="0.25">
      <c r="A86" t="s">
        <v>428</v>
      </c>
      <c r="B86">
        <v>2.3490031251766701</v>
      </c>
      <c r="C86">
        <v>61.6179433826657</v>
      </c>
    </row>
    <row r="87" spans="1:3" x14ac:dyDescent="0.25">
      <c r="A87" t="s">
        <v>276</v>
      </c>
      <c r="B87">
        <v>2.3546991408839402</v>
      </c>
      <c r="C87">
        <v>72.287924698683995</v>
      </c>
    </row>
    <row r="88" spans="1:3" x14ac:dyDescent="0.25">
      <c r="A88" t="s">
        <v>1031</v>
      </c>
      <c r="B88">
        <v>2.3601240420774201</v>
      </c>
      <c r="C88">
        <v>185.30320398420201</v>
      </c>
    </row>
    <row r="89" spans="1:3" x14ac:dyDescent="0.25">
      <c r="A89" t="s">
        <v>1636</v>
      </c>
      <c r="B89">
        <v>2.4045706605352799</v>
      </c>
      <c r="C89">
        <v>52.630261631171102</v>
      </c>
    </row>
    <row r="90" spans="1:3" x14ac:dyDescent="0.25">
      <c r="A90" t="s">
        <v>2500</v>
      </c>
      <c r="B90">
        <v>2.4190249291606301</v>
      </c>
      <c r="C90">
        <v>109.47529806435401</v>
      </c>
    </row>
    <row r="91" spans="1:3" x14ac:dyDescent="0.25">
      <c r="A91" t="s">
        <v>2526</v>
      </c>
      <c r="B91">
        <v>2.4213369949061501</v>
      </c>
      <c r="C91">
        <v>34.047718189562502</v>
      </c>
    </row>
    <row r="92" spans="1:3" x14ac:dyDescent="0.25">
      <c r="A92" t="s">
        <v>2905</v>
      </c>
      <c r="B92">
        <v>2.4499385488782699</v>
      </c>
      <c r="C92">
        <v>233.72728280865601</v>
      </c>
    </row>
    <row r="93" spans="1:3" x14ac:dyDescent="0.25">
      <c r="A93" t="s">
        <v>3099</v>
      </c>
      <c r="B93">
        <v>2.4923262039534699</v>
      </c>
      <c r="C93">
        <v>381.03223027631998</v>
      </c>
    </row>
    <row r="94" spans="1:3" x14ac:dyDescent="0.25">
      <c r="A94" t="s">
        <v>1279</v>
      </c>
      <c r="B94">
        <v>2.5095955782011501</v>
      </c>
      <c r="C94">
        <v>35.345766891290801</v>
      </c>
    </row>
    <row r="95" spans="1:3" x14ac:dyDescent="0.25">
      <c r="A95" t="s">
        <v>1119</v>
      </c>
      <c r="B95">
        <v>2.60071083472844</v>
      </c>
      <c r="C95">
        <v>134.74545611652599</v>
      </c>
    </row>
    <row r="96" spans="1:3" x14ac:dyDescent="0.25">
      <c r="A96" t="s">
        <v>2103</v>
      </c>
      <c r="B96">
        <v>2.6013537462891301</v>
      </c>
      <c r="C96">
        <v>230.72779823012601</v>
      </c>
    </row>
    <row r="97" spans="1:3" x14ac:dyDescent="0.25">
      <c r="A97" t="s">
        <v>2423</v>
      </c>
      <c r="B97">
        <v>2.6322494359414601</v>
      </c>
      <c r="C97">
        <v>46.151595052791897</v>
      </c>
    </row>
    <row r="98" spans="1:3" x14ac:dyDescent="0.25">
      <c r="A98" t="s">
        <v>154</v>
      </c>
      <c r="B98">
        <v>2.63458690757211</v>
      </c>
      <c r="C98">
        <v>129.541657214716</v>
      </c>
    </row>
    <row r="99" spans="1:3" x14ac:dyDescent="0.25">
      <c r="A99" t="s">
        <v>2355</v>
      </c>
      <c r="B99">
        <v>2.6603349145469601</v>
      </c>
      <c r="C99">
        <v>106.509462478518</v>
      </c>
    </row>
    <row r="100" spans="1:3" x14ac:dyDescent="0.25">
      <c r="A100" t="s">
        <v>867</v>
      </c>
      <c r="B100">
        <v>2.6687552566858099</v>
      </c>
      <c r="C100">
        <v>76.677554598288097</v>
      </c>
    </row>
    <row r="101" spans="1:3" x14ac:dyDescent="0.25">
      <c r="A101" t="s">
        <v>2446</v>
      </c>
      <c r="B101">
        <v>2.6713859190318501</v>
      </c>
      <c r="C101">
        <v>173.140416211391</v>
      </c>
    </row>
    <row r="102" spans="1:3" x14ac:dyDescent="0.25">
      <c r="A102" t="s">
        <v>1530</v>
      </c>
      <c r="B102">
        <v>2.7421468363872101</v>
      </c>
      <c r="C102">
        <v>450.63959358401598</v>
      </c>
    </row>
    <row r="103" spans="1:3" x14ac:dyDescent="0.25">
      <c r="A103" t="s">
        <v>2724</v>
      </c>
      <c r="B103">
        <v>2.74574552455059</v>
      </c>
      <c r="C103">
        <v>305.93881524637197</v>
      </c>
    </row>
    <row r="104" spans="1:3" x14ac:dyDescent="0.25">
      <c r="A104" t="s">
        <v>795</v>
      </c>
      <c r="B104">
        <v>2.81180805552563</v>
      </c>
      <c r="C104">
        <v>61.949336545782302</v>
      </c>
    </row>
    <row r="105" spans="1:3" x14ac:dyDescent="0.25">
      <c r="A105" t="s">
        <v>2696</v>
      </c>
      <c r="B105">
        <v>2.8768961242460498</v>
      </c>
      <c r="C105">
        <v>91.193986993372903</v>
      </c>
    </row>
    <row r="106" spans="1:3" x14ac:dyDescent="0.25">
      <c r="A106" t="s">
        <v>186</v>
      </c>
      <c r="B106">
        <v>2.8770623216839999</v>
      </c>
      <c r="C106">
        <v>167.89099973787901</v>
      </c>
    </row>
    <row r="107" spans="1:3" x14ac:dyDescent="0.25">
      <c r="A107" t="s">
        <v>2985</v>
      </c>
      <c r="B107">
        <v>2.8870283777939698</v>
      </c>
      <c r="C107">
        <v>24.312654899673898</v>
      </c>
    </row>
    <row r="108" spans="1:3" x14ac:dyDescent="0.25">
      <c r="A108" t="s">
        <v>813</v>
      </c>
      <c r="B108">
        <v>2.9061930231064901</v>
      </c>
      <c r="C108">
        <v>43.135875300595998</v>
      </c>
    </row>
    <row r="109" spans="1:3" x14ac:dyDescent="0.25">
      <c r="A109" t="s">
        <v>819</v>
      </c>
      <c r="B109">
        <v>2.9504465145654901</v>
      </c>
      <c r="C109">
        <v>67.484748948402299</v>
      </c>
    </row>
    <row r="110" spans="1:3" x14ac:dyDescent="0.25">
      <c r="A110" t="s">
        <v>570</v>
      </c>
      <c r="B110">
        <v>2.9728129427418599</v>
      </c>
      <c r="C110">
        <v>51.614834530994301</v>
      </c>
    </row>
    <row r="111" spans="1:3" x14ac:dyDescent="0.25">
      <c r="A111" t="s">
        <v>1269</v>
      </c>
      <c r="B111">
        <v>2.9847225999148499</v>
      </c>
      <c r="C111">
        <v>117.40987244342099</v>
      </c>
    </row>
    <row r="112" spans="1:3" x14ac:dyDescent="0.25">
      <c r="A112" t="s">
        <v>684</v>
      </c>
      <c r="B112">
        <v>2.9922764771201198</v>
      </c>
      <c r="C112">
        <v>17.091620131299798</v>
      </c>
    </row>
    <row r="113" spans="1:3" x14ac:dyDescent="0.25">
      <c r="A113" t="s">
        <v>2223</v>
      </c>
      <c r="B113">
        <v>3.0189435204603798</v>
      </c>
      <c r="C113">
        <v>184.80522063529301</v>
      </c>
    </row>
    <row r="114" spans="1:3" x14ac:dyDescent="0.25">
      <c r="A114" t="s">
        <v>1973</v>
      </c>
      <c r="B114">
        <v>3.0592405571841002</v>
      </c>
      <c r="C114">
        <v>302.574394085515</v>
      </c>
    </row>
    <row r="115" spans="1:3" x14ac:dyDescent="0.25">
      <c r="A115" t="s">
        <v>2584</v>
      </c>
      <c r="B115">
        <v>3.11121544176613</v>
      </c>
      <c r="C115">
        <v>62.016539914937802</v>
      </c>
    </row>
    <row r="116" spans="1:3" x14ac:dyDescent="0.25">
      <c r="A116" t="s">
        <v>2307</v>
      </c>
      <c r="B116">
        <v>3.1534503762217301</v>
      </c>
      <c r="C116">
        <v>37.413198129284602</v>
      </c>
    </row>
    <row r="117" spans="1:3" x14ac:dyDescent="0.25">
      <c r="A117" t="s">
        <v>1728</v>
      </c>
      <c r="B117">
        <v>3.1567492011832501</v>
      </c>
      <c r="C117">
        <v>98.708484247132205</v>
      </c>
    </row>
    <row r="118" spans="1:3" x14ac:dyDescent="0.25">
      <c r="A118" t="s">
        <v>540</v>
      </c>
      <c r="B118">
        <v>3.1735178572956402</v>
      </c>
      <c r="C118">
        <v>149.896185952899</v>
      </c>
    </row>
    <row r="119" spans="1:3" x14ac:dyDescent="0.25">
      <c r="A119" t="s">
        <v>1832</v>
      </c>
      <c r="B119">
        <v>3.18050822324274</v>
      </c>
      <c r="C119">
        <v>148.55476996118099</v>
      </c>
    </row>
    <row r="120" spans="1:3" x14ac:dyDescent="0.25">
      <c r="A120" t="s">
        <v>1426</v>
      </c>
      <c r="B120">
        <v>3.20551408338337</v>
      </c>
      <c r="C120">
        <v>189.90251698717501</v>
      </c>
    </row>
    <row r="121" spans="1:3" x14ac:dyDescent="0.25">
      <c r="A121" t="s">
        <v>929</v>
      </c>
      <c r="B121">
        <v>3.2381266501198001</v>
      </c>
      <c r="C121">
        <v>77.289602804509002</v>
      </c>
    </row>
    <row r="122" spans="1:3" x14ac:dyDescent="0.25">
      <c r="A122" t="s">
        <v>2658</v>
      </c>
      <c r="B122">
        <v>3.2480835004625201</v>
      </c>
      <c r="C122">
        <v>88.422547952645601</v>
      </c>
    </row>
    <row r="123" spans="1:3" x14ac:dyDescent="0.25">
      <c r="A123" t="s">
        <v>1586</v>
      </c>
      <c r="B123">
        <v>3.2533187258340401</v>
      </c>
      <c r="C123">
        <v>332.57233207138103</v>
      </c>
    </row>
    <row r="124" spans="1:3" x14ac:dyDescent="0.25">
      <c r="A124" t="s">
        <v>873</v>
      </c>
      <c r="B124">
        <v>3.2540250573063898</v>
      </c>
      <c r="C124">
        <v>117.543691322575</v>
      </c>
    </row>
    <row r="125" spans="1:3" x14ac:dyDescent="0.25">
      <c r="A125" t="s">
        <v>2011</v>
      </c>
      <c r="B125">
        <v>3.2945004313594</v>
      </c>
      <c r="C125">
        <v>165.75637104664</v>
      </c>
    </row>
    <row r="126" spans="1:3" x14ac:dyDescent="0.25">
      <c r="A126" t="s">
        <v>2530</v>
      </c>
      <c r="B126">
        <v>3.3129676756922199</v>
      </c>
      <c r="C126">
        <v>114.072363400819</v>
      </c>
    </row>
    <row r="127" spans="1:3" x14ac:dyDescent="0.25">
      <c r="A127" t="s">
        <v>2973</v>
      </c>
      <c r="B127">
        <v>3.3309930480068202</v>
      </c>
      <c r="C127">
        <v>147.94114586437999</v>
      </c>
    </row>
    <row r="128" spans="1:3" x14ac:dyDescent="0.25">
      <c r="A128" t="s">
        <v>2576</v>
      </c>
      <c r="B128">
        <v>3.3320628691713701</v>
      </c>
      <c r="C128">
        <v>139.09698064039199</v>
      </c>
    </row>
    <row r="129" spans="1:3" x14ac:dyDescent="0.25">
      <c r="A129" t="s">
        <v>342</v>
      </c>
      <c r="B129">
        <v>3.4109836688162298</v>
      </c>
      <c r="C129">
        <v>136.396627197486</v>
      </c>
    </row>
    <row r="130" spans="1:3" x14ac:dyDescent="0.25">
      <c r="A130" t="s">
        <v>799</v>
      </c>
      <c r="B130">
        <v>3.4202554251888899</v>
      </c>
      <c r="C130">
        <v>61.769285604564701</v>
      </c>
    </row>
    <row r="131" spans="1:3" x14ac:dyDescent="0.25">
      <c r="A131" t="s">
        <v>1215</v>
      </c>
      <c r="B131">
        <v>3.4397638042133201</v>
      </c>
      <c r="C131">
        <v>40.721553294849301</v>
      </c>
    </row>
    <row r="132" spans="1:3" x14ac:dyDescent="0.25">
      <c r="A132" t="s">
        <v>722</v>
      </c>
      <c r="B132">
        <v>3.4894549667030401</v>
      </c>
      <c r="C132">
        <v>129.296680993092</v>
      </c>
    </row>
    <row r="133" spans="1:3" x14ac:dyDescent="0.25">
      <c r="A133" t="s">
        <v>2967</v>
      </c>
      <c r="B133">
        <v>3.5119917465130999</v>
      </c>
      <c r="C133">
        <v>792.544645670823</v>
      </c>
    </row>
    <row r="134" spans="1:3" x14ac:dyDescent="0.25">
      <c r="A134" t="s">
        <v>356</v>
      </c>
      <c r="B134">
        <v>3.5316948473387799</v>
      </c>
      <c r="C134">
        <v>56.613533226688801</v>
      </c>
    </row>
    <row r="135" spans="1:3" x14ac:dyDescent="0.25">
      <c r="A135" t="s">
        <v>2121</v>
      </c>
      <c r="B135">
        <v>3.54914229600509</v>
      </c>
      <c r="C135">
        <v>24.341905610936699</v>
      </c>
    </row>
    <row r="136" spans="1:3" x14ac:dyDescent="0.25">
      <c r="A136" t="s">
        <v>354</v>
      </c>
      <c r="B136">
        <v>3.6048168431820402</v>
      </c>
      <c r="C136">
        <v>43.9059093244012</v>
      </c>
    </row>
    <row r="137" spans="1:3" x14ac:dyDescent="0.25">
      <c r="A137" t="s">
        <v>234</v>
      </c>
      <c r="B137">
        <v>3.6073923269881001</v>
      </c>
      <c r="C137">
        <v>124.636670558738</v>
      </c>
    </row>
    <row r="138" spans="1:3" x14ac:dyDescent="0.25">
      <c r="A138" t="s">
        <v>1428</v>
      </c>
      <c r="B138">
        <v>3.6327964310322001</v>
      </c>
      <c r="C138">
        <v>46.991885591537901</v>
      </c>
    </row>
    <row r="139" spans="1:3" x14ac:dyDescent="0.25">
      <c r="A139" t="s">
        <v>1664</v>
      </c>
      <c r="B139">
        <v>3.64574909571735</v>
      </c>
      <c r="C139">
        <v>50.811237036769803</v>
      </c>
    </row>
    <row r="140" spans="1:3" x14ac:dyDescent="0.25">
      <c r="A140" t="s">
        <v>1163</v>
      </c>
      <c r="B140">
        <v>3.65813042700178</v>
      </c>
      <c r="C140">
        <v>27.768405489607499</v>
      </c>
    </row>
    <row r="141" spans="1:3" x14ac:dyDescent="0.25">
      <c r="A141" t="s">
        <v>1245</v>
      </c>
      <c r="B141">
        <v>3.6672503492565598</v>
      </c>
      <c r="C141">
        <v>141.469344140945</v>
      </c>
    </row>
    <row r="142" spans="1:3" x14ac:dyDescent="0.25">
      <c r="A142" t="s">
        <v>2795</v>
      </c>
      <c r="B142">
        <v>3.6704049230283999</v>
      </c>
      <c r="C142">
        <v>85.521055819577199</v>
      </c>
    </row>
    <row r="143" spans="1:3" x14ac:dyDescent="0.25">
      <c r="A143" t="s">
        <v>2869</v>
      </c>
      <c r="B143">
        <v>3.67599154648487</v>
      </c>
      <c r="C143">
        <v>100.170561129666</v>
      </c>
    </row>
    <row r="144" spans="1:3" x14ac:dyDescent="0.25">
      <c r="A144" t="s">
        <v>732</v>
      </c>
      <c r="B144">
        <v>3.6956247705360599</v>
      </c>
      <c r="C144">
        <v>160.539952235859</v>
      </c>
    </row>
    <row r="145" spans="1:3" x14ac:dyDescent="0.25">
      <c r="A145" t="s">
        <v>150</v>
      </c>
      <c r="B145">
        <v>3.6956994036008499</v>
      </c>
      <c r="C145">
        <v>21.893738060958899</v>
      </c>
    </row>
    <row r="146" spans="1:3" x14ac:dyDescent="0.25">
      <c r="A146" t="s">
        <v>2484</v>
      </c>
      <c r="B146">
        <v>3.6970810578216602</v>
      </c>
      <c r="C146">
        <v>65.456598177590294</v>
      </c>
    </row>
    <row r="147" spans="1:3" x14ac:dyDescent="0.25">
      <c r="A147" t="s">
        <v>3136</v>
      </c>
      <c r="B147">
        <v>3.7377569406219902</v>
      </c>
      <c r="C147">
        <v>90.608444154902202</v>
      </c>
    </row>
    <row r="148" spans="1:3" x14ac:dyDescent="0.25">
      <c r="A148" t="s">
        <v>2063</v>
      </c>
      <c r="B148">
        <v>3.7639975704580499</v>
      </c>
      <c r="C148">
        <v>199.031840173327</v>
      </c>
    </row>
    <row r="149" spans="1:3" x14ac:dyDescent="0.25">
      <c r="A149" t="s">
        <v>616</v>
      </c>
      <c r="B149">
        <v>3.76700280903931</v>
      </c>
      <c r="C149">
        <v>121.508850877282</v>
      </c>
    </row>
    <row r="150" spans="1:3" x14ac:dyDescent="0.25">
      <c r="A150" t="s">
        <v>1472</v>
      </c>
      <c r="B150">
        <v>3.78030360668884</v>
      </c>
      <c r="C150">
        <v>44.258797149852199</v>
      </c>
    </row>
    <row r="151" spans="1:3" x14ac:dyDescent="0.25">
      <c r="A151" t="s">
        <v>1422</v>
      </c>
      <c r="B151">
        <v>3.78089905184033</v>
      </c>
      <c r="C151">
        <v>141.16380933966599</v>
      </c>
    </row>
    <row r="152" spans="1:3" x14ac:dyDescent="0.25">
      <c r="A152" t="s">
        <v>40</v>
      </c>
      <c r="B152">
        <v>3.80000265409004</v>
      </c>
      <c r="C152">
        <v>391.95030025985301</v>
      </c>
    </row>
    <row r="153" spans="1:3" x14ac:dyDescent="0.25">
      <c r="A153" t="s">
        <v>2211</v>
      </c>
      <c r="B153">
        <v>3.8053104843138601</v>
      </c>
      <c r="C153">
        <v>159.33670056589301</v>
      </c>
    </row>
    <row r="154" spans="1:3" x14ac:dyDescent="0.25">
      <c r="A154" t="s">
        <v>1967</v>
      </c>
      <c r="B154">
        <v>3.8058409203661601</v>
      </c>
      <c r="C154">
        <v>15.4080298987235</v>
      </c>
    </row>
    <row r="155" spans="1:3" x14ac:dyDescent="0.25">
      <c r="A155" t="s">
        <v>2339</v>
      </c>
      <c r="B155">
        <v>3.80665913633944</v>
      </c>
      <c r="C155">
        <v>103.015947771648</v>
      </c>
    </row>
    <row r="156" spans="1:3" x14ac:dyDescent="0.25">
      <c r="A156" t="s">
        <v>1776</v>
      </c>
      <c r="B156">
        <v>3.807832002904</v>
      </c>
      <c r="C156">
        <v>227.764702003156</v>
      </c>
    </row>
    <row r="157" spans="1:3" x14ac:dyDescent="0.25">
      <c r="A157" t="s">
        <v>482</v>
      </c>
      <c r="B157">
        <v>3.8356654297151298</v>
      </c>
      <c r="C157">
        <v>32.340237845060798</v>
      </c>
    </row>
    <row r="158" spans="1:3" x14ac:dyDescent="0.25">
      <c r="A158" t="s">
        <v>1057</v>
      </c>
      <c r="B158">
        <v>3.8384512330703</v>
      </c>
      <c r="C158">
        <v>130.54662775737901</v>
      </c>
    </row>
    <row r="159" spans="1:3" x14ac:dyDescent="0.25">
      <c r="A159" t="s">
        <v>1127</v>
      </c>
      <c r="B159">
        <v>3.8871771793865202</v>
      </c>
      <c r="C159">
        <v>561.12466086995198</v>
      </c>
    </row>
    <row r="160" spans="1:3" x14ac:dyDescent="0.25">
      <c r="A160" t="s">
        <v>2586</v>
      </c>
      <c r="B160">
        <v>3.8905661841400399</v>
      </c>
      <c r="C160">
        <v>72.931987748480097</v>
      </c>
    </row>
    <row r="161" spans="1:3" x14ac:dyDescent="0.25">
      <c r="A161" t="s">
        <v>2135</v>
      </c>
      <c r="B161">
        <v>3.93210399959273</v>
      </c>
      <c r="C161">
        <v>97.1574980725931</v>
      </c>
    </row>
    <row r="162" spans="1:3" x14ac:dyDescent="0.25">
      <c r="A162" t="s">
        <v>1524</v>
      </c>
      <c r="B162">
        <v>3.9475860847239899</v>
      </c>
      <c r="C162">
        <v>9.4565282138992792</v>
      </c>
    </row>
    <row r="163" spans="1:3" x14ac:dyDescent="0.25">
      <c r="A163" t="s">
        <v>1670</v>
      </c>
      <c r="B163">
        <v>3.9521553771647602</v>
      </c>
      <c r="C163">
        <v>94.703403577219007</v>
      </c>
    </row>
    <row r="164" spans="1:3" x14ac:dyDescent="0.25">
      <c r="A164" t="s">
        <v>839</v>
      </c>
      <c r="B164">
        <v>3.97116094159718</v>
      </c>
      <c r="C164">
        <v>350.41308254291198</v>
      </c>
    </row>
    <row r="165" spans="1:3" x14ac:dyDescent="0.25">
      <c r="A165" t="s">
        <v>1640</v>
      </c>
      <c r="B165">
        <v>3.99693794458185</v>
      </c>
      <c r="C165">
        <v>37.100922088729803</v>
      </c>
    </row>
    <row r="166" spans="1:3" x14ac:dyDescent="0.25">
      <c r="A166" t="s">
        <v>2083</v>
      </c>
      <c r="B166">
        <v>4.0137245416558001</v>
      </c>
      <c r="C166">
        <v>116.163814429646</v>
      </c>
    </row>
    <row r="167" spans="1:3" x14ac:dyDescent="0.25">
      <c r="A167" t="s">
        <v>1963</v>
      </c>
      <c r="B167">
        <v>4.0182009557982203</v>
      </c>
      <c r="C167">
        <v>36.938907679485098</v>
      </c>
    </row>
    <row r="168" spans="1:3" x14ac:dyDescent="0.25">
      <c r="A168" t="s">
        <v>3072</v>
      </c>
      <c r="B168">
        <v>4.0955581621328099</v>
      </c>
      <c r="C168">
        <v>76.737104705552099</v>
      </c>
    </row>
    <row r="169" spans="1:3" x14ac:dyDescent="0.25">
      <c r="A169" t="s">
        <v>1812</v>
      </c>
      <c r="B169">
        <v>4.1099679335773898</v>
      </c>
      <c r="C169">
        <v>73.515384529093495</v>
      </c>
    </row>
    <row r="170" spans="1:3" x14ac:dyDescent="0.25">
      <c r="A170" t="s">
        <v>811</v>
      </c>
      <c r="B170">
        <v>4.1157547021646002</v>
      </c>
      <c r="C170">
        <v>204.381525120719</v>
      </c>
    </row>
    <row r="171" spans="1:3" x14ac:dyDescent="0.25">
      <c r="A171" t="s">
        <v>56</v>
      </c>
      <c r="B171">
        <v>4.1480653583668898</v>
      </c>
      <c r="C171">
        <v>161.84871143559599</v>
      </c>
    </row>
    <row r="172" spans="1:3" x14ac:dyDescent="0.25">
      <c r="A172" t="s">
        <v>2668</v>
      </c>
      <c r="B172">
        <v>4.1821032870034696</v>
      </c>
      <c r="C172">
        <v>75.562602762162697</v>
      </c>
    </row>
    <row r="173" spans="1:3" x14ac:dyDescent="0.25">
      <c r="A173" t="s">
        <v>2450</v>
      </c>
      <c r="B173">
        <v>4.1842171268571198</v>
      </c>
      <c r="C173">
        <v>113.834210392936</v>
      </c>
    </row>
    <row r="174" spans="1:3" x14ac:dyDescent="0.25">
      <c r="A174" t="s">
        <v>2137</v>
      </c>
      <c r="B174">
        <v>4.1889152867578998</v>
      </c>
      <c r="C174">
        <v>292.01839457806801</v>
      </c>
    </row>
    <row r="175" spans="1:3" x14ac:dyDescent="0.25">
      <c r="A175" t="s">
        <v>1430</v>
      </c>
      <c r="B175">
        <v>4.2234237570688702</v>
      </c>
      <c r="C175">
        <v>151.660077178151</v>
      </c>
    </row>
    <row r="176" spans="1:3" x14ac:dyDescent="0.25">
      <c r="A176" t="s">
        <v>2488</v>
      </c>
      <c r="B176">
        <v>4.2509762100858701</v>
      </c>
      <c r="C176">
        <v>52.836419653808299</v>
      </c>
    </row>
    <row r="177" spans="1:3" x14ac:dyDescent="0.25">
      <c r="A177" t="s">
        <v>1107</v>
      </c>
      <c r="B177">
        <v>4.2510675764301302</v>
      </c>
      <c r="C177">
        <v>253.80163732037201</v>
      </c>
    </row>
    <row r="178" spans="1:3" x14ac:dyDescent="0.25">
      <c r="A178" t="s">
        <v>2502</v>
      </c>
      <c r="B178">
        <v>4.2559463724173998</v>
      </c>
      <c r="C178">
        <v>28.295336003429199</v>
      </c>
    </row>
    <row r="179" spans="1:3" x14ac:dyDescent="0.25">
      <c r="A179" t="s">
        <v>1748</v>
      </c>
      <c r="B179">
        <v>4.3071201397146499</v>
      </c>
      <c r="C179">
        <v>59.077038878833797</v>
      </c>
    </row>
    <row r="180" spans="1:3" x14ac:dyDescent="0.25">
      <c r="A180" t="s">
        <v>1345</v>
      </c>
      <c r="B180">
        <v>4.36212890393222</v>
      </c>
      <c r="C180">
        <v>195.04262382735999</v>
      </c>
    </row>
    <row r="181" spans="1:3" x14ac:dyDescent="0.25">
      <c r="A181" t="s">
        <v>2783</v>
      </c>
      <c r="B181">
        <v>4.3739967161697502</v>
      </c>
      <c r="C181">
        <v>155.07116017749999</v>
      </c>
    </row>
    <row r="182" spans="1:3" x14ac:dyDescent="0.25">
      <c r="A182" t="s">
        <v>1207</v>
      </c>
      <c r="B182">
        <v>4.3808290080648398</v>
      </c>
      <c r="C182">
        <v>77.082807633651498</v>
      </c>
    </row>
    <row r="183" spans="1:3" x14ac:dyDescent="0.25">
      <c r="A183" t="s">
        <v>1401</v>
      </c>
      <c r="B183">
        <v>4.3942284203687203</v>
      </c>
      <c r="C183">
        <v>191.21145415754299</v>
      </c>
    </row>
    <row r="184" spans="1:3" x14ac:dyDescent="0.25">
      <c r="A184" t="s">
        <v>198</v>
      </c>
      <c r="B184">
        <v>4.4095128343047998</v>
      </c>
      <c r="C184">
        <v>159.02897209521799</v>
      </c>
    </row>
    <row r="185" spans="1:3" x14ac:dyDescent="0.25">
      <c r="A185" t="s">
        <v>1486</v>
      </c>
      <c r="B185">
        <v>4.4148509604165502</v>
      </c>
      <c r="C185">
        <v>25.261717572456</v>
      </c>
    </row>
    <row r="186" spans="1:3" x14ac:dyDescent="0.25">
      <c r="A186" t="s">
        <v>588</v>
      </c>
      <c r="B186">
        <v>4.4492281947396997</v>
      </c>
      <c r="C186">
        <v>335.34533841224402</v>
      </c>
    </row>
    <row r="187" spans="1:3" x14ac:dyDescent="0.25">
      <c r="A187" t="s">
        <v>2618</v>
      </c>
      <c r="B187">
        <v>4.5007999341416696</v>
      </c>
      <c r="C187">
        <v>48.515198176185301</v>
      </c>
    </row>
    <row r="188" spans="1:3" x14ac:dyDescent="0.25">
      <c r="A188" t="s">
        <v>1291</v>
      </c>
      <c r="B188">
        <v>4.50690632359054</v>
      </c>
      <c r="C188">
        <v>237.03619819289901</v>
      </c>
    </row>
    <row r="189" spans="1:3" x14ac:dyDescent="0.25">
      <c r="A189" t="s">
        <v>2604</v>
      </c>
      <c r="B189">
        <v>4.5218284464303302</v>
      </c>
      <c r="C189">
        <v>62.532131246236503</v>
      </c>
    </row>
    <row r="190" spans="1:3" x14ac:dyDescent="0.25">
      <c r="A190" t="s">
        <v>1596</v>
      </c>
      <c r="B190">
        <v>4.5282139954788398</v>
      </c>
      <c r="C190">
        <v>140.934926992529</v>
      </c>
    </row>
    <row r="191" spans="1:3" x14ac:dyDescent="0.25">
      <c r="A191" t="s">
        <v>134</v>
      </c>
      <c r="B191">
        <v>4.5340497115700398</v>
      </c>
      <c r="C191">
        <v>45.937127383006398</v>
      </c>
    </row>
    <row r="192" spans="1:3" x14ac:dyDescent="0.25">
      <c r="A192" t="s">
        <v>1462</v>
      </c>
      <c r="B192">
        <v>4.5413071244307002</v>
      </c>
      <c r="C192">
        <v>157.67535535669001</v>
      </c>
    </row>
    <row r="193" spans="1:3" x14ac:dyDescent="0.25">
      <c r="A193" t="s">
        <v>2047</v>
      </c>
      <c r="B193">
        <v>4.5876426393726097</v>
      </c>
      <c r="C193">
        <v>90.647011861042202</v>
      </c>
    </row>
    <row r="194" spans="1:3" x14ac:dyDescent="0.25">
      <c r="A194" t="s">
        <v>1339</v>
      </c>
      <c r="B194">
        <v>4.6105477029484003</v>
      </c>
      <c r="C194">
        <v>49.587027919910199</v>
      </c>
    </row>
    <row r="195" spans="1:3" x14ac:dyDescent="0.25">
      <c r="A195" t="s">
        <v>1989</v>
      </c>
      <c r="B195">
        <v>4.6174897027682</v>
      </c>
      <c r="C195">
        <v>175.11299211544599</v>
      </c>
    </row>
    <row r="196" spans="1:3" x14ac:dyDescent="0.25">
      <c r="A196" t="s">
        <v>336</v>
      </c>
      <c r="B196">
        <v>4.6386071301564904</v>
      </c>
      <c r="C196">
        <v>61.801272801978101</v>
      </c>
    </row>
    <row r="197" spans="1:3" x14ac:dyDescent="0.25">
      <c r="A197" t="s">
        <v>3001</v>
      </c>
      <c r="B197">
        <v>4.6480893266931096</v>
      </c>
      <c r="C197">
        <v>380.11196816923001</v>
      </c>
    </row>
    <row r="198" spans="1:3" x14ac:dyDescent="0.25">
      <c r="A198" t="s">
        <v>2542</v>
      </c>
      <c r="B198">
        <v>4.6979157747175604</v>
      </c>
      <c r="C198">
        <v>214.254979672638</v>
      </c>
    </row>
    <row r="199" spans="1:3" x14ac:dyDescent="0.25">
      <c r="A199" t="s">
        <v>524</v>
      </c>
      <c r="B199">
        <v>4.7270418335625797</v>
      </c>
      <c r="C199">
        <v>137.669478845491</v>
      </c>
    </row>
    <row r="200" spans="1:3" x14ac:dyDescent="0.25">
      <c r="A200" t="s">
        <v>1365</v>
      </c>
      <c r="B200">
        <v>4.7321671193676096</v>
      </c>
      <c r="C200">
        <v>16.286416341278098</v>
      </c>
    </row>
    <row r="201" spans="1:3" x14ac:dyDescent="0.25">
      <c r="A201" t="s">
        <v>2269</v>
      </c>
      <c r="B201">
        <v>4.7410073319358697</v>
      </c>
      <c r="C201">
        <v>116.915240240215</v>
      </c>
    </row>
    <row r="202" spans="1:3" x14ac:dyDescent="0.25">
      <c r="A202" t="s">
        <v>3178</v>
      </c>
      <c r="B202">
        <v>4.7700421390947696</v>
      </c>
      <c r="C202">
        <v>643.52378340886401</v>
      </c>
    </row>
    <row r="203" spans="1:3" x14ac:dyDescent="0.25">
      <c r="A203" t="s">
        <v>486</v>
      </c>
      <c r="B203">
        <v>4.77571723618773</v>
      </c>
      <c r="C203">
        <v>336.75849715901302</v>
      </c>
    </row>
    <row r="204" spans="1:3" x14ac:dyDescent="0.25">
      <c r="A204" t="s">
        <v>2801</v>
      </c>
      <c r="B204">
        <v>4.7765775109001503</v>
      </c>
      <c r="C204">
        <v>64.171254377764001</v>
      </c>
    </row>
    <row r="205" spans="1:3" x14ac:dyDescent="0.25">
      <c r="A205" t="s">
        <v>2883</v>
      </c>
      <c r="B205">
        <v>4.8626068079384401</v>
      </c>
      <c r="C205">
        <v>530.23029198621805</v>
      </c>
    </row>
    <row r="206" spans="1:3" x14ac:dyDescent="0.25">
      <c r="A206" t="s">
        <v>2421</v>
      </c>
      <c r="B206">
        <v>4.9139767598092003</v>
      </c>
      <c r="C206">
        <v>58.505294259800401</v>
      </c>
    </row>
    <row r="207" spans="1:3" x14ac:dyDescent="0.25">
      <c r="A207" t="s">
        <v>2588</v>
      </c>
      <c r="B207">
        <v>5.01327302362143</v>
      </c>
      <c r="C207">
        <v>227.17927650448701</v>
      </c>
    </row>
    <row r="208" spans="1:3" x14ac:dyDescent="0.25">
      <c r="A208" t="s">
        <v>1542</v>
      </c>
      <c r="B208">
        <v>5.0276185050229802</v>
      </c>
      <c r="C208">
        <v>64.294568208074907</v>
      </c>
    </row>
    <row r="209" spans="1:3" x14ac:dyDescent="0.25">
      <c r="A209" t="s">
        <v>764</v>
      </c>
      <c r="B209">
        <v>5.04113990484844</v>
      </c>
      <c r="C209">
        <v>126.418067461874</v>
      </c>
    </row>
    <row r="210" spans="1:3" x14ac:dyDescent="0.25">
      <c r="A210" t="s">
        <v>690</v>
      </c>
      <c r="B210">
        <v>5.0894882577365799</v>
      </c>
      <c r="C210">
        <v>220.02419909363101</v>
      </c>
    </row>
    <row r="211" spans="1:3" x14ac:dyDescent="0.25">
      <c r="A211" t="s">
        <v>1888</v>
      </c>
      <c r="B211">
        <v>5.0993466384503598</v>
      </c>
      <c r="C211">
        <v>151.338683808193</v>
      </c>
    </row>
    <row r="212" spans="1:3" x14ac:dyDescent="0.25">
      <c r="A212" t="s">
        <v>1371</v>
      </c>
      <c r="B212">
        <v>5.1227846090627196</v>
      </c>
      <c r="C212">
        <v>64.990388799438094</v>
      </c>
    </row>
    <row r="213" spans="1:3" x14ac:dyDescent="0.25">
      <c r="A213" t="s">
        <v>2718</v>
      </c>
      <c r="B213">
        <v>5.1236486329368596</v>
      </c>
      <c r="C213">
        <v>119.380993726312</v>
      </c>
    </row>
    <row r="214" spans="1:3" x14ac:dyDescent="0.25">
      <c r="A214" t="s">
        <v>1375</v>
      </c>
      <c r="B214">
        <v>5.1797245698555301</v>
      </c>
      <c r="C214">
        <v>52.796994381775299</v>
      </c>
    </row>
    <row r="215" spans="1:3" x14ac:dyDescent="0.25">
      <c r="A215" t="s">
        <v>1806</v>
      </c>
      <c r="B215">
        <v>5.1957547596871496</v>
      </c>
      <c r="C215">
        <v>177.003969861087</v>
      </c>
    </row>
    <row r="216" spans="1:3" x14ac:dyDescent="0.25">
      <c r="A216" t="s">
        <v>1317</v>
      </c>
      <c r="B216">
        <v>5.2155686939890602</v>
      </c>
      <c r="C216">
        <v>79.005724152539003</v>
      </c>
    </row>
    <row r="217" spans="1:3" x14ac:dyDescent="0.25">
      <c r="A217" t="s">
        <v>2803</v>
      </c>
      <c r="B217">
        <v>5.2370236100980403</v>
      </c>
      <c r="C217">
        <v>86.762360982844697</v>
      </c>
    </row>
    <row r="218" spans="1:3" x14ac:dyDescent="0.25">
      <c r="A218" t="s">
        <v>861</v>
      </c>
      <c r="B218">
        <v>5.2458365059585796</v>
      </c>
      <c r="C218">
        <v>174.29121895823499</v>
      </c>
    </row>
    <row r="219" spans="1:3" x14ac:dyDescent="0.25">
      <c r="A219" t="s">
        <v>995</v>
      </c>
      <c r="B219">
        <v>5.2581708728040102</v>
      </c>
      <c r="C219">
        <v>31.711859829039799</v>
      </c>
    </row>
    <row r="220" spans="1:3" x14ac:dyDescent="0.25">
      <c r="A220" t="s">
        <v>456</v>
      </c>
      <c r="B220">
        <v>5.2747457905596198</v>
      </c>
      <c r="C220">
        <v>62.872880852453697</v>
      </c>
    </row>
    <row r="221" spans="1:3" x14ac:dyDescent="0.25">
      <c r="A221" t="s">
        <v>760</v>
      </c>
      <c r="B221">
        <v>5.2873877872711299</v>
      </c>
      <c r="C221">
        <v>34.446293985642797</v>
      </c>
    </row>
    <row r="222" spans="1:3" x14ac:dyDescent="0.25">
      <c r="A222" t="s">
        <v>2895</v>
      </c>
      <c r="B222">
        <v>5.2882938559859101</v>
      </c>
      <c r="C222">
        <v>153.33069129133699</v>
      </c>
    </row>
    <row r="223" spans="1:3" x14ac:dyDescent="0.25">
      <c r="A223" t="s">
        <v>1993</v>
      </c>
      <c r="B223">
        <v>5.32425966647404</v>
      </c>
      <c r="C223">
        <v>41.4659883525621</v>
      </c>
    </row>
    <row r="224" spans="1:3" x14ac:dyDescent="0.25">
      <c r="A224" t="s">
        <v>2704</v>
      </c>
      <c r="B224">
        <v>5.3248451807235799</v>
      </c>
      <c r="C224">
        <v>202.882430340295</v>
      </c>
    </row>
    <row r="225" spans="1:3" x14ac:dyDescent="0.25">
      <c r="A225" t="s">
        <v>774</v>
      </c>
      <c r="B225">
        <v>5.3586323380573102</v>
      </c>
      <c r="C225">
        <v>140.633631974899</v>
      </c>
    </row>
    <row r="226" spans="1:3" x14ac:dyDescent="0.25">
      <c r="A226" t="s">
        <v>3025</v>
      </c>
      <c r="B226">
        <v>5.3712273896614198</v>
      </c>
      <c r="C226">
        <v>286.891603545436</v>
      </c>
    </row>
    <row r="227" spans="1:3" x14ac:dyDescent="0.25">
      <c r="A227" t="s">
        <v>2897</v>
      </c>
      <c r="B227">
        <v>5.3778186759597402</v>
      </c>
      <c r="C227">
        <v>191.97520819962901</v>
      </c>
    </row>
    <row r="228" spans="1:3" x14ac:dyDescent="0.25">
      <c r="A228" t="s">
        <v>1041</v>
      </c>
      <c r="B228">
        <v>5.3811078664871204</v>
      </c>
      <c r="C228">
        <v>35.702895171844702</v>
      </c>
    </row>
    <row r="229" spans="1:3" x14ac:dyDescent="0.25">
      <c r="A229" t="s">
        <v>2508</v>
      </c>
      <c r="B229">
        <v>5.4086340497565697</v>
      </c>
      <c r="C229">
        <v>106.449378799615</v>
      </c>
    </row>
    <row r="230" spans="1:3" x14ac:dyDescent="0.25">
      <c r="A230" t="s">
        <v>855</v>
      </c>
      <c r="B230">
        <v>5.4241332524438999</v>
      </c>
      <c r="C230">
        <v>143.74878435641099</v>
      </c>
    </row>
    <row r="231" spans="1:3" x14ac:dyDescent="0.25">
      <c r="A231" t="s">
        <v>3108</v>
      </c>
      <c r="B231">
        <v>5.43454171962156</v>
      </c>
      <c r="C231">
        <v>118.500884737443</v>
      </c>
    </row>
    <row r="232" spans="1:3" x14ac:dyDescent="0.25">
      <c r="A232" t="s">
        <v>2875</v>
      </c>
      <c r="B232">
        <v>5.4495877728659501</v>
      </c>
      <c r="C232">
        <v>61.8646013727613</v>
      </c>
    </row>
    <row r="233" spans="1:3" x14ac:dyDescent="0.25">
      <c r="A233" t="s">
        <v>2706</v>
      </c>
      <c r="B233">
        <v>5.5004532048045096</v>
      </c>
      <c r="C233">
        <v>83.266649318199299</v>
      </c>
    </row>
    <row r="234" spans="1:3" x14ac:dyDescent="0.25">
      <c r="A234" t="s">
        <v>879</v>
      </c>
      <c r="B234">
        <v>5.5062601579251602</v>
      </c>
      <c r="C234">
        <v>49.080070018999898</v>
      </c>
    </row>
    <row r="235" spans="1:3" x14ac:dyDescent="0.25">
      <c r="A235" t="s">
        <v>817</v>
      </c>
      <c r="B235">
        <v>5.5182398029242199</v>
      </c>
      <c r="C235">
        <v>147.299206932988</v>
      </c>
    </row>
    <row r="236" spans="1:3" x14ac:dyDescent="0.25">
      <c r="A236" t="s">
        <v>2622</v>
      </c>
      <c r="B236">
        <v>5.5321890629012396</v>
      </c>
      <c r="C236">
        <v>82.294411518410598</v>
      </c>
    </row>
    <row r="237" spans="1:3" x14ac:dyDescent="0.25">
      <c r="A237" t="s">
        <v>270</v>
      </c>
      <c r="B237">
        <v>5.5701832179544803</v>
      </c>
      <c r="C237">
        <v>70.273521473816402</v>
      </c>
    </row>
    <row r="238" spans="1:3" x14ac:dyDescent="0.25">
      <c r="A238" t="s">
        <v>3041</v>
      </c>
      <c r="B238">
        <v>5.61869140162894</v>
      </c>
      <c r="C238">
        <v>213.030971987443</v>
      </c>
    </row>
    <row r="239" spans="1:3" x14ac:dyDescent="0.25">
      <c r="A239" t="s">
        <v>2750</v>
      </c>
      <c r="B239">
        <v>5.6229131323856603</v>
      </c>
      <c r="C239">
        <v>266.01343569670797</v>
      </c>
    </row>
    <row r="240" spans="1:3" x14ac:dyDescent="0.25">
      <c r="A240" t="s">
        <v>2949</v>
      </c>
      <c r="B240">
        <v>5.6237291909029796</v>
      </c>
      <c r="C240">
        <v>144.040714577247</v>
      </c>
    </row>
    <row r="241" spans="1:3" x14ac:dyDescent="0.25">
      <c r="A241" t="s">
        <v>408</v>
      </c>
      <c r="B241">
        <v>5.6291306793935201</v>
      </c>
      <c r="C241">
        <v>119.047114707082</v>
      </c>
    </row>
    <row r="242" spans="1:3" x14ac:dyDescent="0.25">
      <c r="A242" t="s">
        <v>2566</v>
      </c>
      <c r="B242">
        <v>5.6305586034947401</v>
      </c>
      <c r="C242">
        <v>155.851353268683</v>
      </c>
    </row>
    <row r="243" spans="1:3" x14ac:dyDescent="0.25">
      <c r="A243" t="s">
        <v>168</v>
      </c>
      <c r="B243">
        <v>5.6335911747603804</v>
      </c>
      <c r="C243">
        <v>292.73034453036701</v>
      </c>
    </row>
    <row r="244" spans="1:3" x14ac:dyDescent="0.25">
      <c r="A244" t="s">
        <v>2037</v>
      </c>
      <c r="B244">
        <v>5.6441080898403904</v>
      </c>
      <c r="C244">
        <v>67.501171618431002</v>
      </c>
    </row>
    <row r="245" spans="1:3" x14ac:dyDescent="0.25">
      <c r="A245" t="s">
        <v>2560</v>
      </c>
      <c r="B245">
        <v>5.6544623967111702</v>
      </c>
      <c r="C245">
        <v>59.221661567678403</v>
      </c>
    </row>
    <row r="246" spans="1:3" x14ac:dyDescent="0.25">
      <c r="A246" t="s">
        <v>1720</v>
      </c>
      <c r="B246">
        <v>5.6549581090719698</v>
      </c>
      <c r="C246">
        <v>138.66097056220201</v>
      </c>
    </row>
    <row r="247" spans="1:3" x14ac:dyDescent="0.25">
      <c r="A247" t="s">
        <v>2335</v>
      </c>
      <c r="B247">
        <v>5.6619959940240401</v>
      </c>
      <c r="C247">
        <v>153.15505405377701</v>
      </c>
    </row>
    <row r="248" spans="1:3" x14ac:dyDescent="0.25">
      <c r="A248" t="s">
        <v>2029</v>
      </c>
      <c r="B248">
        <v>5.67503901633963</v>
      </c>
      <c r="C248">
        <v>136.248527209408</v>
      </c>
    </row>
    <row r="249" spans="1:3" x14ac:dyDescent="0.25">
      <c r="A249" t="s">
        <v>1866</v>
      </c>
      <c r="B249">
        <v>5.6770496242448596</v>
      </c>
      <c r="C249">
        <v>90.866362977298294</v>
      </c>
    </row>
    <row r="250" spans="1:3" x14ac:dyDescent="0.25">
      <c r="A250" t="s">
        <v>2682</v>
      </c>
      <c r="B250">
        <v>5.6991691186576396</v>
      </c>
      <c r="C250">
        <v>51.5745794125055</v>
      </c>
    </row>
    <row r="251" spans="1:3" x14ac:dyDescent="0.25">
      <c r="A251" t="s">
        <v>2648</v>
      </c>
      <c r="B251">
        <v>5.7042784768582599</v>
      </c>
      <c r="C251">
        <v>100.79294105936</v>
      </c>
    </row>
    <row r="252" spans="1:3" x14ac:dyDescent="0.25">
      <c r="A252" t="s">
        <v>1337</v>
      </c>
      <c r="B252">
        <v>5.7530194367918597</v>
      </c>
      <c r="C252">
        <v>180.81415562098601</v>
      </c>
    </row>
    <row r="253" spans="1:3" x14ac:dyDescent="0.25">
      <c r="A253" t="s">
        <v>2321</v>
      </c>
      <c r="B253">
        <v>5.7920620865218604</v>
      </c>
      <c r="C253">
        <v>95.850899978002104</v>
      </c>
    </row>
    <row r="254" spans="1:3" x14ac:dyDescent="0.25">
      <c r="A254" t="s">
        <v>2919</v>
      </c>
      <c r="B254">
        <v>5.7950375009020396</v>
      </c>
      <c r="C254">
        <v>103.872188536385</v>
      </c>
    </row>
    <row r="255" spans="1:3" x14ac:dyDescent="0.25">
      <c r="A255" t="s">
        <v>2444</v>
      </c>
      <c r="B255">
        <v>5.8551929686228803</v>
      </c>
      <c r="C255">
        <v>247.89887008761801</v>
      </c>
    </row>
    <row r="256" spans="1:3" x14ac:dyDescent="0.25">
      <c r="A256" t="s">
        <v>2287</v>
      </c>
      <c r="B256">
        <v>5.8626398608654604</v>
      </c>
      <c r="C256">
        <v>27.437547991799299</v>
      </c>
    </row>
    <row r="257" spans="1:3" x14ac:dyDescent="0.25">
      <c r="A257" t="s">
        <v>64</v>
      </c>
      <c r="B257">
        <v>5.8725790073455801</v>
      </c>
      <c r="C257">
        <v>164.91227818011299</v>
      </c>
    </row>
    <row r="258" spans="1:3" x14ac:dyDescent="0.25">
      <c r="A258" t="s">
        <v>548</v>
      </c>
      <c r="B258">
        <v>5.8899308950703002</v>
      </c>
      <c r="C258">
        <v>180.02423714371599</v>
      </c>
    </row>
    <row r="259" spans="1:3" x14ac:dyDescent="0.25">
      <c r="A259" t="s">
        <v>1754</v>
      </c>
      <c r="B259">
        <v>5.9033628555897204</v>
      </c>
      <c r="C259">
        <v>58.494439337191501</v>
      </c>
    </row>
    <row r="260" spans="1:3" x14ac:dyDescent="0.25">
      <c r="A260" t="s">
        <v>2612</v>
      </c>
      <c r="B260">
        <v>5.9089749143866497</v>
      </c>
      <c r="C260">
        <v>231.182197189882</v>
      </c>
    </row>
    <row r="261" spans="1:3" x14ac:dyDescent="0.25">
      <c r="A261" t="s">
        <v>905</v>
      </c>
      <c r="B261">
        <v>5.90987388201121</v>
      </c>
      <c r="C261">
        <v>55.087546640050903</v>
      </c>
    </row>
    <row r="262" spans="1:3" x14ac:dyDescent="0.25">
      <c r="A262" t="s">
        <v>2915</v>
      </c>
      <c r="B262">
        <v>5.9465030525366398</v>
      </c>
      <c r="C262">
        <v>82.667570668489901</v>
      </c>
    </row>
    <row r="263" spans="1:3" x14ac:dyDescent="0.25">
      <c r="A263" t="s">
        <v>1037</v>
      </c>
      <c r="B263">
        <v>5.9524795538977697</v>
      </c>
      <c r="C263">
        <v>77.634358741314898</v>
      </c>
    </row>
    <row r="264" spans="1:3" x14ac:dyDescent="0.25">
      <c r="A264" t="s">
        <v>682</v>
      </c>
      <c r="B264">
        <v>5.9573127288824796</v>
      </c>
      <c r="C264">
        <v>69.261392881393405</v>
      </c>
    </row>
    <row r="265" spans="1:3" x14ac:dyDescent="0.25">
      <c r="A265" t="s">
        <v>1213</v>
      </c>
      <c r="B265">
        <v>5.9807519436891097</v>
      </c>
      <c r="C265">
        <v>91.969005685106694</v>
      </c>
    </row>
    <row r="266" spans="1:3" x14ac:dyDescent="0.25">
      <c r="A266" t="s">
        <v>1662</v>
      </c>
      <c r="B266">
        <v>6.0187598751689899</v>
      </c>
      <c r="C266">
        <v>57.5748107395315</v>
      </c>
    </row>
    <row r="267" spans="1:3" x14ac:dyDescent="0.25">
      <c r="A267" t="s">
        <v>2652</v>
      </c>
      <c r="B267">
        <v>6.0397678705096398</v>
      </c>
      <c r="C267">
        <v>62.4575788807512</v>
      </c>
    </row>
    <row r="268" spans="1:3" x14ac:dyDescent="0.25">
      <c r="A268" t="s">
        <v>2857</v>
      </c>
      <c r="B268">
        <v>6.0547142365455402</v>
      </c>
      <c r="C268">
        <v>271.017047937298</v>
      </c>
    </row>
    <row r="269" spans="1:3" x14ac:dyDescent="0.25">
      <c r="A269" t="s">
        <v>2568</v>
      </c>
      <c r="B269">
        <v>6.0738240208518999</v>
      </c>
      <c r="C269">
        <v>166.25164654927201</v>
      </c>
    </row>
    <row r="270" spans="1:3" x14ac:dyDescent="0.25">
      <c r="A270" t="s">
        <v>1874</v>
      </c>
      <c r="B270">
        <v>6.1118133544418596</v>
      </c>
      <c r="C270">
        <v>154.221693854899</v>
      </c>
    </row>
    <row r="271" spans="1:3" x14ac:dyDescent="0.25">
      <c r="A271" t="s">
        <v>927</v>
      </c>
      <c r="B271">
        <v>6.1157391963166896</v>
      </c>
      <c r="C271">
        <v>54.489177632350099</v>
      </c>
    </row>
    <row r="272" spans="1:3" x14ac:dyDescent="0.25">
      <c r="A272" t="s">
        <v>1780</v>
      </c>
      <c r="B272">
        <v>6.1341849674999303</v>
      </c>
      <c r="C272">
        <v>48.388179940841603</v>
      </c>
    </row>
    <row r="273" spans="1:3" x14ac:dyDescent="0.25">
      <c r="A273" t="s">
        <v>672</v>
      </c>
      <c r="B273">
        <v>6.1451979575537496</v>
      </c>
      <c r="C273">
        <v>86.173991304636303</v>
      </c>
    </row>
    <row r="274" spans="1:3" x14ac:dyDescent="0.25">
      <c r="A274" t="s">
        <v>1949</v>
      </c>
      <c r="B274">
        <v>6.15779818020152</v>
      </c>
      <c r="C274">
        <v>44.399257330231102</v>
      </c>
    </row>
    <row r="275" spans="1:3" x14ac:dyDescent="0.25">
      <c r="A275" t="s">
        <v>1363</v>
      </c>
      <c r="B275">
        <v>6.1811284154974002</v>
      </c>
      <c r="C275">
        <v>89.712983847281905</v>
      </c>
    </row>
    <row r="276" spans="1:3" x14ac:dyDescent="0.25">
      <c r="A276" t="s">
        <v>2393</v>
      </c>
      <c r="B276">
        <v>6.1815361643271602</v>
      </c>
      <c r="C276">
        <v>104.133801513558</v>
      </c>
    </row>
    <row r="277" spans="1:3" x14ac:dyDescent="0.25">
      <c r="A277" t="s">
        <v>2999</v>
      </c>
      <c r="B277">
        <v>6.1837403553421701</v>
      </c>
      <c r="C277">
        <v>98.705566260207505</v>
      </c>
    </row>
    <row r="278" spans="1:3" x14ac:dyDescent="0.25">
      <c r="A278" t="s">
        <v>1774</v>
      </c>
      <c r="B278">
        <v>6.2373278170216997</v>
      </c>
      <c r="C278">
        <v>102.172165519741</v>
      </c>
    </row>
    <row r="279" spans="1:3" x14ac:dyDescent="0.25">
      <c r="A279" t="s">
        <v>2468</v>
      </c>
      <c r="B279">
        <v>6.2730129020038996</v>
      </c>
      <c r="C279">
        <v>254.52854413657701</v>
      </c>
    </row>
    <row r="280" spans="1:3" x14ac:dyDescent="0.25">
      <c r="A280" t="s">
        <v>1357</v>
      </c>
      <c r="B280">
        <v>6.2783980317169403</v>
      </c>
      <c r="C280">
        <v>43.199769436153503</v>
      </c>
    </row>
    <row r="281" spans="1:3" x14ac:dyDescent="0.25">
      <c r="A281" t="s">
        <v>3150</v>
      </c>
      <c r="B281">
        <v>6.2938660230195103</v>
      </c>
      <c r="C281">
        <v>151.562453060574</v>
      </c>
    </row>
    <row r="282" spans="1:3" x14ac:dyDescent="0.25">
      <c r="A282" t="s">
        <v>2528</v>
      </c>
      <c r="B282">
        <v>6.30621342399012</v>
      </c>
      <c r="C282">
        <v>135.27979183698301</v>
      </c>
    </row>
    <row r="283" spans="1:3" x14ac:dyDescent="0.25">
      <c r="A283" t="s">
        <v>698</v>
      </c>
      <c r="B283">
        <v>6.3550224034276699</v>
      </c>
      <c r="C283">
        <v>119.047619448731</v>
      </c>
    </row>
    <row r="284" spans="1:3" x14ac:dyDescent="0.25">
      <c r="A284" t="s">
        <v>2003</v>
      </c>
      <c r="B284">
        <v>6.3985887325371698</v>
      </c>
      <c r="C284">
        <v>164.223423484639</v>
      </c>
    </row>
    <row r="285" spans="1:3" x14ac:dyDescent="0.25">
      <c r="A285" t="s">
        <v>2616</v>
      </c>
      <c r="B285">
        <v>6.4053750808047498</v>
      </c>
      <c r="C285">
        <v>73.959469822647705</v>
      </c>
    </row>
    <row r="286" spans="1:3" x14ac:dyDescent="0.25">
      <c r="A286" t="s">
        <v>338</v>
      </c>
      <c r="B286">
        <v>6.4203199508084401</v>
      </c>
      <c r="C286">
        <v>302.34898001927502</v>
      </c>
    </row>
    <row r="287" spans="1:3" x14ac:dyDescent="0.25">
      <c r="A287" t="s">
        <v>897</v>
      </c>
      <c r="B287">
        <v>6.4349827562156801</v>
      </c>
      <c r="C287">
        <v>56.300252086790003</v>
      </c>
    </row>
    <row r="288" spans="1:3" x14ac:dyDescent="0.25">
      <c r="A288" t="s">
        <v>1313</v>
      </c>
      <c r="B288">
        <v>6.5169942409564099</v>
      </c>
      <c r="C288">
        <v>48.921487403558103</v>
      </c>
    </row>
    <row r="289" spans="1:3" x14ac:dyDescent="0.25">
      <c r="A289" t="s">
        <v>2245</v>
      </c>
      <c r="B289">
        <v>6.5376521389438702</v>
      </c>
      <c r="C289">
        <v>38.375005560489498</v>
      </c>
    </row>
    <row r="290" spans="1:3" x14ac:dyDescent="0.25">
      <c r="A290" t="s">
        <v>2442</v>
      </c>
      <c r="B290">
        <v>6.5469592260444402</v>
      </c>
      <c r="C290">
        <v>191.63875076149901</v>
      </c>
    </row>
    <row r="291" spans="1:3" x14ac:dyDescent="0.25">
      <c r="A291" t="s">
        <v>1610</v>
      </c>
      <c r="B291">
        <v>6.5524020741343003</v>
      </c>
      <c r="C291">
        <v>152.09218303364</v>
      </c>
    </row>
    <row r="292" spans="1:3" x14ac:dyDescent="0.25">
      <c r="A292" t="s">
        <v>1325</v>
      </c>
      <c r="B292">
        <v>6.5844067051245903</v>
      </c>
      <c r="C292">
        <v>92.7529550728689</v>
      </c>
    </row>
    <row r="293" spans="1:3" x14ac:dyDescent="0.25">
      <c r="A293" t="s">
        <v>1554</v>
      </c>
      <c r="B293">
        <v>6.6037866103382203</v>
      </c>
      <c r="C293">
        <v>90.784109863760506</v>
      </c>
    </row>
    <row r="294" spans="1:3" x14ac:dyDescent="0.25">
      <c r="A294" t="s">
        <v>2498</v>
      </c>
      <c r="B294">
        <v>6.6062739559953503</v>
      </c>
      <c r="C294">
        <v>178.782936131372</v>
      </c>
    </row>
    <row r="295" spans="1:3" x14ac:dyDescent="0.25">
      <c r="A295" t="s">
        <v>2474</v>
      </c>
      <c r="B295">
        <v>6.6307423815211903</v>
      </c>
      <c r="C295">
        <v>99.501955501770297</v>
      </c>
    </row>
    <row r="296" spans="1:3" x14ac:dyDescent="0.25">
      <c r="A296" t="s">
        <v>2027</v>
      </c>
      <c r="B296">
        <v>6.6324696598371196</v>
      </c>
      <c r="C296">
        <v>118.87775280231099</v>
      </c>
    </row>
    <row r="297" spans="1:3" x14ac:dyDescent="0.25">
      <c r="A297" t="s">
        <v>1520</v>
      </c>
      <c r="B297">
        <v>6.6352957923041904</v>
      </c>
      <c r="C297">
        <v>34.812537454712597</v>
      </c>
    </row>
    <row r="298" spans="1:3" x14ac:dyDescent="0.25">
      <c r="A298" t="s">
        <v>1508</v>
      </c>
      <c r="B298">
        <v>6.6526547794118702</v>
      </c>
      <c r="C298">
        <v>537.26733355495605</v>
      </c>
    </row>
    <row r="299" spans="1:3" x14ac:dyDescent="0.25">
      <c r="A299" t="s">
        <v>999</v>
      </c>
      <c r="B299">
        <v>6.69886411567518</v>
      </c>
      <c r="C299">
        <v>76.144149219456494</v>
      </c>
    </row>
    <row r="300" spans="1:3" x14ac:dyDescent="0.25">
      <c r="A300" t="s">
        <v>708</v>
      </c>
      <c r="B300">
        <v>6.7429300345724998</v>
      </c>
      <c r="C300">
        <v>150.02947863678301</v>
      </c>
    </row>
    <row r="301" spans="1:3" x14ac:dyDescent="0.25">
      <c r="A301" t="s">
        <v>514</v>
      </c>
      <c r="B301">
        <v>6.7457788938933403</v>
      </c>
      <c r="C301">
        <v>131.20542850746199</v>
      </c>
    </row>
    <row r="302" spans="1:3" x14ac:dyDescent="0.25">
      <c r="A302" t="s">
        <v>464</v>
      </c>
      <c r="B302">
        <v>6.7976504823095398</v>
      </c>
      <c r="C302">
        <v>152.364444569531</v>
      </c>
    </row>
    <row r="303" spans="1:3" x14ac:dyDescent="0.25">
      <c r="A303" t="s">
        <v>2638</v>
      </c>
      <c r="B303">
        <v>6.8249188588809799</v>
      </c>
      <c r="C303">
        <v>86.999472385510998</v>
      </c>
    </row>
    <row r="304" spans="1:3" x14ac:dyDescent="0.25">
      <c r="A304" t="s">
        <v>264</v>
      </c>
      <c r="B304">
        <v>6.8265924928024297</v>
      </c>
      <c r="C304">
        <v>150.13892731748899</v>
      </c>
    </row>
    <row r="305" spans="1:3" x14ac:dyDescent="0.25">
      <c r="A305" t="s">
        <v>1756</v>
      </c>
      <c r="B305">
        <v>6.8392911219951804</v>
      </c>
      <c r="C305">
        <v>186.672011310394</v>
      </c>
    </row>
    <row r="306" spans="1:3" x14ac:dyDescent="0.25">
      <c r="A306" t="s">
        <v>132</v>
      </c>
      <c r="B306">
        <v>6.8439663336824896</v>
      </c>
      <c r="C306">
        <v>179.44451514877099</v>
      </c>
    </row>
    <row r="307" spans="1:3" x14ac:dyDescent="0.25">
      <c r="A307" t="s">
        <v>1782</v>
      </c>
      <c r="B307">
        <v>6.8840843296887204</v>
      </c>
      <c r="C307">
        <v>207.75448235501</v>
      </c>
    </row>
    <row r="308" spans="1:3" x14ac:dyDescent="0.25">
      <c r="A308" t="s">
        <v>2319</v>
      </c>
      <c r="B308">
        <v>6.9253525850756796</v>
      </c>
      <c r="C308">
        <v>163.499866527877</v>
      </c>
    </row>
    <row r="309" spans="1:3" x14ac:dyDescent="0.25">
      <c r="A309" t="s">
        <v>438</v>
      </c>
      <c r="B309">
        <v>6.93188336224617</v>
      </c>
      <c r="C309">
        <v>167.47483476582701</v>
      </c>
    </row>
    <row r="310" spans="1:3" x14ac:dyDescent="0.25">
      <c r="A310" t="s">
        <v>1432</v>
      </c>
      <c r="B310">
        <v>6.9464413613661602</v>
      </c>
      <c r="C310">
        <v>163.250679102991</v>
      </c>
    </row>
    <row r="311" spans="1:3" x14ac:dyDescent="0.25">
      <c r="A311" t="s">
        <v>963</v>
      </c>
      <c r="B311">
        <v>6.9932310580612898</v>
      </c>
      <c r="C311">
        <v>144.39480116957299</v>
      </c>
    </row>
    <row r="312" spans="1:3" x14ac:dyDescent="0.25">
      <c r="A312" t="s">
        <v>1027</v>
      </c>
      <c r="B312">
        <v>7.00431389680866</v>
      </c>
      <c r="C312">
        <v>31.085993124958399</v>
      </c>
    </row>
    <row r="313" spans="1:3" x14ac:dyDescent="0.25">
      <c r="A313" t="s">
        <v>939</v>
      </c>
      <c r="B313">
        <v>7.0312684195971702</v>
      </c>
      <c r="C313">
        <v>201.73490422548701</v>
      </c>
    </row>
    <row r="314" spans="1:3" x14ac:dyDescent="0.25">
      <c r="A314" t="s">
        <v>390</v>
      </c>
      <c r="B314">
        <v>7.04285900934702</v>
      </c>
      <c r="C314">
        <v>117.523592862001</v>
      </c>
    </row>
    <row r="315" spans="1:3" x14ac:dyDescent="0.25">
      <c r="A315" t="s">
        <v>2722</v>
      </c>
      <c r="B315">
        <v>7.0546501241413804</v>
      </c>
      <c r="C315">
        <v>154.78163146755301</v>
      </c>
    </row>
    <row r="316" spans="1:3" x14ac:dyDescent="0.25">
      <c r="A316" t="s">
        <v>2482</v>
      </c>
      <c r="B316">
        <v>7.0841804824295496</v>
      </c>
      <c r="C316">
        <v>145.102778553561</v>
      </c>
    </row>
    <row r="317" spans="1:3" x14ac:dyDescent="0.25">
      <c r="A317" t="s">
        <v>2017</v>
      </c>
      <c r="B317">
        <v>7.1617068241338204</v>
      </c>
      <c r="C317">
        <v>74.578226636312195</v>
      </c>
    </row>
    <row r="318" spans="1:3" x14ac:dyDescent="0.25">
      <c r="A318" t="s">
        <v>2079</v>
      </c>
      <c r="B318">
        <v>7.1643655624454103</v>
      </c>
      <c r="C318">
        <v>10.4073817097527</v>
      </c>
    </row>
    <row r="319" spans="1:3" x14ac:dyDescent="0.25">
      <c r="A319" t="s">
        <v>184</v>
      </c>
      <c r="B319">
        <v>7.1690408439198698</v>
      </c>
      <c r="C319">
        <v>157.236168627795</v>
      </c>
    </row>
    <row r="320" spans="1:3" x14ac:dyDescent="0.25">
      <c r="A320" t="s">
        <v>2710</v>
      </c>
      <c r="B320">
        <v>7.2679465339885798</v>
      </c>
      <c r="C320">
        <v>293.87499917545898</v>
      </c>
    </row>
    <row r="321" spans="1:3" x14ac:dyDescent="0.25">
      <c r="A321" t="s">
        <v>1969</v>
      </c>
      <c r="B321">
        <v>7.2813471681244</v>
      </c>
      <c r="C321">
        <v>59.445534391212398</v>
      </c>
    </row>
    <row r="322" spans="1:3" x14ac:dyDescent="0.25">
      <c r="A322" t="s">
        <v>274</v>
      </c>
      <c r="B322">
        <v>7.3280667524581196</v>
      </c>
      <c r="C322">
        <v>97.254933597946504</v>
      </c>
    </row>
    <row r="323" spans="1:3" x14ac:dyDescent="0.25">
      <c r="A323" t="s">
        <v>1900</v>
      </c>
      <c r="B323">
        <v>7.3482839414864403</v>
      </c>
      <c r="C323">
        <v>227.09985684770501</v>
      </c>
    </row>
    <row r="324" spans="1:3" x14ac:dyDescent="0.25">
      <c r="A324" t="s">
        <v>552</v>
      </c>
      <c r="B324">
        <v>7.3530456030681703</v>
      </c>
      <c r="C324">
        <v>27.8318690328679</v>
      </c>
    </row>
    <row r="325" spans="1:3" x14ac:dyDescent="0.25">
      <c r="A325" t="s">
        <v>2281</v>
      </c>
      <c r="B325">
        <v>7.4418725218009003</v>
      </c>
      <c r="C325">
        <v>46.201309990112797</v>
      </c>
    </row>
    <row r="326" spans="1:3" x14ac:dyDescent="0.25">
      <c r="A326" t="s">
        <v>1770</v>
      </c>
      <c r="B326">
        <v>7.4929017759832304</v>
      </c>
      <c r="C326">
        <v>335.44300837622598</v>
      </c>
    </row>
    <row r="327" spans="1:3" x14ac:dyDescent="0.25">
      <c r="A327" t="s">
        <v>756</v>
      </c>
      <c r="B327">
        <v>7.5142250006133899</v>
      </c>
      <c r="C327">
        <v>54.2293799145177</v>
      </c>
    </row>
    <row r="328" spans="1:3" x14ac:dyDescent="0.25">
      <c r="A328" t="s">
        <v>1255</v>
      </c>
      <c r="B328">
        <v>7.5386301620322298</v>
      </c>
      <c r="C328">
        <v>260.54653651964298</v>
      </c>
    </row>
    <row r="329" spans="1:3" x14ac:dyDescent="0.25">
      <c r="A329" t="s">
        <v>1069</v>
      </c>
      <c r="B329">
        <v>7.5447668298705999</v>
      </c>
      <c r="C329">
        <v>105.00707885493399</v>
      </c>
    </row>
    <row r="330" spans="1:3" x14ac:dyDescent="0.25">
      <c r="A330" t="s">
        <v>2853</v>
      </c>
      <c r="B330">
        <v>7.5490534399046902</v>
      </c>
      <c r="C330">
        <v>126.596009433837</v>
      </c>
    </row>
    <row r="331" spans="1:3" x14ac:dyDescent="0.25">
      <c r="A331" t="s">
        <v>630</v>
      </c>
      <c r="B331">
        <v>7.56867698376454</v>
      </c>
      <c r="C331">
        <v>124.251553010168</v>
      </c>
    </row>
    <row r="332" spans="1:3" x14ac:dyDescent="0.25">
      <c r="A332" t="s">
        <v>3068</v>
      </c>
      <c r="B332">
        <v>7.6238205890395401</v>
      </c>
      <c r="C332">
        <v>103.33894988160399</v>
      </c>
    </row>
    <row r="333" spans="1:3" x14ac:dyDescent="0.25">
      <c r="A333" t="s">
        <v>610</v>
      </c>
      <c r="B333">
        <v>7.7028525526033897</v>
      </c>
      <c r="C333">
        <v>31.151275980511301</v>
      </c>
    </row>
    <row r="334" spans="1:3" x14ac:dyDescent="0.25">
      <c r="A334" t="s">
        <v>807</v>
      </c>
      <c r="B334">
        <v>7.7171131604934198</v>
      </c>
      <c r="C334">
        <v>45.1645183660087</v>
      </c>
    </row>
    <row r="335" spans="1:3" x14ac:dyDescent="0.25">
      <c r="A335" t="s">
        <v>1618</v>
      </c>
      <c r="B335">
        <v>7.8424955117414301</v>
      </c>
      <c r="C335">
        <v>107.913607322958</v>
      </c>
    </row>
    <row r="336" spans="1:3" x14ac:dyDescent="0.25">
      <c r="A336" t="s">
        <v>1305</v>
      </c>
      <c r="B336">
        <v>7.8476013037008698</v>
      </c>
      <c r="C336">
        <v>200.910924229172</v>
      </c>
    </row>
    <row r="337" spans="1:3" x14ac:dyDescent="0.25">
      <c r="A337" t="s">
        <v>2389</v>
      </c>
      <c r="B337">
        <v>7.8483077939270602</v>
      </c>
      <c r="C337">
        <v>286.57439586032802</v>
      </c>
    </row>
    <row r="338" spans="1:3" x14ac:dyDescent="0.25">
      <c r="A338" t="s">
        <v>1985</v>
      </c>
      <c r="B338">
        <v>7.9121197068471396</v>
      </c>
      <c r="C338">
        <v>89.110282114090595</v>
      </c>
    </row>
    <row r="339" spans="1:3" x14ac:dyDescent="0.25">
      <c r="A339" t="s">
        <v>2656</v>
      </c>
      <c r="B339">
        <v>7.9345836490925201</v>
      </c>
      <c r="C339">
        <v>81.930970147720501</v>
      </c>
    </row>
    <row r="340" spans="1:3" x14ac:dyDescent="0.25">
      <c r="A340" t="s">
        <v>1590</v>
      </c>
      <c r="B340">
        <v>7.95697607078068</v>
      </c>
      <c r="C340">
        <v>54.891818318540601</v>
      </c>
    </row>
    <row r="341" spans="1:3" x14ac:dyDescent="0.25">
      <c r="A341" t="s">
        <v>2163</v>
      </c>
      <c r="B341">
        <v>7.9796530920303699</v>
      </c>
      <c r="C341">
        <v>310.23940763824203</v>
      </c>
    </row>
    <row r="342" spans="1:3" x14ac:dyDescent="0.25">
      <c r="A342" t="s">
        <v>2293</v>
      </c>
      <c r="B342">
        <v>7.9980355242600298</v>
      </c>
      <c r="C342">
        <v>108.155640316709</v>
      </c>
    </row>
    <row r="343" spans="1:3" x14ac:dyDescent="0.25">
      <c r="A343" t="s">
        <v>394</v>
      </c>
      <c r="B343">
        <v>8.0622924434563803</v>
      </c>
      <c r="C343">
        <v>58.002307816356399</v>
      </c>
    </row>
    <row r="344" spans="1:3" x14ac:dyDescent="0.25">
      <c r="A344" t="s">
        <v>766</v>
      </c>
      <c r="B344">
        <v>8.0655414104808401</v>
      </c>
      <c r="C344">
        <v>176.882652092684</v>
      </c>
    </row>
    <row r="345" spans="1:3" x14ac:dyDescent="0.25">
      <c r="A345" t="s">
        <v>262</v>
      </c>
      <c r="B345">
        <v>8.0742138365277807</v>
      </c>
      <c r="C345">
        <v>126.820256779586</v>
      </c>
    </row>
    <row r="346" spans="1:3" x14ac:dyDescent="0.25">
      <c r="A346" t="s">
        <v>1504</v>
      </c>
      <c r="B346">
        <v>8.0857812612400402</v>
      </c>
      <c r="C346">
        <v>468.25256105349501</v>
      </c>
    </row>
    <row r="347" spans="1:3" x14ac:dyDescent="0.25">
      <c r="A347" t="s">
        <v>1802</v>
      </c>
      <c r="B347">
        <v>8.10418539436054</v>
      </c>
      <c r="C347">
        <v>72.9716126816393</v>
      </c>
    </row>
    <row r="348" spans="1:3" x14ac:dyDescent="0.25">
      <c r="A348" t="s">
        <v>2977</v>
      </c>
      <c r="B348">
        <v>8.1133219858997805</v>
      </c>
      <c r="C348">
        <v>98.442829960391705</v>
      </c>
    </row>
    <row r="349" spans="1:3" x14ac:dyDescent="0.25">
      <c r="A349" t="s">
        <v>2758</v>
      </c>
      <c r="B349">
        <v>8.1598905270130597</v>
      </c>
      <c r="C349">
        <v>120.19868273004801</v>
      </c>
    </row>
    <row r="350" spans="1:3" x14ac:dyDescent="0.25">
      <c r="A350" t="s">
        <v>2375</v>
      </c>
      <c r="B350">
        <v>8.1627232802209004</v>
      </c>
      <c r="C350">
        <v>337.65833913752698</v>
      </c>
    </row>
    <row r="351" spans="1:3" x14ac:dyDescent="0.25">
      <c r="A351" t="s">
        <v>550</v>
      </c>
      <c r="B351">
        <v>8.1875007854344499</v>
      </c>
      <c r="C351">
        <v>288.13081170498702</v>
      </c>
    </row>
    <row r="352" spans="1:3" x14ac:dyDescent="0.25">
      <c r="A352" t="s">
        <v>1977</v>
      </c>
      <c r="B352">
        <v>8.2799983637709804</v>
      </c>
      <c r="C352">
        <v>93.206956088605807</v>
      </c>
    </row>
    <row r="353" spans="1:3" x14ac:dyDescent="0.25">
      <c r="A353" t="s">
        <v>44</v>
      </c>
      <c r="B353">
        <v>8.3050375066547701</v>
      </c>
      <c r="C353">
        <v>139.41557771477301</v>
      </c>
    </row>
    <row r="354" spans="1:3" x14ac:dyDescent="0.25">
      <c r="A354" t="s">
        <v>829</v>
      </c>
      <c r="B354">
        <v>8.3414172101802908</v>
      </c>
      <c r="C354">
        <v>129.559720874319</v>
      </c>
    </row>
    <row r="355" spans="1:3" x14ac:dyDescent="0.25">
      <c r="A355" t="s">
        <v>2754</v>
      </c>
      <c r="B355">
        <v>8.3846274425620102</v>
      </c>
      <c r="C355">
        <v>81.894242806730404</v>
      </c>
    </row>
    <row r="356" spans="1:3" x14ac:dyDescent="0.25">
      <c r="A356" t="s">
        <v>2337</v>
      </c>
      <c r="B356">
        <v>8.4003635663165195</v>
      </c>
      <c r="C356">
        <v>178.538939826361</v>
      </c>
    </row>
    <row r="357" spans="1:3" x14ac:dyDescent="0.25">
      <c r="A357" t="s">
        <v>1828</v>
      </c>
      <c r="B357">
        <v>8.4373907198202396</v>
      </c>
      <c r="C357">
        <v>383.71168895538199</v>
      </c>
    </row>
    <row r="358" spans="1:3" x14ac:dyDescent="0.25">
      <c r="A358" t="s">
        <v>1416</v>
      </c>
      <c r="B358">
        <v>8.4490173047521395</v>
      </c>
      <c r="C358">
        <v>46.875457452293297</v>
      </c>
    </row>
    <row r="359" spans="1:3" x14ac:dyDescent="0.25">
      <c r="A359" t="s">
        <v>62</v>
      </c>
      <c r="B359">
        <v>8.5261174610864696</v>
      </c>
      <c r="C359">
        <v>334.90585104408899</v>
      </c>
    </row>
    <row r="360" spans="1:3" x14ac:dyDescent="0.25">
      <c r="A360" t="s">
        <v>2989</v>
      </c>
      <c r="B360">
        <v>8.5825178728082392</v>
      </c>
      <c r="C360">
        <v>241.145848611969</v>
      </c>
    </row>
    <row r="361" spans="1:3" x14ac:dyDescent="0.25">
      <c r="A361" t="s">
        <v>2429</v>
      </c>
      <c r="B361">
        <v>8.5962664288236006</v>
      </c>
      <c r="C361">
        <v>89.096456331866804</v>
      </c>
    </row>
    <row r="362" spans="1:3" x14ac:dyDescent="0.25">
      <c r="A362" t="s">
        <v>2927</v>
      </c>
      <c r="B362">
        <v>8.6263560536903992</v>
      </c>
      <c r="C362">
        <v>152.26142148806301</v>
      </c>
    </row>
    <row r="363" spans="1:3" x14ac:dyDescent="0.25">
      <c r="A363" t="s">
        <v>1955</v>
      </c>
      <c r="B363">
        <v>8.6478645032572103</v>
      </c>
      <c r="C363">
        <v>66.930200368082893</v>
      </c>
    </row>
    <row r="364" spans="1:3" x14ac:dyDescent="0.25">
      <c r="A364" t="s">
        <v>2466</v>
      </c>
      <c r="B364">
        <v>8.6595742840991505</v>
      </c>
      <c r="C364">
        <v>132.90720443626901</v>
      </c>
    </row>
    <row r="365" spans="1:3" x14ac:dyDescent="0.25">
      <c r="A365" t="s">
        <v>2811</v>
      </c>
      <c r="B365">
        <v>8.7607719786814808</v>
      </c>
      <c r="C365">
        <v>265.11822343281699</v>
      </c>
    </row>
    <row r="366" spans="1:3" x14ac:dyDescent="0.25">
      <c r="A366" t="s">
        <v>1183</v>
      </c>
      <c r="B366">
        <v>8.8190810057565301</v>
      </c>
      <c r="C366">
        <v>528.93077282205797</v>
      </c>
    </row>
    <row r="367" spans="1:3" x14ac:dyDescent="0.25">
      <c r="A367" t="s">
        <v>772</v>
      </c>
      <c r="B367">
        <v>8.8886602138018205</v>
      </c>
      <c r="C367">
        <v>119.506603102789</v>
      </c>
    </row>
    <row r="368" spans="1:3" x14ac:dyDescent="0.25">
      <c r="A368" t="s">
        <v>1556</v>
      </c>
      <c r="B368">
        <v>8.8980832791583904</v>
      </c>
      <c r="C368">
        <v>101.542356937346</v>
      </c>
    </row>
    <row r="369" spans="1:3" x14ac:dyDescent="0.25">
      <c r="A369" t="s">
        <v>246</v>
      </c>
      <c r="B369">
        <v>8.9184684439766908</v>
      </c>
      <c r="C369">
        <v>129.043309585353</v>
      </c>
    </row>
    <row r="370" spans="1:3" x14ac:dyDescent="0.25">
      <c r="A370" t="s">
        <v>1450</v>
      </c>
      <c r="B370">
        <v>8.9395326360755796</v>
      </c>
      <c r="C370">
        <v>130.248560994971</v>
      </c>
    </row>
    <row r="371" spans="1:3" x14ac:dyDescent="0.25">
      <c r="A371" t="s">
        <v>1283</v>
      </c>
      <c r="B371">
        <v>8.9540907625539194</v>
      </c>
      <c r="C371">
        <v>89.195674164057195</v>
      </c>
    </row>
    <row r="372" spans="1:3" x14ac:dyDescent="0.25">
      <c r="A372" t="s">
        <v>3194</v>
      </c>
      <c r="B372">
        <v>8.9869562281331206</v>
      </c>
      <c r="C372">
        <v>323.21745946209899</v>
      </c>
    </row>
    <row r="373" spans="1:3" x14ac:dyDescent="0.25">
      <c r="A373" t="s">
        <v>1862</v>
      </c>
      <c r="B373">
        <v>9.0245717729265404</v>
      </c>
      <c r="C373">
        <v>72.155610985397104</v>
      </c>
    </row>
    <row r="374" spans="1:3" x14ac:dyDescent="0.25">
      <c r="A374" t="s">
        <v>2923</v>
      </c>
      <c r="B374">
        <v>9.0267858331205897</v>
      </c>
      <c r="C374">
        <v>120.146290022248</v>
      </c>
    </row>
    <row r="375" spans="1:3" x14ac:dyDescent="0.25">
      <c r="A375" t="s">
        <v>2512</v>
      </c>
      <c r="B375">
        <v>9.0702717718391792</v>
      </c>
      <c r="C375">
        <v>240.70738902111799</v>
      </c>
    </row>
    <row r="376" spans="1:3" x14ac:dyDescent="0.25">
      <c r="A376" t="s">
        <v>334</v>
      </c>
      <c r="B376">
        <v>9.0998313104270991</v>
      </c>
      <c r="C376">
        <v>200.77089009874501</v>
      </c>
    </row>
    <row r="377" spans="1:3" x14ac:dyDescent="0.25">
      <c r="A377" t="s">
        <v>2865</v>
      </c>
      <c r="B377">
        <v>9.1052259168442795</v>
      </c>
      <c r="C377">
        <v>285.02264266419201</v>
      </c>
    </row>
    <row r="378" spans="1:3" x14ac:dyDescent="0.25">
      <c r="A378" t="s">
        <v>2454</v>
      </c>
      <c r="B378">
        <v>9.1231830313284696</v>
      </c>
      <c r="C378">
        <v>394.48678775792899</v>
      </c>
    </row>
    <row r="379" spans="1:3" x14ac:dyDescent="0.25">
      <c r="A379" t="s">
        <v>2506</v>
      </c>
      <c r="B379">
        <v>9.1570379244673301</v>
      </c>
      <c r="C379">
        <v>116.61055926840299</v>
      </c>
    </row>
    <row r="380" spans="1:3" x14ac:dyDescent="0.25">
      <c r="A380" t="s">
        <v>3138</v>
      </c>
      <c r="B380">
        <v>9.1593005077983403</v>
      </c>
      <c r="C380">
        <v>118.237826337188</v>
      </c>
    </row>
    <row r="381" spans="1:3" x14ac:dyDescent="0.25">
      <c r="A381" t="s">
        <v>2221</v>
      </c>
      <c r="B381">
        <v>9.1625980732069703</v>
      </c>
      <c r="C381">
        <v>43.875879616645598</v>
      </c>
    </row>
    <row r="382" spans="1:3" x14ac:dyDescent="0.25">
      <c r="A382" t="s">
        <v>1259</v>
      </c>
      <c r="B382">
        <v>9.1798066653262893</v>
      </c>
      <c r="C382">
        <v>204.41630838820799</v>
      </c>
    </row>
    <row r="383" spans="1:3" x14ac:dyDescent="0.25">
      <c r="A383" t="s">
        <v>3054</v>
      </c>
      <c r="B383">
        <v>9.1833478518900105</v>
      </c>
      <c r="C383">
        <v>130.16351595294299</v>
      </c>
    </row>
    <row r="384" spans="1:3" x14ac:dyDescent="0.25">
      <c r="A384" t="s">
        <v>268</v>
      </c>
      <c r="B384">
        <v>9.1963984974494508</v>
      </c>
      <c r="C384">
        <v>340.77943727390101</v>
      </c>
    </row>
    <row r="385" spans="1:3" x14ac:dyDescent="0.25">
      <c r="A385" t="s">
        <v>2087</v>
      </c>
      <c r="B385">
        <v>9.2050336723933306</v>
      </c>
      <c r="C385">
        <v>289.34439495802599</v>
      </c>
    </row>
    <row r="386" spans="1:3" x14ac:dyDescent="0.25">
      <c r="A386" t="s">
        <v>2458</v>
      </c>
      <c r="B386">
        <v>9.2184515899373807</v>
      </c>
      <c r="C386">
        <v>395.51577994570403</v>
      </c>
    </row>
    <row r="387" spans="1:3" x14ac:dyDescent="0.25">
      <c r="A387" t="s">
        <v>620</v>
      </c>
      <c r="B387">
        <v>9.2605037843417506</v>
      </c>
      <c r="C387">
        <v>261.05736293385502</v>
      </c>
    </row>
    <row r="388" spans="1:3" x14ac:dyDescent="0.25">
      <c r="A388" t="s">
        <v>2239</v>
      </c>
      <c r="B388">
        <v>9.2733418582691503</v>
      </c>
      <c r="C388">
        <v>22.573770581066402</v>
      </c>
    </row>
    <row r="389" spans="1:3" x14ac:dyDescent="0.25">
      <c r="A389" t="s">
        <v>474</v>
      </c>
      <c r="B389">
        <v>9.2786080118306504</v>
      </c>
      <c r="C389">
        <v>110.340983800705</v>
      </c>
    </row>
    <row r="390" spans="1:3" x14ac:dyDescent="0.25">
      <c r="A390" t="s">
        <v>260</v>
      </c>
      <c r="B390">
        <v>9.3026937263840495</v>
      </c>
      <c r="C390">
        <v>237.595160408884</v>
      </c>
    </row>
    <row r="391" spans="1:3" x14ac:dyDescent="0.25">
      <c r="A391" t="s">
        <v>1275</v>
      </c>
      <c r="B391">
        <v>9.3063039182326595</v>
      </c>
      <c r="C391">
        <v>95.355306616005194</v>
      </c>
    </row>
    <row r="392" spans="1:3" x14ac:dyDescent="0.25">
      <c r="A392" t="s">
        <v>2925</v>
      </c>
      <c r="B392">
        <v>9.3334149494540704</v>
      </c>
      <c r="C392">
        <v>490.30867513872698</v>
      </c>
    </row>
    <row r="393" spans="1:3" x14ac:dyDescent="0.25">
      <c r="A393" t="s">
        <v>1688</v>
      </c>
      <c r="B393">
        <v>9.4256459431015305</v>
      </c>
      <c r="C393">
        <v>79.7414128113831</v>
      </c>
    </row>
    <row r="394" spans="1:3" x14ac:dyDescent="0.25">
      <c r="A394" t="s">
        <v>388</v>
      </c>
      <c r="B394">
        <v>9.4443435276887797</v>
      </c>
      <c r="C394">
        <v>143.548662741725</v>
      </c>
    </row>
    <row r="395" spans="1:3" x14ac:dyDescent="0.25">
      <c r="A395" t="s">
        <v>2947</v>
      </c>
      <c r="B395">
        <v>9.4452194967667698</v>
      </c>
      <c r="C395">
        <v>146.25226095148</v>
      </c>
    </row>
    <row r="396" spans="1:3" x14ac:dyDescent="0.25">
      <c r="A396" t="s">
        <v>2257</v>
      </c>
      <c r="B396">
        <v>9.4838994062069002</v>
      </c>
      <c r="C396">
        <v>92.743693026540697</v>
      </c>
    </row>
    <row r="397" spans="1:3" x14ac:dyDescent="0.25">
      <c r="A397" t="s">
        <v>1676</v>
      </c>
      <c r="B397">
        <v>9.4992083513682992</v>
      </c>
      <c r="C397">
        <v>157.87324529542099</v>
      </c>
    </row>
    <row r="398" spans="1:3" x14ac:dyDescent="0.25">
      <c r="A398" t="s">
        <v>3070</v>
      </c>
      <c r="B398">
        <v>9.52479582793638</v>
      </c>
      <c r="C398">
        <v>239.431034442629</v>
      </c>
    </row>
    <row r="399" spans="1:3" x14ac:dyDescent="0.25">
      <c r="A399" t="s">
        <v>3003</v>
      </c>
      <c r="B399">
        <v>9.5876073058269107</v>
      </c>
      <c r="C399">
        <v>165.091241400673</v>
      </c>
    </row>
    <row r="400" spans="1:3" x14ac:dyDescent="0.25">
      <c r="A400" t="s">
        <v>3114</v>
      </c>
      <c r="B400">
        <v>9.6331426096555806</v>
      </c>
      <c r="C400">
        <v>197.689339839372</v>
      </c>
    </row>
    <row r="401" spans="1:3" x14ac:dyDescent="0.25">
      <c r="A401" t="s">
        <v>1734</v>
      </c>
      <c r="B401">
        <v>9.6954647623503707</v>
      </c>
      <c r="C401">
        <v>41.058923062410003</v>
      </c>
    </row>
    <row r="402" spans="1:3" x14ac:dyDescent="0.25">
      <c r="A402" t="s">
        <v>2666</v>
      </c>
      <c r="B402">
        <v>9.7346761752097599</v>
      </c>
      <c r="C402">
        <v>106.419327628716</v>
      </c>
    </row>
    <row r="403" spans="1:3" x14ac:dyDescent="0.25">
      <c r="A403" t="s">
        <v>2225</v>
      </c>
      <c r="B403">
        <v>9.7396653431869709</v>
      </c>
      <c r="C403">
        <v>119.294970253912</v>
      </c>
    </row>
    <row r="404" spans="1:3" x14ac:dyDescent="0.25">
      <c r="A404" t="s">
        <v>746</v>
      </c>
      <c r="B404">
        <v>9.7511694344194098</v>
      </c>
      <c r="C404">
        <v>252.691058553083</v>
      </c>
    </row>
    <row r="405" spans="1:3" x14ac:dyDescent="0.25">
      <c r="A405" t="s">
        <v>871</v>
      </c>
      <c r="B405">
        <v>9.7563545364089901</v>
      </c>
      <c r="C405">
        <v>105.34489541961</v>
      </c>
    </row>
    <row r="406" spans="1:3" x14ac:dyDescent="0.25">
      <c r="A406" t="s">
        <v>2203</v>
      </c>
      <c r="B406">
        <v>9.7892920606962992</v>
      </c>
      <c r="C406">
        <v>60.867274396099504</v>
      </c>
    </row>
    <row r="407" spans="1:3" x14ac:dyDescent="0.25">
      <c r="A407" t="s">
        <v>304</v>
      </c>
      <c r="B407">
        <v>9.8271379565238206</v>
      </c>
      <c r="C407">
        <v>157.07388092023999</v>
      </c>
    </row>
    <row r="408" spans="1:3" x14ac:dyDescent="0.25">
      <c r="A408" t="s">
        <v>1496</v>
      </c>
      <c r="B408">
        <v>9.9422573185589798</v>
      </c>
      <c r="C408">
        <v>125.789210379945</v>
      </c>
    </row>
    <row r="409" spans="1:3" x14ac:dyDescent="0.25">
      <c r="A409" t="s">
        <v>68</v>
      </c>
      <c r="B409">
        <v>9.9623103281853904</v>
      </c>
      <c r="C409">
        <v>58.357323868854799</v>
      </c>
    </row>
    <row r="410" spans="1:3" x14ac:dyDescent="0.25">
      <c r="A410" t="s">
        <v>700</v>
      </c>
      <c r="B410">
        <v>9.9767806973695201</v>
      </c>
      <c r="C410">
        <v>392.43167999921002</v>
      </c>
    </row>
    <row r="411" spans="1:3" x14ac:dyDescent="0.25">
      <c r="A411" t="s">
        <v>556</v>
      </c>
      <c r="B411">
        <v>9.9778588523493994</v>
      </c>
      <c r="C411">
        <v>140.24515552149299</v>
      </c>
    </row>
    <row r="412" spans="1:3" x14ac:dyDescent="0.25">
      <c r="A412" t="s">
        <v>1243</v>
      </c>
      <c r="B412">
        <v>9.9897412496238207</v>
      </c>
      <c r="C412">
        <v>202.06107016488701</v>
      </c>
    </row>
    <row r="413" spans="1:3" x14ac:dyDescent="0.25">
      <c r="A413" t="s">
        <v>887</v>
      </c>
      <c r="B413">
        <v>9.9999344496136899</v>
      </c>
      <c r="C413">
        <v>332.19222194310498</v>
      </c>
    </row>
    <row r="414" spans="1:3" x14ac:dyDescent="0.25">
      <c r="A414" t="s">
        <v>1073</v>
      </c>
      <c r="B414">
        <v>10.014381768069899</v>
      </c>
      <c r="C414">
        <v>890.72050862349204</v>
      </c>
    </row>
    <row r="415" spans="1:3" x14ac:dyDescent="0.25">
      <c r="A415" t="s">
        <v>1925</v>
      </c>
      <c r="B415">
        <v>10.024325244127599</v>
      </c>
      <c r="C415">
        <v>353.57645430041998</v>
      </c>
    </row>
    <row r="416" spans="1:3" x14ac:dyDescent="0.25">
      <c r="A416" t="s">
        <v>754</v>
      </c>
      <c r="B416">
        <v>10.1044138745417</v>
      </c>
      <c r="C416">
        <v>195.76960921178099</v>
      </c>
    </row>
    <row r="417" spans="1:3" x14ac:dyDescent="0.25">
      <c r="A417" t="s">
        <v>2680</v>
      </c>
      <c r="B417">
        <v>10.1258231133772</v>
      </c>
      <c r="C417">
        <v>100.580944991447</v>
      </c>
    </row>
    <row r="418" spans="1:3" x14ac:dyDescent="0.25">
      <c r="A418" t="s">
        <v>1165</v>
      </c>
      <c r="B418">
        <v>10.1267557854198</v>
      </c>
      <c r="C418">
        <v>28.687901350504301</v>
      </c>
    </row>
    <row r="419" spans="1:3" x14ac:dyDescent="0.25">
      <c r="A419" t="s">
        <v>3132</v>
      </c>
      <c r="B419">
        <v>10.1372713206699</v>
      </c>
      <c r="C419">
        <v>447.63569457807699</v>
      </c>
    </row>
    <row r="420" spans="1:3" x14ac:dyDescent="0.25">
      <c r="A420" t="s">
        <v>462</v>
      </c>
      <c r="B420">
        <v>10.1954466389065</v>
      </c>
      <c r="C420">
        <v>54.535286105382902</v>
      </c>
    </row>
    <row r="421" spans="1:3" x14ac:dyDescent="0.25">
      <c r="A421" t="s">
        <v>1209</v>
      </c>
      <c r="B421">
        <v>10.2013603040939</v>
      </c>
      <c r="C421">
        <v>252.122852216306</v>
      </c>
    </row>
    <row r="422" spans="1:3" x14ac:dyDescent="0.25">
      <c r="A422" t="s">
        <v>728</v>
      </c>
      <c r="B422">
        <v>10.243426081172499</v>
      </c>
      <c r="C422">
        <v>57.729019057709102</v>
      </c>
    </row>
    <row r="423" spans="1:3" x14ac:dyDescent="0.25">
      <c r="A423" t="s">
        <v>1790</v>
      </c>
      <c r="B423">
        <v>10.2500878675162</v>
      </c>
      <c r="C423">
        <v>89.181674684161095</v>
      </c>
    </row>
    <row r="424" spans="1:3" x14ac:dyDescent="0.25">
      <c r="A424" t="s">
        <v>1788</v>
      </c>
      <c r="B424">
        <v>10.281794088347301</v>
      </c>
      <c r="C424">
        <v>176.935804219857</v>
      </c>
    </row>
    <row r="425" spans="1:3" x14ac:dyDescent="0.25">
      <c r="A425" t="s">
        <v>656</v>
      </c>
      <c r="B425">
        <v>10.284783640569399</v>
      </c>
      <c r="C425">
        <v>362.43931566683898</v>
      </c>
    </row>
    <row r="426" spans="1:3" x14ac:dyDescent="0.25">
      <c r="A426" t="s">
        <v>2672</v>
      </c>
      <c r="B426">
        <v>10.2862489813542</v>
      </c>
      <c r="C426">
        <v>107.089247026835</v>
      </c>
    </row>
    <row r="427" spans="1:3" x14ac:dyDescent="0.25">
      <c r="A427" t="s">
        <v>3101</v>
      </c>
      <c r="B427">
        <v>10.3055469295814</v>
      </c>
      <c r="C427">
        <v>408.517181687169</v>
      </c>
    </row>
    <row r="428" spans="1:3" x14ac:dyDescent="0.25">
      <c r="A428" t="s">
        <v>3120</v>
      </c>
      <c r="B428">
        <v>10.330044351632299</v>
      </c>
      <c r="C428">
        <v>169.32597798107699</v>
      </c>
    </row>
    <row r="429" spans="1:3" x14ac:dyDescent="0.25">
      <c r="A429" t="s">
        <v>3222</v>
      </c>
      <c r="B429">
        <v>10.4189614833832</v>
      </c>
      <c r="C429">
        <v>193.21205264556701</v>
      </c>
    </row>
    <row r="430" spans="1:3" x14ac:dyDescent="0.25">
      <c r="A430" t="s">
        <v>2598</v>
      </c>
      <c r="B430">
        <v>10.4267878151636</v>
      </c>
      <c r="C430">
        <v>227.50154380764701</v>
      </c>
    </row>
    <row r="431" spans="1:3" x14ac:dyDescent="0.25">
      <c r="A431" t="s">
        <v>1870</v>
      </c>
      <c r="B431">
        <v>10.442007164979801</v>
      </c>
      <c r="C431">
        <v>158.61148890561401</v>
      </c>
    </row>
    <row r="432" spans="1:3" x14ac:dyDescent="0.25">
      <c r="A432" t="s">
        <v>1562</v>
      </c>
      <c r="B432">
        <v>10.453052007702899</v>
      </c>
      <c r="C432">
        <v>335.93970555966399</v>
      </c>
    </row>
    <row r="433" spans="1:3" x14ac:dyDescent="0.25">
      <c r="A433" t="s">
        <v>3017</v>
      </c>
      <c r="B433">
        <v>10.515077784307699</v>
      </c>
      <c r="C433">
        <v>237.110558265012</v>
      </c>
    </row>
    <row r="434" spans="1:3" x14ac:dyDescent="0.25">
      <c r="A434" t="s">
        <v>2023</v>
      </c>
      <c r="B434">
        <v>10.538076926962299</v>
      </c>
      <c r="C434">
        <v>42.230644021578598</v>
      </c>
    </row>
    <row r="435" spans="1:3" x14ac:dyDescent="0.25">
      <c r="A435" t="s">
        <v>2556</v>
      </c>
      <c r="B435">
        <v>10.5517568315007</v>
      </c>
      <c r="C435">
        <v>141.22446276311999</v>
      </c>
    </row>
    <row r="436" spans="1:3" x14ac:dyDescent="0.25">
      <c r="A436" t="s">
        <v>951</v>
      </c>
      <c r="B436">
        <v>10.562648601288</v>
      </c>
      <c r="C436">
        <v>93.319514910439196</v>
      </c>
    </row>
    <row r="437" spans="1:3" x14ac:dyDescent="0.25">
      <c r="A437" t="s">
        <v>2045</v>
      </c>
      <c r="B437">
        <v>10.608229715317499</v>
      </c>
      <c r="C437">
        <v>244.52843558695801</v>
      </c>
    </row>
    <row r="438" spans="1:3" x14ac:dyDescent="0.25">
      <c r="A438" t="s">
        <v>628</v>
      </c>
      <c r="B438">
        <v>10.7069579667788</v>
      </c>
      <c r="C438">
        <v>70.474517836118295</v>
      </c>
    </row>
    <row r="439" spans="1:3" x14ac:dyDescent="0.25">
      <c r="A439" t="s">
        <v>86</v>
      </c>
      <c r="B439">
        <v>10.740192288122399</v>
      </c>
      <c r="C439">
        <v>359.74632570250202</v>
      </c>
    </row>
    <row r="440" spans="1:3" x14ac:dyDescent="0.25">
      <c r="A440" t="s">
        <v>2887</v>
      </c>
      <c r="B440">
        <v>10.760719259626001</v>
      </c>
      <c r="C440">
        <v>428.15735748570899</v>
      </c>
    </row>
    <row r="441" spans="1:3" x14ac:dyDescent="0.25">
      <c r="A441" t="s">
        <v>450</v>
      </c>
      <c r="B441">
        <v>10.7747487250346</v>
      </c>
      <c r="C441">
        <v>503.23245196878702</v>
      </c>
    </row>
    <row r="442" spans="1:3" x14ac:dyDescent="0.25">
      <c r="A442" t="s">
        <v>1460</v>
      </c>
      <c r="B442">
        <v>10.7755154956007</v>
      </c>
      <c r="C442">
        <v>49.509054330723899</v>
      </c>
    </row>
    <row r="443" spans="1:3" x14ac:dyDescent="0.25">
      <c r="A443" t="s">
        <v>2263</v>
      </c>
      <c r="B443">
        <v>10.7905759176539</v>
      </c>
      <c r="C443">
        <v>64.175567737243895</v>
      </c>
    </row>
    <row r="444" spans="1:3" x14ac:dyDescent="0.25">
      <c r="A444" t="s">
        <v>710</v>
      </c>
      <c r="B444">
        <v>10.795724607974901</v>
      </c>
      <c r="C444">
        <v>168.66540183830901</v>
      </c>
    </row>
    <row r="445" spans="1:3" x14ac:dyDescent="0.25">
      <c r="A445" t="s">
        <v>432</v>
      </c>
      <c r="B445">
        <v>10.809634088156701</v>
      </c>
      <c r="C445">
        <v>181.710534816105</v>
      </c>
    </row>
    <row r="446" spans="1:3" x14ac:dyDescent="0.25">
      <c r="A446" t="s">
        <v>827</v>
      </c>
      <c r="B446">
        <v>10.849578554826</v>
      </c>
      <c r="C446">
        <v>104.68970288292201</v>
      </c>
    </row>
    <row r="447" spans="1:3" x14ac:dyDescent="0.25">
      <c r="A447" t="s">
        <v>1582</v>
      </c>
      <c r="B447">
        <v>10.8524104611946</v>
      </c>
      <c r="C447">
        <v>549.19787374268901</v>
      </c>
    </row>
    <row r="448" spans="1:3" x14ac:dyDescent="0.25">
      <c r="A448" t="s">
        <v>2572</v>
      </c>
      <c r="B448">
        <v>10.9235634967688</v>
      </c>
      <c r="C448">
        <v>165.672620260543</v>
      </c>
    </row>
    <row r="449" spans="1:3" x14ac:dyDescent="0.25">
      <c r="A449" t="s">
        <v>2734</v>
      </c>
      <c r="B449">
        <v>10.947828933621</v>
      </c>
      <c r="C449">
        <v>199.252442389077</v>
      </c>
    </row>
    <row r="450" spans="1:3" x14ac:dyDescent="0.25">
      <c r="A450" t="s">
        <v>92</v>
      </c>
      <c r="B450">
        <v>11.0329073423992</v>
      </c>
      <c r="C450">
        <v>33.8272600978786</v>
      </c>
    </row>
    <row r="451" spans="1:3" x14ac:dyDescent="0.25">
      <c r="A451" t="s">
        <v>2409</v>
      </c>
      <c r="B451">
        <v>11.0507189800167</v>
      </c>
      <c r="C451">
        <v>60.820254069387502</v>
      </c>
    </row>
    <row r="452" spans="1:3" x14ac:dyDescent="0.25">
      <c r="A452" t="s">
        <v>2694</v>
      </c>
      <c r="B452">
        <v>11.0546887414121</v>
      </c>
      <c r="C452">
        <v>146.46695423532501</v>
      </c>
    </row>
    <row r="453" spans="1:3" x14ac:dyDescent="0.25">
      <c r="A453" t="s">
        <v>2067</v>
      </c>
      <c r="B453">
        <v>11.0674957877333</v>
      </c>
      <c r="C453">
        <v>254.44882386856801</v>
      </c>
    </row>
    <row r="454" spans="1:3" x14ac:dyDescent="0.25">
      <c r="A454" t="s">
        <v>835</v>
      </c>
      <c r="B454">
        <v>11.0769707574609</v>
      </c>
      <c r="C454">
        <v>87.538795810470106</v>
      </c>
    </row>
    <row r="455" spans="1:3" x14ac:dyDescent="0.25">
      <c r="A455" t="s">
        <v>1864</v>
      </c>
      <c r="B455">
        <v>11.089594049806101</v>
      </c>
      <c r="C455">
        <v>70.7786584157231</v>
      </c>
    </row>
    <row r="456" spans="1:3" x14ac:dyDescent="0.25">
      <c r="A456" t="s">
        <v>1237</v>
      </c>
      <c r="B456">
        <v>11.1150880045432</v>
      </c>
      <c r="C456">
        <v>69.340806756397996</v>
      </c>
    </row>
    <row r="457" spans="1:3" x14ac:dyDescent="0.25">
      <c r="A457" t="s">
        <v>654</v>
      </c>
      <c r="B457">
        <v>11.1415826921949</v>
      </c>
      <c r="C457">
        <v>225.55612463087201</v>
      </c>
    </row>
    <row r="458" spans="1:3" x14ac:dyDescent="0.25">
      <c r="A458" t="s">
        <v>3039</v>
      </c>
      <c r="B458">
        <v>11.175135241644099</v>
      </c>
      <c r="C458">
        <v>113.825182058425</v>
      </c>
    </row>
    <row r="459" spans="1:3" x14ac:dyDescent="0.25">
      <c r="A459" t="s">
        <v>1650</v>
      </c>
      <c r="B459">
        <v>11.1839365755239</v>
      </c>
      <c r="C459">
        <v>75.185955378424595</v>
      </c>
    </row>
    <row r="460" spans="1:3" x14ac:dyDescent="0.25">
      <c r="A460" t="s">
        <v>1261</v>
      </c>
      <c r="B460">
        <v>11.2059709378058</v>
      </c>
      <c r="C460">
        <v>200.81207220386</v>
      </c>
    </row>
    <row r="461" spans="1:3" x14ac:dyDescent="0.25">
      <c r="A461" t="s">
        <v>2873</v>
      </c>
      <c r="B461">
        <v>11.2639556485524</v>
      </c>
      <c r="C461">
        <v>167.89662454173501</v>
      </c>
    </row>
    <row r="462" spans="1:3" x14ac:dyDescent="0.25">
      <c r="A462" t="s">
        <v>1157</v>
      </c>
      <c r="B462">
        <v>11.287840326968</v>
      </c>
      <c r="C462">
        <v>225.32713505195301</v>
      </c>
    </row>
    <row r="463" spans="1:3" x14ac:dyDescent="0.25">
      <c r="A463" t="s">
        <v>720</v>
      </c>
      <c r="B463">
        <v>11.303743163844199</v>
      </c>
      <c r="C463">
        <v>170.978268384236</v>
      </c>
    </row>
    <row r="464" spans="1:3" x14ac:dyDescent="0.25">
      <c r="A464" t="s">
        <v>1438</v>
      </c>
      <c r="B464">
        <v>11.350341169580201</v>
      </c>
      <c r="C464">
        <v>100.55596678952401</v>
      </c>
    </row>
    <row r="465" spans="1:3" x14ac:dyDescent="0.25">
      <c r="A465" t="s">
        <v>3060</v>
      </c>
      <c r="B465">
        <v>11.389279895465201</v>
      </c>
      <c r="C465">
        <v>443.05305630658597</v>
      </c>
    </row>
    <row r="466" spans="1:3" x14ac:dyDescent="0.25">
      <c r="A466" t="s">
        <v>1351</v>
      </c>
      <c r="B466">
        <v>11.4330784912803</v>
      </c>
      <c r="C466">
        <v>245.58519517934101</v>
      </c>
    </row>
    <row r="467" spans="1:3" x14ac:dyDescent="0.25">
      <c r="A467" t="s">
        <v>2929</v>
      </c>
      <c r="B467">
        <v>11.433496662104099</v>
      </c>
      <c r="C467">
        <v>103.85166127386</v>
      </c>
    </row>
    <row r="468" spans="1:3" x14ac:dyDescent="0.25">
      <c r="A468" t="s">
        <v>670</v>
      </c>
      <c r="B468">
        <v>11.444583305777799</v>
      </c>
      <c r="C468">
        <v>57.082214711121402</v>
      </c>
    </row>
    <row r="469" spans="1:3" x14ac:dyDescent="0.25">
      <c r="A469" t="s">
        <v>2907</v>
      </c>
      <c r="B469">
        <v>11.466038238243099</v>
      </c>
      <c r="C469">
        <v>173.875662190806</v>
      </c>
    </row>
    <row r="470" spans="1:3" x14ac:dyDescent="0.25">
      <c r="A470" t="s">
        <v>1652</v>
      </c>
      <c r="B470">
        <v>11.485566824756599</v>
      </c>
      <c r="C470">
        <v>78.577609572693504</v>
      </c>
    </row>
    <row r="471" spans="1:3" x14ac:dyDescent="0.25">
      <c r="A471" t="s">
        <v>400</v>
      </c>
      <c r="B471">
        <v>11.5066483227641</v>
      </c>
      <c r="C471">
        <v>116.911773532399</v>
      </c>
    </row>
    <row r="472" spans="1:3" x14ac:dyDescent="0.25">
      <c r="A472" t="s">
        <v>2670</v>
      </c>
      <c r="B472">
        <v>11.5257380637418</v>
      </c>
      <c r="C472">
        <v>95.300021141306402</v>
      </c>
    </row>
    <row r="473" spans="1:3" x14ac:dyDescent="0.25">
      <c r="A473" t="s">
        <v>1343</v>
      </c>
      <c r="B473">
        <v>11.598691808342901</v>
      </c>
      <c r="C473">
        <v>258.79326924304303</v>
      </c>
    </row>
    <row r="474" spans="1:3" x14ac:dyDescent="0.25">
      <c r="A474" t="s">
        <v>1468</v>
      </c>
      <c r="B474">
        <v>11.6268919730049</v>
      </c>
      <c r="C474">
        <v>170.776776000588</v>
      </c>
    </row>
    <row r="475" spans="1:3" x14ac:dyDescent="0.25">
      <c r="A475" t="s">
        <v>2133</v>
      </c>
      <c r="B475">
        <v>11.6345138781916</v>
      </c>
      <c r="C475">
        <v>210.06863828493599</v>
      </c>
    </row>
    <row r="476" spans="1:3" x14ac:dyDescent="0.25">
      <c r="A476" t="s">
        <v>1674</v>
      </c>
      <c r="B476">
        <v>11.6484938480775</v>
      </c>
      <c r="C476">
        <v>55.4940419499098</v>
      </c>
    </row>
    <row r="477" spans="1:3" x14ac:dyDescent="0.25">
      <c r="A477" t="s">
        <v>566</v>
      </c>
      <c r="B477">
        <v>11.725850216585499</v>
      </c>
      <c r="C477">
        <v>581.63145555478502</v>
      </c>
    </row>
    <row r="478" spans="1:3" x14ac:dyDescent="0.25">
      <c r="A478" t="s">
        <v>2995</v>
      </c>
      <c r="B478">
        <v>11.749937367142101</v>
      </c>
      <c r="C478">
        <v>227.368248914248</v>
      </c>
    </row>
    <row r="479" spans="1:3" x14ac:dyDescent="0.25">
      <c r="A479" t="s">
        <v>2357</v>
      </c>
      <c r="B479">
        <v>11.752441486595799</v>
      </c>
      <c r="C479">
        <v>169.25760315352699</v>
      </c>
    </row>
    <row r="480" spans="1:3" x14ac:dyDescent="0.25">
      <c r="A480" t="s">
        <v>1816</v>
      </c>
      <c r="B480">
        <v>11.773908662335201</v>
      </c>
      <c r="C480">
        <v>73.656529411945698</v>
      </c>
    </row>
    <row r="481" spans="1:3" x14ac:dyDescent="0.25">
      <c r="A481" t="s">
        <v>3117</v>
      </c>
      <c r="B481">
        <v>11.812871640812499</v>
      </c>
      <c r="C481">
        <v>264.05531110501801</v>
      </c>
    </row>
    <row r="482" spans="1:3" x14ac:dyDescent="0.25">
      <c r="A482" t="s">
        <v>128</v>
      </c>
      <c r="B482">
        <v>11.835085425458701</v>
      </c>
      <c r="C482">
        <v>132.30657842536701</v>
      </c>
    </row>
    <row r="483" spans="1:3" x14ac:dyDescent="0.25">
      <c r="A483" t="s">
        <v>1071</v>
      </c>
      <c r="B483">
        <v>11.8815017391984</v>
      </c>
      <c r="C483">
        <v>91.707669740583398</v>
      </c>
    </row>
    <row r="484" spans="1:3" x14ac:dyDescent="0.25">
      <c r="A484" t="s">
        <v>272</v>
      </c>
      <c r="B484">
        <v>11.8838813037991</v>
      </c>
      <c r="C484">
        <v>287.59210520924898</v>
      </c>
    </row>
    <row r="485" spans="1:3" x14ac:dyDescent="0.25">
      <c r="A485" t="s">
        <v>678</v>
      </c>
      <c r="B485">
        <v>11.8867593694874</v>
      </c>
      <c r="C485">
        <v>298.33931599766299</v>
      </c>
    </row>
    <row r="486" spans="1:3" x14ac:dyDescent="0.25">
      <c r="A486" t="s">
        <v>2983</v>
      </c>
      <c r="B486">
        <v>11.8871622999482</v>
      </c>
      <c r="C486">
        <v>213.527443866102</v>
      </c>
    </row>
    <row r="487" spans="1:3" x14ac:dyDescent="0.25">
      <c r="A487" t="s">
        <v>1911</v>
      </c>
      <c r="B487">
        <v>11.8961879961427</v>
      </c>
      <c r="C487">
        <v>67.419535768197207</v>
      </c>
    </row>
    <row r="488" spans="1:3" x14ac:dyDescent="0.25">
      <c r="A488" t="s">
        <v>222</v>
      </c>
      <c r="B488">
        <v>11.8984546490121</v>
      </c>
      <c r="C488">
        <v>134.52954241650801</v>
      </c>
    </row>
    <row r="489" spans="1:3" x14ac:dyDescent="0.25">
      <c r="A489" t="s">
        <v>374</v>
      </c>
      <c r="B489">
        <v>11.936893934848399</v>
      </c>
      <c r="C489">
        <v>86.815144043570299</v>
      </c>
    </row>
    <row r="490" spans="1:3" x14ac:dyDescent="0.25">
      <c r="A490" t="s">
        <v>2809</v>
      </c>
      <c r="B490">
        <v>11.9652427313709</v>
      </c>
      <c r="C490">
        <v>254.85194779909199</v>
      </c>
    </row>
    <row r="491" spans="1:3" x14ac:dyDescent="0.25">
      <c r="A491" t="s">
        <v>188</v>
      </c>
      <c r="B491">
        <v>12.0262521360018</v>
      </c>
      <c r="C491">
        <v>379.00602885960598</v>
      </c>
    </row>
    <row r="492" spans="1:3" x14ac:dyDescent="0.25">
      <c r="A492" t="s">
        <v>164</v>
      </c>
      <c r="B492">
        <v>12.0473603759678</v>
      </c>
      <c r="C492">
        <v>19.781583025644899</v>
      </c>
    </row>
    <row r="493" spans="1:3" x14ac:dyDescent="0.25">
      <c r="A493" t="s">
        <v>2997</v>
      </c>
      <c r="B493">
        <v>12.100216691964601</v>
      </c>
      <c r="C493">
        <v>126.884129820883</v>
      </c>
    </row>
    <row r="494" spans="1:3" x14ac:dyDescent="0.25">
      <c r="A494" t="s">
        <v>1456</v>
      </c>
      <c r="B494">
        <v>12.1770956646383</v>
      </c>
      <c r="C494">
        <v>243.93423603444501</v>
      </c>
    </row>
    <row r="495" spans="1:3" x14ac:dyDescent="0.25">
      <c r="A495" t="s">
        <v>3140</v>
      </c>
      <c r="B495">
        <v>12.18088346273</v>
      </c>
      <c r="C495">
        <v>284.492540974012</v>
      </c>
    </row>
    <row r="496" spans="1:3" x14ac:dyDescent="0.25">
      <c r="A496" t="s">
        <v>777</v>
      </c>
      <c r="B496">
        <v>12.22883443001</v>
      </c>
      <c r="C496">
        <v>154.46086019017301</v>
      </c>
    </row>
    <row r="497" spans="1:3" x14ac:dyDescent="0.25">
      <c r="A497" t="s">
        <v>1588</v>
      </c>
      <c r="B497">
        <v>12.2660130993998</v>
      </c>
      <c r="C497">
        <v>87.9741985335599</v>
      </c>
    </row>
    <row r="498" spans="1:3" x14ac:dyDescent="0.25">
      <c r="A498" t="s">
        <v>1067</v>
      </c>
      <c r="B498">
        <v>12.3307344468629</v>
      </c>
      <c r="C498">
        <v>163.67489271488299</v>
      </c>
    </row>
    <row r="499" spans="1:3" x14ac:dyDescent="0.25">
      <c r="A499" t="s">
        <v>724</v>
      </c>
      <c r="B499">
        <v>12.366393367808501</v>
      </c>
      <c r="C499">
        <v>53.197915363284302</v>
      </c>
    </row>
    <row r="500" spans="1:3" x14ac:dyDescent="0.25">
      <c r="A500" t="s">
        <v>1181</v>
      </c>
      <c r="B500">
        <v>12.374970689661</v>
      </c>
      <c r="C500">
        <v>277.74218759822202</v>
      </c>
    </row>
    <row r="501" spans="1:3" x14ac:dyDescent="0.25">
      <c r="A501" t="s">
        <v>1341</v>
      </c>
      <c r="B501">
        <v>12.405623469013699</v>
      </c>
      <c r="C501">
        <v>94.3350748078809</v>
      </c>
    </row>
    <row r="502" spans="1:3" x14ac:dyDescent="0.25">
      <c r="A502" t="s">
        <v>2744</v>
      </c>
      <c r="B502">
        <v>12.4210188377441</v>
      </c>
      <c r="C502">
        <v>154.49008091560299</v>
      </c>
    </row>
    <row r="503" spans="1:3" x14ac:dyDescent="0.25">
      <c r="A503" t="s">
        <v>2827</v>
      </c>
      <c r="B503">
        <v>12.4783075442081</v>
      </c>
      <c r="C503">
        <v>608.85417531858798</v>
      </c>
    </row>
    <row r="504" spans="1:3" x14ac:dyDescent="0.25">
      <c r="A504" t="s">
        <v>392</v>
      </c>
      <c r="B504">
        <v>12.5208499598159</v>
      </c>
      <c r="C504">
        <v>99.432220415281606</v>
      </c>
    </row>
    <row r="505" spans="1:3" x14ac:dyDescent="0.25">
      <c r="A505" t="s">
        <v>1287</v>
      </c>
      <c r="B505">
        <v>12.5603593443235</v>
      </c>
      <c r="C505">
        <v>276.75545257493297</v>
      </c>
    </row>
    <row r="506" spans="1:3" x14ac:dyDescent="0.25">
      <c r="A506" t="s">
        <v>3045</v>
      </c>
      <c r="B506">
        <v>12.630610908908301</v>
      </c>
      <c r="C506">
        <v>351.45015133727202</v>
      </c>
    </row>
    <row r="507" spans="1:3" x14ac:dyDescent="0.25">
      <c r="A507" t="s">
        <v>2969</v>
      </c>
      <c r="B507">
        <v>12.6316054094385</v>
      </c>
      <c r="C507">
        <v>286.66629515607599</v>
      </c>
    </row>
    <row r="508" spans="1:3" x14ac:dyDescent="0.25">
      <c r="A508" t="s">
        <v>492</v>
      </c>
      <c r="B508">
        <v>12.7604896069461</v>
      </c>
      <c r="C508">
        <v>166.55844344840401</v>
      </c>
    </row>
    <row r="509" spans="1:3" x14ac:dyDescent="0.25">
      <c r="A509" t="s">
        <v>2323</v>
      </c>
      <c r="B509">
        <v>12.8126902221917</v>
      </c>
      <c r="C509">
        <v>124.508572878368</v>
      </c>
    </row>
    <row r="510" spans="1:3" x14ac:dyDescent="0.25">
      <c r="A510" t="s">
        <v>1876</v>
      </c>
      <c r="B510">
        <v>12.8174786618494</v>
      </c>
      <c r="C510">
        <v>218.11325570544099</v>
      </c>
    </row>
    <row r="511" spans="1:3" x14ac:dyDescent="0.25">
      <c r="A511" t="s">
        <v>2774</v>
      </c>
      <c r="B511">
        <v>12.836912684444201</v>
      </c>
      <c r="C511">
        <v>171.72576481625401</v>
      </c>
    </row>
    <row r="512" spans="1:3" x14ac:dyDescent="0.25">
      <c r="A512" t="s">
        <v>108</v>
      </c>
      <c r="B512">
        <v>12.8520671532696</v>
      </c>
      <c r="C512">
        <v>362.40797125309302</v>
      </c>
    </row>
    <row r="513" spans="1:3" x14ac:dyDescent="0.25">
      <c r="A513" t="s">
        <v>2889</v>
      </c>
      <c r="B513">
        <v>12.862834633586299</v>
      </c>
      <c r="C513">
        <v>107.440109972004</v>
      </c>
    </row>
    <row r="514" spans="1:3" x14ac:dyDescent="0.25">
      <c r="A514" t="s">
        <v>911</v>
      </c>
      <c r="B514">
        <v>12.912635978250201</v>
      </c>
      <c r="C514">
        <v>297.27897196696898</v>
      </c>
    </row>
    <row r="515" spans="1:3" x14ac:dyDescent="0.25">
      <c r="A515" t="s">
        <v>2403</v>
      </c>
      <c r="B515">
        <v>12.938021071342</v>
      </c>
      <c r="C515">
        <v>54.129987205996798</v>
      </c>
    </row>
    <row r="516" spans="1:3" x14ac:dyDescent="0.25">
      <c r="A516" t="s">
        <v>1083</v>
      </c>
      <c r="B516">
        <v>12.9387059742782</v>
      </c>
      <c r="C516">
        <v>69.536541377046902</v>
      </c>
    </row>
    <row r="517" spans="1:3" x14ac:dyDescent="0.25">
      <c r="A517" t="s">
        <v>2419</v>
      </c>
      <c r="B517">
        <v>12.943763568345499</v>
      </c>
      <c r="C517">
        <v>365.16553253792398</v>
      </c>
    </row>
    <row r="518" spans="1:3" x14ac:dyDescent="0.25">
      <c r="A518" t="s">
        <v>3096</v>
      </c>
      <c r="B518">
        <v>12.9440142485479</v>
      </c>
      <c r="C518">
        <v>173.32813834917599</v>
      </c>
    </row>
    <row r="519" spans="1:3" x14ac:dyDescent="0.25">
      <c r="A519" t="s">
        <v>640</v>
      </c>
      <c r="B519">
        <v>12.970542342269701</v>
      </c>
      <c r="C519">
        <v>209.70444993513999</v>
      </c>
    </row>
    <row r="520" spans="1:3" x14ac:dyDescent="0.25">
      <c r="A520" t="s">
        <v>496</v>
      </c>
      <c r="B520">
        <v>12.9898120848167</v>
      </c>
      <c r="C520">
        <v>155.201686101127</v>
      </c>
    </row>
    <row r="521" spans="1:3" x14ac:dyDescent="0.25">
      <c r="A521" t="s">
        <v>266</v>
      </c>
      <c r="B521">
        <v>13.0160631968259</v>
      </c>
      <c r="C521">
        <v>50.677797425653999</v>
      </c>
    </row>
    <row r="522" spans="1:3" x14ac:dyDescent="0.25">
      <c r="A522" t="s">
        <v>296</v>
      </c>
      <c r="B522">
        <v>13.0400291970561</v>
      </c>
      <c r="C522">
        <v>139.300243171045</v>
      </c>
    </row>
    <row r="523" spans="1:3" x14ac:dyDescent="0.25">
      <c r="A523" t="s">
        <v>1943</v>
      </c>
      <c r="B523">
        <v>13.049226871717901</v>
      </c>
      <c r="C523">
        <v>330.70069652468999</v>
      </c>
    </row>
    <row r="524" spans="1:3" x14ac:dyDescent="0.25">
      <c r="A524" t="s">
        <v>1383</v>
      </c>
      <c r="B524">
        <v>13.097651029084201</v>
      </c>
      <c r="C524">
        <v>55.081937396437802</v>
      </c>
    </row>
    <row r="525" spans="1:3" x14ac:dyDescent="0.25">
      <c r="A525" t="s">
        <v>1991</v>
      </c>
      <c r="B525">
        <v>13.1145599042373</v>
      </c>
      <c r="C525">
        <v>74.715684363441596</v>
      </c>
    </row>
    <row r="526" spans="1:3" x14ac:dyDescent="0.25">
      <c r="A526" t="s">
        <v>560</v>
      </c>
      <c r="B526">
        <v>13.1445466231973</v>
      </c>
      <c r="C526">
        <v>133.84112124895299</v>
      </c>
    </row>
    <row r="527" spans="1:3" x14ac:dyDescent="0.25">
      <c r="A527" t="s">
        <v>322</v>
      </c>
      <c r="B527">
        <v>13.169897841324399</v>
      </c>
      <c r="C527">
        <v>85.420609530885599</v>
      </c>
    </row>
    <row r="528" spans="1:3" x14ac:dyDescent="0.25">
      <c r="A528" t="s">
        <v>2772</v>
      </c>
      <c r="B528">
        <v>13.187568137089</v>
      </c>
      <c r="C528">
        <v>74.425755288393304</v>
      </c>
    </row>
    <row r="529" spans="1:3" x14ac:dyDescent="0.25">
      <c r="A529" t="s">
        <v>3086</v>
      </c>
      <c r="B529">
        <v>13.200431755926701</v>
      </c>
      <c r="C529">
        <v>260.29327663117903</v>
      </c>
    </row>
    <row r="530" spans="1:3" x14ac:dyDescent="0.25">
      <c r="A530" t="s">
        <v>1965</v>
      </c>
      <c r="B530">
        <v>13.2066020716567</v>
      </c>
      <c r="C530">
        <v>252.46739896148</v>
      </c>
    </row>
    <row r="531" spans="1:3" x14ac:dyDescent="0.25">
      <c r="A531" t="s">
        <v>2151</v>
      </c>
      <c r="B531">
        <v>13.2149768865028</v>
      </c>
      <c r="C531">
        <v>284.914179072114</v>
      </c>
    </row>
    <row r="532" spans="1:3" x14ac:dyDescent="0.25">
      <c r="A532" t="s">
        <v>3062</v>
      </c>
      <c r="B532">
        <v>13.343890788740801</v>
      </c>
      <c r="C532">
        <v>297.635584297641</v>
      </c>
    </row>
    <row r="533" spans="1:3" x14ac:dyDescent="0.25">
      <c r="A533" t="s">
        <v>2646</v>
      </c>
      <c r="B533">
        <v>13.346267758309599</v>
      </c>
      <c r="C533">
        <v>111.281376146743</v>
      </c>
    </row>
    <row r="534" spans="1:3" x14ac:dyDescent="0.25">
      <c r="A534" t="s">
        <v>66</v>
      </c>
      <c r="B534">
        <v>13.355873839365101</v>
      </c>
      <c r="C534">
        <v>116.988506037037</v>
      </c>
    </row>
    <row r="535" spans="1:3" x14ac:dyDescent="0.25">
      <c r="A535" t="s">
        <v>1532</v>
      </c>
      <c r="B535">
        <v>13.385094763840801</v>
      </c>
      <c r="C535">
        <v>125.44613369273</v>
      </c>
    </row>
    <row r="536" spans="1:3" x14ac:dyDescent="0.25">
      <c r="A536" t="s">
        <v>194</v>
      </c>
      <c r="B536">
        <v>13.393576232035301</v>
      </c>
      <c r="C536">
        <v>145.948897735521</v>
      </c>
    </row>
    <row r="537" spans="1:3" x14ac:dyDescent="0.25">
      <c r="A537" t="s">
        <v>2039</v>
      </c>
      <c r="B537">
        <v>13.407124298448201</v>
      </c>
      <c r="C537">
        <v>79.007897546280105</v>
      </c>
    </row>
    <row r="538" spans="1:3" x14ac:dyDescent="0.25">
      <c r="A538" t="s">
        <v>2819</v>
      </c>
      <c r="B538">
        <v>13.4221352597443</v>
      </c>
      <c r="C538">
        <v>315.88019420184298</v>
      </c>
    </row>
    <row r="539" spans="1:3" x14ac:dyDescent="0.25">
      <c r="A539" t="s">
        <v>286</v>
      </c>
      <c r="B539">
        <v>13.4923137076419</v>
      </c>
      <c r="C539">
        <v>149.29855145829899</v>
      </c>
    </row>
    <row r="540" spans="1:3" x14ac:dyDescent="0.25">
      <c r="A540" t="s">
        <v>1602</v>
      </c>
      <c r="B540">
        <v>13.5199197165273</v>
      </c>
      <c r="C540">
        <v>117.599730768051</v>
      </c>
    </row>
    <row r="541" spans="1:3" x14ac:dyDescent="0.25">
      <c r="A541" t="s">
        <v>2089</v>
      </c>
      <c r="B541">
        <v>13.521179115297899</v>
      </c>
      <c r="C541">
        <v>119.319264696543</v>
      </c>
    </row>
    <row r="542" spans="1:3" x14ac:dyDescent="0.25">
      <c r="A542" t="s">
        <v>2351</v>
      </c>
      <c r="B542">
        <v>13.5743258850133</v>
      </c>
      <c r="C542">
        <v>152.49257678310499</v>
      </c>
    </row>
    <row r="543" spans="1:3" x14ac:dyDescent="0.25">
      <c r="A543" t="s">
        <v>2768</v>
      </c>
      <c r="B543">
        <v>13.6167002282947</v>
      </c>
      <c r="C543">
        <v>88.012346068348293</v>
      </c>
    </row>
    <row r="544" spans="1:3" x14ac:dyDescent="0.25">
      <c r="A544" t="s">
        <v>2945</v>
      </c>
      <c r="B544">
        <v>13.6572508553083</v>
      </c>
      <c r="C544">
        <v>262.972767576835</v>
      </c>
    </row>
    <row r="545" spans="1:3" x14ac:dyDescent="0.25">
      <c r="A545" t="s">
        <v>2837</v>
      </c>
      <c r="B545">
        <v>13.6763080111315</v>
      </c>
      <c r="C545">
        <v>94.224738946019102</v>
      </c>
    </row>
    <row r="546" spans="1:3" x14ac:dyDescent="0.25">
      <c r="A546" t="s">
        <v>466</v>
      </c>
      <c r="B546">
        <v>13.7000844085862</v>
      </c>
      <c r="C546">
        <v>102.896807785984</v>
      </c>
    </row>
    <row r="547" spans="1:3" x14ac:dyDescent="0.25">
      <c r="A547" t="s">
        <v>638</v>
      </c>
      <c r="B547">
        <v>13.7399937321797</v>
      </c>
      <c r="C547">
        <v>51.962157986332599</v>
      </c>
    </row>
    <row r="548" spans="1:3" x14ac:dyDescent="0.25">
      <c r="A548" t="s">
        <v>2805</v>
      </c>
      <c r="B548">
        <v>13.762802662132501</v>
      </c>
      <c r="C548">
        <v>270.023076676882</v>
      </c>
    </row>
    <row r="549" spans="1:3" x14ac:dyDescent="0.25">
      <c r="A549" t="s">
        <v>1927</v>
      </c>
      <c r="B549">
        <v>13.800138716217299</v>
      </c>
      <c r="C549">
        <v>174.96315063480799</v>
      </c>
    </row>
    <row r="550" spans="1:3" x14ac:dyDescent="0.25">
      <c r="A550" t="s">
        <v>1185</v>
      </c>
      <c r="B550">
        <v>13.804372788105599</v>
      </c>
      <c r="C550">
        <v>238.04908844654099</v>
      </c>
    </row>
    <row r="551" spans="1:3" x14ac:dyDescent="0.25">
      <c r="A551" t="s">
        <v>2279</v>
      </c>
      <c r="B551">
        <v>13.8150412740201</v>
      </c>
      <c r="C551">
        <v>47.698339532578899</v>
      </c>
    </row>
    <row r="552" spans="1:3" x14ac:dyDescent="0.25">
      <c r="A552" t="s">
        <v>380</v>
      </c>
      <c r="B552">
        <v>13.9013691571687</v>
      </c>
      <c r="C552">
        <v>149.31415656906299</v>
      </c>
    </row>
    <row r="553" spans="1:3" x14ac:dyDescent="0.25">
      <c r="A553" t="s">
        <v>594</v>
      </c>
      <c r="B553">
        <v>13.9106996126269</v>
      </c>
      <c r="C553">
        <v>139.228909916817</v>
      </c>
    </row>
    <row r="554" spans="1:3" x14ac:dyDescent="0.25">
      <c r="A554" t="s">
        <v>1933</v>
      </c>
      <c r="B554">
        <v>13.9836348306136</v>
      </c>
      <c r="C554">
        <v>442.40830398602299</v>
      </c>
    </row>
    <row r="555" spans="1:3" x14ac:dyDescent="0.25">
      <c r="A555" t="s">
        <v>1884</v>
      </c>
      <c r="B555">
        <v>14.0676515039736</v>
      </c>
      <c r="C555">
        <v>323.72223465912799</v>
      </c>
    </row>
    <row r="556" spans="1:3" x14ac:dyDescent="0.25">
      <c r="A556" t="s">
        <v>2359</v>
      </c>
      <c r="B556">
        <v>14.070121688135099</v>
      </c>
      <c r="C556">
        <v>155.28382787359001</v>
      </c>
    </row>
    <row r="557" spans="1:3" x14ac:dyDescent="0.25">
      <c r="A557" t="s">
        <v>2261</v>
      </c>
      <c r="B557">
        <v>14.1224565221286</v>
      </c>
      <c r="C557">
        <v>242.105315529351</v>
      </c>
    </row>
    <row r="558" spans="1:3" x14ac:dyDescent="0.25">
      <c r="A558" t="s">
        <v>1820</v>
      </c>
      <c r="B558">
        <v>14.216202482785301</v>
      </c>
      <c r="C558">
        <v>153.01126921578501</v>
      </c>
    </row>
    <row r="559" spans="1:3" x14ac:dyDescent="0.25">
      <c r="A559" t="s">
        <v>1686</v>
      </c>
      <c r="B559">
        <v>14.2283883526816</v>
      </c>
      <c r="C559">
        <v>137.399381980821</v>
      </c>
    </row>
    <row r="560" spans="1:3" x14ac:dyDescent="0.25">
      <c r="A560" t="s">
        <v>2815</v>
      </c>
      <c r="B560">
        <v>14.282615641296699</v>
      </c>
      <c r="C560">
        <v>216.82978560681499</v>
      </c>
    </row>
    <row r="561" spans="1:3" x14ac:dyDescent="0.25">
      <c r="A561" t="s">
        <v>1598</v>
      </c>
      <c r="B561">
        <v>14.371603619301</v>
      </c>
      <c r="C561">
        <v>82.583303531647203</v>
      </c>
    </row>
    <row r="562" spans="1:3" x14ac:dyDescent="0.25">
      <c r="A562" t="s">
        <v>3088</v>
      </c>
      <c r="B562">
        <v>14.4005637839767</v>
      </c>
      <c r="C562">
        <v>146.52904110190701</v>
      </c>
    </row>
    <row r="563" spans="1:3" x14ac:dyDescent="0.25">
      <c r="A563" t="s">
        <v>368</v>
      </c>
      <c r="B563">
        <v>14.419497335814</v>
      </c>
      <c r="C563">
        <v>240.478865821206</v>
      </c>
    </row>
    <row r="564" spans="1:3" x14ac:dyDescent="0.25">
      <c r="A564" t="s">
        <v>1424</v>
      </c>
      <c r="B564">
        <v>14.5404653577397</v>
      </c>
      <c r="C564">
        <v>111.26624761396</v>
      </c>
    </row>
    <row r="565" spans="1:3" x14ac:dyDescent="0.25">
      <c r="A565" t="s">
        <v>3094</v>
      </c>
      <c r="B565">
        <v>14.5423894548089</v>
      </c>
      <c r="C565">
        <v>832.70815898113699</v>
      </c>
    </row>
    <row r="566" spans="1:3" x14ac:dyDescent="0.25">
      <c r="A566" t="s">
        <v>130</v>
      </c>
      <c r="B566">
        <v>14.542814733595799</v>
      </c>
      <c r="C566">
        <v>122.528009028105</v>
      </c>
    </row>
    <row r="567" spans="1:3" x14ac:dyDescent="0.25">
      <c r="A567" t="s">
        <v>1179</v>
      </c>
      <c r="B567">
        <v>14.591654835583901</v>
      </c>
      <c r="C567">
        <v>252.06576913205299</v>
      </c>
    </row>
    <row r="568" spans="1:3" x14ac:dyDescent="0.25">
      <c r="A568" t="s">
        <v>909</v>
      </c>
      <c r="B568">
        <v>14.629276682180601</v>
      </c>
      <c r="C568">
        <v>60.3363750806434</v>
      </c>
    </row>
    <row r="569" spans="1:3" x14ac:dyDescent="0.25">
      <c r="A569" t="s">
        <v>420</v>
      </c>
      <c r="B569">
        <v>14.679219522987299</v>
      </c>
      <c r="C569">
        <v>89.746374536611199</v>
      </c>
    </row>
    <row r="570" spans="1:3" x14ac:dyDescent="0.25">
      <c r="A570" t="s">
        <v>702</v>
      </c>
      <c r="B570">
        <v>14.6992654919004</v>
      </c>
      <c r="C570">
        <v>238.40311254094999</v>
      </c>
    </row>
    <row r="571" spans="1:3" x14ac:dyDescent="0.25">
      <c r="A571" t="s">
        <v>2676</v>
      </c>
      <c r="B571">
        <v>14.763683060496801</v>
      </c>
      <c r="C571">
        <v>46.550333738319303</v>
      </c>
    </row>
    <row r="572" spans="1:3" x14ac:dyDescent="0.25">
      <c r="A572" t="s">
        <v>1915</v>
      </c>
      <c r="B572">
        <v>14.7786066909706</v>
      </c>
      <c r="C572">
        <v>172.14468974500599</v>
      </c>
    </row>
    <row r="573" spans="1:3" x14ac:dyDescent="0.25">
      <c r="A573" t="s">
        <v>460</v>
      </c>
      <c r="B573">
        <v>14.806983031888601</v>
      </c>
      <c r="C573">
        <v>142.16832973861099</v>
      </c>
    </row>
    <row r="574" spans="1:3" x14ac:dyDescent="0.25">
      <c r="A574" t="s">
        <v>742</v>
      </c>
      <c r="B574">
        <v>14.8202541751594</v>
      </c>
      <c r="C574">
        <v>322.19108953639301</v>
      </c>
    </row>
    <row r="575" spans="1:3" x14ac:dyDescent="0.25">
      <c r="A575" t="s">
        <v>2690</v>
      </c>
      <c r="B575">
        <v>14.8348474055202</v>
      </c>
      <c r="C575">
        <v>47.301739377713503</v>
      </c>
    </row>
    <row r="576" spans="1:3" x14ac:dyDescent="0.25">
      <c r="A576" t="s">
        <v>2015</v>
      </c>
      <c r="B576">
        <v>14.8387583064764</v>
      </c>
      <c r="C576">
        <v>90.691081824581303</v>
      </c>
    </row>
    <row r="577" spans="1:3" x14ac:dyDescent="0.25">
      <c r="A577" t="s">
        <v>3127</v>
      </c>
      <c r="B577">
        <v>14.862607262347399</v>
      </c>
      <c r="C577">
        <v>168.86815815134</v>
      </c>
    </row>
    <row r="578" spans="1:3" x14ac:dyDescent="0.25">
      <c r="A578" t="s">
        <v>2005</v>
      </c>
      <c r="B578">
        <v>14.8988362422857</v>
      </c>
      <c r="C578">
        <v>208.906573442781</v>
      </c>
    </row>
    <row r="579" spans="1:3" x14ac:dyDescent="0.25">
      <c r="A579" t="s">
        <v>2075</v>
      </c>
      <c r="B579">
        <v>14.9343901410145</v>
      </c>
      <c r="C579">
        <v>161.101279942567</v>
      </c>
    </row>
    <row r="580" spans="1:3" x14ac:dyDescent="0.25">
      <c r="A580" t="s">
        <v>2115</v>
      </c>
      <c r="B580">
        <v>14.9580278518123</v>
      </c>
      <c r="C580">
        <v>183.71807112496799</v>
      </c>
    </row>
    <row r="581" spans="1:3" x14ac:dyDescent="0.25">
      <c r="A581" t="s">
        <v>783</v>
      </c>
      <c r="B581">
        <v>14.9986929996246</v>
      </c>
      <c r="C581">
        <v>1251.29218026373</v>
      </c>
    </row>
    <row r="582" spans="1:3" x14ac:dyDescent="0.25">
      <c r="A582" t="s">
        <v>901</v>
      </c>
      <c r="B582">
        <v>15.0240433352621</v>
      </c>
      <c r="C582">
        <v>75.086577906572799</v>
      </c>
    </row>
    <row r="583" spans="1:3" x14ac:dyDescent="0.25">
      <c r="A583" t="s">
        <v>634</v>
      </c>
      <c r="B583">
        <v>15.0316651143104</v>
      </c>
      <c r="C583">
        <v>174.171445397383</v>
      </c>
    </row>
    <row r="584" spans="1:3" x14ac:dyDescent="0.25">
      <c r="A584" t="s">
        <v>2097</v>
      </c>
      <c r="B584">
        <v>15.056377007609701</v>
      </c>
      <c r="C584">
        <v>373.67271722881202</v>
      </c>
    </row>
    <row r="585" spans="1:3" x14ac:dyDescent="0.25">
      <c r="A585" t="s">
        <v>2632</v>
      </c>
      <c r="B585">
        <v>15.121486487919601</v>
      </c>
      <c r="C585">
        <v>181.322023919777</v>
      </c>
    </row>
    <row r="586" spans="1:3" x14ac:dyDescent="0.25">
      <c r="A586" t="s">
        <v>831</v>
      </c>
      <c r="B586">
        <v>15.1219343978319</v>
      </c>
      <c r="C586">
        <v>54.0409507823585</v>
      </c>
    </row>
    <row r="587" spans="1:3" x14ac:dyDescent="0.25">
      <c r="A587" t="s">
        <v>3007</v>
      </c>
      <c r="B587">
        <v>15.155241700138401</v>
      </c>
      <c r="C587">
        <v>348.140004733365</v>
      </c>
    </row>
    <row r="588" spans="1:3" x14ac:dyDescent="0.25">
      <c r="A588" t="s">
        <v>2065</v>
      </c>
      <c r="B588">
        <v>15.161346079169601</v>
      </c>
      <c r="C588">
        <v>213.101128740447</v>
      </c>
    </row>
    <row r="589" spans="1:3" x14ac:dyDescent="0.25">
      <c r="A589" t="s">
        <v>2059</v>
      </c>
      <c r="B589">
        <v>15.1750104282447</v>
      </c>
      <c r="C589">
        <v>321.80329329011801</v>
      </c>
    </row>
    <row r="590" spans="1:3" x14ac:dyDescent="0.25">
      <c r="A590" t="s">
        <v>2766</v>
      </c>
      <c r="B590">
        <v>15.2559690723174</v>
      </c>
      <c r="C590">
        <v>163.42171841051601</v>
      </c>
    </row>
    <row r="591" spans="1:3" x14ac:dyDescent="0.25">
      <c r="A591" t="s">
        <v>1576</v>
      </c>
      <c r="B591">
        <v>15.308347460121</v>
      </c>
      <c r="C591">
        <v>138.84942022940001</v>
      </c>
    </row>
    <row r="592" spans="1:3" x14ac:dyDescent="0.25">
      <c r="A592" t="s">
        <v>3058</v>
      </c>
      <c r="B592">
        <v>15.319055704956501</v>
      </c>
      <c r="C592">
        <v>117.366219461776</v>
      </c>
    </row>
    <row r="593" spans="1:3" x14ac:dyDescent="0.25">
      <c r="A593" t="s">
        <v>3027</v>
      </c>
      <c r="B593">
        <v>15.3229858175884</v>
      </c>
      <c r="C593">
        <v>206.95103609086999</v>
      </c>
    </row>
    <row r="594" spans="1:3" x14ac:dyDescent="0.25">
      <c r="A594" t="s">
        <v>1838</v>
      </c>
      <c r="B594">
        <v>15.340442055113099</v>
      </c>
      <c r="C594">
        <v>98.463247013065896</v>
      </c>
    </row>
    <row r="595" spans="1:3" x14ac:dyDescent="0.25">
      <c r="A595" t="s">
        <v>718</v>
      </c>
      <c r="B595">
        <v>15.3453101686684</v>
      </c>
      <c r="C595">
        <v>78.252704297139701</v>
      </c>
    </row>
    <row r="596" spans="1:3" x14ac:dyDescent="0.25">
      <c r="A596" t="s">
        <v>1301</v>
      </c>
      <c r="B596">
        <v>15.5036117313898</v>
      </c>
      <c r="C596">
        <v>148.17309792488899</v>
      </c>
    </row>
    <row r="597" spans="1:3" x14ac:dyDescent="0.25">
      <c r="A597" t="s">
        <v>3078</v>
      </c>
      <c r="B597">
        <v>15.5109104668598</v>
      </c>
      <c r="C597">
        <v>86.501294237251301</v>
      </c>
    </row>
    <row r="598" spans="1:3" x14ac:dyDescent="0.25">
      <c r="A598" t="s">
        <v>1482</v>
      </c>
      <c r="B598">
        <v>15.5308692191765</v>
      </c>
      <c r="C598">
        <v>341.25192049689201</v>
      </c>
    </row>
    <row r="599" spans="1:3" x14ac:dyDescent="0.25">
      <c r="A599" t="s">
        <v>857</v>
      </c>
      <c r="B599">
        <v>15.555197823046299</v>
      </c>
      <c r="C599">
        <v>84.753689585093497</v>
      </c>
    </row>
    <row r="600" spans="1:3" x14ac:dyDescent="0.25">
      <c r="A600" t="s">
        <v>3234</v>
      </c>
      <c r="B600">
        <v>15.5790079644747</v>
      </c>
      <c r="C600">
        <v>356.42622341680999</v>
      </c>
    </row>
    <row r="601" spans="1:3" x14ac:dyDescent="0.25">
      <c r="A601" t="s">
        <v>3230</v>
      </c>
      <c r="B601">
        <v>15.653308963406401</v>
      </c>
      <c r="C601">
        <v>298.09240428239701</v>
      </c>
    </row>
    <row r="602" spans="1:3" x14ac:dyDescent="0.25">
      <c r="A602" t="s">
        <v>202</v>
      </c>
      <c r="B602">
        <v>15.6880977947252</v>
      </c>
      <c r="C602">
        <v>65.6145153431099</v>
      </c>
    </row>
    <row r="603" spans="1:3" x14ac:dyDescent="0.25">
      <c r="A603" t="s">
        <v>2877</v>
      </c>
      <c r="B603">
        <v>15.742728921793701</v>
      </c>
      <c r="C603">
        <v>122.854319492904</v>
      </c>
    </row>
    <row r="604" spans="1:3" x14ac:dyDescent="0.25">
      <c r="A604" t="s">
        <v>2955</v>
      </c>
      <c r="B604">
        <v>15.806897241982799</v>
      </c>
      <c r="C604">
        <v>215.432320724493</v>
      </c>
    </row>
    <row r="605" spans="1:3" x14ac:dyDescent="0.25">
      <c r="A605" t="s">
        <v>758</v>
      </c>
      <c r="B605">
        <v>15.8674452142902</v>
      </c>
      <c r="C605">
        <v>299.86221056359199</v>
      </c>
    </row>
    <row r="606" spans="1:3" x14ac:dyDescent="0.25">
      <c r="A606" t="s">
        <v>1013</v>
      </c>
      <c r="B606">
        <v>15.870053746961499</v>
      </c>
      <c r="C606">
        <v>496.04348577208401</v>
      </c>
    </row>
    <row r="607" spans="1:3" x14ac:dyDescent="0.25">
      <c r="A607" t="s">
        <v>1886</v>
      </c>
      <c r="B607">
        <v>15.901717322926199</v>
      </c>
      <c r="C607">
        <v>317.66903119761002</v>
      </c>
    </row>
    <row r="608" spans="1:3" x14ac:dyDescent="0.25">
      <c r="A608" t="s">
        <v>1327</v>
      </c>
      <c r="B608">
        <v>15.9339453902787</v>
      </c>
      <c r="C608">
        <v>68.073814605949295</v>
      </c>
    </row>
    <row r="609" spans="1:3" x14ac:dyDescent="0.25">
      <c r="A609" t="s">
        <v>1536</v>
      </c>
      <c r="B609">
        <v>15.9838852196412</v>
      </c>
      <c r="C609">
        <v>78.440863059925505</v>
      </c>
    </row>
    <row r="610" spans="1:3" x14ac:dyDescent="0.25">
      <c r="A610" t="s">
        <v>2301</v>
      </c>
      <c r="B610">
        <v>16.037249527479901</v>
      </c>
      <c r="C610">
        <v>145.69989416605</v>
      </c>
    </row>
    <row r="611" spans="1:3" x14ac:dyDescent="0.25">
      <c r="A611" t="s">
        <v>244</v>
      </c>
      <c r="B611">
        <v>16.039207138152701</v>
      </c>
      <c r="C611">
        <v>89.572074988074903</v>
      </c>
    </row>
    <row r="612" spans="1:3" x14ac:dyDescent="0.25">
      <c r="A612" t="s">
        <v>2562</v>
      </c>
      <c r="B612">
        <v>16.044646780742301</v>
      </c>
      <c r="C612">
        <v>131.149398842089</v>
      </c>
    </row>
    <row r="613" spans="1:3" x14ac:dyDescent="0.25">
      <c r="A613" t="s">
        <v>2395</v>
      </c>
      <c r="B613">
        <v>16.0660361853271</v>
      </c>
      <c r="C613">
        <v>88.700714534344002</v>
      </c>
    </row>
    <row r="614" spans="1:3" x14ac:dyDescent="0.25">
      <c r="A614" t="s">
        <v>1804</v>
      </c>
      <c r="B614">
        <v>16.067414013248701</v>
      </c>
      <c r="C614">
        <v>193.37732888926601</v>
      </c>
    </row>
    <row r="615" spans="1:3" x14ac:dyDescent="0.25">
      <c r="A615" t="s">
        <v>2841</v>
      </c>
      <c r="B615">
        <v>16.119622919654699</v>
      </c>
      <c r="C615">
        <v>248.57247477794999</v>
      </c>
    </row>
    <row r="616" spans="1:3" x14ac:dyDescent="0.25">
      <c r="A616" t="s">
        <v>2205</v>
      </c>
      <c r="B616">
        <v>16.123430811904601</v>
      </c>
      <c r="C616">
        <v>172.65667116145701</v>
      </c>
    </row>
    <row r="617" spans="1:3" x14ac:dyDescent="0.25">
      <c r="A617" t="s">
        <v>1534</v>
      </c>
      <c r="B617">
        <v>16.1586987111809</v>
      </c>
      <c r="C617">
        <v>407.141624905838</v>
      </c>
    </row>
    <row r="618" spans="1:3" x14ac:dyDescent="0.25">
      <c r="A618" t="s">
        <v>2317</v>
      </c>
      <c r="B618">
        <v>16.162213935229101</v>
      </c>
      <c r="C618">
        <v>338.20150613500198</v>
      </c>
    </row>
    <row r="619" spans="1:3" x14ac:dyDescent="0.25">
      <c r="A619" t="s">
        <v>2702</v>
      </c>
      <c r="B619">
        <v>16.198758014920401</v>
      </c>
      <c r="C619">
        <v>352.313192743532</v>
      </c>
    </row>
    <row r="620" spans="1:3" x14ac:dyDescent="0.25">
      <c r="A620" t="s">
        <v>2913</v>
      </c>
      <c r="B620">
        <v>16.261273237871801</v>
      </c>
      <c r="C620">
        <v>148.801528022762</v>
      </c>
    </row>
    <row r="621" spans="1:3" x14ac:dyDescent="0.25">
      <c r="A621" t="s">
        <v>490</v>
      </c>
      <c r="B621">
        <v>16.343313404909601</v>
      </c>
      <c r="C621">
        <v>140.12085481403199</v>
      </c>
    </row>
    <row r="622" spans="1:3" x14ac:dyDescent="0.25">
      <c r="A622" t="s">
        <v>1231</v>
      </c>
      <c r="B622">
        <v>16.3476464238163</v>
      </c>
      <c r="C622">
        <v>128.52051568479001</v>
      </c>
    </row>
    <row r="623" spans="1:3" x14ac:dyDescent="0.25">
      <c r="A623" t="s">
        <v>809</v>
      </c>
      <c r="B623">
        <v>16.352971239518499</v>
      </c>
      <c r="C623">
        <v>179.90892765400901</v>
      </c>
    </row>
    <row r="624" spans="1:3" x14ac:dyDescent="0.25">
      <c r="A624" t="s">
        <v>612</v>
      </c>
      <c r="B624">
        <v>16.384879356510702</v>
      </c>
      <c r="C624">
        <v>192.26726158414201</v>
      </c>
    </row>
    <row r="625" spans="1:3" x14ac:dyDescent="0.25">
      <c r="A625" t="s">
        <v>3013</v>
      </c>
      <c r="B625">
        <v>16.449508843002299</v>
      </c>
      <c r="C625">
        <v>176.69618099527099</v>
      </c>
    </row>
    <row r="626" spans="1:3" x14ac:dyDescent="0.25">
      <c r="A626" t="s">
        <v>744</v>
      </c>
      <c r="B626">
        <v>16.4692381398545</v>
      </c>
      <c r="C626">
        <v>98.920540721555497</v>
      </c>
    </row>
    <row r="627" spans="1:3" x14ac:dyDescent="0.25">
      <c r="A627" t="s">
        <v>1656</v>
      </c>
      <c r="B627">
        <v>16.509660093006001</v>
      </c>
      <c r="C627">
        <v>173.774146850535</v>
      </c>
    </row>
    <row r="628" spans="1:3" x14ac:dyDescent="0.25">
      <c r="A628" t="s">
        <v>801</v>
      </c>
      <c r="B628">
        <v>16.541367163350699</v>
      </c>
      <c r="C628">
        <v>184.58801072098601</v>
      </c>
    </row>
    <row r="629" spans="1:3" x14ac:dyDescent="0.25">
      <c r="A629" t="s">
        <v>1572</v>
      </c>
      <c r="B629">
        <v>16.606345591972001</v>
      </c>
      <c r="C629">
        <v>353.77166989444498</v>
      </c>
    </row>
    <row r="630" spans="1:3" x14ac:dyDescent="0.25">
      <c r="A630" t="s">
        <v>1187</v>
      </c>
      <c r="B630">
        <v>16.767167867623101</v>
      </c>
      <c r="C630">
        <v>281.74865175738103</v>
      </c>
    </row>
    <row r="631" spans="1:3" x14ac:dyDescent="0.25">
      <c r="A631" t="s">
        <v>224</v>
      </c>
      <c r="B631">
        <v>16.794040767994499</v>
      </c>
      <c r="C631">
        <v>372.90577693659498</v>
      </c>
    </row>
    <row r="632" spans="1:3" x14ac:dyDescent="0.25">
      <c r="A632" t="s">
        <v>3105</v>
      </c>
      <c r="B632">
        <v>16.808786133621901</v>
      </c>
      <c r="C632">
        <v>101.58962302591701</v>
      </c>
    </row>
    <row r="633" spans="1:3" x14ac:dyDescent="0.25">
      <c r="A633" t="s">
        <v>1902</v>
      </c>
      <c r="B633">
        <v>16.8183753309903</v>
      </c>
      <c r="C633">
        <v>25.840378491436699</v>
      </c>
    </row>
    <row r="634" spans="1:3" x14ac:dyDescent="0.25">
      <c r="A634" t="s">
        <v>2600</v>
      </c>
      <c r="B634">
        <v>16.829985402364901</v>
      </c>
      <c r="C634">
        <v>63.228402713645501</v>
      </c>
    </row>
    <row r="635" spans="1:3" x14ac:dyDescent="0.25">
      <c r="A635" t="s">
        <v>2839</v>
      </c>
      <c r="B635">
        <v>16.841016773297699</v>
      </c>
      <c r="C635">
        <v>192.33242946198101</v>
      </c>
    </row>
    <row r="636" spans="1:3" x14ac:dyDescent="0.25">
      <c r="A636" t="s">
        <v>1979</v>
      </c>
      <c r="B636">
        <v>16.853306578656099</v>
      </c>
      <c r="C636">
        <v>141.17093064941201</v>
      </c>
    </row>
    <row r="637" spans="1:3" x14ac:dyDescent="0.25">
      <c r="A637" t="s">
        <v>1121</v>
      </c>
      <c r="B637">
        <v>16.883498894553099</v>
      </c>
      <c r="C637">
        <v>130.00449900814101</v>
      </c>
    </row>
    <row r="638" spans="1:3" x14ac:dyDescent="0.25">
      <c r="A638" t="s">
        <v>1682</v>
      </c>
      <c r="B638">
        <v>16.923142953879701</v>
      </c>
      <c r="C638">
        <v>353.68138615339399</v>
      </c>
    </row>
    <row r="639" spans="1:3" x14ac:dyDescent="0.25">
      <c r="A639" t="s">
        <v>2570</v>
      </c>
      <c r="B639">
        <v>16.9989491806522</v>
      </c>
      <c r="C639">
        <v>392.15922014155802</v>
      </c>
    </row>
    <row r="640" spans="1:3" x14ac:dyDescent="0.25">
      <c r="A640" t="s">
        <v>2415</v>
      </c>
      <c r="B640">
        <v>17.023650594794798</v>
      </c>
      <c r="C640">
        <v>192.489556466609</v>
      </c>
    </row>
    <row r="641" spans="1:3" x14ac:dyDescent="0.25">
      <c r="A641" t="s">
        <v>1712</v>
      </c>
      <c r="B641">
        <v>17.070815483876199</v>
      </c>
      <c r="C641">
        <v>205.227840103875</v>
      </c>
    </row>
    <row r="642" spans="1:3" x14ac:dyDescent="0.25">
      <c r="A642" t="s">
        <v>2315</v>
      </c>
      <c r="B642">
        <v>17.225846935966999</v>
      </c>
      <c r="C642">
        <v>99.691822841845905</v>
      </c>
    </row>
    <row r="643" spans="1:3" x14ac:dyDescent="0.25">
      <c r="A643" t="s">
        <v>2714</v>
      </c>
      <c r="B643">
        <v>17.231651545633799</v>
      </c>
      <c r="C643">
        <v>270.50099357607701</v>
      </c>
    </row>
    <row r="644" spans="1:3" x14ac:dyDescent="0.25">
      <c r="A644" t="s">
        <v>1055</v>
      </c>
      <c r="B644">
        <v>17.295721975160198</v>
      </c>
      <c r="C644">
        <v>208.84575737650599</v>
      </c>
    </row>
    <row r="645" spans="1:3" x14ac:dyDescent="0.25">
      <c r="A645" t="s">
        <v>2331</v>
      </c>
      <c r="B645">
        <v>17.2974772978658</v>
      </c>
      <c r="C645">
        <v>209.43364012858399</v>
      </c>
    </row>
    <row r="646" spans="1:3" x14ac:dyDescent="0.25">
      <c r="A646" t="s">
        <v>1331</v>
      </c>
      <c r="B646">
        <v>17.366318303295699</v>
      </c>
      <c r="C646">
        <v>427.85637860007603</v>
      </c>
    </row>
    <row r="647" spans="1:3" x14ac:dyDescent="0.25">
      <c r="A647" t="s">
        <v>152</v>
      </c>
      <c r="B647">
        <v>17.401622192596498</v>
      </c>
      <c r="C647">
        <v>90.266297396981898</v>
      </c>
    </row>
    <row r="648" spans="1:3" x14ac:dyDescent="0.25">
      <c r="A648" t="s">
        <v>2688</v>
      </c>
      <c r="B648">
        <v>17.406002280825199</v>
      </c>
      <c r="C648">
        <v>171.940639413789</v>
      </c>
    </row>
    <row r="649" spans="1:3" x14ac:dyDescent="0.25">
      <c r="A649" t="s">
        <v>2381</v>
      </c>
      <c r="B649">
        <v>17.406689163733802</v>
      </c>
      <c r="C649">
        <v>315.54212167571302</v>
      </c>
    </row>
    <row r="650" spans="1:3" x14ac:dyDescent="0.25">
      <c r="A650" t="s">
        <v>2644</v>
      </c>
      <c r="B650">
        <v>17.421769467884499</v>
      </c>
      <c r="C650">
        <v>481.4750025953</v>
      </c>
    </row>
    <row r="651" spans="1:3" x14ac:dyDescent="0.25">
      <c r="A651" t="s">
        <v>542</v>
      </c>
      <c r="B651">
        <v>17.445353893172999</v>
      </c>
      <c r="C651">
        <v>109.576449399512</v>
      </c>
    </row>
    <row r="652" spans="1:3" x14ac:dyDescent="0.25">
      <c r="A652" t="s">
        <v>2825</v>
      </c>
      <c r="B652">
        <v>17.513402222196301</v>
      </c>
      <c r="C652">
        <v>340.97659616183103</v>
      </c>
    </row>
    <row r="653" spans="1:3" x14ac:dyDescent="0.25">
      <c r="A653" t="s">
        <v>2361</v>
      </c>
      <c r="B653">
        <v>17.5455842852061</v>
      </c>
      <c r="C653">
        <v>262.27336585563</v>
      </c>
    </row>
    <row r="654" spans="1:3" x14ac:dyDescent="0.25">
      <c r="A654" t="s">
        <v>3050</v>
      </c>
      <c r="B654">
        <v>17.5596406831935</v>
      </c>
      <c r="C654">
        <v>216.65821831126601</v>
      </c>
    </row>
    <row r="655" spans="1:3" x14ac:dyDescent="0.25">
      <c r="A655" t="s">
        <v>2241</v>
      </c>
      <c r="B655">
        <v>17.574576174667399</v>
      </c>
      <c r="C655">
        <v>115.18438122954601</v>
      </c>
    </row>
    <row r="656" spans="1:3" x14ac:dyDescent="0.25">
      <c r="A656" t="s">
        <v>2843</v>
      </c>
      <c r="B656">
        <v>17.594235622639999</v>
      </c>
      <c r="C656">
        <v>231.80410115821701</v>
      </c>
    </row>
    <row r="657" spans="1:3" x14ac:dyDescent="0.25">
      <c r="A657" t="s">
        <v>1680</v>
      </c>
      <c r="B657">
        <v>17.6434321876452</v>
      </c>
      <c r="C657">
        <v>136.933018840052</v>
      </c>
    </row>
    <row r="658" spans="1:3" x14ac:dyDescent="0.25">
      <c r="A658" t="s">
        <v>3052</v>
      </c>
      <c r="B658">
        <v>17.677503200436998</v>
      </c>
      <c r="C658">
        <v>185.078290533168</v>
      </c>
    </row>
    <row r="659" spans="1:3" x14ac:dyDescent="0.25">
      <c r="A659" t="s">
        <v>1762</v>
      </c>
      <c r="B659">
        <v>17.687328392487299</v>
      </c>
      <c r="C659">
        <v>121.057660589039</v>
      </c>
    </row>
    <row r="660" spans="1:3" x14ac:dyDescent="0.25">
      <c r="A660" t="s">
        <v>2961</v>
      </c>
      <c r="B660">
        <v>17.6998117042031</v>
      </c>
      <c r="C660">
        <v>171.41163769024101</v>
      </c>
    </row>
    <row r="661" spans="1:3" x14ac:dyDescent="0.25">
      <c r="A661" t="s">
        <v>2899</v>
      </c>
      <c r="B661">
        <v>17.7046052635005</v>
      </c>
      <c r="C661">
        <v>84.645490711117205</v>
      </c>
    </row>
    <row r="662" spans="1:3" x14ac:dyDescent="0.25">
      <c r="A662" t="s">
        <v>2548</v>
      </c>
      <c r="B662">
        <v>17.712054197495501</v>
      </c>
      <c r="C662">
        <v>213.68055156197701</v>
      </c>
    </row>
    <row r="663" spans="1:3" x14ac:dyDescent="0.25">
      <c r="A663" t="s">
        <v>2720</v>
      </c>
      <c r="B663">
        <v>17.763156959584499</v>
      </c>
      <c r="C663">
        <v>220.88210107628501</v>
      </c>
    </row>
    <row r="664" spans="1:3" x14ac:dyDescent="0.25">
      <c r="A664" t="s">
        <v>1945</v>
      </c>
      <c r="B664">
        <v>17.959526469419</v>
      </c>
      <c r="C664">
        <v>207.73166422290799</v>
      </c>
    </row>
    <row r="665" spans="1:3" x14ac:dyDescent="0.25">
      <c r="A665" t="s">
        <v>1540</v>
      </c>
      <c r="B665">
        <v>18.017603979324299</v>
      </c>
      <c r="C665">
        <v>99.505098174432106</v>
      </c>
    </row>
    <row r="666" spans="1:3" x14ac:dyDescent="0.25">
      <c r="A666" t="s">
        <v>2678</v>
      </c>
      <c r="B666">
        <v>18.025107814155099</v>
      </c>
      <c r="C666">
        <v>159.27838327027001</v>
      </c>
    </row>
    <row r="667" spans="1:3" x14ac:dyDescent="0.25">
      <c r="A667" t="s">
        <v>2871</v>
      </c>
      <c r="B667">
        <v>18.0888991764621</v>
      </c>
      <c r="C667">
        <v>170.361031772237</v>
      </c>
    </row>
    <row r="668" spans="1:3" x14ac:dyDescent="0.25">
      <c r="A668" t="s">
        <v>1476</v>
      </c>
      <c r="B668">
        <v>18.0970067440864</v>
      </c>
      <c r="C668">
        <v>372.56022748262302</v>
      </c>
    </row>
    <row r="669" spans="1:3" x14ac:dyDescent="0.25">
      <c r="A669" t="s">
        <v>3144</v>
      </c>
      <c r="B669">
        <v>18.1967251215804</v>
      </c>
      <c r="C669">
        <v>197.55897258835299</v>
      </c>
    </row>
    <row r="670" spans="1:3" x14ac:dyDescent="0.25">
      <c r="A670" t="s">
        <v>2191</v>
      </c>
      <c r="B670">
        <v>18.197854917145602</v>
      </c>
      <c r="C670">
        <v>101.465986607068</v>
      </c>
    </row>
    <row r="671" spans="1:3" x14ac:dyDescent="0.25">
      <c r="A671" t="s">
        <v>2791</v>
      </c>
      <c r="B671">
        <v>18.225673654462199</v>
      </c>
      <c r="C671">
        <v>145.93777842078299</v>
      </c>
    </row>
    <row r="672" spans="1:3" x14ac:dyDescent="0.25">
      <c r="A672" t="s">
        <v>2963</v>
      </c>
      <c r="B672">
        <v>18.2836443012092</v>
      </c>
      <c r="C672">
        <v>242.30146109847701</v>
      </c>
    </row>
    <row r="673" spans="1:3" x14ac:dyDescent="0.25">
      <c r="A673" t="s">
        <v>941</v>
      </c>
      <c r="B673">
        <v>18.296714483867301</v>
      </c>
      <c r="C673">
        <v>119.330284526032</v>
      </c>
    </row>
    <row r="674" spans="1:3" x14ac:dyDescent="0.25">
      <c r="A674" t="s">
        <v>2271</v>
      </c>
      <c r="B674">
        <v>18.311988996224802</v>
      </c>
      <c r="C674">
        <v>140.9221126345</v>
      </c>
    </row>
    <row r="675" spans="1:3" x14ac:dyDescent="0.25">
      <c r="A675" t="s">
        <v>1153</v>
      </c>
      <c r="B675">
        <v>18.324329429275899</v>
      </c>
      <c r="C675">
        <v>492.76130188613001</v>
      </c>
    </row>
    <row r="676" spans="1:3" x14ac:dyDescent="0.25">
      <c r="A676" t="s">
        <v>2863</v>
      </c>
      <c r="B676">
        <v>18.343390761838499</v>
      </c>
      <c r="C676">
        <v>244.57959184538001</v>
      </c>
    </row>
    <row r="677" spans="1:3" x14ac:dyDescent="0.25">
      <c r="A677" t="s">
        <v>2021</v>
      </c>
      <c r="B677">
        <v>18.384858726813501</v>
      </c>
      <c r="C677">
        <v>131.89018717969299</v>
      </c>
    </row>
    <row r="678" spans="1:3" x14ac:dyDescent="0.25">
      <c r="A678" t="s">
        <v>2748</v>
      </c>
      <c r="B678">
        <v>18.447023678667598</v>
      </c>
      <c r="C678">
        <v>396.921473365466</v>
      </c>
    </row>
    <row r="679" spans="1:3" x14ac:dyDescent="0.25">
      <c r="A679" t="s">
        <v>2861</v>
      </c>
      <c r="B679">
        <v>18.514112460557101</v>
      </c>
      <c r="C679">
        <v>416.42514359637102</v>
      </c>
    </row>
    <row r="680" spans="1:3" x14ac:dyDescent="0.25">
      <c r="A680" t="s">
        <v>1522</v>
      </c>
      <c r="B680">
        <v>18.539536123250599</v>
      </c>
      <c r="C680">
        <v>708.13329543630402</v>
      </c>
    </row>
    <row r="681" spans="1:3" x14ac:dyDescent="0.25">
      <c r="A681" t="s">
        <v>1638</v>
      </c>
      <c r="B681">
        <v>18.556875239804</v>
      </c>
      <c r="C681">
        <v>395.28011258320902</v>
      </c>
    </row>
    <row r="682" spans="1:3" x14ac:dyDescent="0.25">
      <c r="A682" t="s">
        <v>2746</v>
      </c>
      <c r="B682">
        <v>18.586745808287599</v>
      </c>
      <c r="C682">
        <v>449.89408576205398</v>
      </c>
    </row>
    <row r="683" spans="1:3" x14ac:dyDescent="0.25">
      <c r="A683" t="s">
        <v>1975</v>
      </c>
      <c r="B683">
        <v>18.611532162329599</v>
      </c>
      <c r="C683">
        <v>165.508418993422</v>
      </c>
    </row>
    <row r="684" spans="1:3" x14ac:dyDescent="0.25">
      <c r="A684" t="s">
        <v>3021</v>
      </c>
      <c r="B684">
        <v>18.615985658270301</v>
      </c>
      <c r="C684">
        <v>224.343621335986</v>
      </c>
    </row>
    <row r="685" spans="1:3" x14ac:dyDescent="0.25">
      <c r="A685" t="s">
        <v>1550</v>
      </c>
      <c r="B685">
        <v>18.682517568854699</v>
      </c>
      <c r="C685">
        <v>179.415407177883</v>
      </c>
    </row>
    <row r="686" spans="1:3" x14ac:dyDescent="0.25">
      <c r="A686" t="s">
        <v>2035</v>
      </c>
      <c r="B686">
        <v>18.715617287897999</v>
      </c>
      <c r="C686">
        <v>366.84804299367801</v>
      </c>
    </row>
    <row r="687" spans="1:3" x14ac:dyDescent="0.25">
      <c r="A687" t="s">
        <v>1931</v>
      </c>
      <c r="B687">
        <v>18.740143929604699</v>
      </c>
      <c r="C687">
        <v>248.191425003581</v>
      </c>
    </row>
    <row r="688" spans="1:3" x14ac:dyDescent="0.25">
      <c r="A688" t="s">
        <v>2478</v>
      </c>
      <c r="B688">
        <v>18.75317934165</v>
      </c>
      <c r="C688">
        <v>316.76893007490003</v>
      </c>
    </row>
    <row r="689" spans="1:3" x14ac:dyDescent="0.25">
      <c r="A689" t="s">
        <v>2472</v>
      </c>
      <c r="B689">
        <v>18.766148729930801</v>
      </c>
      <c r="C689">
        <v>259.78889646513602</v>
      </c>
    </row>
    <row r="690" spans="1:3" x14ac:dyDescent="0.25">
      <c r="A690" t="s">
        <v>1953</v>
      </c>
      <c r="B690">
        <v>18.793027462688801</v>
      </c>
      <c r="C690">
        <v>79.458495954717307</v>
      </c>
    </row>
    <row r="691" spans="1:3" x14ac:dyDescent="0.25">
      <c r="A691" t="s">
        <v>100</v>
      </c>
      <c r="B691">
        <v>18.8483923371728</v>
      </c>
      <c r="C691">
        <v>123.212369984387</v>
      </c>
    </row>
    <row r="692" spans="1:3" x14ac:dyDescent="0.25">
      <c r="A692" t="s">
        <v>899</v>
      </c>
      <c r="B692">
        <v>18.8552541749075</v>
      </c>
      <c r="C692">
        <v>397.74144303886197</v>
      </c>
    </row>
    <row r="693" spans="1:3" x14ac:dyDescent="0.25">
      <c r="A693" t="s">
        <v>3210</v>
      </c>
      <c r="B693">
        <v>18.913377974118799</v>
      </c>
      <c r="C693">
        <v>314.30941379893898</v>
      </c>
    </row>
    <row r="694" spans="1:3" x14ac:dyDescent="0.25">
      <c r="A694" t="s">
        <v>446</v>
      </c>
      <c r="B694">
        <v>19.009216184023199</v>
      </c>
      <c r="C694">
        <v>93.559051099045902</v>
      </c>
    </row>
    <row r="695" spans="1:3" x14ac:dyDescent="0.25">
      <c r="A695" t="s">
        <v>436</v>
      </c>
      <c r="B695">
        <v>19.051364849141802</v>
      </c>
      <c r="C695">
        <v>173.60715659118301</v>
      </c>
    </row>
    <row r="696" spans="1:3" x14ac:dyDescent="0.25">
      <c r="A696" t="s">
        <v>1103</v>
      </c>
      <c r="B696">
        <v>19.0823164076475</v>
      </c>
      <c r="C696">
        <v>89.494162088861998</v>
      </c>
    </row>
    <row r="697" spans="1:3" x14ac:dyDescent="0.25">
      <c r="A697" t="s">
        <v>1632</v>
      </c>
      <c r="B697">
        <v>19.103503334541401</v>
      </c>
      <c r="C697">
        <v>198.85171670005499</v>
      </c>
    </row>
    <row r="698" spans="1:3" x14ac:dyDescent="0.25">
      <c r="A698" t="s">
        <v>3084</v>
      </c>
      <c r="B698">
        <v>19.157422101310601</v>
      </c>
      <c r="C698">
        <v>281.19814201928102</v>
      </c>
    </row>
    <row r="699" spans="1:3" x14ac:dyDescent="0.25">
      <c r="A699" t="s">
        <v>991</v>
      </c>
      <c r="B699">
        <v>19.177749838329198</v>
      </c>
      <c r="C699">
        <v>110.880791103177</v>
      </c>
    </row>
    <row r="700" spans="1:3" x14ac:dyDescent="0.25">
      <c r="A700" t="s">
        <v>1315</v>
      </c>
      <c r="B700">
        <v>19.223841172957702</v>
      </c>
      <c r="C700">
        <v>296.36202329019699</v>
      </c>
    </row>
    <row r="701" spans="1:3" x14ac:dyDescent="0.25">
      <c r="A701" t="s">
        <v>1089</v>
      </c>
      <c r="B701">
        <v>19.245661158688801</v>
      </c>
      <c r="C701">
        <v>523.09267367068401</v>
      </c>
    </row>
    <row r="702" spans="1:3" x14ac:dyDescent="0.25">
      <c r="A702" t="s">
        <v>1568</v>
      </c>
      <c r="B702">
        <v>19.247091339492901</v>
      </c>
      <c r="C702">
        <v>489.27361008205202</v>
      </c>
    </row>
    <row r="703" spans="1:3" x14ac:dyDescent="0.25">
      <c r="A703" t="s">
        <v>2143</v>
      </c>
      <c r="B703">
        <v>19.261587995283001</v>
      </c>
      <c r="C703">
        <v>152.343121336492</v>
      </c>
    </row>
    <row r="704" spans="1:3" x14ac:dyDescent="0.25">
      <c r="A704" t="s">
        <v>2957</v>
      </c>
      <c r="B704">
        <v>19.282397605183299</v>
      </c>
      <c r="C704">
        <v>250.58259230556001</v>
      </c>
    </row>
    <row r="705" spans="1:3" x14ac:dyDescent="0.25">
      <c r="A705" t="s">
        <v>2363</v>
      </c>
      <c r="B705">
        <v>19.365727842017101</v>
      </c>
      <c r="C705">
        <v>101.098394834337</v>
      </c>
    </row>
    <row r="706" spans="1:3" x14ac:dyDescent="0.25">
      <c r="A706" t="s">
        <v>3182</v>
      </c>
      <c r="B706">
        <v>19.492592667848299</v>
      </c>
      <c r="C706">
        <v>191.64104966858901</v>
      </c>
    </row>
    <row r="707" spans="1:3" x14ac:dyDescent="0.25">
      <c r="A707" t="s">
        <v>410</v>
      </c>
      <c r="B707">
        <v>19.550368575270301</v>
      </c>
      <c r="C707">
        <v>195.91151495695399</v>
      </c>
    </row>
    <row r="708" spans="1:3" x14ac:dyDescent="0.25">
      <c r="A708" t="s">
        <v>316</v>
      </c>
      <c r="B708">
        <v>19.581570440201801</v>
      </c>
      <c r="C708">
        <v>204.32547462023001</v>
      </c>
    </row>
    <row r="709" spans="1:3" x14ac:dyDescent="0.25">
      <c r="A709" t="s">
        <v>2817</v>
      </c>
      <c r="B709">
        <v>19.603490123165901</v>
      </c>
      <c r="C709">
        <v>376.61389160108098</v>
      </c>
    </row>
    <row r="710" spans="1:3" x14ac:dyDescent="0.25">
      <c r="A710" t="s">
        <v>1221</v>
      </c>
      <c r="B710">
        <v>19.626342790132</v>
      </c>
      <c r="C710">
        <v>49.280235630919897</v>
      </c>
    </row>
    <row r="711" spans="1:3" x14ac:dyDescent="0.25">
      <c r="A711" t="s">
        <v>80</v>
      </c>
      <c r="B711">
        <v>19.6414883776777</v>
      </c>
      <c r="C711">
        <v>322.96818647560099</v>
      </c>
    </row>
    <row r="712" spans="1:3" x14ac:dyDescent="0.25">
      <c r="A712" t="s">
        <v>2937</v>
      </c>
      <c r="B712">
        <v>19.659586239226002</v>
      </c>
      <c r="C712">
        <v>177.896984657296</v>
      </c>
    </row>
    <row r="713" spans="1:3" x14ac:dyDescent="0.25">
      <c r="A713" t="s">
        <v>1981</v>
      </c>
      <c r="B713">
        <v>19.686127263581401</v>
      </c>
      <c r="C713">
        <v>41.585185150177701</v>
      </c>
    </row>
    <row r="714" spans="1:3" x14ac:dyDescent="0.25">
      <c r="A714" t="s">
        <v>1896</v>
      </c>
      <c r="B714">
        <v>19.722641882916999</v>
      </c>
      <c r="C714">
        <v>265.39299332885599</v>
      </c>
    </row>
    <row r="715" spans="1:3" x14ac:dyDescent="0.25">
      <c r="A715" t="s">
        <v>3031</v>
      </c>
      <c r="B715">
        <v>19.7937584850207</v>
      </c>
      <c r="C715">
        <v>334.41037058319398</v>
      </c>
    </row>
    <row r="716" spans="1:3" x14ac:dyDescent="0.25">
      <c r="A716" t="s">
        <v>2119</v>
      </c>
      <c r="B716">
        <v>19.827861719033798</v>
      </c>
      <c r="C716">
        <v>77.845598453356502</v>
      </c>
    </row>
    <row r="717" spans="1:3" x14ac:dyDescent="0.25">
      <c r="A717" t="s">
        <v>2953</v>
      </c>
      <c r="B717">
        <v>19.946825413463198</v>
      </c>
      <c r="C717">
        <v>99.101557436212801</v>
      </c>
    </row>
    <row r="718" spans="1:3" x14ac:dyDescent="0.25">
      <c r="A718" t="s">
        <v>1241</v>
      </c>
      <c r="B718">
        <v>20.025286602472999</v>
      </c>
      <c r="C718">
        <v>205.27990276208999</v>
      </c>
    </row>
    <row r="719" spans="1:3" x14ac:dyDescent="0.25">
      <c r="A719" t="s">
        <v>2760</v>
      </c>
      <c r="B719">
        <v>20.028667476003399</v>
      </c>
      <c r="C719">
        <v>148.51558579278401</v>
      </c>
    </row>
    <row r="720" spans="1:3" x14ac:dyDescent="0.25">
      <c r="A720" t="s">
        <v>2664</v>
      </c>
      <c r="B720">
        <v>20.070583518873502</v>
      </c>
      <c r="C720">
        <v>197.44912225919299</v>
      </c>
    </row>
    <row r="721" spans="1:3" x14ac:dyDescent="0.25">
      <c r="A721" t="s">
        <v>1488</v>
      </c>
      <c r="B721">
        <v>20.085192109351599</v>
      </c>
      <c r="C721">
        <v>132.08945177708301</v>
      </c>
    </row>
    <row r="722" spans="1:3" x14ac:dyDescent="0.25">
      <c r="A722" t="s">
        <v>1397</v>
      </c>
      <c r="B722">
        <v>20.098750737320501</v>
      </c>
      <c r="C722">
        <v>484.23080934983602</v>
      </c>
    </row>
    <row r="723" spans="1:3" x14ac:dyDescent="0.25">
      <c r="A723" t="s">
        <v>1566</v>
      </c>
      <c r="B723">
        <v>20.106333398187701</v>
      </c>
      <c r="C723">
        <v>85.893217421761094</v>
      </c>
    </row>
    <row r="724" spans="1:3" x14ac:dyDescent="0.25">
      <c r="A724" t="s">
        <v>2031</v>
      </c>
      <c r="B724">
        <v>20.120974589374899</v>
      </c>
      <c r="C724">
        <v>128.48449486615999</v>
      </c>
    </row>
    <row r="725" spans="1:3" x14ac:dyDescent="0.25">
      <c r="A725" t="s">
        <v>3074</v>
      </c>
      <c r="B725">
        <v>20.1369728847808</v>
      </c>
      <c r="C725">
        <v>522.32023744006301</v>
      </c>
    </row>
    <row r="726" spans="1:3" x14ac:dyDescent="0.25">
      <c r="A726" t="s">
        <v>983</v>
      </c>
      <c r="B726">
        <v>20.155278379695499</v>
      </c>
      <c r="C726">
        <v>115.445713062351</v>
      </c>
    </row>
    <row r="727" spans="1:3" x14ac:dyDescent="0.25">
      <c r="A727" t="s">
        <v>518</v>
      </c>
      <c r="B727">
        <v>20.171308603217099</v>
      </c>
      <c r="C727">
        <v>196.20961303766899</v>
      </c>
    </row>
    <row r="728" spans="1:3" x14ac:dyDescent="0.25">
      <c r="A728" t="s">
        <v>2153</v>
      </c>
      <c r="B728">
        <v>20.1880422803657</v>
      </c>
      <c r="C728">
        <v>282.59059393157099</v>
      </c>
    </row>
    <row r="729" spans="1:3" x14ac:dyDescent="0.25">
      <c r="A729" t="s">
        <v>658</v>
      </c>
      <c r="B729">
        <v>20.223489029615699</v>
      </c>
      <c r="C729">
        <v>323.269303703871</v>
      </c>
    </row>
    <row r="730" spans="1:3" x14ac:dyDescent="0.25">
      <c r="A730" t="s">
        <v>2207</v>
      </c>
      <c r="B730">
        <v>20.2265155773215</v>
      </c>
      <c r="C730">
        <v>111.935682482128</v>
      </c>
    </row>
    <row r="731" spans="1:3" x14ac:dyDescent="0.25">
      <c r="A731" t="s">
        <v>2552</v>
      </c>
      <c r="B731">
        <v>20.368723281153599</v>
      </c>
      <c r="C731">
        <v>234.83898736644201</v>
      </c>
    </row>
    <row r="732" spans="1:3" x14ac:dyDescent="0.25">
      <c r="A732" t="s">
        <v>126</v>
      </c>
      <c r="B732">
        <v>20.375001033322899</v>
      </c>
      <c r="C732">
        <v>275.95752644794698</v>
      </c>
    </row>
    <row r="733" spans="1:3" x14ac:dyDescent="0.25">
      <c r="A733" t="s">
        <v>1814</v>
      </c>
      <c r="B733">
        <v>20.453110181812502</v>
      </c>
      <c r="C733">
        <v>57.465667076550901</v>
      </c>
    </row>
    <row r="734" spans="1:3" x14ac:dyDescent="0.25">
      <c r="A734" t="s">
        <v>1408</v>
      </c>
      <c r="B734">
        <v>20.506039616266701</v>
      </c>
      <c r="C734">
        <v>340.97077427052301</v>
      </c>
    </row>
    <row r="735" spans="1:3" x14ac:dyDescent="0.25">
      <c r="A735" t="s">
        <v>230</v>
      </c>
      <c r="B735">
        <v>20.506234059199699</v>
      </c>
      <c r="C735">
        <v>141.424319687474</v>
      </c>
    </row>
    <row r="736" spans="1:3" x14ac:dyDescent="0.25">
      <c r="A736" t="s">
        <v>3033</v>
      </c>
      <c r="B736">
        <v>20.647953535746598</v>
      </c>
      <c r="C736">
        <v>262.87447054766699</v>
      </c>
    </row>
    <row r="737" spans="1:3" x14ac:dyDescent="0.25">
      <c r="A737" t="s">
        <v>2831</v>
      </c>
      <c r="B737">
        <v>20.803944616317899</v>
      </c>
      <c r="C737">
        <v>159.30510933214001</v>
      </c>
    </row>
    <row r="738" spans="1:3" x14ac:dyDescent="0.25">
      <c r="A738" t="s">
        <v>3035</v>
      </c>
      <c r="B738">
        <v>20.835424216336499</v>
      </c>
      <c r="C738">
        <v>104.316144035555</v>
      </c>
    </row>
    <row r="739" spans="1:3" x14ac:dyDescent="0.25">
      <c r="A739" t="s">
        <v>1353</v>
      </c>
      <c r="B739">
        <v>20.848351869591902</v>
      </c>
      <c r="C739">
        <v>192.95281608833201</v>
      </c>
    </row>
    <row r="740" spans="1:3" x14ac:dyDescent="0.25">
      <c r="A740" t="s">
        <v>750</v>
      </c>
      <c r="B740">
        <v>20.920151930912301</v>
      </c>
      <c r="C740">
        <v>116.23087537875401</v>
      </c>
    </row>
    <row r="741" spans="1:3" x14ac:dyDescent="0.25">
      <c r="A741" t="s">
        <v>2399</v>
      </c>
      <c r="B741">
        <v>21.016568981670002</v>
      </c>
      <c r="C741">
        <v>194.98032901553199</v>
      </c>
    </row>
    <row r="742" spans="1:3" x14ac:dyDescent="0.25">
      <c r="A742" t="s">
        <v>1464</v>
      </c>
      <c r="B742">
        <v>21.068141889120898</v>
      </c>
      <c r="C742">
        <v>191.750300646037</v>
      </c>
    </row>
    <row r="743" spans="1:3" x14ac:dyDescent="0.25">
      <c r="A743" t="s">
        <v>1726</v>
      </c>
      <c r="B743">
        <v>21.086722070456901</v>
      </c>
      <c r="C743">
        <v>316.098385093307</v>
      </c>
    </row>
    <row r="744" spans="1:3" x14ac:dyDescent="0.25">
      <c r="A744" t="s">
        <v>915</v>
      </c>
      <c r="B744">
        <v>21.121709693670802</v>
      </c>
      <c r="C744">
        <v>264.85051143257999</v>
      </c>
    </row>
    <row r="745" spans="1:3" x14ac:dyDescent="0.25">
      <c r="A745" t="s">
        <v>2939</v>
      </c>
      <c r="B745">
        <v>21.1386952100065</v>
      </c>
      <c r="C745">
        <v>202.044085934695</v>
      </c>
    </row>
    <row r="746" spans="1:3" x14ac:dyDescent="0.25">
      <c r="A746" t="s">
        <v>1249</v>
      </c>
      <c r="B746">
        <v>21.2019680013114</v>
      </c>
      <c r="C746">
        <v>218.78073592947999</v>
      </c>
    </row>
    <row r="747" spans="1:3" x14ac:dyDescent="0.25">
      <c r="A747" t="s">
        <v>1167</v>
      </c>
      <c r="B747">
        <v>21.257827783597399</v>
      </c>
      <c r="C747">
        <v>207.277470519811</v>
      </c>
    </row>
    <row r="748" spans="1:3" x14ac:dyDescent="0.25">
      <c r="A748" t="s">
        <v>294</v>
      </c>
      <c r="B748">
        <v>21.3160353488204</v>
      </c>
      <c r="C748">
        <v>148.41648704090301</v>
      </c>
    </row>
    <row r="749" spans="1:3" x14ac:dyDescent="0.25">
      <c r="A749" t="s">
        <v>458</v>
      </c>
      <c r="B749">
        <v>21.335260049010099</v>
      </c>
      <c r="C749">
        <v>581.92681205000395</v>
      </c>
    </row>
    <row r="750" spans="1:3" x14ac:dyDescent="0.25">
      <c r="A750" t="s">
        <v>2596</v>
      </c>
      <c r="B750">
        <v>21.369046420402999</v>
      </c>
      <c r="C750">
        <v>140.43814726134801</v>
      </c>
    </row>
    <row r="751" spans="1:3" x14ac:dyDescent="0.25">
      <c r="A751" t="s">
        <v>3103</v>
      </c>
      <c r="B751">
        <v>21.415841565479401</v>
      </c>
      <c r="C751">
        <v>208.927626886795</v>
      </c>
    </row>
    <row r="752" spans="1:3" x14ac:dyDescent="0.25">
      <c r="A752" t="s">
        <v>2111</v>
      </c>
      <c r="B752">
        <v>21.457314380360099</v>
      </c>
      <c r="C752">
        <v>98.619600477097293</v>
      </c>
    </row>
    <row r="753" spans="1:3" x14ac:dyDescent="0.25">
      <c r="A753" t="s">
        <v>1592</v>
      </c>
      <c r="B753">
        <v>21.479706624537201</v>
      </c>
      <c r="C753">
        <v>320.26188988959399</v>
      </c>
    </row>
    <row r="754" spans="1:3" x14ac:dyDescent="0.25">
      <c r="A754" t="s">
        <v>664</v>
      </c>
      <c r="B754">
        <v>21.486057493095402</v>
      </c>
      <c r="C754">
        <v>113.668817331299</v>
      </c>
    </row>
    <row r="755" spans="1:3" x14ac:dyDescent="0.25">
      <c r="A755" t="s">
        <v>3015</v>
      </c>
      <c r="B755">
        <v>21.5192021760937</v>
      </c>
      <c r="C755">
        <v>344.76377931936298</v>
      </c>
    </row>
    <row r="756" spans="1:3" x14ac:dyDescent="0.25">
      <c r="A756" t="s">
        <v>1267</v>
      </c>
      <c r="B756">
        <v>21.544788715092199</v>
      </c>
      <c r="C756">
        <v>116.57211411449801</v>
      </c>
    </row>
    <row r="757" spans="1:3" x14ac:dyDescent="0.25">
      <c r="A757" t="s">
        <v>2965</v>
      </c>
      <c r="B757">
        <v>21.6035653255428</v>
      </c>
      <c r="C757">
        <v>120.365521639791</v>
      </c>
    </row>
    <row r="758" spans="1:3" x14ac:dyDescent="0.25">
      <c r="A758" t="s">
        <v>2742</v>
      </c>
      <c r="B758">
        <v>21.643867698997202</v>
      </c>
      <c r="C758">
        <v>137.494647024801</v>
      </c>
    </row>
    <row r="759" spans="1:3" x14ac:dyDescent="0.25">
      <c r="A759" t="s">
        <v>2893</v>
      </c>
      <c r="B759">
        <v>21.649351103489199</v>
      </c>
      <c r="C759">
        <v>163.04891283879601</v>
      </c>
    </row>
    <row r="760" spans="1:3" x14ac:dyDescent="0.25">
      <c r="A760" t="s">
        <v>1810</v>
      </c>
      <c r="B760">
        <v>21.661928040913299</v>
      </c>
      <c r="C760">
        <v>275.97398947217403</v>
      </c>
    </row>
    <row r="761" spans="1:3" x14ac:dyDescent="0.25">
      <c r="A761" t="s">
        <v>919</v>
      </c>
      <c r="B761">
        <v>21.666191507268501</v>
      </c>
      <c r="C761">
        <v>336.82574533867898</v>
      </c>
    </row>
    <row r="762" spans="1:3" x14ac:dyDescent="0.25">
      <c r="A762" t="s">
        <v>1750</v>
      </c>
      <c r="B762">
        <v>21.6674833853675</v>
      </c>
      <c r="C762">
        <v>245.58997786843599</v>
      </c>
    </row>
    <row r="763" spans="1:3" x14ac:dyDescent="0.25">
      <c r="A763" t="s">
        <v>468</v>
      </c>
      <c r="B763">
        <v>21.687616621592699</v>
      </c>
      <c r="C763">
        <v>251.198234639795</v>
      </c>
    </row>
    <row r="764" spans="1:3" x14ac:dyDescent="0.25">
      <c r="A764" t="s">
        <v>1722</v>
      </c>
      <c r="B764">
        <v>21.753931627688601</v>
      </c>
      <c r="C764">
        <v>389.56471163298602</v>
      </c>
    </row>
    <row r="765" spans="1:3" x14ac:dyDescent="0.25">
      <c r="A765" t="s">
        <v>1696</v>
      </c>
      <c r="B765">
        <v>21.862426773351299</v>
      </c>
      <c r="C765">
        <v>204.89853557658299</v>
      </c>
    </row>
    <row r="766" spans="1:3" x14ac:dyDescent="0.25">
      <c r="A766" t="s">
        <v>1349</v>
      </c>
      <c r="B766">
        <v>21.8744887452185</v>
      </c>
      <c r="C766">
        <v>227.346541887776</v>
      </c>
    </row>
    <row r="767" spans="1:3" x14ac:dyDescent="0.25">
      <c r="A767" t="s">
        <v>1466</v>
      </c>
      <c r="B767">
        <v>21.908901552522501</v>
      </c>
      <c r="C767">
        <v>114.20809615152901</v>
      </c>
    </row>
    <row r="768" spans="1:3" x14ac:dyDescent="0.25">
      <c r="A768" t="s">
        <v>314</v>
      </c>
      <c r="B768">
        <v>22.0923436629209</v>
      </c>
      <c r="C768">
        <v>177.69622123985201</v>
      </c>
    </row>
    <row r="769" spans="1:3" x14ac:dyDescent="0.25">
      <c r="A769" t="s">
        <v>1436</v>
      </c>
      <c r="B769">
        <v>22.1296407730486</v>
      </c>
      <c r="C769">
        <v>493.14937951226602</v>
      </c>
    </row>
    <row r="770" spans="1:3" x14ac:dyDescent="0.25">
      <c r="A770" t="s">
        <v>1087</v>
      </c>
      <c r="B770">
        <v>22.148170985522601</v>
      </c>
      <c r="C770">
        <v>71.296983815856905</v>
      </c>
    </row>
    <row r="771" spans="1:3" x14ac:dyDescent="0.25">
      <c r="A771" t="s">
        <v>1724</v>
      </c>
      <c r="B771">
        <v>22.2078677236914</v>
      </c>
      <c r="C771">
        <v>342.98559839646998</v>
      </c>
    </row>
    <row r="772" spans="1:3" x14ac:dyDescent="0.25">
      <c r="A772" t="s">
        <v>626</v>
      </c>
      <c r="B772">
        <v>22.2200592594269</v>
      </c>
      <c r="C772">
        <v>122.247925906487</v>
      </c>
    </row>
    <row r="773" spans="1:3" x14ac:dyDescent="0.25">
      <c r="A773" t="s">
        <v>1021</v>
      </c>
      <c r="B773">
        <v>22.336150788029499</v>
      </c>
      <c r="C773">
        <v>136.24988135830699</v>
      </c>
    </row>
    <row r="774" spans="1:3" x14ac:dyDescent="0.25">
      <c r="A774" t="s">
        <v>3148</v>
      </c>
      <c r="B774">
        <v>22.376005822629899</v>
      </c>
      <c r="C774">
        <v>372.49148141687999</v>
      </c>
    </row>
    <row r="775" spans="1:3" x14ac:dyDescent="0.25">
      <c r="A775" t="s">
        <v>350</v>
      </c>
      <c r="B775">
        <v>22.457261888575701</v>
      </c>
      <c r="C775">
        <v>855.12756693922199</v>
      </c>
    </row>
    <row r="776" spans="1:3" x14ac:dyDescent="0.25">
      <c r="A776" t="s">
        <v>889</v>
      </c>
      <c r="B776">
        <v>22.508227499210602</v>
      </c>
      <c r="C776">
        <v>82.748930983249707</v>
      </c>
    </row>
    <row r="777" spans="1:3" x14ac:dyDescent="0.25">
      <c r="A777" t="s">
        <v>2971</v>
      </c>
      <c r="B777">
        <v>22.585606426227301</v>
      </c>
      <c r="C777">
        <v>296.10539282299402</v>
      </c>
    </row>
    <row r="778" spans="1:3" x14ac:dyDescent="0.25">
      <c r="A778" t="s">
        <v>923</v>
      </c>
      <c r="B778">
        <v>22.69462405789</v>
      </c>
      <c r="C778">
        <v>134.72800278076301</v>
      </c>
    </row>
    <row r="779" spans="1:3" x14ac:dyDescent="0.25">
      <c r="A779" t="s">
        <v>3146</v>
      </c>
      <c r="B779">
        <v>22.708891457172001</v>
      </c>
      <c r="C779">
        <v>404.33988343289201</v>
      </c>
    </row>
    <row r="780" spans="1:3" x14ac:dyDescent="0.25">
      <c r="A780" t="s">
        <v>969</v>
      </c>
      <c r="B780">
        <v>22.7510884060565</v>
      </c>
      <c r="C780">
        <v>347.061772295884</v>
      </c>
    </row>
    <row r="781" spans="1:3" x14ac:dyDescent="0.25">
      <c r="A781" t="s">
        <v>440</v>
      </c>
      <c r="B781">
        <v>22.782818389120798</v>
      </c>
      <c r="C781">
        <v>121.81481333395701</v>
      </c>
    </row>
    <row r="782" spans="1:3" x14ac:dyDescent="0.25">
      <c r="A782" t="s">
        <v>2716</v>
      </c>
      <c r="B782">
        <v>22.860742869645701</v>
      </c>
      <c r="C782">
        <v>632.40427479015204</v>
      </c>
    </row>
    <row r="783" spans="1:3" x14ac:dyDescent="0.25">
      <c r="A783" t="s">
        <v>1844</v>
      </c>
      <c r="B783">
        <v>22.874948060660302</v>
      </c>
      <c r="C783">
        <v>257.91558027171197</v>
      </c>
    </row>
    <row r="784" spans="1:3" x14ac:dyDescent="0.25">
      <c r="A784" t="s">
        <v>2776</v>
      </c>
      <c r="B784">
        <v>22.916368693647499</v>
      </c>
      <c r="C784">
        <v>140.44674562278601</v>
      </c>
    </row>
    <row r="785" spans="1:3" x14ac:dyDescent="0.25">
      <c r="A785" t="s">
        <v>2427</v>
      </c>
      <c r="B785">
        <v>22.9539280606947</v>
      </c>
      <c r="C785">
        <v>435.05809160223203</v>
      </c>
    </row>
    <row r="786" spans="1:3" x14ac:dyDescent="0.25">
      <c r="A786" t="s">
        <v>102</v>
      </c>
      <c r="B786">
        <v>22.977768615159398</v>
      </c>
      <c r="C786">
        <v>74.822792666530603</v>
      </c>
    </row>
    <row r="787" spans="1:3" x14ac:dyDescent="0.25">
      <c r="A787" t="s">
        <v>2247</v>
      </c>
      <c r="B787">
        <v>23.0105135350693</v>
      </c>
      <c r="C787">
        <v>167.57926285209899</v>
      </c>
    </row>
    <row r="788" spans="1:3" x14ac:dyDescent="0.25">
      <c r="A788" t="s">
        <v>2849</v>
      </c>
      <c r="B788">
        <v>23.063297460359198</v>
      </c>
      <c r="C788">
        <v>117.63770691089</v>
      </c>
    </row>
    <row r="789" spans="1:3" x14ac:dyDescent="0.25">
      <c r="A789" t="s">
        <v>3092</v>
      </c>
      <c r="B789">
        <v>23.094952144461502</v>
      </c>
      <c r="C789">
        <v>164.422671840231</v>
      </c>
    </row>
    <row r="790" spans="1:3" x14ac:dyDescent="0.25">
      <c r="A790" t="s">
        <v>192</v>
      </c>
      <c r="B790">
        <v>23.132687038096702</v>
      </c>
      <c r="C790">
        <v>366.37303404518002</v>
      </c>
    </row>
    <row r="791" spans="1:3" x14ac:dyDescent="0.25">
      <c r="A791" t="s">
        <v>2476</v>
      </c>
      <c r="B791">
        <v>23.211121185332502</v>
      </c>
      <c r="C791">
        <v>526.24196077239299</v>
      </c>
    </row>
    <row r="792" spans="1:3" x14ac:dyDescent="0.25">
      <c r="A792" t="s">
        <v>2297</v>
      </c>
      <c r="B792">
        <v>23.239706588068199</v>
      </c>
      <c r="C792">
        <v>34.941160768255301</v>
      </c>
    </row>
    <row r="793" spans="1:3" x14ac:dyDescent="0.25">
      <c r="A793" t="s">
        <v>881</v>
      </c>
      <c r="B793">
        <v>23.290678776076199</v>
      </c>
      <c r="C793">
        <v>253.674203336267</v>
      </c>
    </row>
    <row r="794" spans="1:3" x14ac:dyDescent="0.25">
      <c r="A794" t="s">
        <v>865</v>
      </c>
      <c r="B794">
        <v>23.317029503052002</v>
      </c>
      <c r="C794">
        <v>308.18694303184401</v>
      </c>
    </row>
    <row r="795" spans="1:3" x14ac:dyDescent="0.25">
      <c r="A795" t="s">
        <v>3005</v>
      </c>
      <c r="B795">
        <v>23.320707920516998</v>
      </c>
      <c r="C795">
        <v>151.18875003138001</v>
      </c>
    </row>
    <row r="796" spans="1:3" x14ac:dyDescent="0.25">
      <c r="A796" t="s">
        <v>1658</v>
      </c>
      <c r="B796">
        <v>23.369634815097701</v>
      </c>
      <c r="C796">
        <v>160.58493792829799</v>
      </c>
    </row>
    <row r="797" spans="1:3" x14ac:dyDescent="0.25">
      <c r="A797" t="s">
        <v>3122</v>
      </c>
      <c r="B797">
        <v>23.411663835694799</v>
      </c>
      <c r="C797">
        <v>362.45159506135701</v>
      </c>
    </row>
    <row r="798" spans="1:3" x14ac:dyDescent="0.25">
      <c r="A798" t="s">
        <v>2291</v>
      </c>
      <c r="B798">
        <v>23.458523252414899</v>
      </c>
      <c r="C798">
        <v>366.34654326614998</v>
      </c>
    </row>
    <row r="799" spans="1:3" x14ac:dyDescent="0.25">
      <c r="A799" t="s">
        <v>2909</v>
      </c>
      <c r="B799">
        <v>23.4703522398822</v>
      </c>
      <c r="C799">
        <v>256.75138006601298</v>
      </c>
    </row>
    <row r="800" spans="1:3" x14ac:dyDescent="0.25">
      <c r="A800" t="s">
        <v>1335</v>
      </c>
      <c r="B800">
        <v>23.586874433336899</v>
      </c>
      <c r="C800">
        <v>177.94572434384699</v>
      </c>
    </row>
    <row r="801" spans="1:3" x14ac:dyDescent="0.25">
      <c r="A801" t="s">
        <v>977</v>
      </c>
      <c r="B801">
        <v>23.6390862997265</v>
      </c>
      <c r="C801">
        <v>383.81872655057202</v>
      </c>
    </row>
    <row r="802" spans="1:3" x14ac:dyDescent="0.25">
      <c r="A802" t="s">
        <v>1391</v>
      </c>
      <c r="B802">
        <v>23.6735052942315</v>
      </c>
      <c r="C802">
        <v>226.75774208594299</v>
      </c>
    </row>
    <row r="803" spans="1:3" x14ac:dyDescent="0.25">
      <c r="A803" t="s">
        <v>3064</v>
      </c>
      <c r="B803">
        <v>23.691651107572401</v>
      </c>
      <c r="C803">
        <v>187.81240058266701</v>
      </c>
    </row>
    <row r="804" spans="1:3" x14ac:dyDescent="0.25">
      <c r="A804" t="s">
        <v>3216</v>
      </c>
      <c r="B804">
        <v>23.7678195312388</v>
      </c>
      <c r="C804">
        <v>152.744936983927</v>
      </c>
    </row>
    <row r="805" spans="1:3" x14ac:dyDescent="0.25">
      <c r="A805" t="s">
        <v>1412</v>
      </c>
      <c r="B805">
        <v>23.789638615987499</v>
      </c>
      <c r="C805">
        <v>598.450392575406</v>
      </c>
    </row>
    <row r="806" spans="1:3" x14ac:dyDescent="0.25">
      <c r="A806" t="s">
        <v>1295</v>
      </c>
      <c r="B806">
        <v>23.882060759563</v>
      </c>
      <c r="C806">
        <v>156.71022323835601</v>
      </c>
    </row>
    <row r="807" spans="1:3" x14ac:dyDescent="0.25">
      <c r="A807" t="s">
        <v>1025</v>
      </c>
      <c r="B807">
        <v>23.893029419459499</v>
      </c>
      <c r="C807">
        <v>303.79584058819802</v>
      </c>
    </row>
    <row r="808" spans="1:3" x14ac:dyDescent="0.25">
      <c r="A808" t="s">
        <v>3048</v>
      </c>
      <c r="B808">
        <v>23.926410887572899</v>
      </c>
      <c r="C808">
        <v>190.590448658193</v>
      </c>
    </row>
    <row r="809" spans="1:3" x14ac:dyDescent="0.25">
      <c r="A809" t="s">
        <v>2636</v>
      </c>
      <c r="B809">
        <v>23.993920301208998</v>
      </c>
      <c r="C809">
        <v>305.084831818417</v>
      </c>
    </row>
    <row r="810" spans="1:3" x14ac:dyDescent="0.25">
      <c r="A810" t="s">
        <v>242</v>
      </c>
      <c r="B810">
        <v>24.135041123999599</v>
      </c>
      <c r="C810">
        <v>408.88083460646698</v>
      </c>
    </row>
    <row r="811" spans="1:3" x14ac:dyDescent="0.25">
      <c r="A811" t="s">
        <v>1574</v>
      </c>
      <c r="B811">
        <v>24.292459824177001</v>
      </c>
      <c r="C811">
        <v>355.52163865295603</v>
      </c>
    </row>
    <row r="812" spans="1:3" x14ac:dyDescent="0.25">
      <c r="A812" t="s">
        <v>2105</v>
      </c>
      <c r="B812">
        <v>24.339180536382301</v>
      </c>
      <c r="C812">
        <v>188.34878121674799</v>
      </c>
    </row>
    <row r="813" spans="1:3" x14ac:dyDescent="0.25">
      <c r="A813" t="s">
        <v>602</v>
      </c>
      <c r="B813">
        <v>24.3755691015213</v>
      </c>
      <c r="C813">
        <v>293.22736666711501</v>
      </c>
    </row>
    <row r="814" spans="1:3" x14ac:dyDescent="0.25">
      <c r="A814" t="s">
        <v>1373</v>
      </c>
      <c r="B814">
        <v>24.468664077111701</v>
      </c>
      <c r="C814">
        <v>148.12902516182299</v>
      </c>
    </row>
    <row r="815" spans="1:3" x14ac:dyDescent="0.25">
      <c r="A815" t="s">
        <v>2333</v>
      </c>
      <c r="B815">
        <v>24.475516784442799</v>
      </c>
      <c r="C815">
        <v>332.161118180355</v>
      </c>
    </row>
    <row r="816" spans="1:3" x14ac:dyDescent="0.25">
      <c r="A816" t="s">
        <v>1446</v>
      </c>
      <c r="B816">
        <v>24.531828455487901</v>
      </c>
      <c r="C816">
        <v>588.15404432151604</v>
      </c>
    </row>
    <row r="817" spans="1:3" x14ac:dyDescent="0.25">
      <c r="A817" t="s">
        <v>2099</v>
      </c>
      <c r="B817">
        <v>24.533052752263</v>
      </c>
      <c r="C817">
        <v>131.99301644847</v>
      </c>
    </row>
    <row r="818" spans="1:3" x14ac:dyDescent="0.25">
      <c r="A818" t="s">
        <v>148</v>
      </c>
      <c r="B818">
        <v>24.5448076490229</v>
      </c>
      <c r="C818">
        <v>354.69240241102102</v>
      </c>
    </row>
    <row r="819" spans="1:3" x14ac:dyDescent="0.25">
      <c r="A819" t="s">
        <v>1099</v>
      </c>
      <c r="B819">
        <v>24.573715932472901</v>
      </c>
      <c r="C819">
        <v>58.006262384602401</v>
      </c>
    </row>
    <row r="820" spans="1:3" x14ac:dyDescent="0.25">
      <c r="A820" t="s">
        <v>2255</v>
      </c>
      <c r="B820">
        <v>24.5810761929962</v>
      </c>
      <c r="C820">
        <v>154.999641160891</v>
      </c>
    </row>
    <row r="821" spans="1:3" x14ac:dyDescent="0.25">
      <c r="A821" t="s">
        <v>564</v>
      </c>
      <c r="B821">
        <v>24.6167699661715</v>
      </c>
      <c r="C821">
        <v>155.41393368074301</v>
      </c>
    </row>
    <row r="822" spans="1:3" x14ac:dyDescent="0.25">
      <c r="A822" t="s">
        <v>2959</v>
      </c>
      <c r="B822">
        <v>24.672324984843101</v>
      </c>
      <c r="C822">
        <v>246.78926170536801</v>
      </c>
    </row>
    <row r="823" spans="1:3" x14ac:dyDescent="0.25">
      <c r="A823" t="s">
        <v>2867</v>
      </c>
      <c r="B823">
        <v>24.730318429168801</v>
      </c>
      <c r="C823">
        <v>343.89846412748398</v>
      </c>
    </row>
    <row r="824" spans="1:3" x14ac:dyDescent="0.25">
      <c r="A824" t="s">
        <v>1085</v>
      </c>
      <c r="B824">
        <v>24.774818611375999</v>
      </c>
      <c r="C824">
        <v>181.48445600872799</v>
      </c>
    </row>
    <row r="825" spans="1:3" x14ac:dyDescent="0.25">
      <c r="A825" t="s">
        <v>2546</v>
      </c>
      <c r="B825">
        <v>24.7890383311221</v>
      </c>
      <c r="C825">
        <v>225.12556564634201</v>
      </c>
    </row>
    <row r="826" spans="1:3" x14ac:dyDescent="0.25">
      <c r="A826" t="s">
        <v>1193</v>
      </c>
      <c r="B826">
        <v>24.805358004773002</v>
      </c>
      <c r="C826">
        <v>92.5558419998994</v>
      </c>
    </row>
    <row r="827" spans="1:3" x14ac:dyDescent="0.25">
      <c r="A827" t="s">
        <v>1379</v>
      </c>
      <c r="B827">
        <v>24.873995252625502</v>
      </c>
      <c r="C827">
        <v>87.444291880231205</v>
      </c>
    </row>
    <row r="828" spans="1:3" x14ac:dyDescent="0.25">
      <c r="A828" t="s">
        <v>2169</v>
      </c>
      <c r="B828">
        <v>24.9250924514517</v>
      </c>
      <c r="C828">
        <v>235.98571096336599</v>
      </c>
    </row>
    <row r="829" spans="1:3" x14ac:dyDescent="0.25">
      <c r="A829" t="s">
        <v>2177</v>
      </c>
      <c r="B829">
        <v>24.9410955015315</v>
      </c>
      <c r="C829">
        <v>221.52619235593301</v>
      </c>
    </row>
    <row r="830" spans="1:3" x14ac:dyDescent="0.25">
      <c r="A830" t="s">
        <v>60</v>
      </c>
      <c r="B830">
        <v>24.964524966966302</v>
      </c>
      <c r="C830">
        <v>87.938139141937398</v>
      </c>
    </row>
    <row r="831" spans="1:3" x14ac:dyDescent="0.25">
      <c r="A831" t="s">
        <v>1161</v>
      </c>
      <c r="B831">
        <v>24.964758455471099</v>
      </c>
      <c r="C831">
        <v>341.38338047112302</v>
      </c>
    </row>
    <row r="832" spans="1:3" x14ac:dyDescent="0.25">
      <c r="A832" t="s">
        <v>2674</v>
      </c>
      <c r="B832">
        <v>25.127151707305099</v>
      </c>
      <c r="C832">
        <v>220.24136504408099</v>
      </c>
    </row>
    <row r="833" spans="1:3" x14ac:dyDescent="0.25">
      <c r="A833" t="s">
        <v>2514</v>
      </c>
      <c r="B833">
        <v>25.1370432590174</v>
      </c>
      <c r="C833">
        <v>322.127568142011</v>
      </c>
    </row>
    <row r="834" spans="1:3" x14ac:dyDescent="0.25">
      <c r="A834" t="s">
        <v>1702</v>
      </c>
      <c r="B834">
        <v>25.1772034065994</v>
      </c>
      <c r="C834">
        <v>530.36461576865202</v>
      </c>
    </row>
    <row r="835" spans="1:3" x14ac:dyDescent="0.25">
      <c r="A835" t="s">
        <v>1784</v>
      </c>
      <c r="B835">
        <v>25.3911766113395</v>
      </c>
      <c r="C835">
        <v>215.922743147039</v>
      </c>
    </row>
    <row r="836" spans="1:3" x14ac:dyDescent="0.25">
      <c r="A836" t="s">
        <v>961</v>
      </c>
      <c r="B836">
        <v>25.4307226485539</v>
      </c>
      <c r="C836">
        <v>222.78564775887</v>
      </c>
    </row>
    <row r="837" spans="1:3" x14ac:dyDescent="0.25">
      <c r="A837" t="s">
        <v>2043</v>
      </c>
      <c r="B837">
        <v>25.454877164865302</v>
      </c>
      <c r="C837">
        <v>150.53598132916599</v>
      </c>
    </row>
    <row r="838" spans="1:3" x14ac:dyDescent="0.25">
      <c r="A838" t="s">
        <v>1195</v>
      </c>
      <c r="B838">
        <v>25.579874263016301</v>
      </c>
      <c r="C838">
        <v>252.01419793188001</v>
      </c>
    </row>
    <row r="839" spans="1:3" x14ac:dyDescent="0.25">
      <c r="A839" t="s">
        <v>622</v>
      </c>
      <c r="B839">
        <v>25.619257355106701</v>
      </c>
      <c r="C839">
        <v>160.25344619348101</v>
      </c>
    </row>
    <row r="840" spans="1:3" x14ac:dyDescent="0.25">
      <c r="A840" t="s">
        <v>2855</v>
      </c>
      <c r="B840">
        <v>25.642657617712999</v>
      </c>
      <c r="C840">
        <v>226.137553608221</v>
      </c>
    </row>
    <row r="841" spans="1:3" x14ac:dyDescent="0.25">
      <c r="A841" t="s">
        <v>1470</v>
      </c>
      <c r="B841">
        <v>25.6776566136562</v>
      </c>
      <c r="C841">
        <v>166.50855935662301</v>
      </c>
    </row>
    <row r="842" spans="1:3" x14ac:dyDescent="0.25">
      <c r="A842" t="s">
        <v>1051</v>
      </c>
      <c r="B842">
        <v>25.729894505399098</v>
      </c>
      <c r="C842">
        <v>216.612703250735</v>
      </c>
    </row>
    <row r="843" spans="1:3" x14ac:dyDescent="0.25">
      <c r="A843" t="s">
        <v>2640</v>
      </c>
      <c r="B843">
        <v>25.7793600940206</v>
      </c>
      <c r="C843">
        <v>216.967413207319</v>
      </c>
    </row>
    <row r="844" spans="1:3" x14ac:dyDescent="0.25">
      <c r="A844" t="s">
        <v>592</v>
      </c>
      <c r="B844">
        <v>25.792489577863599</v>
      </c>
      <c r="C844">
        <v>190.940290774023</v>
      </c>
    </row>
    <row r="845" spans="1:3" x14ac:dyDescent="0.25">
      <c r="A845" t="s">
        <v>2275</v>
      </c>
      <c r="B845">
        <v>25.8361460499804</v>
      </c>
      <c r="C845">
        <v>155.80142958323199</v>
      </c>
    </row>
    <row r="846" spans="1:3" x14ac:dyDescent="0.25">
      <c r="A846" t="s">
        <v>3110</v>
      </c>
      <c r="B846">
        <v>25.869258079672399</v>
      </c>
      <c r="C846">
        <v>427.30426035197598</v>
      </c>
    </row>
    <row r="847" spans="1:3" x14ac:dyDescent="0.25">
      <c r="A847" t="s">
        <v>1848</v>
      </c>
      <c r="B847">
        <v>25.938299457411102</v>
      </c>
      <c r="C847">
        <v>264.80856491663798</v>
      </c>
    </row>
    <row r="848" spans="1:3" x14ac:dyDescent="0.25">
      <c r="A848" t="s">
        <v>2167</v>
      </c>
      <c r="B848">
        <v>25.963689894215499</v>
      </c>
      <c r="C848">
        <v>205.02160335894499</v>
      </c>
    </row>
    <row r="849" spans="1:3" x14ac:dyDescent="0.25">
      <c r="A849" t="s">
        <v>1552</v>
      </c>
      <c r="B849">
        <v>26.125233949075199</v>
      </c>
      <c r="C849">
        <v>388.54891120990999</v>
      </c>
    </row>
    <row r="850" spans="1:3" x14ac:dyDescent="0.25">
      <c r="A850" t="s">
        <v>2859</v>
      </c>
      <c r="B850">
        <v>26.1314164134773</v>
      </c>
      <c r="C850">
        <v>305.335967565244</v>
      </c>
    </row>
    <row r="851" spans="1:3" x14ac:dyDescent="0.25">
      <c r="A851" t="s">
        <v>1233</v>
      </c>
      <c r="B851">
        <v>26.162538181695702</v>
      </c>
      <c r="C851">
        <v>139.61560853129799</v>
      </c>
    </row>
    <row r="852" spans="1:3" x14ac:dyDescent="0.25">
      <c r="A852" t="s">
        <v>598</v>
      </c>
      <c r="B852">
        <v>26.2570407430178</v>
      </c>
      <c r="C852">
        <v>171.60845605222099</v>
      </c>
    </row>
    <row r="853" spans="1:3" x14ac:dyDescent="0.25">
      <c r="A853" t="s">
        <v>3029</v>
      </c>
      <c r="B853">
        <v>26.319090036835</v>
      </c>
      <c r="C853">
        <v>653.53966359154799</v>
      </c>
    </row>
    <row r="854" spans="1:3" x14ac:dyDescent="0.25">
      <c r="A854" t="s">
        <v>472</v>
      </c>
      <c r="B854">
        <v>26.402029853791699</v>
      </c>
      <c r="C854">
        <v>348.50753711722803</v>
      </c>
    </row>
    <row r="855" spans="1:3" x14ac:dyDescent="0.25">
      <c r="A855" t="s">
        <v>1097</v>
      </c>
      <c r="B855">
        <v>26.423081380915502</v>
      </c>
      <c r="C855">
        <v>135.829213427029</v>
      </c>
    </row>
    <row r="856" spans="1:3" x14ac:dyDescent="0.25">
      <c r="A856" t="s">
        <v>3080</v>
      </c>
      <c r="B856">
        <v>26.490334162445802</v>
      </c>
      <c r="C856">
        <v>390.87813317955198</v>
      </c>
    </row>
    <row r="857" spans="1:3" x14ac:dyDescent="0.25">
      <c r="A857" t="s">
        <v>3160</v>
      </c>
      <c r="B857">
        <v>26.540595504373002</v>
      </c>
      <c r="C857">
        <v>389.81696106332902</v>
      </c>
    </row>
    <row r="858" spans="1:3" x14ac:dyDescent="0.25">
      <c r="A858" t="s">
        <v>1678</v>
      </c>
      <c r="B858">
        <v>26.576777107950001</v>
      </c>
      <c r="C858">
        <v>425.29854209522802</v>
      </c>
    </row>
    <row r="859" spans="1:3" x14ac:dyDescent="0.25">
      <c r="A859" t="s">
        <v>1786</v>
      </c>
      <c r="B859">
        <v>26.6345187072234</v>
      </c>
      <c r="C859">
        <v>336.58054826866697</v>
      </c>
    </row>
    <row r="860" spans="1:3" x14ac:dyDescent="0.25">
      <c r="A860" t="s">
        <v>2053</v>
      </c>
      <c r="B860">
        <v>26.690309694929301</v>
      </c>
      <c r="C860">
        <v>91.435515539382195</v>
      </c>
    </row>
    <row r="861" spans="1:3" x14ac:dyDescent="0.25">
      <c r="A861" t="s">
        <v>2594</v>
      </c>
      <c r="B861">
        <v>26.794712207580002</v>
      </c>
      <c r="C861">
        <v>122.915698436612</v>
      </c>
    </row>
    <row r="862" spans="1:3" x14ac:dyDescent="0.25">
      <c r="A862" t="s">
        <v>510</v>
      </c>
      <c r="B862">
        <v>26.809379874086801</v>
      </c>
      <c r="C862">
        <v>189.29469692612</v>
      </c>
    </row>
    <row r="863" spans="1:3" x14ac:dyDescent="0.25">
      <c r="A863" t="s">
        <v>2785</v>
      </c>
      <c r="B863">
        <v>26.883915904071699</v>
      </c>
      <c r="C863">
        <v>235.895872717136</v>
      </c>
    </row>
    <row r="864" spans="1:3" x14ac:dyDescent="0.25">
      <c r="A864" t="s">
        <v>2417</v>
      </c>
      <c r="B864">
        <v>26.889689117255902</v>
      </c>
      <c r="C864">
        <v>538.96999028521805</v>
      </c>
    </row>
    <row r="865" spans="1:3" x14ac:dyDescent="0.25">
      <c r="A865" t="s">
        <v>320</v>
      </c>
      <c r="B865">
        <v>26.9038836104951</v>
      </c>
      <c r="C865">
        <v>301.220808390976</v>
      </c>
    </row>
    <row r="866" spans="1:3" x14ac:dyDescent="0.25">
      <c r="A866" t="s">
        <v>2736</v>
      </c>
      <c r="B866">
        <v>26.951974691462102</v>
      </c>
      <c r="C866">
        <v>208.43397367593201</v>
      </c>
    </row>
    <row r="867" spans="1:3" x14ac:dyDescent="0.25">
      <c r="A867" t="s">
        <v>2425</v>
      </c>
      <c r="B867">
        <v>26.957910939946</v>
      </c>
      <c r="C867">
        <v>462.65478676622399</v>
      </c>
    </row>
    <row r="868" spans="1:3" x14ac:dyDescent="0.25">
      <c r="A868" t="s">
        <v>1389</v>
      </c>
      <c r="B868">
        <v>26.969869906213699</v>
      </c>
      <c r="C868">
        <v>394.67431181290101</v>
      </c>
    </row>
    <row r="869" spans="1:3" x14ac:dyDescent="0.25">
      <c r="A869" t="s">
        <v>2343</v>
      </c>
      <c r="B869">
        <v>26.978279088630099</v>
      </c>
      <c r="C869">
        <v>404.68938372223101</v>
      </c>
    </row>
    <row r="870" spans="1:3" x14ac:dyDescent="0.25">
      <c r="A870" t="s">
        <v>1434</v>
      </c>
      <c r="B870">
        <v>27.033344812494899</v>
      </c>
      <c r="C870">
        <v>137.02259452827099</v>
      </c>
    </row>
    <row r="871" spans="1:3" x14ac:dyDescent="0.25">
      <c r="A871" t="s">
        <v>1913</v>
      </c>
      <c r="B871">
        <v>27.0920096270453</v>
      </c>
      <c r="C871">
        <v>150.20663462159899</v>
      </c>
    </row>
    <row r="872" spans="1:3" x14ac:dyDescent="0.25">
      <c r="A872" t="s">
        <v>1910</v>
      </c>
      <c r="B872">
        <v>27.1940319417673</v>
      </c>
      <c r="C872">
        <v>178.65490481531299</v>
      </c>
    </row>
    <row r="873" spans="1:3" x14ac:dyDescent="0.25">
      <c r="A873" t="s">
        <v>2273</v>
      </c>
      <c r="B873">
        <v>27.224738715248801</v>
      </c>
      <c r="C873">
        <v>178.70115016830599</v>
      </c>
    </row>
    <row r="874" spans="1:3" x14ac:dyDescent="0.25">
      <c r="A874" t="s">
        <v>1293</v>
      </c>
      <c r="B874">
        <v>27.270029330443201</v>
      </c>
      <c r="C874">
        <v>325.82432673452701</v>
      </c>
    </row>
    <row r="875" spans="1:3" x14ac:dyDescent="0.25">
      <c r="A875" t="s">
        <v>504</v>
      </c>
      <c r="B875">
        <v>27.2764578925024</v>
      </c>
      <c r="C875">
        <v>177.69871966096201</v>
      </c>
    </row>
    <row r="876" spans="1:3" x14ac:dyDescent="0.25">
      <c r="A876" t="s">
        <v>1834</v>
      </c>
      <c r="B876">
        <v>27.279274644591698</v>
      </c>
      <c r="C876">
        <v>388.33983475565998</v>
      </c>
    </row>
    <row r="877" spans="1:3" x14ac:dyDescent="0.25">
      <c r="A877" t="s">
        <v>2975</v>
      </c>
      <c r="B877">
        <v>27.281037108253098</v>
      </c>
      <c r="C877">
        <v>495.14655256536599</v>
      </c>
    </row>
    <row r="878" spans="1:3" x14ac:dyDescent="0.25">
      <c r="A878" t="s">
        <v>346</v>
      </c>
      <c r="B878">
        <v>27.305283543569299</v>
      </c>
      <c r="C878">
        <v>334.93220028928101</v>
      </c>
    </row>
    <row r="879" spans="1:3" x14ac:dyDescent="0.25">
      <c r="A879" t="s">
        <v>582</v>
      </c>
      <c r="B879">
        <v>27.355210454220501</v>
      </c>
      <c r="C879">
        <v>137.864779306515</v>
      </c>
    </row>
    <row r="880" spans="1:3" x14ac:dyDescent="0.25">
      <c r="A880" t="s">
        <v>1890</v>
      </c>
      <c r="B880">
        <v>27.4882266294739</v>
      </c>
      <c r="C880">
        <v>297.19068724213201</v>
      </c>
    </row>
    <row r="881" spans="1:3" x14ac:dyDescent="0.25">
      <c r="A881" t="s">
        <v>2610</v>
      </c>
      <c r="B881">
        <v>27.539422183052299</v>
      </c>
      <c r="C881">
        <v>169.353641869043</v>
      </c>
    </row>
    <row r="882" spans="1:3" x14ac:dyDescent="0.25">
      <c r="A882" t="s">
        <v>158</v>
      </c>
      <c r="B882">
        <v>27.566208185907701</v>
      </c>
      <c r="C882">
        <v>180.30730898394799</v>
      </c>
    </row>
    <row r="883" spans="1:3" x14ac:dyDescent="0.25">
      <c r="A883" t="s">
        <v>2787</v>
      </c>
      <c r="B883">
        <v>27.596797992187401</v>
      </c>
      <c r="C883">
        <v>171.696238257392</v>
      </c>
    </row>
    <row r="884" spans="1:3" x14ac:dyDescent="0.25">
      <c r="A884" t="s">
        <v>442</v>
      </c>
      <c r="B884">
        <v>27.671829519772601</v>
      </c>
      <c r="C884">
        <v>329.50481126303703</v>
      </c>
    </row>
    <row r="885" spans="1:3" x14ac:dyDescent="0.25">
      <c r="A885" t="s">
        <v>1017</v>
      </c>
      <c r="B885">
        <v>27.711367182483599</v>
      </c>
      <c r="C885">
        <v>187.69002271197201</v>
      </c>
    </row>
    <row r="886" spans="1:3" x14ac:dyDescent="0.25">
      <c r="A886" t="s">
        <v>2127</v>
      </c>
      <c r="B886">
        <v>27.7140650495712</v>
      </c>
      <c r="C886">
        <v>221.00670683366599</v>
      </c>
    </row>
    <row r="887" spans="1:3" x14ac:dyDescent="0.25">
      <c r="A887" t="s">
        <v>1898</v>
      </c>
      <c r="B887">
        <v>27.7158759689116</v>
      </c>
      <c r="C887">
        <v>64.396594825851295</v>
      </c>
    </row>
    <row r="888" spans="1:3" x14ac:dyDescent="0.25">
      <c r="A888" t="s">
        <v>1836</v>
      </c>
      <c r="B888">
        <v>27.736916880478301</v>
      </c>
      <c r="C888">
        <v>785.615032724613</v>
      </c>
    </row>
    <row r="889" spans="1:3" x14ac:dyDescent="0.25">
      <c r="A889" t="s">
        <v>1239</v>
      </c>
      <c r="B889">
        <v>27.933380507892402</v>
      </c>
      <c r="C889">
        <v>60.819999182337398</v>
      </c>
    </row>
    <row r="890" spans="1:3" x14ac:dyDescent="0.25">
      <c r="A890" t="s">
        <v>2520</v>
      </c>
      <c r="B890">
        <v>27.9910424875441</v>
      </c>
      <c r="C890">
        <v>185.455107634444</v>
      </c>
    </row>
    <row r="891" spans="1:3" x14ac:dyDescent="0.25">
      <c r="A891" t="s">
        <v>847</v>
      </c>
      <c r="B891">
        <v>28.028919665526502</v>
      </c>
      <c r="C891">
        <v>252.45260573932299</v>
      </c>
    </row>
    <row r="892" spans="1:3" x14ac:dyDescent="0.25">
      <c r="A892" t="s">
        <v>2391</v>
      </c>
      <c r="B892">
        <v>28.079895470581601</v>
      </c>
      <c r="C892">
        <v>397.63902166813602</v>
      </c>
    </row>
    <row r="893" spans="1:3" x14ac:dyDescent="0.25">
      <c r="A893" t="s">
        <v>1043</v>
      </c>
      <c r="B893">
        <v>28.122515745565899</v>
      </c>
      <c r="C893">
        <v>343.89838884578199</v>
      </c>
    </row>
    <row r="894" spans="1:3" x14ac:dyDescent="0.25">
      <c r="A894" t="s">
        <v>182</v>
      </c>
      <c r="B894">
        <v>28.163634734325299</v>
      </c>
      <c r="C894">
        <v>235.223615431083</v>
      </c>
    </row>
    <row r="895" spans="1:3" x14ac:dyDescent="0.25">
      <c r="A895" t="s">
        <v>1694</v>
      </c>
      <c r="B895">
        <v>28.333460520403399</v>
      </c>
      <c r="C895">
        <v>406.054485199483</v>
      </c>
    </row>
    <row r="896" spans="1:3" x14ac:dyDescent="0.25">
      <c r="A896" t="s">
        <v>937</v>
      </c>
      <c r="B896">
        <v>28.347387819370098</v>
      </c>
      <c r="C896">
        <v>435.82004488685902</v>
      </c>
    </row>
    <row r="897" spans="1:3" x14ac:dyDescent="0.25">
      <c r="A897" t="s">
        <v>1668</v>
      </c>
      <c r="B897">
        <v>28.3663574555212</v>
      </c>
      <c r="C897">
        <v>167.78482159824</v>
      </c>
    </row>
    <row r="898" spans="1:3" x14ac:dyDescent="0.25">
      <c r="A898" t="s">
        <v>2813</v>
      </c>
      <c r="B898">
        <v>28.498118270102399</v>
      </c>
      <c r="C898">
        <v>271.79443461616899</v>
      </c>
    </row>
    <row r="899" spans="1:3" x14ac:dyDescent="0.25">
      <c r="A899" t="s">
        <v>3275</v>
      </c>
      <c r="B899">
        <v>28.658524308387801</v>
      </c>
      <c r="C899">
        <v>265.58975499783901</v>
      </c>
    </row>
    <row r="900" spans="1:3" x14ac:dyDescent="0.25">
      <c r="A900" t="s">
        <v>2311</v>
      </c>
      <c r="B900">
        <v>28.776769540103</v>
      </c>
      <c r="C900">
        <v>125.423429809555</v>
      </c>
    </row>
    <row r="901" spans="1:3" x14ac:dyDescent="0.25">
      <c r="A901" t="s">
        <v>1075</v>
      </c>
      <c r="B901">
        <v>28.815418518789802</v>
      </c>
      <c r="C901">
        <v>203.40509067288201</v>
      </c>
    </row>
    <row r="902" spans="1:3" x14ac:dyDescent="0.25">
      <c r="A902" t="s">
        <v>2650</v>
      </c>
      <c r="B902">
        <v>28.958373085476602</v>
      </c>
      <c r="C902">
        <v>283.340972679012</v>
      </c>
    </row>
    <row r="903" spans="1:3" x14ac:dyDescent="0.25">
      <c r="A903" t="s">
        <v>328</v>
      </c>
      <c r="B903">
        <v>29.095218224874198</v>
      </c>
      <c r="C903">
        <v>237.56578901430399</v>
      </c>
    </row>
    <row r="904" spans="1:3" x14ac:dyDescent="0.25">
      <c r="A904" t="s">
        <v>1660</v>
      </c>
      <c r="B904">
        <v>29.107480280946401</v>
      </c>
      <c r="C904">
        <v>240.70936378518999</v>
      </c>
    </row>
    <row r="905" spans="1:3" x14ac:dyDescent="0.25">
      <c r="A905" t="s">
        <v>2654</v>
      </c>
      <c r="B905">
        <v>29.182846371043201</v>
      </c>
      <c r="C905">
        <v>419.19302629992399</v>
      </c>
    </row>
    <row r="906" spans="1:3" x14ac:dyDescent="0.25">
      <c r="A906" t="s">
        <v>3066</v>
      </c>
      <c r="B906">
        <v>29.205869684901501</v>
      </c>
      <c r="C906">
        <v>135.50613245765999</v>
      </c>
    </row>
    <row r="907" spans="1:3" x14ac:dyDescent="0.25">
      <c r="A907" t="s">
        <v>805</v>
      </c>
      <c r="B907">
        <v>29.2075937404996</v>
      </c>
      <c r="C907">
        <v>147.57700283506301</v>
      </c>
    </row>
    <row r="908" spans="1:3" x14ac:dyDescent="0.25">
      <c r="A908" t="s">
        <v>1987</v>
      </c>
      <c r="B908">
        <v>29.505581518640501</v>
      </c>
      <c r="C908">
        <v>139.230038658539</v>
      </c>
    </row>
    <row r="909" spans="1:3" x14ac:dyDescent="0.25">
      <c r="A909" t="s">
        <v>614</v>
      </c>
      <c r="B909">
        <v>29.589155844145399</v>
      </c>
      <c r="C909">
        <v>138.433119537344</v>
      </c>
    </row>
    <row r="910" spans="1:3" x14ac:dyDescent="0.25">
      <c r="A910" t="s">
        <v>2215</v>
      </c>
      <c r="B910">
        <v>29.597483613331502</v>
      </c>
      <c r="C910">
        <v>221.377019534097</v>
      </c>
    </row>
    <row r="911" spans="1:3" x14ac:dyDescent="0.25">
      <c r="A911" t="s">
        <v>3082</v>
      </c>
      <c r="B911">
        <v>29.611776036371602</v>
      </c>
      <c r="C911">
        <v>285.85600587206397</v>
      </c>
    </row>
    <row r="912" spans="1:3" x14ac:dyDescent="0.25">
      <c r="A912" t="s">
        <v>1730</v>
      </c>
      <c r="B912">
        <v>29.740167435626699</v>
      </c>
      <c r="C912">
        <v>250.32528875005301</v>
      </c>
    </row>
    <row r="913" spans="1:3" x14ac:dyDescent="0.25">
      <c r="A913" t="s">
        <v>885</v>
      </c>
      <c r="B913">
        <v>29.755384328725299</v>
      </c>
      <c r="C913">
        <v>564.76995802704801</v>
      </c>
    </row>
    <row r="914" spans="1:3" x14ac:dyDescent="0.25">
      <c r="A914" t="s">
        <v>3090</v>
      </c>
      <c r="B914">
        <v>29.7772905404304</v>
      </c>
      <c r="C914">
        <v>514.46454881545606</v>
      </c>
    </row>
    <row r="915" spans="1:3" x14ac:dyDescent="0.25">
      <c r="A915" t="s">
        <v>156</v>
      </c>
      <c r="B915">
        <v>29.977029144053098</v>
      </c>
      <c r="C915">
        <v>126.99116868133299</v>
      </c>
    </row>
    <row r="916" spans="1:3" x14ac:dyDescent="0.25">
      <c r="A916" t="s">
        <v>1201</v>
      </c>
      <c r="B916">
        <v>29.984104606244902</v>
      </c>
      <c r="C916">
        <v>241.218603017817</v>
      </c>
    </row>
    <row r="917" spans="1:3" x14ac:dyDescent="0.25">
      <c r="A917" t="s">
        <v>584</v>
      </c>
      <c r="B917">
        <v>30.012926208197399</v>
      </c>
      <c r="C917">
        <v>225.03462884885201</v>
      </c>
    </row>
    <row r="918" spans="1:3" x14ac:dyDescent="0.25">
      <c r="A918" t="s">
        <v>1277</v>
      </c>
      <c r="B918">
        <v>30.100410349657199</v>
      </c>
      <c r="C918">
        <v>208.60083313095899</v>
      </c>
    </row>
    <row r="919" spans="1:3" x14ac:dyDescent="0.25">
      <c r="A919" t="s">
        <v>2642</v>
      </c>
      <c r="B919">
        <v>30.1227079835637</v>
      </c>
      <c r="C919">
        <v>156.78351391470599</v>
      </c>
    </row>
    <row r="920" spans="1:3" x14ac:dyDescent="0.25">
      <c r="A920" t="s">
        <v>851</v>
      </c>
      <c r="B920">
        <v>30.139960089649399</v>
      </c>
      <c r="C920">
        <v>233.61553035733499</v>
      </c>
    </row>
    <row r="921" spans="1:3" x14ac:dyDescent="0.25">
      <c r="A921" t="s">
        <v>1736</v>
      </c>
      <c r="B921">
        <v>30.399984477774002</v>
      </c>
      <c r="C921">
        <v>182.468444597635</v>
      </c>
    </row>
    <row r="922" spans="1:3" x14ac:dyDescent="0.25">
      <c r="A922" t="s">
        <v>2762</v>
      </c>
      <c r="B922">
        <v>30.5057160796398</v>
      </c>
      <c r="C922">
        <v>420.65850665445799</v>
      </c>
    </row>
    <row r="923" spans="1:3" x14ac:dyDescent="0.25">
      <c r="A923" t="s">
        <v>2369</v>
      </c>
      <c r="B923">
        <v>30.5280909676679</v>
      </c>
      <c r="C923">
        <v>726.39028886547499</v>
      </c>
    </row>
    <row r="924" spans="1:3" x14ac:dyDescent="0.25">
      <c r="A924" t="s">
        <v>1654</v>
      </c>
      <c r="B924">
        <v>30.5717046859391</v>
      </c>
      <c r="C924">
        <v>166.93889358437201</v>
      </c>
    </row>
    <row r="925" spans="1:3" x14ac:dyDescent="0.25">
      <c r="A925" t="s">
        <v>562</v>
      </c>
      <c r="B925">
        <v>30.665130769969799</v>
      </c>
      <c r="C925">
        <v>175.384131412389</v>
      </c>
    </row>
    <row r="926" spans="1:3" x14ac:dyDescent="0.25">
      <c r="A926" t="s">
        <v>875</v>
      </c>
      <c r="B926">
        <v>30.699128709027701</v>
      </c>
      <c r="C926">
        <v>55.717991590778801</v>
      </c>
    </row>
    <row r="927" spans="1:3" x14ac:dyDescent="0.25">
      <c r="A927" t="s">
        <v>1614</v>
      </c>
      <c r="B927">
        <v>30.785088602858501</v>
      </c>
      <c r="C927">
        <v>441.331009698787</v>
      </c>
    </row>
    <row r="928" spans="1:3" x14ac:dyDescent="0.25">
      <c r="A928" t="s">
        <v>1732</v>
      </c>
      <c r="B928">
        <v>30.827098808755501</v>
      </c>
      <c r="C928">
        <v>229.73980502905499</v>
      </c>
    </row>
    <row r="929" spans="1:3" x14ac:dyDescent="0.25">
      <c r="A929" t="s">
        <v>2602</v>
      </c>
      <c r="B929">
        <v>30.844318182042599</v>
      </c>
      <c r="C929">
        <v>185.32533125332799</v>
      </c>
    </row>
    <row r="930" spans="1:3" x14ac:dyDescent="0.25">
      <c r="A930" t="s">
        <v>1035</v>
      </c>
      <c r="B930">
        <v>30.9591954983491</v>
      </c>
      <c r="C930">
        <v>463.57627303049702</v>
      </c>
    </row>
    <row r="931" spans="1:3" x14ac:dyDescent="0.25">
      <c r="A931" t="s">
        <v>1564</v>
      </c>
      <c r="B931">
        <v>31.027458762251101</v>
      </c>
      <c r="C931">
        <v>278.33249983879898</v>
      </c>
    </row>
    <row r="932" spans="1:3" x14ac:dyDescent="0.25">
      <c r="A932" t="s">
        <v>2885</v>
      </c>
      <c r="B932">
        <v>31.044058774563702</v>
      </c>
      <c r="C932">
        <v>247.89464246809101</v>
      </c>
    </row>
    <row r="933" spans="1:3" x14ac:dyDescent="0.25">
      <c r="A933" t="s">
        <v>2538</v>
      </c>
      <c r="B933">
        <v>31.049936636299201</v>
      </c>
      <c r="C933">
        <v>251.05263248588199</v>
      </c>
    </row>
    <row r="934" spans="1:3" x14ac:dyDescent="0.25">
      <c r="A934" t="s">
        <v>326</v>
      </c>
      <c r="B934">
        <v>31.235131194365401</v>
      </c>
      <c r="C934">
        <v>132.17699820878201</v>
      </c>
    </row>
    <row r="935" spans="1:3" x14ac:dyDescent="0.25">
      <c r="A935" t="s">
        <v>530</v>
      </c>
      <c r="B935">
        <v>31.2445944917758</v>
      </c>
      <c r="C935">
        <v>610.39121188458796</v>
      </c>
    </row>
    <row r="936" spans="1:3" x14ac:dyDescent="0.25">
      <c r="A936" t="s">
        <v>2516</v>
      </c>
      <c r="B936">
        <v>31.388080253001402</v>
      </c>
      <c r="C936">
        <v>197.351791239139</v>
      </c>
    </row>
    <row r="937" spans="1:3" x14ac:dyDescent="0.25">
      <c r="A937" t="s">
        <v>136</v>
      </c>
      <c r="B937">
        <v>31.454357468862899</v>
      </c>
      <c r="C937">
        <v>231.966683080417</v>
      </c>
    </row>
    <row r="938" spans="1:3" x14ac:dyDescent="0.25">
      <c r="A938" t="s">
        <v>1081</v>
      </c>
      <c r="B938">
        <v>31.497102209979701</v>
      </c>
      <c r="C938">
        <v>279.24395801438902</v>
      </c>
    </row>
    <row r="939" spans="1:3" x14ac:dyDescent="0.25">
      <c r="A939" t="s">
        <v>170</v>
      </c>
      <c r="B939">
        <v>31.573354224272901</v>
      </c>
      <c r="C939">
        <v>278.34292628442199</v>
      </c>
    </row>
    <row r="940" spans="1:3" x14ac:dyDescent="0.25">
      <c r="A940" t="s">
        <v>534</v>
      </c>
      <c r="B940">
        <v>31.6530514801583</v>
      </c>
      <c r="C940">
        <v>184.945812474467</v>
      </c>
    </row>
    <row r="941" spans="1:3" x14ac:dyDescent="0.25">
      <c r="A941" t="s">
        <v>366</v>
      </c>
      <c r="B941">
        <v>31.7357353197457</v>
      </c>
      <c r="C941">
        <v>294.60218505434301</v>
      </c>
    </row>
    <row r="942" spans="1:3" x14ac:dyDescent="0.25">
      <c r="A942" t="s">
        <v>2155</v>
      </c>
      <c r="B942">
        <v>31.8890267889944</v>
      </c>
      <c r="C942">
        <v>211.28833411764199</v>
      </c>
    </row>
    <row r="943" spans="1:3" x14ac:dyDescent="0.25">
      <c r="A943" t="s">
        <v>993</v>
      </c>
      <c r="B943">
        <v>32.017650597712702</v>
      </c>
      <c r="C943">
        <v>233.505382366427</v>
      </c>
    </row>
    <row r="944" spans="1:3" x14ac:dyDescent="0.25">
      <c r="A944" t="s">
        <v>306</v>
      </c>
      <c r="B944">
        <v>32.075007785658798</v>
      </c>
      <c r="C944">
        <v>291.85448397307198</v>
      </c>
    </row>
    <row r="945" spans="1:3" x14ac:dyDescent="0.25">
      <c r="A945" t="s">
        <v>212</v>
      </c>
      <c r="B945">
        <v>32.117676287077998</v>
      </c>
      <c r="C945">
        <v>243.42063274460801</v>
      </c>
    </row>
    <row r="946" spans="1:3" x14ac:dyDescent="0.25">
      <c r="A946" t="s">
        <v>1666</v>
      </c>
      <c r="B946">
        <v>32.131832922445398</v>
      </c>
      <c r="C946">
        <v>360.110254271369</v>
      </c>
    </row>
    <row r="947" spans="1:3" x14ac:dyDescent="0.25">
      <c r="A947" t="s">
        <v>3011</v>
      </c>
      <c r="B947">
        <v>32.1583365193787</v>
      </c>
      <c r="C947">
        <v>335.82308818976099</v>
      </c>
    </row>
    <row r="948" spans="1:3" x14ac:dyDescent="0.25">
      <c r="A948" t="s">
        <v>650</v>
      </c>
      <c r="B948">
        <v>32.200558326537397</v>
      </c>
      <c r="C948">
        <v>199.01427176177401</v>
      </c>
    </row>
    <row r="949" spans="1:3" x14ac:dyDescent="0.25">
      <c r="A949" t="s">
        <v>730</v>
      </c>
      <c r="B949">
        <v>32.271872406002899</v>
      </c>
      <c r="C949">
        <v>241.07022018467899</v>
      </c>
    </row>
    <row r="950" spans="1:3" x14ac:dyDescent="0.25">
      <c r="A950" t="s">
        <v>290</v>
      </c>
      <c r="B950">
        <v>32.419187014701201</v>
      </c>
      <c r="C950">
        <v>257.32945786273899</v>
      </c>
    </row>
    <row r="951" spans="1:3" x14ac:dyDescent="0.25">
      <c r="A951" t="s">
        <v>364</v>
      </c>
      <c r="B951">
        <v>32.437258491004499</v>
      </c>
      <c r="C951">
        <v>137.85590731735201</v>
      </c>
    </row>
    <row r="952" spans="1:3" x14ac:dyDescent="0.25">
      <c r="A952" t="s">
        <v>2095</v>
      </c>
      <c r="B952">
        <v>32.626814713884301</v>
      </c>
      <c r="C952">
        <v>535.53947886826495</v>
      </c>
    </row>
    <row r="953" spans="1:3" x14ac:dyDescent="0.25">
      <c r="A953" t="s">
        <v>96</v>
      </c>
      <c r="B953">
        <v>32.722459281433999</v>
      </c>
      <c r="C953">
        <v>163.584108275657</v>
      </c>
    </row>
    <row r="954" spans="1:3" x14ac:dyDescent="0.25">
      <c r="A954" t="s">
        <v>2728</v>
      </c>
      <c r="B954">
        <v>32.777176513118398</v>
      </c>
      <c r="C954">
        <v>246.98397937561501</v>
      </c>
    </row>
    <row r="955" spans="1:3" x14ac:dyDescent="0.25">
      <c r="A955" t="s">
        <v>1111</v>
      </c>
      <c r="B955">
        <v>32.851466191499</v>
      </c>
      <c r="C955">
        <v>204.84116973178601</v>
      </c>
    </row>
    <row r="956" spans="1:3" x14ac:dyDescent="0.25">
      <c r="A956" t="s">
        <v>1616</v>
      </c>
      <c r="B956">
        <v>32.8908863837528</v>
      </c>
      <c r="C956">
        <v>174.790373136716</v>
      </c>
    </row>
    <row r="957" spans="1:3" x14ac:dyDescent="0.25">
      <c r="A957" t="s">
        <v>228</v>
      </c>
      <c r="B957">
        <v>32.943936701475799</v>
      </c>
      <c r="C957">
        <v>136.39798373466201</v>
      </c>
    </row>
    <row r="958" spans="1:3" x14ac:dyDescent="0.25">
      <c r="A958" t="s">
        <v>3023</v>
      </c>
      <c r="B958">
        <v>33.115621702449502</v>
      </c>
      <c r="C958">
        <v>265.91653323254502</v>
      </c>
    </row>
    <row r="959" spans="1:3" x14ac:dyDescent="0.25">
      <c r="A959" t="s">
        <v>3200</v>
      </c>
      <c r="B959">
        <v>33.275335031202403</v>
      </c>
      <c r="C959">
        <v>412.08036937477698</v>
      </c>
    </row>
    <row r="960" spans="1:3" x14ac:dyDescent="0.25">
      <c r="A960" t="s">
        <v>308</v>
      </c>
      <c r="B960">
        <v>33.278770967126697</v>
      </c>
      <c r="C960">
        <v>434.346744718281</v>
      </c>
    </row>
    <row r="961" spans="1:3" x14ac:dyDescent="0.25">
      <c r="A961" t="s">
        <v>2941</v>
      </c>
      <c r="B961">
        <v>33.308218060292099</v>
      </c>
      <c r="C961">
        <v>359.43613623294601</v>
      </c>
    </row>
    <row r="962" spans="1:3" x14ac:dyDescent="0.25">
      <c r="A962" t="s">
        <v>498</v>
      </c>
      <c r="B962">
        <v>33.332159004665002</v>
      </c>
      <c r="C962">
        <v>282.543650622575</v>
      </c>
    </row>
    <row r="963" spans="1:3" x14ac:dyDescent="0.25">
      <c r="A963" t="s">
        <v>2797</v>
      </c>
      <c r="B963">
        <v>33.3938607763181</v>
      </c>
      <c r="C963">
        <v>300.34404191886898</v>
      </c>
    </row>
    <row r="964" spans="1:3" x14ac:dyDescent="0.25">
      <c r="A964" t="s">
        <v>1854</v>
      </c>
      <c r="B964">
        <v>33.522763105322397</v>
      </c>
      <c r="C964">
        <v>395.41041237445597</v>
      </c>
    </row>
    <row r="965" spans="1:3" x14ac:dyDescent="0.25">
      <c r="A965" t="s">
        <v>2013</v>
      </c>
      <c r="B965">
        <v>33.6386281248041</v>
      </c>
      <c r="C965">
        <v>317.57599059170201</v>
      </c>
    </row>
    <row r="966" spans="1:3" x14ac:dyDescent="0.25">
      <c r="A966" t="s">
        <v>1548</v>
      </c>
      <c r="B966">
        <v>33.790352640639</v>
      </c>
      <c r="C966">
        <v>213.059698406172</v>
      </c>
    </row>
    <row r="967" spans="1:3" x14ac:dyDescent="0.25">
      <c r="A967" t="s">
        <v>2981</v>
      </c>
      <c r="B967">
        <v>34.016527254535802</v>
      </c>
      <c r="C967">
        <v>329.63865604863997</v>
      </c>
    </row>
    <row r="968" spans="1:3" x14ac:dyDescent="0.25">
      <c r="A968" t="s">
        <v>1830</v>
      </c>
      <c r="B968">
        <v>34.036446341574802</v>
      </c>
      <c r="C968">
        <v>291.86057677596898</v>
      </c>
    </row>
    <row r="969" spans="1:3" x14ac:dyDescent="0.25">
      <c r="A969" t="s">
        <v>1852</v>
      </c>
      <c r="B969">
        <v>34.075416344353499</v>
      </c>
      <c r="C969">
        <v>174.32430407869501</v>
      </c>
    </row>
    <row r="970" spans="1:3" x14ac:dyDescent="0.25">
      <c r="A970" t="s">
        <v>1303</v>
      </c>
      <c r="B970">
        <v>34.253711399203098</v>
      </c>
      <c r="C970">
        <v>350.74935047819901</v>
      </c>
    </row>
    <row r="971" spans="1:3" x14ac:dyDescent="0.25">
      <c r="A971" t="s">
        <v>324</v>
      </c>
      <c r="B971">
        <v>34.262024905199397</v>
      </c>
      <c r="C971">
        <v>246.975882917744</v>
      </c>
    </row>
    <row r="972" spans="1:3" x14ac:dyDescent="0.25">
      <c r="A972" t="s">
        <v>1289</v>
      </c>
      <c r="B972">
        <v>34.262074780996599</v>
      </c>
      <c r="C972">
        <v>423.07209235709502</v>
      </c>
    </row>
    <row r="973" spans="1:3" x14ac:dyDescent="0.25">
      <c r="A973" t="s">
        <v>1917</v>
      </c>
      <c r="B973">
        <v>34.333146860490302</v>
      </c>
      <c r="C973">
        <v>444.80778484318699</v>
      </c>
    </row>
    <row r="974" spans="1:3" x14ac:dyDescent="0.25">
      <c r="A974" t="s">
        <v>2979</v>
      </c>
      <c r="B974">
        <v>34.3603841826192</v>
      </c>
      <c r="C974">
        <v>383.89212989993399</v>
      </c>
    </row>
    <row r="975" spans="1:3" x14ac:dyDescent="0.25">
      <c r="A975" t="s">
        <v>2624</v>
      </c>
      <c r="B975">
        <v>34.4253354301784</v>
      </c>
      <c r="C975">
        <v>177.853696838481</v>
      </c>
    </row>
    <row r="976" spans="1:3" x14ac:dyDescent="0.25">
      <c r="A976" t="s">
        <v>797</v>
      </c>
      <c r="B976">
        <v>34.473512402494997</v>
      </c>
      <c r="C976">
        <v>193.61261080156299</v>
      </c>
    </row>
    <row r="977" spans="1:3" x14ac:dyDescent="0.25">
      <c r="A977" t="s">
        <v>1171</v>
      </c>
      <c r="B977">
        <v>34.585675025863502</v>
      </c>
      <c r="C977">
        <v>119.192670950005</v>
      </c>
    </row>
    <row r="978" spans="1:3" x14ac:dyDescent="0.25">
      <c r="A978" t="s">
        <v>2534</v>
      </c>
      <c r="B978">
        <v>34.665048441176602</v>
      </c>
      <c r="C978">
        <v>254.66359596897999</v>
      </c>
    </row>
    <row r="979" spans="1:3" x14ac:dyDescent="0.25">
      <c r="A979" t="s">
        <v>2833</v>
      </c>
      <c r="B979">
        <v>34.783506415320304</v>
      </c>
      <c r="C979">
        <v>167.71488325706</v>
      </c>
    </row>
    <row r="980" spans="1:3" x14ac:dyDescent="0.25">
      <c r="A980" t="s">
        <v>160</v>
      </c>
      <c r="B980">
        <v>34.833425448916202</v>
      </c>
      <c r="C980">
        <v>166.263343101933</v>
      </c>
    </row>
    <row r="981" spans="1:3" x14ac:dyDescent="0.25">
      <c r="A981" t="s">
        <v>1007</v>
      </c>
      <c r="B981">
        <v>34.8573849010928</v>
      </c>
      <c r="C981">
        <v>285.01264543736602</v>
      </c>
    </row>
    <row r="982" spans="1:3" x14ac:dyDescent="0.25">
      <c r="A982" t="s">
        <v>2019</v>
      </c>
      <c r="B982">
        <v>35.045657566406497</v>
      </c>
      <c r="C982">
        <v>157.02392919848299</v>
      </c>
    </row>
    <row r="983" spans="1:3" x14ac:dyDescent="0.25">
      <c r="A983" t="s">
        <v>2608</v>
      </c>
      <c r="B983">
        <v>35.241053500233399</v>
      </c>
      <c r="C983">
        <v>197.28556467002099</v>
      </c>
    </row>
    <row r="984" spans="1:3" x14ac:dyDescent="0.25">
      <c r="A984" t="s">
        <v>1113</v>
      </c>
      <c r="B984">
        <v>35.273704368061999</v>
      </c>
      <c r="C984">
        <v>344.03226373143201</v>
      </c>
    </row>
    <row r="985" spans="1:3" x14ac:dyDescent="0.25">
      <c r="A985" t="s">
        <v>1273</v>
      </c>
      <c r="B985">
        <v>35.278795351770498</v>
      </c>
      <c r="C985">
        <v>292.66249440224999</v>
      </c>
    </row>
    <row r="986" spans="1:3" x14ac:dyDescent="0.25">
      <c r="A986" t="s">
        <v>2504</v>
      </c>
      <c r="B986">
        <v>35.374828624797701</v>
      </c>
      <c r="C986">
        <v>367.20245269541499</v>
      </c>
    </row>
    <row r="987" spans="1:3" x14ac:dyDescent="0.25">
      <c r="A987" t="s">
        <v>2267</v>
      </c>
      <c r="B987">
        <v>35.4887667284328</v>
      </c>
      <c r="C987">
        <v>510.69350124005001</v>
      </c>
    </row>
    <row r="988" spans="1:3" x14ac:dyDescent="0.25">
      <c r="A988" t="s">
        <v>526</v>
      </c>
      <c r="B988">
        <v>35.546025604266099</v>
      </c>
      <c r="C988">
        <v>425.20357082391303</v>
      </c>
    </row>
    <row r="989" spans="1:3" x14ac:dyDescent="0.25">
      <c r="A989" t="s">
        <v>1560</v>
      </c>
      <c r="B989">
        <v>35.562890304505501</v>
      </c>
      <c r="C989">
        <v>459.46445127648099</v>
      </c>
    </row>
    <row r="990" spans="1:3" x14ac:dyDescent="0.25">
      <c r="A990" t="s">
        <v>1526</v>
      </c>
      <c r="B990">
        <v>35.653023830837903</v>
      </c>
      <c r="C990">
        <v>352.38616954697699</v>
      </c>
    </row>
    <row r="991" spans="1:3" x14ac:dyDescent="0.25">
      <c r="A991" t="s">
        <v>2821</v>
      </c>
      <c r="B991">
        <v>35.808778576096998</v>
      </c>
      <c r="C991">
        <v>241.96923717573901</v>
      </c>
    </row>
    <row r="992" spans="1:3" x14ac:dyDescent="0.25">
      <c r="A992" t="s">
        <v>2193</v>
      </c>
      <c r="B992">
        <v>36.062441776591598</v>
      </c>
      <c r="C992">
        <v>269.01873541442302</v>
      </c>
    </row>
    <row r="993" spans="1:3" x14ac:dyDescent="0.25">
      <c r="A993" t="s">
        <v>2109</v>
      </c>
      <c r="B993">
        <v>36.343079420494803</v>
      </c>
      <c r="C993">
        <v>185.234142569374</v>
      </c>
    </row>
    <row r="994" spans="1:3" x14ac:dyDescent="0.25">
      <c r="A994" t="s">
        <v>568</v>
      </c>
      <c r="B994">
        <v>36.460978209517499</v>
      </c>
      <c r="C994">
        <v>312.572300355023</v>
      </c>
    </row>
    <row r="995" spans="1:3" x14ac:dyDescent="0.25">
      <c r="A995" t="s">
        <v>3037</v>
      </c>
      <c r="B995">
        <v>36.502046704707404</v>
      </c>
      <c r="C995">
        <v>307.44773952435298</v>
      </c>
    </row>
    <row r="996" spans="1:3" x14ac:dyDescent="0.25">
      <c r="A996" t="s">
        <v>506</v>
      </c>
      <c r="B996">
        <v>36.545259562157497</v>
      </c>
      <c r="C996">
        <v>443.92562847838502</v>
      </c>
    </row>
    <row r="997" spans="1:3" x14ac:dyDescent="0.25">
      <c r="A997" t="s">
        <v>1015</v>
      </c>
      <c r="B997">
        <v>36.559640554887999</v>
      </c>
      <c r="C997">
        <v>165.78164062070999</v>
      </c>
    </row>
    <row r="998" spans="1:3" x14ac:dyDescent="0.25">
      <c r="A998" t="s">
        <v>1448</v>
      </c>
      <c r="B998">
        <v>36.618355805839698</v>
      </c>
      <c r="C998">
        <v>262.22598829682801</v>
      </c>
    </row>
    <row r="999" spans="1:3" x14ac:dyDescent="0.25">
      <c r="A999" t="s">
        <v>1299</v>
      </c>
      <c r="B999">
        <v>36.666227142404701</v>
      </c>
      <c r="C999">
        <v>371.34653296643597</v>
      </c>
    </row>
    <row r="1000" spans="1:3" x14ac:dyDescent="0.25">
      <c r="A1000" t="s">
        <v>1630</v>
      </c>
      <c r="B1000">
        <v>36.732469793236902</v>
      </c>
      <c r="C1000">
        <v>325.92443392180598</v>
      </c>
    </row>
    <row r="1001" spans="1:3" x14ac:dyDescent="0.25">
      <c r="A1001" t="s">
        <v>484</v>
      </c>
      <c r="B1001">
        <v>36.970884388119401</v>
      </c>
      <c r="C1001">
        <v>192.94446763559</v>
      </c>
    </row>
    <row r="1002" spans="1:3" x14ac:dyDescent="0.25">
      <c r="A1002" t="s">
        <v>2708</v>
      </c>
      <c r="B1002">
        <v>37.005951893086902</v>
      </c>
      <c r="C1002">
        <v>166.635956390291</v>
      </c>
    </row>
    <row r="1003" spans="1:3" x14ac:dyDescent="0.25">
      <c r="A1003" t="s">
        <v>2770</v>
      </c>
      <c r="B1003">
        <v>37.007385346380701</v>
      </c>
      <c r="C1003">
        <v>386.76391687650897</v>
      </c>
    </row>
    <row r="1004" spans="1:3" x14ac:dyDescent="0.25">
      <c r="A1004" t="s">
        <v>947</v>
      </c>
      <c r="B1004">
        <v>37.115071933014498</v>
      </c>
      <c r="C1004">
        <v>181.734686195476</v>
      </c>
    </row>
    <row r="1005" spans="1:3" x14ac:dyDescent="0.25">
      <c r="A1005" t="s">
        <v>2349</v>
      </c>
      <c r="B1005">
        <v>37.194229130493099</v>
      </c>
      <c r="C1005">
        <v>334.11353254636202</v>
      </c>
    </row>
    <row r="1006" spans="1:3" x14ac:dyDescent="0.25">
      <c r="A1006" t="s">
        <v>502</v>
      </c>
      <c r="B1006">
        <v>37.246321884279098</v>
      </c>
      <c r="C1006">
        <v>232.24245936518699</v>
      </c>
    </row>
    <row r="1007" spans="1:3" x14ac:dyDescent="0.25">
      <c r="A1007" t="s">
        <v>50</v>
      </c>
      <c r="B1007">
        <v>37.275195080201598</v>
      </c>
      <c r="C1007">
        <v>416.13725058213902</v>
      </c>
    </row>
    <row r="1008" spans="1:3" x14ac:dyDescent="0.25">
      <c r="A1008" t="s">
        <v>1101</v>
      </c>
      <c r="B1008">
        <v>37.357031304730903</v>
      </c>
      <c r="C1008">
        <v>75.053377086989897</v>
      </c>
    </row>
    <row r="1009" spans="1:3" x14ac:dyDescent="0.25">
      <c r="A1009" t="s">
        <v>1800</v>
      </c>
      <c r="B1009">
        <v>37.378194873831198</v>
      </c>
      <c r="C1009">
        <v>1394.9260635012199</v>
      </c>
    </row>
    <row r="1010" spans="1:3" x14ac:dyDescent="0.25">
      <c r="A1010" t="s">
        <v>706</v>
      </c>
      <c r="B1010">
        <v>37.398236969550098</v>
      </c>
      <c r="C1010">
        <v>115.84705451378299</v>
      </c>
    </row>
    <row r="1011" spans="1:3" x14ac:dyDescent="0.25">
      <c r="A1011" t="s">
        <v>1794</v>
      </c>
      <c r="B1011">
        <v>37.410204312354303</v>
      </c>
      <c r="C1011">
        <v>477.09998938821002</v>
      </c>
    </row>
    <row r="1012" spans="1:3" x14ac:dyDescent="0.25">
      <c r="A1012" t="s">
        <v>1921</v>
      </c>
      <c r="B1012">
        <v>37.412480485130303</v>
      </c>
      <c r="C1012">
        <v>197.246899560343</v>
      </c>
    </row>
    <row r="1013" spans="1:3" x14ac:dyDescent="0.25">
      <c r="A1013" t="s">
        <v>3112</v>
      </c>
      <c r="B1013">
        <v>37.467397371885902</v>
      </c>
      <c r="C1013">
        <v>392.38251602417699</v>
      </c>
    </row>
    <row r="1014" spans="1:3" x14ac:dyDescent="0.25">
      <c r="A1014" t="s">
        <v>2606</v>
      </c>
      <c r="B1014">
        <v>37.500425346985203</v>
      </c>
      <c r="C1014">
        <v>88.610552059656101</v>
      </c>
    </row>
    <row r="1015" spans="1:3" x14ac:dyDescent="0.25">
      <c r="A1015" t="s">
        <v>2397</v>
      </c>
      <c r="B1015">
        <v>37.609883788010201</v>
      </c>
      <c r="C1015">
        <v>212.09237776989301</v>
      </c>
    </row>
    <row r="1016" spans="1:3" x14ac:dyDescent="0.25">
      <c r="A1016" t="s">
        <v>114</v>
      </c>
      <c r="B1016">
        <v>37.631493726459702</v>
      </c>
      <c r="C1016">
        <v>473.137069417318</v>
      </c>
    </row>
    <row r="1017" spans="1:3" x14ac:dyDescent="0.25">
      <c r="A1017" t="s">
        <v>2903</v>
      </c>
      <c r="B1017">
        <v>37.7388463430933</v>
      </c>
      <c r="C1017">
        <v>406.64625829048902</v>
      </c>
    </row>
    <row r="1018" spans="1:3" x14ac:dyDescent="0.25">
      <c r="A1018" t="s">
        <v>520</v>
      </c>
      <c r="B1018">
        <v>37.769122843197103</v>
      </c>
      <c r="C1018">
        <v>614.36314700892899</v>
      </c>
    </row>
    <row r="1019" spans="1:3" x14ac:dyDescent="0.25">
      <c r="A1019" t="s">
        <v>2085</v>
      </c>
      <c r="B1019">
        <v>37.772607990246499</v>
      </c>
      <c r="C1019">
        <v>483.54560301321499</v>
      </c>
    </row>
    <row r="1020" spans="1:3" x14ac:dyDescent="0.25">
      <c r="A1020" t="s">
        <v>1892</v>
      </c>
      <c r="B1020">
        <v>37.784824144535797</v>
      </c>
      <c r="C1020">
        <v>282.82835140560701</v>
      </c>
    </row>
    <row r="1021" spans="1:3" x14ac:dyDescent="0.25">
      <c r="A1021" t="s">
        <v>3142</v>
      </c>
      <c r="B1021">
        <v>37.873679953897401</v>
      </c>
      <c r="C1021">
        <v>392.90121510622299</v>
      </c>
    </row>
    <row r="1022" spans="1:3" x14ac:dyDescent="0.25">
      <c r="A1022" t="s">
        <v>636</v>
      </c>
      <c r="B1022">
        <v>37.908651427033199</v>
      </c>
      <c r="C1022">
        <v>376.16704992279301</v>
      </c>
    </row>
    <row r="1023" spans="1:3" x14ac:dyDescent="0.25">
      <c r="A1023" t="s">
        <v>1498</v>
      </c>
      <c r="B1023">
        <v>37.958449259772898</v>
      </c>
      <c r="C1023">
        <v>221.26301112079599</v>
      </c>
    </row>
    <row r="1024" spans="1:3" x14ac:dyDescent="0.25">
      <c r="A1024" t="s">
        <v>1145</v>
      </c>
      <c r="B1024">
        <v>38.041480117292103</v>
      </c>
      <c r="C1024">
        <v>795.03986529576002</v>
      </c>
    </row>
    <row r="1025" spans="1:3" x14ac:dyDescent="0.25">
      <c r="A1025" t="s">
        <v>823</v>
      </c>
      <c r="B1025">
        <v>38.083094030720403</v>
      </c>
      <c r="C1025">
        <v>300.05643801679298</v>
      </c>
    </row>
    <row r="1026" spans="1:3" x14ac:dyDescent="0.25">
      <c r="A1026" t="s">
        <v>2253</v>
      </c>
      <c r="B1026">
        <v>38.4429867822113</v>
      </c>
      <c r="C1026">
        <v>117.54276850724099</v>
      </c>
    </row>
    <row r="1027" spans="1:3" x14ac:dyDescent="0.25">
      <c r="A1027" t="s">
        <v>1125</v>
      </c>
      <c r="B1027">
        <v>38.554230927586097</v>
      </c>
      <c r="C1027">
        <v>267.06284809286399</v>
      </c>
    </row>
    <row r="1028" spans="1:3" x14ac:dyDescent="0.25">
      <c r="A1028" t="s">
        <v>1393</v>
      </c>
      <c r="B1028">
        <v>38.611629137698102</v>
      </c>
      <c r="C1028">
        <v>219.1138990577</v>
      </c>
    </row>
    <row r="1029" spans="1:3" x14ac:dyDescent="0.25">
      <c r="A1029" t="s">
        <v>1321</v>
      </c>
      <c r="B1029">
        <v>38.707531816098196</v>
      </c>
      <c r="C1029">
        <v>271.44416366092298</v>
      </c>
    </row>
    <row r="1030" spans="1:3" x14ac:dyDescent="0.25">
      <c r="A1030" t="s">
        <v>1502</v>
      </c>
      <c r="B1030">
        <v>38.854556969951197</v>
      </c>
      <c r="C1030">
        <v>412.66167590673899</v>
      </c>
    </row>
    <row r="1031" spans="1:3" x14ac:dyDescent="0.25">
      <c r="A1031" t="s">
        <v>676</v>
      </c>
      <c r="B1031">
        <v>38.8786770483932</v>
      </c>
      <c r="C1031">
        <v>629.45299560042997</v>
      </c>
    </row>
    <row r="1032" spans="1:3" x14ac:dyDescent="0.25">
      <c r="A1032" t="s">
        <v>112</v>
      </c>
      <c r="B1032">
        <v>38.929068384858901</v>
      </c>
      <c r="C1032">
        <v>221.70676406877399</v>
      </c>
    </row>
    <row r="1033" spans="1:3" x14ac:dyDescent="0.25">
      <c r="A1033" t="s">
        <v>2574</v>
      </c>
      <c r="B1033">
        <v>39.021303110602197</v>
      </c>
      <c r="C1033">
        <v>231.361817607294</v>
      </c>
    </row>
    <row r="1034" spans="1:3" x14ac:dyDescent="0.25">
      <c r="A1034" t="s">
        <v>1846</v>
      </c>
      <c r="B1034">
        <v>39.033888634225903</v>
      </c>
      <c r="C1034">
        <v>246.71557430356799</v>
      </c>
    </row>
    <row r="1035" spans="1:3" x14ac:dyDescent="0.25">
      <c r="A1035" t="s">
        <v>2851</v>
      </c>
      <c r="B1035">
        <v>39.056817313651301</v>
      </c>
      <c r="C1035">
        <v>555.24745400227403</v>
      </c>
    </row>
    <row r="1036" spans="1:3" x14ac:dyDescent="0.25">
      <c r="A1036" t="s">
        <v>1672</v>
      </c>
      <c r="B1036">
        <v>39.156434742251299</v>
      </c>
      <c r="C1036">
        <v>182.241518407483</v>
      </c>
    </row>
    <row r="1037" spans="1:3" x14ac:dyDescent="0.25">
      <c r="A1037" t="s">
        <v>2464</v>
      </c>
      <c r="B1037">
        <v>39.289379870036598</v>
      </c>
      <c r="C1037">
        <v>1036.04953804461</v>
      </c>
    </row>
    <row r="1038" spans="1:3" x14ac:dyDescent="0.25">
      <c r="A1038" t="s">
        <v>1624</v>
      </c>
      <c r="B1038">
        <v>39.436029984796498</v>
      </c>
      <c r="C1038">
        <v>155.678000347253</v>
      </c>
    </row>
    <row r="1039" spans="1:3" x14ac:dyDescent="0.25">
      <c r="A1039" t="s">
        <v>1458</v>
      </c>
      <c r="B1039">
        <v>39.439204559828802</v>
      </c>
      <c r="C1039">
        <v>208.37863675023101</v>
      </c>
    </row>
    <row r="1040" spans="1:3" x14ac:dyDescent="0.25">
      <c r="A1040" t="s">
        <v>949</v>
      </c>
      <c r="B1040">
        <v>39.762386480077403</v>
      </c>
      <c r="C1040">
        <v>462.20481730204602</v>
      </c>
    </row>
    <row r="1041" spans="1:3" x14ac:dyDescent="0.25">
      <c r="A1041" t="s">
        <v>1019</v>
      </c>
      <c r="B1041">
        <v>39.797158774341803</v>
      </c>
      <c r="C1041">
        <v>441.25588367967902</v>
      </c>
    </row>
    <row r="1042" spans="1:3" x14ac:dyDescent="0.25">
      <c r="A1042" t="s">
        <v>1105</v>
      </c>
      <c r="B1042">
        <v>39.871363937466597</v>
      </c>
      <c r="C1042">
        <v>298.16691269921199</v>
      </c>
    </row>
    <row r="1043" spans="1:3" x14ac:dyDescent="0.25">
      <c r="A1043" t="s">
        <v>1381</v>
      </c>
      <c r="B1043">
        <v>40.127513117977898</v>
      </c>
      <c r="C1043">
        <v>305.794058386492</v>
      </c>
    </row>
    <row r="1044" spans="1:3" x14ac:dyDescent="0.25">
      <c r="A1044" t="s">
        <v>2845</v>
      </c>
      <c r="B1044">
        <v>40.222343892192399</v>
      </c>
      <c r="C1044">
        <v>203.76401480440899</v>
      </c>
    </row>
    <row r="1045" spans="1:3" x14ac:dyDescent="0.25">
      <c r="A1045" t="s">
        <v>2943</v>
      </c>
      <c r="B1045">
        <v>40.244819034963797</v>
      </c>
      <c r="C1045">
        <v>426.12941149509402</v>
      </c>
    </row>
    <row r="1046" spans="1:3" x14ac:dyDescent="0.25">
      <c r="A1046" t="s">
        <v>2407</v>
      </c>
      <c r="B1046">
        <v>40.326474996041497</v>
      </c>
      <c r="C1046">
        <v>89.831428827776605</v>
      </c>
    </row>
    <row r="1047" spans="1:3" x14ac:dyDescent="0.25">
      <c r="A1047" t="s">
        <v>528</v>
      </c>
      <c r="B1047">
        <v>40.332065631446703</v>
      </c>
      <c r="C1047">
        <v>361.34063326355101</v>
      </c>
    </row>
    <row r="1048" spans="1:3" x14ac:dyDescent="0.25">
      <c r="A1048" t="s">
        <v>1796</v>
      </c>
      <c r="B1048">
        <v>40.409481045056602</v>
      </c>
      <c r="C1048">
        <v>348.16249462411997</v>
      </c>
    </row>
    <row r="1049" spans="1:3" x14ac:dyDescent="0.25">
      <c r="A1049" t="s">
        <v>2987</v>
      </c>
      <c r="B1049">
        <v>40.423915585819302</v>
      </c>
      <c r="C1049">
        <v>316.729695234166</v>
      </c>
    </row>
    <row r="1050" spans="1:3" x14ac:dyDescent="0.25">
      <c r="A1050" t="s">
        <v>416</v>
      </c>
      <c r="B1050">
        <v>40.625426608373502</v>
      </c>
      <c r="C1050">
        <v>321.21817040082402</v>
      </c>
    </row>
    <row r="1051" spans="1:3" x14ac:dyDescent="0.25">
      <c r="A1051" t="s">
        <v>2789</v>
      </c>
      <c r="B1051">
        <v>40.7307825184078</v>
      </c>
      <c r="C1051">
        <v>194.33241890890599</v>
      </c>
    </row>
    <row r="1052" spans="1:3" x14ac:dyDescent="0.25">
      <c r="A1052" t="s">
        <v>945</v>
      </c>
      <c r="B1052">
        <v>40.735065924229602</v>
      </c>
      <c r="C1052">
        <v>352.959942596112</v>
      </c>
    </row>
    <row r="1053" spans="1:3" x14ac:dyDescent="0.25">
      <c r="A1053" t="s">
        <v>418</v>
      </c>
      <c r="B1053">
        <v>41.055135290833398</v>
      </c>
      <c r="C1053">
        <v>456.92342160638299</v>
      </c>
    </row>
    <row r="1054" spans="1:3" x14ac:dyDescent="0.25">
      <c r="A1054" t="s">
        <v>987</v>
      </c>
      <c r="B1054">
        <v>41.083605082205999</v>
      </c>
      <c r="C1054">
        <v>587.15409001742398</v>
      </c>
    </row>
    <row r="1055" spans="1:3" x14ac:dyDescent="0.25">
      <c r="A1055" t="s">
        <v>3125</v>
      </c>
      <c r="B1055">
        <v>41.1124486669883</v>
      </c>
      <c r="C1055">
        <v>538.31941714899995</v>
      </c>
    </row>
    <row r="1056" spans="1:3" x14ac:dyDescent="0.25">
      <c r="A1056" t="s">
        <v>1704</v>
      </c>
      <c r="B1056">
        <v>41.213279780958203</v>
      </c>
      <c r="C1056">
        <v>446.17304216263</v>
      </c>
    </row>
    <row r="1057" spans="1:3" x14ac:dyDescent="0.25">
      <c r="A1057" t="s">
        <v>1882</v>
      </c>
      <c r="B1057">
        <v>41.252633783767997</v>
      </c>
      <c r="C1057">
        <v>274.895915277325</v>
      </c>
    </row>
    <row r="1058" spans="1:3" x14ac:dyDescent="0.25">
      <c r="A1058" t="s">
        <v>716</v>
      </c>
      <c r="B1058">
        <v>41.262598741574301</v>
      </c>
      <c r="C1058">
        <v>247.664879934216</v>
      </c>
    </row>
    <row r="1059" spans="1:3" x14ac:dyDescent="0.25">
      <c r="A1059" t="s">
        <v>1760</v>
      </c>
      <c r="B1059">
        <v>41.307017119397401</v>
      </c>
      <c r="C1059">
        <v>567.01092940814499</v>
      </c>
    </row>
    <row r="1060" spans="1:3" x14ac:dyDescent="0.25">
      <c r="A1060" t="s">
        <v>1939</v>
      </c>
      <c r="B1060">
        <v>41.478490506533497</v>
      </c>
      <c r="C1060">
        <v>246.845717824075</v>
      </c>
    </row>
    <row r="1061" spans="1:3" x14ac:dyDescent="0.25">
      <c r="A1061" t="s">
        <v>2660</v>
      </c>
      <c r="B1061">
        <v>41.5937741683762</v>
      </c>
      <c r="C1061">
        <v>262.53407356724398</v>
      </c>
    </row>
    <row r="1062" spans="1:3" x14ac:dyDescent="0.25">
      <c r="A1062" t="s">
        <v>2991</v>
      </c>
      <c r="B1062">
        <v>41.610412011138401</v>
      </c>
      <c r="C1062">
        <v>554.12734213069803</v>
      </c>
    </row>
    <row r="1063" spans="1:3" x14ac:dyDescent="0.25">
      <c r="A1063" t="s">
        <v>1997</v>
      </c>
      <c r="B1063">
        <v>41.7440161291617</v>
      </c>
      <c r="C1063">
        <v>121.36691954138</v>
      </c>
    </row>
    <row r="1064" spans="1:3" x14ac:dyDescent="0.25">
      <c r="A1064" t="s">
        <v>2480</v>
      </c>
      <c r="B1064">
        <v>42.018731441360103</v>
      </c>
      <c r="C1064">
        <v>247.75279655121199</v>
      </c>
    </row>
    <row r="1065" spans="1:3" x14ac:dyDescent="0.25">
      <c r="A1065" t="s">
        <v>1923</v>
      </c>
      <c r="B1065">
        <v>42.0910256157335</v>
      </c>
      <c r="C1065">
        <v>579.69382908854004</v>
      </c>
    </row>
    <row r="1066" spans="1:3" x14ac:dyDescent="0.25">
      <c r="A1066" t="s">
        <v>384</v>
      </c>
      <c r="B1066">
        <v>42.098793298893199</v>
      </c>
      <c r="C1066">
        <v>316.03397435221302</v>
      </c>
    </row>
    <row r="1067" spans="1:3" x14ac:dyDescent="0.25">
      <c r="A1067" t="s">
        <v>2756</v>
      </c>
      <c r="B1067">
        <v>42.186161863943703</v>
      </c>
      <c r="C1067">
        <v>368.818950772297</v>
      </c>
    </row>
    <row r="1068" spans="1:3" x14ac:dyDescent="0.25">
      <c r="A1068" t="s">
        <v>1177</v>
      </c>
      <c r="B1068">
        <v>42.258531217391102</v>
      </c>
      <c r="C1068">
        <v>521.98381929627806</v>
      </c>
    </row>
    <row r="1069" spans="1:3" x14ac:dyDescent="0.25">
      <c r="A1069" t="s">
        <v>1919</v>
      </c>
      <c r="B1069">
        <v>42.380659804171401</v>
      </c>
      <c r="C1069">
        <v>183.84702337311899</v>
      </c>
    </row>
    <row r="1070" spans="1:3" x14ac:dyDescent="0.25">
      <c r="A1070" t="s">
        <v>2313</v>
      </c>
      <c r="B1070">
        <v>42.601086592201902</v>
      </c>
      <c r="C1070">
        <v>399.44517476160098</v>
      </c>
    </row>
    <row r="1071" spans="1:3" x14ac:dyDescent="0.25">
      <c r="A1071" t="s">
        <v>1840</v>
      </c>
      <c r="B1071">
        <v>42.6515926537448</v>
      </c>
      <c r="C1071">
        <v>183.37503289105899</v>
      </c>
    </row>
    <row r="1072" spans="1:3" x14ac:dyDescent="0.25">
      <c r="A1072" t="s">
        <v>1768</v>
      </c>
      <c r="B1072">
        <v>42.804451389270099</v>
      </c>
      <c r="C1072">
        <v>391.04333763239498</v>
      </c>
    </row>
    <row r="1073" spans="1:3" x14ac:dyDescent="0.25">
      <c r="A1073" t="s">
        <v>1263</v>
      </c>
      <c r="B1073">
        <v>43.0781268084827</v>
      </c>
      <c r="C1073">
        <v>108.18215945206001</v>
      </c>
    </row>
    <row r="1074" spans="1:3" x14ac:dyDescent="0.25">
      <c r="A1074" t="s">
        <v>298</v>
      </c>
      <c r="B1074">
        <v>43.082596415259303</v>
      </c>
      <c r="C1074">
        <v>205.92091706397301</v>
      </c>
    </row>
    <row r="1075" spans="1:3" x14ac:dyDescent="0.25">
      <c r="A1075" t="s">
        <v>652</v>
      </c>
      <c r="B1075">
        <v>43.1035287873691</v>
      </c>
      <c r="C1075">
        <v>749.12043443537095</v>
      </c>
    </row>
    <row r="1076" spans="1:3" x14ac:dyDescent="0.25">
      <c r="A1076" t="s">
        <v>2933</v>
      </c>
      <c r="B1076">
        <v>43.274041293194799</v>
      </c>
      <c r="C1076">
        <v>1176.17855650406</v>
      </c>
    </row>
    <row r="1077" spans="1:3" x14ac:dyDescent="0.25">
      <c r="A1077" t="s">
        <v>1999</v>
      </c>
      <c r="B1077">
        <v>43.376392737186201</v>
      </c>
      <c r="C1077">
        <v>241.71571585678601</v>
      </c>
    </row>
    <row r="1078" spans="1:3" x14ac:dyDescent="0.25">
      <c r="A1078" t="s">
        <v>76</v>
      </c>
      <c r="B1078">
        <v>43.395552119646602</v>
      </c>
      <c r="C1078">
        <v>250.712923880137</v>
      </c>
    </row>
    <row r="1079" spans="1:3" x14ac:dyDescent="0.25">
      <c r="A1079" t="s">
        <v>190</v>
      </c>
      <c r="B1079">
        <v>43.397314449300197</v>
      </c>
      <c r="C1079">
        <v>384.24129537774598</v>
      </c>
    </row>
    <row r="1080" spans="1:3" x14ac:dyDescent="0.25">
      <c r="A1080" t="s">
        <v>2077</v>
      </c>
      <c r="B1080">
        <v>43.402188559851297</v>
      </c>
      <c r="C1080">
        <v>485.15904222836298</v>
      </c>
    </row>
    <row r="1081" spans="1:3" x14ac:dyDescent="0.25">
      <c r="A1081" t="s">
        <v>1766</v>
      </c>
      <c r="B1081">
        <v>43.545951113030803</v>
      </c>
      <c r="C1081">
        <v>220.59562639242799</v>
      </c>
    </row>
    <row r="1082" spans="1:3" x14ac:dyDescent="0.25">
      <c r="A1082" t="s">
        <v>386</v>
      </c>
      <c r="B1082">
        <v>43.567475510670903</v>
      </c>
      <c r="C1082">
        <v>366.69729227471998</v>
      </c>
    </row>
    <row r="1083" spans="1:3" x14ac:dyDescent="0.25">
      <c r="A1083" t="s">
        <v>789</v>
      </c>
      <c r="B1083">
        <v>43.724263914053097</v>
      </c>
      <c r="C1083">
        <v>288.42909092773698</v>
      </c>
    </row>
    <row r="1084" spans="1:3" x14ac:dyDescent="0.25">
      <c r="A1084" t="s">
        <v>2413</v>
      </c>
      <c r="B1084">
        <v>43.737157347165997</v>
      </c>
      <c r="C1084">
        <v>372.70517621338303</v>
      </c>
    </row>
    <row r="1085" spans="1:3" x14ac:dyDescent="0.25">
      <c r="A1085" t="s">
        <v>1626</v>
      </c>
      <c r="B1085">
        <v>43.786201947012302</v>
      </c>
      <c r="C1085">
        <v>149.66740953399599</v>
      </c>
    </row>
    <row r="1086" spans="1:3" x14ac:dyDescent="0.25">
      <c r="A1086" t="s">
        <v>1169</v>
      </c>
      <c r="B1086">
        <v>43.848593191178203</v>
      </c>
      <c r="C1086">
        <v>232.39936414226401</v>
      </c>
    </row>
    <row r="1087" spans="1:3" x14ac:dyDescent="0.25">
      <c r="A1087" t="s">
        <v>1395</v>
      </c>
      <c r="B1087">
        <v>43.936308547844298</v>
      </c>
      <c r="C1087">
        <v>871.86020736097498</v>
      </c>
    </row>
    <row r="1088" spans="1:3" x14ac:dyDescent="0.25">
      <c r="A1088" t="s">
        <v>2730</v>
      </c>
      <c r="B1088">
        <v>43.9499398834893</v>
      </c>
      <c r="C1088">
        <v>389.31286523535999</v>
      </c>
    </row>
    <row r="1089" spans="1:3" x14ac:dyDescent="0.25">
      <c r="A1089" t="s">
        <v>538</v>
      </c>
      <c r="B1089">
        <v>44.109260767448298</v>
      </c>
      <c r="C1089">
        <v>333.91922955625301</v>
      </c>
    </row>
    <row r="1090" spans="1:3" x14ac:dyDescent="0.25">
      <c r="A1090" t="s">
        <v>574</v>
      </c>
      <c r="B1090">
        <v>44.125318668814899</v>
      </c>
      <c r="C1090">
        <v>136.64777960491401</v>
      </c>
    </row>
    <row r="1091" spans="1:3" x14ac:dyDescent="0.25">
      <c r="A1091" t="s">
        <v>1377</v>
      </c>
      <c r="B1091">
        <v>44.183914509806399</v>
      </c>
      <c r="C1091">
        <v>296.28395308747099</v>
      </c>
    </row>
    <row r="1092" spans="1:3" x14ac:dyDescent="0.25">
      <c r="A1092" t="s">
        <v>1129</v>
      </c>
      <c r="B1092">
        <v>44.463692888476103</v>
      </c>
      <c r="C1092">
        <v>172.07323770216499</v>
      </c>
    </row>
    <row r="1093" spans="1:3" x14ac:dyDescent="0.25">
      <c r="A1093" t="s">
        <v>166</v>
      </c>
      <c r="B1093">
        <v>44.6120249803786</v>
      </c>
      <c r="C1093">
        <v>277.21517956993699</v>
      </c>
    </row>
    <row r="1094" spans="1:3" x14ac:dyDescent="0.25">
      <c r="A1094" t="s">
        <v>1490</v>
      </c>
      <c r="B1094">
        <v>44.737501205597297</v>
      </c>
      <c r="C1094">
        <v>214.63715349225501</v>
      </c>
    </row>
    <row r="1095" spans="1:3" x14ac:dyDescent="0.25">
      <c r="A1095" t="s">
        <v>2041</v>
      </c>
      <c r="B1095">
        <v>44.910412102226097</v>
      </c>
      <c r="C1095">
        <v>299.20427788934097</v>
      </c>
    </row>
    <row r="1096" spans="1:3" x14ac:dyDescent="0.25">
      <c r="A1096" t="s">
        <v>891</v>
      </c>
      <c r="B1096">
        <v>44.959563984212203</v>
      </c>
      <c r="C1096">
        <v>335.04308363347798</v>
      </c>
    </row>
    <row r="1097" spans="1:3" x14ac:dyDescent="0.25">
      <c r="A1097" t="s">
        <v>2740</v>
      </c>
      <c r="B1097">
        <v>45.150684166584099</v>
      </c>
      <c r="C1097">
        <v>141.25736895915</v>
      </c>
    </row>
    <row r="1098" spans="1:3" x14ac:dyDescent="0.25">
      <c r="A1098" t="s">
        <v>516</v>
      </c>
      <c r="B1098">
        <v>45.231177013638302</v>
      </c>
      <c r="C1098">
        <v>538.00083277481895</v>
      </c>
    </row>
    <row r="1099" spans="1:3" x14ac:dyDescent="0.25">
      <c r="A1099" t="s">
        <v>252</v>
      </c>
      <c r="B1099">
        <v>45.2838205341505</v>
      </c>
      <c r="C1099">
        <v>187.83830201051001</v>
      </c>
    </row>
    <row r="1100" spans="1:3" x14ac:dyDescent="0.25">
      <c r="A1100" t="s">
        <v>2305</v>
      </c>
      <c r="B1100">
        <v>45.2977034329136</v>
      </c>
      <c r="C1100">
        <v>543.47492495130098</v>
      </c>
    </row>
    <row r="1101" spans="1:3" x14ac:dyDescent="0.25">
      <c r="A1101" t="s">
        <v>2179</v>
      </c>
      <c r="B1101">
        <v>45.315530741148002</v>
      </c>
      <c r="C1101">
        <v>220.665057267945</v>
      </c>
    </row>
    <row r="1102" spans="1:3" x14ac:dyDescent="0.25">
      <c r="A1102" t="s">
        <v>793</v>
      </c>
      <c r="B1102">
        <v>45.365640572150603</v>
      </c>
      <c r="C1102">
        <v>169.29174658440499</v>
      </c>
    </row>
    <row r="1103" spans="1:3" x14ac:dyDescent="0.25">
      <c r="A1103" t="s">
        <v>596</v>
      </c>
      <c r="B1103">
        <v>45.366565703560099</v>
      </c>
      <c r="C1103">
        <v>431.18223759231398</v>
      </c>
    </row>
    <row r="1104" spans="1:3" x14ac:dyDescent="0.25">
      <c r="A1104" t="s">
        <v>1642</v>
      </c>
      <c r="B1104">
        <v>45.368086015367403</v>
      </c>
      <c r="C1104">
        <v>174.952763881621</v>
      </c>
    </row>
    <row r="1105" spans="1:3" x14ac:dyDescent="0.25">
      <c r="A1105" t="s">
        <v>430</v>
      </c>
      <c r="B1105">
        <v>45.377842665554802</v>
      </c>
      <c r="C1105">
        <v>84.918003505304199</v>
      </c>
    </row>
    <row r="1106" spans="1:3" x14ac:dyDescent="0.25">
      <c r="A1106" t="s">
        <v>576</v>
      </c>
      <c r="B1106">
        <v>45.380329571281202</v>
      </c>
      <c r="C1106">
        <v>635.150729394878</v>
      </c>
    </row>
    <row r="1107" spans="1:3" x14ac:dyDescent="0.25">
      <c r="A1107" t="s">
        <v>666</v>
      </c>
      <c r="B1107">
        <v>45.420789606692601</v>
      </c>
      <c r="C1107">
        <v>485.663040130767</v>
      </c>
    </row>
    <row r="1108" spans="1:3" x14ac:dyDescent="0.25">
      <c r="A1108" t="s">
        <v>2590</v>
      </c>
      <c r="B1108">
        <v>45.437075421008402</v>
      </c>
      <c r="C1108">
        <v>272.15311323472599</v>
      </c>
    </row>
    <row r="1109" spans="1:3" x14ac:dyDescent="0.25">
      <c r="A1109" t="s">
        <v>913</v>
      </c>
      <c r="B1109">
        <v>45.739323238802697</v>
      </c>
      <c r="C1109">
        <v>208.85454565164201</v>
      </c>
    </row>
    <row r="1110" spans="1:3" x14ac:dyDescent="0.25">
      <c r="A1110" t="s">
        <v>2219</v>
      </c>
      <c r="B1110">
        <v>45.918063535082901</v>
      </c>
      <c r="C1110">
        <v>484.07475469673301</v>
      </c>
    </row>
    <row r="1111" spans="1:3" x14ac:dyDescent="0.25">
      <c r="A1111" t="s">
        <v>2107</v>
      </c>
      <c r="B1111">
        <v>45.981254945014598</v>
      </c>
      <c r="C1111">
        <v>312.163477043032</v>
      </c>
    </row>
    <row r="1112" spans="1:3" x14ac:dyDescent="0.25">
      <c r="A1112" t="s">
        <v>2881</v>
      </c>
      <c r="B1112">
        <v>46.018110099250897</v>
      </c>
      <c r="C1112">
        <v>344.67003367186101</v>
      </c>
    </row>
    <row r="1113" spans="1:3" x14ac:dyDescent="0.25">
      <c r="A1113" t="s">
        <v>2159</v>
      </c>
      <c r="B1113">
        <v>46.105537488378197</v>
      </c>
      <c r="C1113">
        <v>337.53721286248799</v>
      </c>
    </row>
    <row r="1114" spans="1:3" x14ac:dyDescent="0.25">
      <c r="A1114" t="s">
        <v>646</v>
      </c>
      <c r="B1114">
        <v>46.185924417634098</v>
      </c>
      <c r="C1114">
        <v>241.40779458806199</v>
      </c>
    </row>
    <row r="1115" spans="1:3" x14ac:dyDescent="0.25">
      <c r="A1115" t="s">
        <v>762</v>
      </c>
      <c r="B1115">
        <v>46.287498646360802</v>
      </c>
      <c r="C1115">
        <v>158.09882869302899</v>
      </c>
    </row>
    <row r="1116" spans="1:3" x14ac:dyDescent="0.25">
      <c r="A1116" t="s">
        <v>2265</v>
      </c>
      <c r="B1116">
        <v>46.333592281080897</v>
      </c>
      <c r="C1116">
        <v>281.59561230416301</v>
      </c>
    </row>
    <row r="1117" spans="1:3" x14ac:dyDescent="0.25">
      <c r="A1117" t="s">
        <v>3076</v>
      </c>
      <c r="B1117">
        <v>46.735217853721103</v>
      </c>
      <c r="C1117">
        <v>554.68372063855998</v>
      </c>
    </row>
    <row r="1118" spans="1:3" x14ac:dyDescent="0.25">
      <c r="A1118" t="s">
        <v>250</v>
      </c>
      <c r="B1118">
        <v>46.767274326170899</v>
      </c>
      <c r="C1118">
        <v>214.12827432230199</v>
      </c>
    </row>
    <row r="1119" spans="1:3" x14ac:dyDescent="0.25">
      <c r="A1119" t="s">
        <v>608</v>
      </c>
      <c r="B1119">
        <v>46.772335484489602</v>
      </c>
      <c r="C1119">
        <v>341.170988452166</v>
      </c>
    </row>
    <row r="1120" spans="1:3" x14ac:dyDescent="0.25">
      <c r="A1120" t="s">
        <v>2799</v>
      </c>
      <c r="B1120">
        <v>46.874194080655002</v>
      </c>
      <c r="C1120">
        <v>313.18497501617202</v>
      </c>
    </row>
    <row r="1121" spans="1:3" x14ac:dyDescent="0.25">
      <c r="A1121" t="s">
        <v>849</v>
      </c>
      <c r="B1121">
        <v>47.092518734287502</v>
      </c>
      <c r="C1121">
        <v>607.59470690973399</v>
      </c>
    </row>
    <row r="1122" spans="1:3" x14ac:dyDescent="0.25">
      <c r="A1122" t="s">
        <v>2684</v>
      </c>
      <c r="B1122">
        <v>47.152717943435</v>
      </c>
      <c r="C1122">
        <v>644.79849261925494</v>
      </c>
    </row>
    <row r="1123" spans="1:3" x14ac:dyDescent="0.25">
      <c r="A1123" t="s">
        <v>1053</v>
      </c>
      <c r="B1123">
        <v>47.1817051493748</v>
      </c>
      <c r="C1123">
        <v>396.32320763040201</v>
      </c>
    </row>
    <row r="1124" spans="1:3" x14ac:dyDescent="0.25">
      <c r="A1124" t="s">
        <v>2033</v>
      </c>
      <c r="B1124">
        <v>47.220037800640803</v>
      </c>
      <c r="C1124">
        <v>208.95035791510799</v>
      </c>
    </row>
    <row r="1125" spans="1:3" x14ac:dyDescent="0.25">
      <c r="A1125" t="s">
        <v>2197</v>
      </c>
      <c r="B1125">
        <v>47.476277617651199</v>
      </c>
      <c r="C1125">
        <v>201.818163956045</v>
      </c>
    </row>
    <row r="1126" spans="1:3" x14ac:dyDescent="0.25">
      <c r="A1126" t="s">
        <v>1420</v>
      </c>
      <c r="B1126">
        <v>47.673694405861397</v>
      </c>
      <c r="C1126">
        <v>347.18058695497302</v>
      </c>
    </row>
    <row r="1127" spans="1:3" x14ac:dyDescent="0.25">
      <c r="A1127" t="s">
        <v>2113</v>
      </c>
      <c r="B1127">
        <v>47.988546250017301</v>
      </c>
      <c r="C1127">
        <v>228.76623742691001</v>
      </c>
    </row>
    <row r="1128" spans="1:3" x14ac:dyDescent="0.25">
      <c r="A1128" t="s">
        <v>1908</v>
      </c>
      <c r="B1128">
        <v>48.183642449492403</v>
      </c>
      <c r="C1128">
        <v>211.98908581965901</v>
      </c>
    </row>
    <row r="1129" spans="1:3" x14ac:dyDescent="0.25">
      <c r="A1129" t="s">
        <v>1355</v>
      </c>
      <c r="B1129">
        <v>48.283060525297998</v>
      </c>
      <c r="C1129">
        <v>345.82575207383002</v>
      </c>
    </row>
    <row r="1130" spans="1:3" x14ac:dyDescent="0.25">
      <c r="A1130" t="s">
        <v>2993</v>
      </c>
      <c r="B1130">
        <v>48.341402612533898</v>
      </c>
      <c r="C1130">
        <v>313.20065810656303</v>
      </c>
    </row>
    <row r="1131" spans="1:3" x14ac:dyDescent="0.25">
      <c r="A1131" t="s">
        <v>110</v>
      </c>
      <c r="B1131">
        <v>48.355364168803298</v>
      </c>
      <c r="C1131">
        <v>188.21249364247001</v>
      </c>
    </row>
    <row r="1132" spans="1:3" x14ac:dyDescent="0.25">
      <c r="A1132" t="s">
        <v>1740</v>
      </c>
      <c r="B1132">
        <v>48.370959896615503</v>
      </c>
      <c r="C1132">
        <v>331.97776056910999</v>
      </c>
    </row>
    <row r="1133" spans="1:3" x14ac:dyDescent="0.25">
      <c r="A1133" t="s">
        <v>2401</v>
      </c>
      <c r="B1133">
        <v>48.704581614786903</v>
      </c>
      <c r="C1133">
        <v>209.82150966446599</v>
      </c>
    </row>
    <row r="1134" spans="1:3" x14ac:dyDescent="0.25">
      <c r="A1134" t="s">
        <v>1149</v>
      </c>
      <c r="B1134">
        <v>48.842684020080902</v>
      </c>
      <c r="C1134">
        <v>467.86335942691801</v>
      </c>
    </row>
    <row r="1135" spans="1:3" x14ac:dyDescent="0.25">
      <c r="A1135" t="s">
        <v>2243</v>
      </c>
      <c r="B1135">
        <v>48.946036626087</v>
      </c>
      <c r="C1135">
        <v>572.52843433161695</v>
      </c>
    </row>
    <row r="1136" spans="1:3" x14ac:dyDescent="0.25">
      <c r="A1136" t="s">
        <v>2341</v>
      </c>
      <c r="B1136">
        <v>49.030657199078398</v>
      </c>
      <c r="C1136">
        <v>680.79868352676306</v>
      </c>
    </row>
    <row r="1137" spans="1:3" x14ac:dyDescent="0.25">
      <c r="A1137" t="s">
        <v>494</v>
      </c>
      <c r="B1137">
        <v>49.044522759503302</v>
      </c>
      <c r="C1137">
        <v>424.36079136949002</v>
      </c>
    </row>
    <row r="1138" spans="1:3" x14ac:dyDescent="0.25">
      <c r="A1138" t="s">
        <v>2001</v>
      </c>
      <c r="B1138">
        <v>49.092606120937198</v>
      </c>
      <c r="C1138">
        <v>343.97866156945503</v>
      </c>
    </row>
    <row r="1139" spans="1:3" x14ac:dyDescent="0.25">
      <c r="A1139" t="s">
        <v>288</v>
      </c>
      <c r="B1139">
        <v>49.340480740833897</v>
      </c>
      <c r="C1139">
        <v>381.78360321839199</v>
      </c>
    </row>
    <row r="1140" spans="1:3" x14ac:dyDescent="0.25">
      <c r="A1140" t="s">
        <v>618</v>
      </c>
      <c r="B1140">
        <v>49.410949678301897</v>
      </c>
      <c r="C1140">
        <v>268.25214419552702</v>
      </c>
    </row>
    <row r="1141" spans="1:3" x14ac:dyDescent="0.25">
      <c r="A1141" t="s">
        <v>785</v>
      </c>
      <c r="B1141">
        <v>49.5383850477061</v>
      </c>
      <c r="C1141">
        <v>206.590906484415</v>
      </c>
    </row>
    <row r="1142" spans="1:3" x14ac:dyDescent="0.25">
      <c r="A1142" t="s">
        <v>412</v>
      </c>
      <c r="B1142">
        <v>49.558799405140398</v>
      </c>
      <c r="C1142">
        <v>670.52345152579596</v>
      </c>
    </row>
    <row r="1143" spans="1:3" x14ac:dyDescent="0.25">
      <c r="A1143" t="s">
        <v>208</v>
      </c>
      <c r="B1143">
        <v>49.675146218455602</v>
      </c>
      <c r="C1143">
        <v>693.73631841165002</v>
      </c>
    </row>
    <row r="1144" spans="1:3" x14ac:dyDescent="0.25">
      <c r="A1144" t="s">
        <v>406</v>
      </c>
      <c r="B1144">
        <v>49.793482057694298</v>
      </c>
      <c r="C1144">
        <v>894.81274920007695</v>
      </c>
    </row>
    <row r="1145" spans="1:3" x14ac:dyDescent="0.25">
      <c r="A1145" t="s">
        <v>2289</v>
      </c>
      <c r="B1145">
        <v>50.352368089089701</v>
      </c>
      <c r="C1145">
        <v>478.63248442235101</v>
      </c>
    </row>
    <row r="1146" spans="1:3" x14ac:dyDescent="0.25">
      <c r="A1146" t="s">
        <v>815</v>
      </c>
      <c r="B1146">
        <v>50.398438001394901</v>
      </c>
      <c r="C1146">
        <v>308.16245991157899</v>
      </c>
    </row>
    <row r="1147" spans="1:3" x14ac:dyDescent="0.25">
      <c r="A1147" t="s">
        <v>3019</v>
      </c>
      <c r="B1147">
        <v>50.444557196910502</v>
      </c>
      <c r="C1147">
        <v>275.06131631263901</v>
      </c>
    </row>
    <row r="1148" spans="1:3" x14ac:dyDescent="0.25">
      <c r="A1148" t="s">
        <v>803</v>
      </c>
      <c r="B1148">
        <v>50.726441150546698</v>
      </c>
      <c r="C1148">
        <v>262.09393743249899</v>
      </c>
    </row>
    <row r="1149" spans="1:3" x14ac:dyDescent="0.25">
      <c r="A1149" t="s">
        <v>116</v>
      </c>
      <c r="B1149">
        <v>50.874111443894797</v>
      </c>
      <c r="C1149">
        <v>538.95212978552104</v>
      </c>
    </row>
    <row r="1150" spans="1:3" x14ac:dyDescent="0.25">
      <c r="A1150" t="s">
        <v>2692</v>
      </c>
      <c r="B1150">
        <v>50.903094397544599</v>
      </c>
      <c r="C1150">
        <v>389.08080877198398</v>
      </c>
    </row>
    <row r="1151" spans="1:3" x14ac:dyDescent="0.25">
      <c r="A1151" t="s">
        <v>546</v>
      </c>
      <c r="B1151">
        <v>50.929915944604801</v>
      </c>
      <c r="C1151">
        <v>264.24795135502598</v>
      </c>
    </row>
    <row r="1152" spans="1:3" x14ac:dyDescent="0.25">
      <c r="A1152" t="s">
        <v>680</v>
      </c>
      <c r="B1152">
        <v>51.310632685178703</v>
      </c>
      <c r="C1152">
        <v>233.14865663204401</v>
      </c>
    </row>
    <row r="1153" spans="1:3" x14ac:dyDescent="0.25">
      <c r="A1153" t="s">
        <v>686</v>
      </c>
      <c r="B1153">
        <v>51.406333758233501</v>
      </c>
      <c r="C1153">
        <v>160.04651863273301</v>
      </c>
    </row>
    <row r="1154" spans="1:3" x14ac:dyDescent="0.25">
      <c r="A1154" t="s">
        <v>883</v>
      </c>
      <c r="B1154">
        <v>51.477665585446204</v>
      </c>
      <c r="C1154">
        <v>818.24790426867003</v>
      </c>
    </row>
    <row r="1155" spans="1:3" x14ac:dyDescent="0.25">
      <c r="A1155" t="s">
        <v>953</v>
      </c>
      <c r="B1155">
        <v>51.555023170617098</v>
      </c>
      <c r="C1155">
        <v>354.051899022398</v>
      </c>
    </row>
    <row r="1156" spans="1:3" x14ac:dyDescent="0.25">
      <c r="A1156" t="s">
        <v>2620</v>
      </c>
      <c r="B1156">
        <v>51.609059241057601</v>
      </c>
      <c r="C1156">
        <v>546.98132481886603</v>
      </c>
    </row>
    <row r="1157" spans="1:3" x14ac:dyDescent="0.25">
      <c r="A1157" t="s">
        <v>2793</v>
      </c>
      <c r="B1157">
        <v>51.666032232711601</v>
      </c>
      <c r="C1157">
        <v>753.04452024499005</v>
      </c>
    </row>
    <row r="1158" spans="1:3" x14ac:dyDescent="0.25">
      <c r="A1158" t="s">
        <v>1778</v>
      </c>
      <c r="B1158">
        <v>51.945758803243301</v>
      </c>
      <c r="C1158">
        <v>604.96987326196199</v>
      </c>
    </row>
    <row r="1159" spans="1:3" x14ac:dyDescent="0.25">
      <c r="A1159" t="s">
        <v>2496</v>
      </c>
      <c r="B1159">
        <v>51.9839699971077</v>
      </c>
      <c r="C1159">
        <v>411.38599999232599</v>
      </c>
    </row>
    <row r="1160" spans="1:3" x14ac:dyDescent="0.25">
      <c r="A1160" t="s">
        <v>1123</v>
      </c>
      <c r="B1160">
        <v>52.4612477391113</v>
      </c>
      <c r="C1160">
        <v>282.80701755198902</v>
      </c>
    </row>
    <row r="1161" spans="1:3" x14ac:dyDescent="0.25">
      <c r="A1161" t="s">
        <v>1480</v>
      </c>
      <c r="B1161">
        <v>52.516763088200101</v>
      </c>
      <c r="C1161">
        <v>185.53042363253499</v>
      </c>
    </row>
    <row r="1162" spans="1:3" x14ac:dyDescent="0.25">
      <c r="A1162" t="s">
        <v>1906</v>
      </c>
      <c r="B1162">
        <v>52.534323576389198</v>
      </c>
      <c r="C1162">
        <v>554.91185595714001</v>
      </c>
    </row>
    <row r="1163" spans="1:3" x14ac:dyDescent="0.25">
      <c r="A1163" t="s">
        <v>2431</v>
      </c>
      <c r="B1163">
        <v>52.573319718369603</v>
      </c>
      <c r="C1163">
        <v>272.48191620536898</v>
      </c>
    </row>
    <row r="1164" spans="1:3" x14ac:dyDescent="0.25">
      <c r="A1164" t="s">
        <v>2823</v>
      </c>
      <c r="B1164">
        <v>52.779186763273302</v>
      </c>
      <c r="C1164">
        <v>228.64066108191901</v>
      </c>
    </row>
    <row r="1165" spans="1:3" x14ac:dyDescent="0.25">
      <c r="A1165" t="s">
        <v>370</v>
      </c>
      <c r="B1165">
        <v>52.805874301351501</v>
      </c>
      <c r="C1165">
        <v>364.23808882190298</v>
      </c>
    </row>
    <row r="1166" spans="1:3" x14ac:dyDescent="0.25">
      <c r="A1166" t="s">
        <v>2835</v>
      </c>
      <c r="B1166">
        <v>52.822334594551002</v>
      </c>
      <c r="C1166">
        <v>434.31435762338202</v>
      </c>
    </row>
    <row r="1167" spans="1:3" x14ac:dyDescent="0.25">
      <c r="A1167" t="s">
        <v>140</v>
      </c>
      <c r="B1167">
        <v>52.904968113640599</v>
      </c>
      <c r="C1167">
        <v>451.21186307305197</v>
      </c>
    </row>
    <row r="1168" spans="1:3" x14ac:dyDescent="0.25">
      <c r="A1168" t="s">
        <v>1578</v>
      </c>
      <c r="B1168">
        <v>53.411538577447303</v>
      </c>
      <c r="C1168">
        <v>370.44492250839698</v>
      </c>
    </row>
    <row r="1169" spans="1:3" x14ac:dyDescent="0.25">
      <c r="A1169" t="s">
        <v>402</v>
      </c>
      <c r="B1169">
        <v>53.545951159406002</v>
      </c>
      <c r="C1169">
        <v>445.17524021537099</v>
      </c>
    </row>
    <row r="1170" spans="1:3" x14ac:dyDescent="0.25">
      <c r="A1170" t="s">
        <v>2309</v>
      </c>
      <c r="B1170">
        <v>53.6046356904316</v>
      </c>
      <c r="C1170">
        <v>266.44735904802002</v>
      </c>
    </row>
    <row r="1171" spans="1:3" x14ac:dyDescent="0.25">
      <c r="A1171" t="s">
        <v>985</v>
      </c>
      <c r="B1171">
        <v>53.784155795667097</v>
      </c>
      <c r="C1171">
        <v>487.18476871314999</v>
      </c>
    </row>
    <row r="1172" spans="1:3" x14ac:dyDescent="0.25">
      <c r="A1172" t="s">
        <v>1612</v>
      </c>
      <c r="B1172">
        <v>53.837296764697399</v>
      </c>
      <c r="C1172">
        <v>353.21735443593701</v>
      </c>
    </row>
    <row r="1173" spans="1:3" x14ac:dyDescent="0.25">
      <c r="A1173" t="s">
        <v>558</v>
      </c>
      <c r="B1173">
        <v>55.015442009719997</v>
      </c>
      <c r="C1173">
        <v>329.22327118666601</v>
      </c>
    </row>
    <row r="1174" spans="1:3" x14ac:dyDescent="0.25">
      <c r="A1174" t="s">
        <v>1219</v>
      </c>
      <c r="B1174">
        <v>55.0730743129646</v>
      </c>
      <c r="C1174">
        <v>495.13877202995297</v>
      </c>
    </row>
    <row r="1175" spans="1:3" x14ac:dyDescent="0.25">
      <c r="A1175" t="s">
        <v>2630</v>
      </c>
      <c r="B1175">
        <v>55.108121709002802</v>
      </c>
      <c r="C1175">
        <v>253.82500369318799</v>
      </c>
    </row>
    <row r="1176" spans="1:3" x14ac:dyDescent="0.25">
      <c r="A1176" t="s">
        <v>3043</v>
      </c>
      <c r="B1176">
        <v>55.248548150654301</v>
      </c>
      <c r="C1176">
        <v>525.89075106382097</v>
      </c>
    </row>
    <row r="1177" spans="1:3" x14ac:dyDescent="0.25">
      <c r="A1177" t="s">
        <v>1399</v>
      </c>
      <c r="B1177">
        <v>55.558982308758502</v>
      </c>
      <c r="C1177">
        <v>117.65897500376001</v>
      </c>
    </row>
    <row r="1178" spans="1:3" x14ac:dyDescent="0.25">
      <c r="A1178" t="s">
        <v>1872</v>
      </c>
      <c r="B1178">
        <v>55.7929302062321</v>
      </c>
      <c r="C1178">
        <v>208.00462611697299</v>
      </c>
    </row>
    <row r="1179" spans="1:3" x14ac:dyDescent="0.25">
      <c r="A1179" t="s">
        <v>1281</v>
      </c>
      <c r="B1179">
        <v>56.203770350626797</v>
      </c>
      <c r="C1179">
        <v>447.11611740328601</v>
      </c>
    </row>
    <row r="1180" spans="1:3" x14ac:dyDescent="0.25">
      <c r="A1180" t="s">
        <v>312</v>
      </c>
      <c r="B1180">
        <v>56.338097148062303</v>
      </c>
      <c r="C1180">
        <v>557.82853731360603</v>
      </c>
    </row>
    <row r="1181" spans="1:3" x14ac:dyDescent="0.25">
      <c r="A1181" t="s">
        <v>2385</v>
      </c>
      <c r="B1181">
        <v>56.345567350164302</v>
      </c>
      <c r="C1181">
        <v>105.748562168399</v>
      </c>
    </row>
    <row r="1182" spans="1:3" x14ac:dyDescent="0.25">
      <c r="A1182" t="s">
        <v>258</v>
      </c>
      <c r="B1182">
        <v>56.509473417721601</v>
      </c>
      <c r="C1182">
        <v>112.303627948333</v>
      </c>
    </row>
    <row r="1183" spans="1:3" x14ac:dyDescent="0.25">
      <c r="A1183" t="s">
        <v>2452</v>
      </c>
      <c r="B1183">
        <v>56.550028952131903</v>
      </c>
      <c r="C1183">
        <v>374.076148476274</v>
      </c>
    </row>
    <row r="1184" spans="1:3" x14ac:dyDescent="0.25">
      <c r="A1184" t="s">
        <v>196</v>
      </c>
      <c r="B1184">
        <v>56.834845610320102</v>
      </c>
      <c r="C1184">
        <v>796.64675046360503</v>
      </c>
    </row>
    <row r="1185" spans="1:3" x14ac:dyDescent="0.25">
      <c r="A1185" t="s">
        <v>1333</v>
      </c>
      <c r="B1185">
        <v>56.876227371400297</v>
      </c>
      <c r="C1185">
        <v>240.95024435785501</v>
      </c>
    </row>
    <row r="1186" spans="1:3" x14ac:dyDescent="0.25">
      <c r="A1186" t="s">
        <v>2490</v>
      </c>
      <c r="B1186">
        <v>57.437836053514502</v>
      </c>
      <c r="C1186">
        <v>417.64427215175402</v>
      </c>
    </row>
    <row r="1187" spans="1:3" x14ac:dyDescent="0.25">
      <c r="A1187" t="s">
        <v>1049</v>
      </c>
      <c r="B1187">
        <v>57.483257522186797</v>
      </c>
      <c r="C1187">
        <v>259.49805766200097</v>
      </c>
    </row>
    <row r="1188" spans="1:3" x14ac:dyDescent="0.25">
      <c r="A1188" t="s">
        <v>1257</v>
      </c>
      <c r="B1188">
        <v>57.632599328993699</v>
      </c>
      <c r="C1188">
        <v>114.81132106550901</v>
      </c>
    </row>
    <row r="1189" spans="1:3" x14ac:dyDescent="0.25">
      <c r="A1189" t="s">
        <v>1133</v>
      </c>
      <c r="B1189">
        <v>57.6358568529389</v>
      </c>
      <c r="C1189">
        <v>337.97508041131402</v>
      </c>
    </row>
    <row r="1190" spans="1:3" x14ac:dyDescent="0.25">
      <c r="A1190" t="s">
        <v>280</v>
      </c>
      <c r="B1190">
        <v>57.742555881400797</v>
      </c>
      <c r="C1190">
        <v>756.31175219793295</v>
      </c>
    </row>
    <row r="1191" spans="1:3" x14ac:dyDescent="0.25">
      <c r="A1191" t="s">
        <v>662</v>
      </c>
      <c r="B1191">
        <v>57.857299775967</v>
      </c>
      <c r="C1191">
        <v>243.00430278560299</v>
      </c>
    </row>
    <row r="1192" spans="1:3" x14ac:dyDescent="0.25">
      <c r="A1192" t="s">
        <v>1367</v>
      </c>
      <c r="B1192">
        <v>57.940399781192603</v>
      </c>
      <c r="C1192">
        <v>494.03490634777802</v>
      </c>
    </row>
    <row r="1193" spans="1:3" x14ac:dyDescent="0.25">
      <c r="A1193" t="s">
        <v>967</v>
      </c>
      <c r="B1193">
        <v>58.007407533511802</v>
      </c>
      <c r="C1193">
        <v>298.34832233692998</v>
      </c>
    </row>
    <row r="1194" spans="1:3" x14ac:dyDescent="0.25">
      <c r="A1194" t="s">
        <v>632</v>
      </c>
      <c r="B1194">
        <v>58.138199003135703</v>
      </c>
      <c r="C1194">
        <v>339.73555134922901</v>
      </c>
    </row>
    <row r="1195" spans="1:3" x14ac:dyDescent="0.25">
      <c r="A1195" t="s">
        <v>1253</v>
      </c>
      <c r="B1195">
        <v>58.190900262219301</v>
      </c>
      <c r="C1195">
        <v>432.77095009882299</v>
      </c>
    </row>
    <row r="1196" spans="1:3" x14ac:dyDescent="0.25">
      <c r="A1196" t="s">
        <v>2628</v>
      </c>
      <c r="B1196">
        <v>58.389867873023498</v>
      </c>
      <c r="C1196">
        <v>579.00399864007795</v>
      </c>
    </row>
    <row r="1197" spans="1:3" x14ac:dyDescent="0.25">
      <c r="A1197" t="s">
        <v>2879</v>
      </c>
      <c r="B1197">
        <v>58.543427907075703</v>
      </c>
      <c r="C1197">
        <v>573.88626781357902</v>
      </c>
    </row>
    <row r="1198" spans="1:3" x14ac:dyDescent="0.25">
      <c r="A1198" t="s">
        <v>2901</v>
      </c>
      <c r="B1198">
        <v>58.561714786664297</v>
      </c>
      <c r="C1198">
        <v>525.430161005998</v>
      </c>
    </row>
    <row r="1199" spans="1:3" x14ac:dyDescent="0.25">
      <c r="A1199" t="s">
        <v>1139</v>
      </c>
      <c r="B1199">
        <v>58.574105155731601</v>
      </c>
      <c r="C1199">
        <v>370.588042589937</v>
      </c>
    </row>
    <row r="1200" spans="1:3" x14ac:dyDescent="0.25">
      <c r="A1200" t="s">
        <v>344</v>
      </c>
      <c r="B1200">
        <v>58.716304828821002</v>
      </c>
      <c r="C1200">
        <v>441.85748890638598</v>
      </c>
    </row>
    <row r="1201" spans="1:3" x14ac:dyDescent="0.25">
      <c r="A1201" t="s">
        <v>586</v>
      </c>
      <c r="B1201">
        <v>59.038305159855</v>
      </c>
      <c r="C1201">
        <v>580.87066711909597</v>
      </c>
    </row>
    <row r="1202" spans="1:3" x14ac:dyDescent="0.25">
      <c r="A1202" t="s">
        <v>925</v>
      </c>
      <c r="B1202">
        <v>59.577871486595399</v>
      </c>
      <c r="C1202">
        <v>342.98765698864901</v>
      </c>
    </row>
    <row r="1203" spans="1:3" x14ac:dyDescent="0.25">
      <c r="A1203" t="s">
        <v>1620</v>
      </c>
      <c r="B1203">
        <v>59.912940309901899</v>
      </c>
      <c r="C1203">
        <v>366.75466572498499</v>
      </c>
    </row>
    <row r="1204" spans="1:3" x14ac:dyDescent="0.25">
      <c r="A1204" t="s">
        <v>696</v>
      </c>
      <c r="B1204">
        <v>59.939205180808301</v>
      </c>
      <c r="C1204">
        <v>250.08967720369199</v>
      </c>
    </row>
    <row r="1205" spans="1:3" x14ac:dyDescent="0.25">
      <c r="A1205" t="s">
        <v>668</v>
      </c>
      <c r="B1205">
        <v>60.012449216925503</v>
      </c>
      <c r="C1205">
        <v>262.93711665857597</v>
      </c>
    </row>
    <row r="1206" spans="1:3" x14ac:dyDescent="0.25">
      <c r="A1206" t="s">
        <v>1205</v>
      </c>
      <c r="B1206">
        <v>60.044074926136503</v>
      </c>
      <c r="C1206">
        <v>584.98293480688801</v>
      </c>
    </row>
    <row r="1207" spans="1:3" x14ac:dyDescent="0.25">
      <c r="A1207" t="s">
        <v>2448</v>
      </c>
      <c r="B1207">
        <v>60.070929807428499</v>
      </c>
      <c r="C1207">
        <v>406.87342417389402</v>
      </c>
    </row>
    <row r="1208" spans="1:3" x14ac:dyDescent="0.25">
      <c r="A1208" t="s">
        <v>2283</v>
      </c>
      <c r="B1208">
        <v>60.256145830127302</v>
      </c>
      <c r="C1208">
        <v>356.05934066924499</v>
      </c>
    </row>
    <row r="1209" spans="1:3" x14ac:dyDescent="0.25">
      <c r="A1209" t="s">
        <v>2764</v>
      </c>
      <c r="B1209">
        <v>60.723607781902999</v>
      </c>
      <c r="C1209">
        <v>761.30237246339698</v>
      </c>
    </row>
    <row r="1210" spans="1:3" x14ac:dyDescent="0.25">
      <c r="A1210" t="s">
        <v>642</v>
      </c>
      <c r="B1210">
        <v>60.885265310501602</v>
      </c>
      <c r="C1210">
        <v>572.45944017690704</v>
      </c>
    </row>
    <row r="1211" spans="1:3" x14ac:dyDescent="0.25">
      <c r="A1211" t="s">
        <v>2165</v>
      </c>
      <c r="B1211">
        <v>60.954524242694397</v>
      </c>
      <c r="C1211">
        <v>348.59333109195501</v>
      </c>
    </row>
    <row r="1212" spans="1:3" x14ac:dyDescent="0.25">
      <c r="A1212" t="s">
        <v>2780</v>
      </c>
      <c r="B1212">
        <v>61.182223262514398</v>
      </c>
      <c r="C1212">
        <v>477.46574213756202</v>
      </c>
    </row>
    <row r="1213" spans="1:3" x14ac:dyDescent="0.25">
      <c r="A1213" t="s">
        <v>2373</v>
      </c>
      <c r="B1213">
        <v>61.446300601759603</v>
      </c>
      <c r="C1213">
        <v>609.49791917473203</v>
      </c>
    </row>
    <row r="1214" spans="1:3" x14ac:dyDescent="0.25">
      <c r="A1214" t="s">
        <v>971</v>
      </c>
      <c r="B1214">
        <v>61.745298428130198</v>
      </c>
      <c r="C1214">
        <v>502.07674972374099</v>
      </c>
    </row>
    <row r="1215" spans="1:3" x14ac:dyDescent="0.25">
      <c r="A1215" t="s">
        <v>1706</v>
      </c>
      <c r="B1215">
        <v>62.1647485904031</v>
      </c>
      <c r="C1215">
        <v>493.60525750362399</v>
      </c>
    </row>
    <row r="1216" spans="1:3" x14ac:dyDescent="0.25">
      <c r="A1216" t="s">
        <v>2175</v>
      </c>
      <c r="B1216">
        <v>62.516304729723998</v>
      </c>
      <c r="C1216">
        <v>329.531845104963</v>
      </c>
    </row>
    <row r="1217" spans="1:3" x14ac:dyDescent="0.25">
      <c r="A1217" t="s">
        <v>256</v>
      </c>
      <c r="B1217">
        <v>62.768411928007403</v>
      </c>
      <c r="C1217">
        <v>434.49357046823002</v>
      </c>
    </row>
    <row r="1218" spans="1:3" x14ac:dyDescent="0.25">
      <c r="A1218" t="s">
        <v>943</v>
      </c>
      <c r="B1218">
        <v>62.979527697039899</v>
      </c>
      <c r="C1218">
        <v>389.87969765548002</v>
      </c>
    </row>
    <row r="1219" spans="1:3" x14ac:dyDescent="0.25">
      <c r="A1219" t="s">
        <v>1850</v>
      </c>
      <c r="B1219">
        <v>63.006930722874202</v>
      </c>
      <c r="C1219">
        <v>578.32189844725997</v>
      </c>
    </row>
    <row r="1220" spans="1:3" x14ac:dyDescent="0.25">
      <c r="A1220" t="s">
        <v>674</v>
      </c>
      <c r="B1220">
        <v>63.146495999335102</v>
      </c>
      <c r="C1220">
        <v>170.85875872250301</v>
      </c>
    </row>
    <row r="1221" spans="1:3" x14ac:dyDescent="0.25">
      <c r="A1221" t="s">
        <v>3056</v>
      </c>
      <c r="B1221">
        <v>63.778960700900001</v>
      </c>
      <c r="C1221">
        <v>471.83566000595403</v>
      </c>
    </row>
    <row r="1222" spans="1:3" x14ac:dyDescent="0.25">
      <c r="A1222" t="s">
        <v>989</v>
      </c>
      <c r="B1222">
        <v>63.835655134260598</v>
      </c>
      <c r="C1222">
        <v>343.38500210018202</v>
      </c>
    </row>
    <row r="1223" spans="1:3" x14ac:dyDescent="0.25">
      <c r="A1223" t="s">
        <v>1109</v>
      </c>
      <c r="B1223">
        <v>63.890722025883797</v>
      </c>
      <c r="C1223">
        <v>520.50946104864602</v>
      </c>
    </row>
    <row r="1224" spans="1:3" x14ac:dyDescent="0.25">
      <c r="A1224" t="s">
        <v>1117</v>
      </c>
      <c r="B1224">
        <v>63.956410772350097</v>
      </c>
      <c r="C1224">
        <v>333.056930492633</v>
      </c>
    </row>
    <row r="1225" spans="1:3" x14ac:dyDescent="0.25">
      <c r="A1225" t="s">
        <v>106</v>
      </c>
      <c r="B1225">
        <v>63.990031413061303</v>
      </c>
      <c r="C1225">
        <v>163.13395636785299</v>
      </c>
    </row>
    <row r="1226" spans="1:3" x14ac:dyDescent="0.25">
      <c r="A1226" t="s">
        <v>1440</v>
      </c>
      <c r="B1226">
        <v>64.223027201532901</v>
      </c>
      <c r="C1226">
        <v>492.88809488520099</v>
      </c>
    </row>
    <row r="1227" spans="1:3" x14ac:dyDescent="0.25">
      <c r="A1227" t="s">
        <v>1217</v>
      </c>
      <c r="B1227">
        <v>64.303795840717996</v>
      </c>
      <c r="C1227">
        <v>387.65681283088298</v>
      </c>
    </row>
    <row r="1228" spans="1:3" x14ac:dyDescent="0.25">
      <c r="A1228" t="s">
        <v>300</v>
      </c>
      <c r="B1228">
        <v>64.548609096266205</v>
      </c>
      <c r="C1228">
        <v>491.60276601106102</v>
      </c>
    </row>
    <row r="1229" spans="1:3" x14ac:dyDescent="0.25">
      <c r="A1229" t="s">
        <v>692</v>
      </c>
      <c r="B1229">
        <v>64.680660552895603</v>
      </c>
      <c r="C1229">
        <v>351.42131457090801</v>
      </c>
    </row>
    <row r="1230" spans="1:3" x14ac:dyDescent="0.25">
      <c r="A1230" t="s">
        <v>979</v>
      </c>
      <c r="B1230">
        <v>64.728495342934394</v>
      </c>
      <c r="C1230">
        <v>399.04925764234201</v>
      </c>
    </row>
    <row r="1231" spans="1:3" x14ac:dyDescent="0.25">
      <c r="A1231" t="s">
        <v>1692</v>
      </c>
      <c r="B1231">
        <v>64.923459263998197</v>
      </c>
      <c r="C1231">
        <v>715.50602461570998</v>
      </c>
    </row>
    <row r="1232" spans="1:3" x14ac:dyDescent="0.25">
      <c r="A1232" t="s">
        <v>2917</v>
      </c>
      <c r="B1232">
        <v>65.090232634951803</v>
      </c>
      <c r="C1232">
        <v>368.16833548884102</v>
      </c>
    </row>
    <row r="1233" spans="1:3" x14ac:dyDescent="0.25">
      <c r="A1233" t="s">
        <v>787</v>
      </c>
      <c r="B1233">
        <v>65.283763933139497</v>
      </c>
      <c r="C1233">
        <v>236.69775143206601</v>
      </c>
    </row>
    <row r="1234" spans="1:3" x14ac:dyDescent="0.25">
      <c r="A1234" t="s">
        <v>841</v>
      </c>
      <c r="B1234">
        <v>65.307745831051307</v>
      </c>
      <c r="C1234">
        <v>133.86948914765</v>
      </c>
    </row>
    <row r="1235" spans="1:3" x14ac:dyDescent="0.25">
      <c r="A1235" t="s">
        <v>2055</v>
      </c>
      <c r="B1235">
        <v>65.709043155746201</v>
      </c>
      <c r="C1235">
        <v>459.67695456165302</v>
      </c>
    </row>
    <row r="1236" spans="1:3" x14ac:dyDescent="0.25">
      <c r="A1236" t="s">
        <v>2329</v>
      </c>
      <c r="B1236">
        <v>65.781363320805994</v>
      </c>
      <c r="C1236">
        <v>141.05629219513</v>
      </c>
    </row>
    <row r="1237" spans="1:3" x14ac:dyDescent="0.25">
      <c r="A1237" t="s">
        <v>714</v>
      </c>
      <c r="B1237">
        <v>65.9846387980907</v>
      </c>
      <c r="C1237">
        <v>476.55592534031501</v>
      </c>
    </row>
    <row r="1238" spans="1:3" x14ac:dyDescent="0.25">
      <c r="A1238" t="s">
        <v>2295</v>
      </c>
      <c r="B1238">
        <v>66.105436908482204</v>
      </c>
      <c r="C1238">
        <v>317.193234495323</v>
      </c>
    </row>
    <row r="1239" spans="1:3" x14ac:dyDescent="0.25">
      <c r="A1239" t="s">
        <v>2181</v>
      </c>
      <c r="B1239">
        <v>66.201575449607105</v>
      </c>
      <c r="C1239">
        <v>564.15262049090904</v>
      </c>
    </row>
    <row r="1240" spans="1:3" x14ac:dyDescent="0.25">
      <c r="A1240" t="s">
        <v>2141</v>
      </c>
      <c r="B1240">
        <v>66.468037431333897</v>
      </c>
      <c r="C1240">
        <v>314.01722327053301</v>
      </c>
    </row>
    <row r="1241" spans="1:3" x14ac:dyDescent="0.25">
      <c r="A1241" t="s">
        <v>2139</v>
      </c>
      <c r="B1241">
        <v>66.590204135631495</v>
      </c>
      <c r="C1241">
        <v>338.95773602939801</v>
      </c>
    </row>
    <row r="1242" spans="1:3" x14ac:dyDescent="0.25">
      <c r="A1242" t="s">
        <v>1622</v>
      </c>
      <c r="B1242">
        <v>66.748146812020707</v>
      </c>
      <c r="C1242">
        <v>454.28360419792699</v>
      </c>
    </row>
    <row r="1243" spans="1:3" x14ac:dyDescent="0.25">
      <c r="A1243" t="s">
        <v>118</v>
      </c>
      <c r="B1243">
        <v>67.197977141897397</v>
      </c>
      <c r="C1243">
        <v>518.48566220919997</v>
      </c>
    </row>
    <row r="1244" spans="1:3" x14ac:dyDescent="0.25">
      <c r="A1244" t="s">
        <v>2009</v>
      </c>
      <c r="B1244">
        <v>67.239997304476006</v>
      </c>
      <c r="C1244">
        <v>180.13731781824399</v>
      </c>
    </row>
    <row r="1245" spans="1:3" x14ac:dyDescent="0.25">
      <c r="A1245" t="s">
        <v>236</v>
      </c>
      <c r="B1245">
        <v>67.404139217920601</v>
      </c>
      <c r="C1245">
        <v>174.31238430110699</v>
      </c>
    </row>
    <row r="1246" spans="1:3" x14ac:dyDescent="0.25">
      <c r="A1246" t="s">
        <v>2073</v>
      </c>
      <c r="B1246">
        <v>67.483606936196907</v>
      </c>
      <c r="C1246">
        <v>365.587458178416</v>
      </c>
    </row>
    <row r="1247" spans="1:3" x14ac:dyDescent="0.25">
      <c r="A1247" t="s">
        <v>3130</v>
      </c>
      <c r="B1247">
        <v>67.511722133474706</v>
      </c>
      <c r="C1247">
        <v>611.505537094381</v>
      </c>
    </row>
    <row r="1248" spans="1:3" x14ac:dyDescent="0.25">
      <c r="A1248" t="s">
        <v>2558</v>
      </c>
      <c r="B1248">
        <v>68.061036497647606</v>
      </c>
      <c r="C1248">
        <v>239.40608571359201</v>
      </c>
    </row>
    <row r="1249" spans="1:3" x14ac:dyDescent="0.25">
      <c r="A1249" t="s">
        <v>2440</v>
      </c>
      <c r="B1249">
        <v>68.312805774576503</v>
      </c>
      <c r="C1249">
        <v>547.33019389872504</v>
      </c>
    </row>
    <row r="1250" spans="1:3" x14ac:dyDescent="0.25">
      <c r="A1250" t="s">
        <v>1710</v>
      </c>
      <c r="B1250">
        <v>68.352563220852105</v>
      </c>
      <c r="C1250">
        <v>1481.23046530697</v>
      </c>
    </row>
    <row r="1251" spans="1:3" x14ac:dyDescent="0.25">
      <c r="A1251" t="s">
        <v>1929</v>
      </c>
      <c r="B1251">
        <v>68.434740217044407</v>
      </c>
      <c r="C1251">
        <v>1137.8258170739</v>
      </c>
    </row>
    <row r="1252" spans="1:3" x14ac:dyDescent="0.25">
      <c r="A1252" t="s">
        <v>2277</v>
      </c>
      <c r="B1252">
        <v>68.476677999902293</v>
      </c>
      <c r="C1252">
        <v>299.05972007085802</v>
      </c>
    </row>
    <row r="1253" spans="1:3" x14ac:dyDescent="0.25">
      <c r="A1253" t="s">
        <v>1199</v>
      </c>
      <c r="B1253">
        <v>68.621747685706893</v>
      </c>
      <c r="C1253">
        <v>535.04874226498998</v>
      </c>
    </row>
    <row r="1254" spans="1:3" x14ac:dyDescent="0.25">
      <c r="A1254" t="s">
        <v>1947</v>
      </c>
      <c r="B1254">
        <v>68.750970902080098</v>
      </c>
      <c r="C1254">
        <v>789.29970710154703</v>
      </c>
    </row>
    <row r="1255" spans="1:3" x14ac:dyDescent="0.25">
      <c r="A1255" t="s">
        <v>2157</v>
      </c>
      <c r="B1255">
        <v>69.633770851708306</v>
      </c>
      <c r="C1255">
        <v>1298.3775731118101</v>
      </c>
    </row>
    <row r="1256" spans="1:3" x14ac:dyDescent="0.25">
      <c r="A1256" t="s">
        <v>1093</v>
      </c>
      <c r="B1256">
        <v>69.705792903809197</v>
      </c>
      <c r="C1256">
        <v>174.138892071849</v>
      </c>
    </row>
    <row r="1257" spans="1:3" x14ac:dyDescent="0.25">
      <c r="A1257" t="s">
        <v>2578</v>
      </c>
      <c r="B1257">
        <v>69.7351687890107</v>
      </c>
      <c r="C1257">
        <v>653.02514867598802</v>
      </c>
    </row>
    <row r="1258" spans="1:3" x14ac:dyDescent="0.25">
      <c r="A1258" t="s">
        <v>1115</v>
      </c>
      <c r="B1258">
        <v>70.135000734479405</v>
      </c>
      <c r="C1258">
        <v>290.33483563854799</v>
      </c>
    </row>
    <row r="1259" spans="1:3" x14ac:dyDescent="0.25">
      <c r="A1259" t="s">
        <v>981</v>
      </c>
      <c r="B1259">
        <v>70.285549683174693</v>
      </c>
      <c r="C1259">
        <v>431.862905768948</v>
      </c>
    </row>
    <row r="1260" spans="1:3" x14ac:dyDescent="0.25">
      <c r="A1260" t="s">
        <v>572</v>
      </c>
      <c r="B1260">
        <v>70.680391694794295</v>
      </c>
      <c r="C1260">
        <v>323.131001175824</v>
      </c>
    </row>
    <row r="1261" spans="1:3" x14ac:dyDescent="0.25">
      <c r="A1261" t="s">
        <v>2732</v>
      </c>
      <c r="B1261">
        <v>70.681741155357898</v>
      </c>
      <c r="C1261">
        <v>229.213794571546</v>
      </c>
    </row>
    <row r="1262" spans="1:3" x14ac:dyDescent="0.25">
      <c r="A1262" t="s">
        <v>957</v>
      </c>
      <c r="B1262">
        <v>71.030488418863399</v>
      </c>
      <c r="C1262">
        <v>380.12048316952303</v>
      </c>
    </row>
    <row r="1263" spans="1:3" x14ac:dyDescent="0.25">
      <c r="A1263" t="s">
        <v>648</v>
      </c>
      <c r="B1263">
        <v>71.125450496549803</v>
      </c>
      <c r="C1263">
        <v>334.246183313519</v>
      </c>
    </row>
    <row r="1264" spans="1:3" x14ac:dyDescent="0.25">
      <c r="A1264" t="s">
        <v>2462</v>
      </c>
      <c r="B1264">
        <v>71.1842979094708</v>
      </c>
      <c r="C1264">
        <v>197.99774468456999</v>
      </c>
    </row>
    <row r="1265" spans="1:3" x14ac:dyDescent="0.25">
      <c r="A1265" t="s">
        <v>1265</v>
      </c>
      <c r="B1265">
        <v>71.293272948809303</v>
      </c>
      <c r="C1265">
        <v>301.32441065418197</v>
      </c>
    </row>
    <row r="1266" spans="1:3" x14ac:dyDescent="0.25">
      <c r="A1266" t="s">
        <v>1135</v>
      </c>
      <c r="B1266">
        <v>71.447193917860105</v>
      </c>
      <c r="C1266">
        <v>180.354327524833</v>
      </c>
    </row>
    <row r="1267" spans="1:3" x14ac:dyDescent="0.25">
      <c r="A1267" t="s">
        <v>1558</v>
      </c>
      <c r="B1267">
        <v>71.491324865676006</v>
      </c>
      <c r="C1267">
        <v>585.52200936057602</v>
      </c>
    </row>
    <row r="1268" spans="1:3" x14ac:dyDescent="0.25">
      <c r="A1268" t="s">
        <v>1131</v>
      </c>
      <c r="B1268">
        <v>71.652492820577706</v>
      </c>
      <c r="C1268">
        <v>349.468849389458</v>
      </c>
    </row>
    <row r="1269" spans="1:3" x14ac:dyDescent="0.25">
      <c r="A1269" t="s">
        <v>124</v>
      </c>
      <c r="B1269">
        <v>72.641361649344503</v>
      </c>
      <c r="C1269">
        <v>715.34594739520605</v>
      </c>
    </row>
    <row r="1270" spans="1:3" x14ac:dyDescent="0.25">
      <c r="A1270" t="s">
        <v>1329</v>
      </c>
      <c r="B1270">
        <v>72.766755913848698</v>
      </c>
      <c r="C1270">
        <v>190.25121345352099</v>
      </c>
    </row>
    <row r="1271" spans="1:3" x14ac:dyDescent="0.25">
      <c r="A1271" t="s">
        <v>2365</v>
      </c>
      <c r="B1271">
        <v>73.070923417191594</v>
      </c>
      <c r="C1271">
        <v>546.18889976298499</v>
      </c>
    </row>
    <row r="1272" spans="1:3" x14ac:dyDescent="0.25">
      <c r="A1272" t="s">
        <v>1690</v>
      </c>
      <c r="B1272">
        <v>73.286919327387395</v>
      </c>
      <c r="C1272">
        <v>256.23472824930298</v>
      </c>
    </row>
    <row r="1273" spans="1:3" x14ac:dyDescent="0.25">
      <c r="A1273" t="s">
        <v>590</v>
      </c>
      <c r="B1273">
        <v>73.333703928982601</v>
      </c>
      <c r="C1273">
        <v>310.07576445533499</v>
      </c>
    </row>
    <row r="1274" spans="1:3" x14ac:dyDescent="0.25">
      <c r="A1274" t="s">
        <v>933</v>
      </c>
      <c r="B1274">
        <v>73.525377284010702</v>
      </c>
      <c r="C1274">
        <v>571.321841095183</v>
      </c>
    </row>
    <row r="1275" spans="1:3" x14ac:dyDescent="0.25">
      <c r="A1275" t="s">
        <v>2911</v>
      </c>
      <c r="B1275">
        <v>73.653814138089402</v>
      </c>
      <c r="C1275">
        <v>599.42611946893203</v>
      </c>
    </row>
    <row r="1276" spans="1:3" x14ac:dyDescent="0.25">
      <c r="A1276" t="s">
        <v>1359</v>
      </c>
      <c r="B1276">
        <v>73.837516699205295</v>
      </c>
      <c r="C1276">
        <v>417.06133152679598</v>
      </c>
    </row>
    <row r="1277" spans="1:3" x14ac:dyDescent="0.25">
      <c r="A1277" t="s">
        <v>2303</v>
      </c>
      <c r="B1277">
        <v>73.930929702343704</v>
      </c>
      <c r="C1277">
        <v>341.10028836073099</v>
      </c>
    </row>
    <row r="1278" spans="1:3" x14ac:dyDescent="0.25">
      <c r="A1278" t="s">
        <v>2345</v>
      </c>
      <c r="B1278">
        <v>74.006130767090298</v>
      </c>
      <c r="C1278">
        <v>233.496440699857</v>
      </c>
    </row>
    <row r="1279" spans="1:3" x14ac:dyDescent="0.25">
      <c r="A1279" t="s">
        <v>1818</v>
      </c>
      <c r="B1279">
        <v>74.404734212947005</v>
      </c>
      <c r="C1279">
        <v>791.11195316216003</v>
      </c>
    </row>
    <row r="1280" spans="1:3" x14ac:dyDescent="0.25">
      <c r="A1280" t="s">
        <v>1147</v>
      </c>
      <c r="B1280">
        <v>74.572030975579494</v>
      </c>
      <c r="C1280">
        <v>493.83892662797598</v>
      </c>
    </row>
    <row r="1281" spans="1:3" x14ac:dyDescent="0.25">
      <c r="A1281" t="s">
        <v>2460</v>
      </c>
      <c r="B1281">
        <v>74.791463202287702</v>
      </c>
      <c r="C1281">
        <v>337.09935830281398</v>
      </c>
    </row>
    <row r="1282" spans="1:3" x14ac:dyDescent="0.25">
      <c r="A1282" t="s">
        <v>2209</v>
      </c>
      <c r="B1282">
        <v>74.8666367128762</v>
      </c>
      <c r="C1282">
        <v>480.01833207630199</v>
      </c>
    </row>
    <row r="1283" spans="1:3" x14ac:dyDescent="0.25">
      <c r="A1283" t="s">
        <v>302</v>
      </c>
      <c r="B1283">
        <v>75.108617618256901</v>
      </c>
      <c r="C1283">
        <v>441.25869882399599</v>
      </c>
    </row>
    <row r="1284" spans="1:3" x14ac:dyDescent="0.25">
      <c r="A1284" t="s">
        <v>580</v>
      </c>
      <c r="B1284">
        <v>75.273945952511497</v>
      </c>
      <c r="C1284">
        <v>548.67552888613102</v>
      </c>
    </row>
    <row r="1285" spans="1:3" x14ac:dyDescent="0.25">
      <c r="A1285" t="s">
        <v>1251</v>
      </c>
      <c r="B1285">
        <v>75.338233517149305</v>
      </c>
      <c r="C1285">
        <v>367.51534300138201</v>
      </c>
    </row>
    <row r="1286" spans="1:3" x14ac:dyDescent="0.25">
      <c r="A1286" t="s">
        <v>1297</v>
      </c>
      <c r="B1286">
        <v>75.383401024928403</v>
      </c>
      <c r="C1286">
        <v>194.56495881231001</v>
      </c>
    </row>
    <row r="1287" spans="1:3" x14ac:dyDescent="0.25">
      <c r="A1287" t="s">
        <v>2405</v>
      </c>
      <c r="B1287">
        <v>75.396322014175198</v>
      </c>
      <c r="C1287">
        <v>437.16964949346402</v>
      </c>
    </row>
    <row r="1288" spans="1:3" x14ac:dyDescent="0.25">
      <c r="A1288" t="s">
        <v>2456</v>
      </c>
      <c r="B1288">
        <v>75.970595057490101</v>
      </c>
      <c r="C1288">
        <v>283.877806584258</v>
      </c>
    </row>
    <row r="1289" spans="1:3" x14ac:dyDescent="0.25">
      <c r="A1289" t="s">
        <v>1983</v>
      </c>
      <c r="B1289">
        <v>76.118426896831096</v>
      </c>
      <c r="C1289">
        <v>173.70033984333099</v>
      </c>
    </row>
    <row r="1290" spans="1:3" x14ac:dyDescent="0.25">
      <c r="A1290" t="s">
        <v>554</v>
      </c>
      <c r="B1290">
        <v>77.256427812813001</v>
      </c>
      <c r="C1290">
        <v>203.59096096433899</v>
      </c>
    </row>
    <row r="1291" spans="1:3" x14ac:dyDescent="0.25">
      <c r="A1291" t="s">
        <v>2492</v>
      </c>
      <c r="B1291">
        <v>77.279978803188996</v>
      </c>
      <c r="C1291">
        <v>413.59169834251401</v>
      </c>
    </row>
    <row r="1292" spans="1:3" x14ac:dyDescent="0.25">
      <c r="A1292" t="s">
        <v>791</v>
      </c>
      <c r="B1292">
        <v>77.2850307613338</v>
      </c>
      <c r="C1292">
        <v>327.55868887623598</v>
      </c>
    </row>
    <row r="1293" spans="1:3" x14ac:dyDescent="0.25">
      <c r="A1293" t="s">
        <v>955</v>
      </c>
      <c r="B1293">
        <v>77.752774925169703</v>
      </c>
      <c r="C1293">
        <v>432.34394999471698</v>
      </c>
    </row>
    <row r="1294" spans="1:3" x14ac:dyDescent="0.25">
      <c r="A1294" t="s">
        <v>78</v>
      </c>
      <c r="B1294">
        <v>77.771083221354701</v>
      </c>
      <c r="C1294">
        <v>431.74385581449002</v>
      </c>
    </row>
    <row r="1295" spans="1:3" x14ac:dyDescent="0.25">
      <c r="A1295" t="s">
        <v>1708</v>
      </c>
      <c r="B1295">
        <v>77.845921044862294</v>
      </c>
      <c r="C1295">
        <v>394.41632952020598</v>
      </c>
    </row>
    <row r="1296" spans="1:3" x14ac:dyDescent="0.25">
      <c r="A1296" t="s">
        <v>70</v>
      </c>
      <c r="B1296">
        <v>78.098778357816201</v>
      </c>
      <c r="C1296">
        <v>795.65975373424703</v>
      </c>
    </row>
    <row r="1297" spans="1:3" x14ac:dyDescent="0.25">
      <c r="A1297" t="s">
        <v>2686</v>
      </c>
      <c r="B1297">
        <v>78.1460944020629</v>
      </c>
      <c r="C1297">
        <v>290.44744836954101</v>
      </c>
    </row>
    <row r="1298" spans="1:3" x14ac:dyDescent="0.25">
      <c r="A1298" t="s">
        <v>332</v>
      </c>
      <c r="B1298">
        <v>78.900606589201999</v>
      </c>
      <c r="C1298">
        <v>226.45491617924699</v>
      </c>
    </row>
    <row r="1299" spans="1:3" x14ac:dyDescent="0.25">
      <c r="A1299" t="s">
        <v>360</v>
      </c>
      <c r="B1299">
        <v>78.981841004533507</v>
      </c>
      <c r="C1299">
        <v>355.55562204968697</v>
      </c>
    </row>
    <row r="1300" spans="1:3" x14ac:dyDescent="0.25">
      <c r="A1300" t="s">
        <v>1311</v>
      </c>
      <c r="B1300">
        <v>79.090766823120504</v>
      </c>
      <c r="C1300">
        <v>539.10749677476701</v>
      </c>
    </row>
    <row r="1301" spans="1:3" x14ac:dyDescent="0.25">
      <c r="A1301" t="s">
        <v>214</v>
      </c>
      <c r="B1301">
        <v>80.111227386269206</v>
      </c>
      <c r="C1301">
        <v>605.56964621366205</v>
      </c>
    </row>
    <row r="1302" spans="1:3" x14ac:dyDescent="0.25">
      <c r="A1302" t="s">
        <v>779</v>
      </c>
      <c r="B1302">
        <v>80.122691323365999</v>
      </c>
      <c r="C1302">
        <v>372.78132403466702</v>
      </c>
    </row>
    <row r="1303" spans="1:3" x14ac:dyDescent="0.25">
      <c r="A1303" t="s">
        <v>1369</v>
      </c>
      <c r="B1303">
        <v>81.5205540310412</v>
      </c>
      <c r="C1303">
        <v>549.80800726105099</v>
      </c>
    </row>
    <row r="1304" spans="1:3" x14ac:dyDescent="0.25">
      <c r="A1304" t="s">
        <v>694</v>
      </c>
      <c r="B1304">
        <v>81.603406924960794</v>
      </c>
      <c r="C1304">
        <v>475.74658132625501</v>
      </c>
    </row>
    <row r="1305" spans="1:3" x14ac:dyDescent="0.25">
      <c r="A1305" t="s">
        <v>178</v>
      </c>
      <c r="B1305">
        <v>81.909568075201193</v>
      </c>
      <c r="C1305">
        <v>476.83853908673598</v>
      </c>
    </row>
    <row r="1306" spans="1:3" x14ac:dyDescent="0.25">
      <c r="A1306" t="s">
        <v>1608</v>
      </c>
      <c r="B1306">
        <v>81.916481648970304</v>
      </c>
      <c r="C1306">
        <v>527.72297515702905</v>
      </c>
    </row>
    <row r="1307" spans="1:3" x14ac:dyDescent="0.25">
      <c r="A1307" t="s">
        <v>917</v>
      </c>
      <c r="B1307">
        <v>82.185432513581006</v>
      </c>
      <c r="C1307">
        <v>344.40727684251101</v>
      </c>
    </row>
    <row r="1308" spans="1:3" x14ac:dyDescent="0.25">
      <c r="A1308" t="s">
        <v>2069</v>
      </c>
      <c r="B1308">
        <v>82.370855785420304</v>
      </c>
      <c r="C1308">
        <v>419.25330147010197</v>
      </c>
    </row>
    <row r="1309" spans="1:3" x14ac:dyDescent="0.25">
      <c r="A1309" t="s">
        <v>2554</v>
      </c>
      <c r="B1309">
        <v>83.586380126607295</v>
      </c>
      <c r="C1309">
        <v>361.08751120950001</v>
      </c>
    </row>
    <row r="1310" spans="1:3" x14ac:dyDescent="0.25">
      <c r="A1310" t="s">
        <v>358</v>
      </c>
      <c r="B1310">
        <v>83.689625221764103</v>
      </c>
      <c r="C1310">
        <v>544.12811191629999</v>
      </c>
    </row>
    <row r="1311" spans="1:3" x14ac:dyDescent="0.25">
      <c r="A1311" t="s">
        <v>2626</v>
      </c>
      <c r="B1311">
        <v>83.867583448464501</v>
      </c>
      <c r="C1311">
        <v>461.97097398450398</v>
      </c>
    </row>
    <row r="1312" spans="1:3" x14ac:dyDescent="0.25">
      <c r="A1312" t="s">
        <v>2353</v>
      </c>
      <c r="B1312">
        <v>83.923589805809797</v>
      </c>
      <c r="C1312">
        <v>326.17791712233901</v>
      </c>
    </row>
    <row r="1313" spans="1:3" x14ac:dyDescent="0.25">
      <c r="A1313" t="s">
        <v>1860</v>
      </c>
      <c r="B1313">
        <v>84.271599662425402</v>
      </c>
      <c r="C1313">
        <v>327.42985766072701</v>
      </c>
    </row>
    <row r="1314" spans="1:3" x14ac:dyDescent="0.25">
      <c r="A1314" t="s">
        <v>174</v>
      </c>
      <c r="B1314">
        <v>85.362880609134294</v>
      </c>
      <c r="C1314">
        <v>855.55048998105406</v>
      </c>
    </row>
    <row r="1315" spans="1:3" x14ac:dyDescent="0.25">
      <c r="A1315" t="s">
        <v>1700</v>
      </c>
      <c r="B1315">
        <v>85.767110275114703</v>
      </c>
      <c r="C1315">
        <v>974.26255720678398</v>
      </c>
    </row>
    <row r="1316" spans="1:3" x14ac:dyDescent="0.25">
      <c r="A1316" t="s">
        <v>180</v>
      </c>
      <c r="B1316">
        <v>86.682764343022299</v>
      </c>
      <c r="C1316">
        <v>842.488155675229</v>
      </c>
    </row>
    <row r="1317" spans="1:3" x14ac:dyDescent="0.25">
      <c r="A1317" t="s">
        <v>2700</v>
      </c>
      <c r="B1317">
        <v>86.733849098851906</v>
      </c>
      <c r="C1317">
        <v>419.37899828771799</v>
      </c>
    </row>
    <row r="1318" spans="1:3" x14ac:dyDescent="0.25">
      <c r="A1318" t="s">
        <v>2049</v>
      </c>
      <c r="B1318">
        <v>86.911472306181594</v>
      </c>
      <c r="C1318">
        <v>450.93619136507198</v>
      </c>
    </row>
    <row r="1319" spans="1:3" x14ac:dyDescent="0.25">
      <c r="A1319" t="s">
        <v>1880</v>
      </c>
      <c r="B1319">
        <v>87.170814139277894</v>
      </c>
      <c r="C1319">
        <v>369.75729060328501</v>
      </c>
    </row>
    <row r="1320" spans="1:3" x14ac:dyDescent="0.25">
      <c r="A1320" t="s">
        <v>2171</v>
      </c>
      <c r="B1320">
        <v>87.300902212079706</v>
      </c>
      <c r="C1320">
        <v>707.36349579137698</v>
      </c>
    </row>
    <row r="1321" spans="1:3" x14ac:dyDescent="0.25">
      <c r="A1321" t="s">
        <v>434</v>
      </c>
      <c r="B1321">
        <v>87.395929484468198</v>
      </c>
      <c r="C1321">
        <v>516.86458215845198</v>
      </c>
    </row>
    <row r="1322" spans="1:3" x14ac:dyDescent="0.25">
      <c r="A1322" t="s">
        <v>2231</v>
      </c>
      <c r="B1322">
        <v>87.755477020668096</v>
      </c>
      <c r="C1322">
        <v>1051.5673310772499</v>
      </c>
    </row>
    <row r="1323" spans="1:3" x14ac:dyDescent="0.25">
      <c r="A1323" t="s">
        <v>1604</v>
      </c>
      <c r="B1323">
        <v>87.804426704721294</v>
      </c>
      <c r="C1323">
        <v>280.06889974145901</v>
      </c>
    </row>
    <row r="1324" spans="1:3" x14ac:dyDescent="0.25">
      <c r="A1324" t="s">
        <v>2371</v>
      </c>
      <c r="B1324">
        <v>88.182582760921207</v>
      </c>
      <c r="C1324">
        <v>258.826942846355</v>
      </c>
    </row>
    <row r="1325" spans="1:3" x14ac:dyDescent="0.25">
      <c r="A1325" t="s">
        <v>1385</v>
      </c>
      <c r="B1325">
        <v>88.758766964505199</v>
      </c>
      <c r="C1325">
        <v>924.57234091873602</v>
      </c>
    </row>
    <row r="1326" spans="1:3" x14ac:dyDescent="0.25">
      <c r="A1326" t="s">
        <v>1935</v>
      </c>
      <c r="B1326">
        <v>88.791930950202598</v>
      </c>
      <c r="C1326">
        <v>497.123707523549</v>
      </c>
    </row>
    <row r="1327" spans="1:3" x14ac:dyDescent="0.25">
      <c r="A1327" t="s">
        <v>1584</v>
      </c>
      <c r="B1327">
        <v>89.275381643536306</v>
      </c>
      <c r="C1327">
        <v>2174.6919592304198</v>
      </c>
    </row>
    <row r="1328" spans="1:3" x14ac:dyDescent="0.25">
      <c r="A1328" t="s">
        <v>2383</v>
      </c>
      <c r="B1328">
        <v>89.577042709965198</v>
      </c>
      <c r="C1328">
        <v>639.13597864228097</v>
      </c>
    </row>
    <row r="1329" spans="1:3" x14ac:dyDescent="0.25">
      <c r="A1329" t="s">
        <v>1957</v>
      </c>
      <c r="B1329">
        <v>90.974360776225694</v>
      </c>
      <c r="C1329">
        <v>290.07601774106899</v>
      </c>
    </row>
    <row r="1330" spans="1:3" x14ac:dyDescent="0.25">
      <c r="A1330" t="s">
        <v>2195</v>
      </c>
      <c r="B1330">
        <v>91.436040034196694</v>
      </c>
      <c r="C1330">
        <v>257.61041729434902</v>
      </c>
    </row>
    <row r="1331" spans="1:3" x14ac:dyDescent="0.25">
      <c r="A1331" t="s">
        <v>1403</v>
      </c>
      <c r="B1331">
        <v>92.208284777873004</v>
      </c>
      <c r="C1331">
        <v>252.47826882681599</v>
      </c>
    </row>
    <row r="1332" spans="1:3" x14ac:dyDescent="0.25">
      <c r="A1332" t="s">
        <v>2614</v>
      </c>
      <c r="B1332">
        <v>92.257939750011502</v>
      </c>
      <c r="C1332">
        <v>806.85690262556204</v>
      </c>
    </row>
    <row r="1333" spans="1:3" x14ac:dyDescent="0.25">
      <c r="A1333" t="s">
        <v>1506</v>
      </c>
      <c r="B1333">
        <v>92.343469958638806</v>
      </c>
      <c r="C1333">
        <v>404.17578636626001</v>
      </c>
    </row>
    <row r="1334" spans="1:3" x14ac:dyDescent="0.25">
      <c r="A1334" t="s">
        <v>2201</v>
      </c>
      <c r="B1334">
        <v>92.722331143948793</v>
      </c>
      <c r="C1334">
        <v>364.48181291026799</v>
      </c>
    </row>
    <row r="1335" spans="1:3" x14ac:dyDescent="0.25">
      <c r="A1335" t="s">
        <v>2540</v>
      </c>
      <c r="B1335">
        <v>92.979488262068003</v>
      </c>
      <c r="C1335">
        <v>444.992954495915</v>
      </c>
    </row>
    <row r="1336" spans="1:3" x14ac:dyDescent="0.25">
      <c r="A1336" t="s">
        <v>1858</v>
      </c>
      <c r="B1336">
        <v>94.017404514537603</v>
      </c>
      <c r="C1336">
        <v>1021.89603919925</v>
      </c>
    </row>
    <row r="1337" spans="1:3" x14ac:dyDescent="0.25">
      <c r="A1337" t="s">
        <v>2662</v>
      </c>
      <c r="B1337">
        <v>94.336038656754397</v>
      </c>
      <c r="C1337">
        <v>553.24626733108096</v>
      </c>
    </row>
    <row r="1338" spans="1:3" x14ac:dyDescent="0.25">
      <c r="A1338" t="s">
        <v>1271</v>
      </c>
      <c r="B1338">
        <v>94.353649333848495</v>
      </c>
      <c r="C1338">
        <v>670.25785107889703</v>
      </c>
    </row>
    <row r="1339" spans="1:3" x14ac:dyDescent="0.25">
      <c r="A1339" t="s">
        <v>1538</v>
      </c>
      <c r="B1339">
        <v>94.830033537612493</v>
      </c>
      <c r="C1339">
        <v>659.69237641809502</v>
      </c>
    </row>
    <row r="1340" spans="1:3" x14ac:dyDescent="0.25">
      <c r="A1340" t="s">
        <v>1764</v>
      </c>
      <c r="B1340">
        <v>95.1425418999561</v>
      </c>
      <c r="C1340">
        <v>650.83070338406003</v>
      </c>
    </row>
    <row r="1341" spans="1:3" x14ac:dyDescent="0.25">
      <c r="A1341" t="s">
        <v>404</v>
      </c>
      <c r="B1341">
        <v>95.250315672915207</v>
      </c>
      <c r="C1341">
        <v>197.13409349559299</v>
      </c>
    </row>
    <row r="1342" spans="1:3" x14ac:dyDescent="0.25">
      <c r="A1342" t="s">
        <v>2891</v>
      </c>
      <c r="B1342">
        <v>95.3101241787502</v>
      </c>
      <c r="C1342">
        <v>804.13772565496095</v>
      </c>
    </row>
    <row r="1343" spans="1:3" x14ac:dyDescent="0.25">
      <c r="A1343" t="s">
        <v>2778</v>
      </c>
      <c r="B1343">
        <v>95.483191373904205</v>
      </c>
      <c r="C1343">
        <v>745.15031327631402</v>
      </c>
    </row>
    <row r="1344" spans="1:3" x14ac:dyDescent="0.25">
      <c r="A1344" t="s">
        <v>738</v>
      </c>
      <c r="B1344">
        <v>95.695145436288698</v>
      </c>
      <c r="C1344">
        <v>375.13680252317999</v>
      </c>
    </row>
    <row r="1345" spans="1:3" x14ac:dyDescent="0.25">
      <c r="A1345" t="s">
        <v>378</v>
      </c>
      <c r="B1345">
        <v>96.498090005450607</v>
      </c>
      <c r="C1345">
        <v>530.16185639980699</v>
      </c>
    </row>
    <row r="1346" spans="1:3" x14ac:dyDescent="0.25">
      <c r="A1346" t="s">
        <v>1580</v>
      </c>
      <c r="B1346">
        <v>97.401820010234204</v>
      </c>
      <c r="C1346">
        <v>756.88789720157001</v>
      </c>
    </row>
    <row r="1347" spans="1:3" x14ac:dyDescent="0.25">
      <c r="A1347" t="s">
        <v>396</v>
      </c>
      <c r="B1347">
        <v>97.775930455702706</v>
      </c>
      <c r="C1347">
        <v>466.50112000215103</v>
      </c>
    </row>
    <row r="1348" spans="1:3" x14ac:dyDescent="0.25">
      <c r="A1348" t="s">
        <v>1500</v>
      </c>
      <c r="B1348">
        <v>98.950431086480506</v>
      </c>
      <c r="C1348">
        <v>569.00986873468196</v>
      </c>
    </row>
    <row r="1349" spans="1:3" x14ac:dyDescent="0.25">
      <c r="A1349" t="s">
        <v>1307</v>
      </c>
      <c r="B1349">
        <v>99.237473121352906</v>
      </c>
      <c r="C1349">
        <v>457.809528587557</v>
      </c>
    </row>
    <row r="1350" spans="1:3" x14ac:dyDescent="0.25">
      <c r="A1350" t="s">
        <v>476</v>
      </c>
      <c r="B1350">
        <v>99.969013376329698</v>
      </c>
      <c r="C1350">
        <v>1033.46034018153</v>
      </c>
    </row>
    <row r="1351" spans="1:3" x14ac:dyDescent="0.25">
      <c r="A1351" t="s">
        <v>2921</v>
      </c>
      <c r="B1351">
        <v>100.159727019664</v>
      </c>
      <c r="C1351">
        <v>862.27551912650802</v>
      </c>
    </row>
    <row r="1352" spans="1:3" x14ac:dyDescent="0.25">
      <c r="A1352" t="s">
        <v>1003</v>
      </c>
      <c r="B1352">
        <v>101.529953513002</v>
      </c>
      <c r="C1352">
        <v>520.62483743062705</v>
      </c>
    </row>
    <row r="1353" spans="1:3" x14ac:dyDescent="0.25">
      <c r="A1353" t="s">
        <v>90</v>
      </c>
      <c r="B1353">
        <v>103.743192612211</v>
      </c>
      <c r="C1353">
        <v>398.70769299059202</v>
      </c>
    </row>
    <row r="1354" spans="1:3" x14ac:dyDescent="0.25">
      <c r="A1354" t="s">
        <v>2007</v>
      </c>
      <c r="B1354">
        <v>103.848920683578</v>
      </c>
      <c r="C1354">
        <v>484.34282861736301</v>
      </c>
    </row>
    <row r="1355" spans="1:3" x14ac:dyDescent="0.25">
      <c r="A1355" t="s">
        <v>1484</v>
      </c>
      <c r="B1355">
        <v>104.029772418294</v>
      </c>
      <c r="C1355">
        <v>386.28490037668598</v>
      </c>
    </row>
    <row r="1356" spans="1:3" x14ac:dyDescent="0.25">
      <c r="A1356" t="s">
        <v>2125</v>
      </c>
      <c r="B1356">
        <v>104.146237766336</v>
      </c>
      <c r="C1356">
        <v>149.287188901441</v>
      </c>
    </row>
    <row r="1357" spans="1:3" x14ac:dyDescent="0.25">
      <c r="A1357" t="s">
        <v>1309</v>
      </c>
      <c r="B1357">
        <v>104.514101955695</v>
      </c>
      <c r="C1357">
        <v>653.67309126366399</v>
      </c>
    </row>
    <row r="1358" spans="1:3" x14ac:dyDescent="0.25">
      <c r="A1358" t="s">
        <v>2235</v>
      </c>
      <c r="B1358">
        <v>105.55289088175</v>
      </c>
      <c r="C1358">
        <v>496.09069570681902</v>
      </c>
    </row>
    <row r="1359" spans="1:3" x14ac:dyDescent="0.25">
      <c r="A1359" t="s">
        <v>1904</v>
      </c>
      <c r="B1359">
        <v>106.574534390564</v>
      </c>
      <c r="C1359">
        <v>502.78195090576099</v>
      </c>
    </row>
    <row r="1360" spans="1:3" x14ac:dyDescent="0.25">
      <c r="A1360" t="s">
        <v>1698</v>
      </c>
      <c r="B1360">
        <v>106.990885761047</v>
      </c>
      <c r="C1360">
        <v>518.68754755916996</v>
      </c>
    </row>
    <row r="1361" spans="1:3" x14ac:dyDescent="0.25">
      <c r="A1361" t="s">
        <v>444</v>
      </c>
      <c r="B1361">
        <v>107.050908368031</v>
      </c>
      <c r="C1361">
        <v>726.65172572683605</v>
      </c>
    </row>
    <row r="1362" spans="1:3" x14ac:dyDescent="0.25">
      <c r="A1362" t="s">
        <v>1189</v>
      </c>
      <c r="B1362">
        <v>107.18809621384899</v>
      </c>
      <c r="C1362">
        <v>370.35783214247999</v>
      </c>
    </row>
    <row r="1363" spans="1:3" x14ac:dyDescent="0.25">
      <c r="A1363" t="s">
        <v>122</v>
      </c>
      <c r="B1363">
        <v>107.44705115511999</v>
      </c>
      <c r="C1363">
        <v>1318.92820154992</v>
      </c>
    </row>
    <row r="1364" spans="1:3" x14ac:dyDescent="0.25">
      <c r="A1364" t="s">
        <v>907</v>
      </c>
      <c r="B1364">
        <v>107.557302903256</v>
      </c>
      <c r="C1364">
        <v>639.53227801556795</v>
      </c>
    </row>
    <row r="1365" spans="1:3" x14ac:dyDescent="0.25">
      <c r="A1365" t="s">
        <v>1937</v>
      </c>
      <c r="B1365">
        <v>107.65129111548799</v>
      </c>
      <c r="C1365">
        <v>560.08194709504596</v>
      </c>
    </row>
    <row r="1366" spans="1:3" x14ac:dyDescent="0.25">
      <c r="A1366" t="s">
        <v>2237</v>
      </c>
      <c r="B1366">
        <v>108.081018528839</v>
      </c>
      <c r="C1366">
        <v>356.47008442167203</v>
      </c>
    </row>
    <row r="1367" spans="1:3" x14ac:dyDescent="0.25">
      <c r="A1367" t="s">
        <v>843</v>
      </c>
      <c r="B1367">
        <v>109.64121902378901</v>
      </c>
      <c r="C1367">
        <v>486.35181643854798</v>
      </c>
    </row>
    <row r="1368" spans="1:3" x14ac:dyDescent="0.25">
      <c r="A1368" t="s">
        <v>606</v>
      </c>
      <c r="B1368">
        <v>109.828279039001</v>
      </c>
      <c r="C1368">
        <v>344.438363830242</v>
      </c>
    </row>
    <row r="1369" spans="1:3" x14ac:dyDescent="0.25">
      <c r="A1369" t="s">
        <v>426</v>
      </c>
      <c r="B1369">
        <v>110.168415330066</v>
      </c>
      <c r="C1369">
        <v>627.54744414715401</v>
      </c>
    </row>
    <row r="1370" spans="1:3" x14ac:dyDescent="0.25">
      <c r="A1370" t="s">
        <v>1478</v>
      </c>
      <c r="B1370">
        <v>110.930884304042</v>
      </c>
      <c r="C1370">
        <v>939.03397147526505</v>
      </c>
    </row>
    <row r="1371" spans="1:3" x14ac:dyDescent="0.25">
      <c r="A1371" t="s">
        <v>48</v>
      </c>
      <c r="B1371">
        <v>111.175108058315</v>
      </c>
      <c r="C1371">
        <v>1009.45883468582</v>
      </c>
    </row>
    <row r="1372" spans="1:3" x14ac:dyDescent="0.25">
      <c r="A1372" t="s">
        <v>318</v>
      </c>
      <c r="B1372">
        <v>111.275006466888</v>
      </c>
      <c r="C1372">
        <v>369.68670204134497</v>
      </c>
    </row>
    <row r="1373" spans="1:3" x14ac:dyDescent="0.25">
      <c r="A1373" t="s">
        <v>1203</v>
      </c>
      <c r="B1373">
        <v>113.587225053436</v>
      </c>
      <c r="C1373">
        <v>1322.7556649888299</v>
      </c>
    </row>
    <row r="1374" spans="1:3" x14ac:dyDescent="0.25">
      <c r="A1374" t="s">
        <v>1009</v>
      </c>
      <c r="B1374">
        <v>118.182831616774</v>
      </c>
      <c r="C1374">
        <v>534.20404773717803</v>
      </c>
    </row>
    <row r="1375" spans="1:3" x14ac:dyDescent="0.25">
      <c r="A1375" t="s">
        <v>624</v>
      </c>
      <c r="B1375">
        <v>118.306362768998</v>
      </c>
      <c r="C1375">
        <v>566.32931288653504</v>
      </c>
    </row>
    <row r="1376" spans="1:3" x14ac:dyDescent="0.25">
      <c r="A1376" t="s">
        <v>1452</v>
      </c>
      <c r="B1376">
        <v>121.860203403358</v>
      </c>
      <c r="C1376">
        <v>996.02996435131797</v>
      </c>
    </row>
    <row r="1377" spans="1:3" x14ac:dyDescent="0.25">
      <c r="A1377" t="s">
        <v>2051</v>
      </c>
      <c r="B1377">
        <v>122.00433413054</v>
      </c>
      <c r="C1377">
        <v>792.23104287113097</v>
      </c>
    </row>
    <row r="1378" spans="1:3" x14ac:dyDescent="0.25">
      <c r="A1378" t="s">
        <v>1033</v>
      </c>
      <c r="B1378">
        <v>122.12120969644501</v>
      </c>
      <c r="C1378">
        <v>400.804908569068</v>
      </c>
    </row>
    <row r="1379" spans="1:3" x14ac:dyDescent="0.25">
      <c r="A1379" t="s">
        <v>877</v>
      </c>
      <c r="B1379">
        <v>122.91882151342401</v>
      </c>
      <c r="C1379">
        <v>912.81536972982099</v>
      </c>
    </row>
    <row r="1380" spans="1:3" x14ac:dyDescent="0.25">
      <c r="A1380" t="s">
        <v>770</v>
      </c>
      <c r="B1380">
        <v>124.64300974922701</v>
      </c>
      <c r="C1380">
        <v>511.83824989352303</v>
      </c>
    </row>
    <row r="1381" spans="1:3" x14ac:dyDescent="0.25">
      <c r="A1381" t="s">
        <v>903</v>
      </c>
      <c r="B1381">
        <v>126.088185390742</v>
      </c>
      <c r="C1381">
        <v>626.79588977292497</v>
      </c>
    </row>
    <row r="1382" spans="1:3" x14ac:dyDescent="0.25">
      <c r="A1382" t="s">
        <v>536</v>
      </c>
      <c r="B1382">
        <v>126.157665515031</v>
      </c>
      <c r="C1382">
        <v>1142.59398404747</v>
      </c>
    </row>
    <row r="1383" spans="1:3" x14ac:dyDescent="0.25">
      <c r="A1383" t="s">
        <v>1225</v>
      </c>
      <c r="B1383">
        <v>126.748503564188</v>
      </c>
      <c r="C1383">
        <v>647.01746226714397</v>
      </c>
    </row>
    <row r="1384" spans="1:3" x14ac:dyDescent="0.25">
      <c r="A1384" t="s">
        <v>1995</v>
      </c>
      <c r="B1384">
        <v>129.789387740085</v>
      </c>
      <c r="C1384">
        <v>373.121954832342</v>
      </c>
    </row>
    <row r="1385" spans="1:3" x14ac:dyDescent="0.25">
      <c r="A1385" t="s">
        <v>1826</v>
      </c>
      <c r="B1385">
        <v>132.53883888109701</v>
      </c>
      <c r="C1385">
        <v>478.54187777034201</v>
      </c>
    </row>
    <row r="1386" spans="1:3" x14ac:dyDescent="0.25">
      <c r="A1386" t="s">
        <v>1191</v>
      </c>
      <c r="B1386">
        <v>133.957067781777</v>
      </c>
      <c r="C1386">
        <v>1014.22174426905</v>
      </c>
    </row>
    <row r="1387" spans="1:3" x14ac:dyDescent="0.25">
      <c r="A1387" t="s">
        <v>478</v>
      </c>
      <c r="B1387">
        <v>134.479773389646</v>
      </c>
      <c r="C1387">
        <v>283.88539716042999</v>
      </c>
    </row>
    <row r="1388" spans="1:3" x14ac:dyDescent="0.25">
      <c r="A1388" t="s">
        <v>2752</v>
      </c>
      <c r="B1388">
        <v>134.99801094338</v>
      </c>
      <c r="C1388">
        <v>731.72409818084805</v>
      </c>
    </row>
    <row r="1389" spans="1:3" x14ac:dyDescent="0.25">
      <c r="A1389" t="s">
        <v>372</v>
      </c>
      <c r="B1389">
        <v>135.02480287407801</v>
      </c>
      <c r="C1389">
        <v>442.79755946508402</v>
      </c>
    </row>
    <row r="1390" spans="1:3" x14ac:dyDescent="0.25">
      <c r="A1390" t="s">
        <v>3134</v>
      </c>
      <c r="B1390">
        <v>135.335555306836</v>
      </c>
      <c r="C1390">
        <v>588.05869267153196</v>
      </c>
    </row>
    <row r="1391" spans="1:3" x14ac:dyDescent="0.25">
      <c r="A1391" t="s">
        <v>226</v>
      </c>
      <c r="B1391">
        <v>136.111734318874</v>
      </c>
      <c r="C1391">
        <v>242.35823399711299</v>
      </c>
    </row>
    <row r="1392" spans="1:3" x14ac:dyDescent="0.25">
      <c r="A1392" t="s">
        <v>500</v>
      </c>
      <c r="B1392">
        <v>136.13306086962299</v>
      </c>
      <c r="C1392">
        <v>514.26351742964096</v>
      </c>
    </row>
    <row r="1393" spans="1:3" x14ac:dyDescent="0.25">
      <c r="A1393" t="s">
        <v>362</v>
      </c>
      <c r="B1393">
        <v>136.18496683234301</v>
      </c>
      <c r="C1393">
        <v>895.28770553682205</v>
      </c>
    </row>
    <row r="1394" spans="1:3" x14ac:dyDescent="0.25">
      <c r="A1394" t="s">
        <v>736</v>
      </c>
      <c r="B1394">
        <v>137.432277228998</v>
      </c>
      <c r="C1394">
        <v>428.16869235980198</v>
      </c>
    </row>
    <row r="1395" spans="1:3" x14ac:dyDescent="0.25">
      <c r="A1395" t="s">
        <v>1628</v>
      </c>
      <c r="B1395">
        <v>138.118598104733</v>
      </c>
      <c r="C1395">
        <v>480.749911353107</v>
      </c>
    </row>
    <row r="1396" spans="1:3" x14ac:dyDescent="0.25">
      <c r="A1396" t="s">
        <v>142</v>
      </c>
      <c r="B1396">
        <v>139.89820341040601</v>
      </c>
      <c r="C1396">
        <v>729.92798155001799</v>
      </c>
    </row>
    <row r="1397" spans="1:3" x14ac:dyDescent="0.25">
      <c r="A1397" t="s">
        <v>1319</v>
      </c>
      <c r="B1397">
        <v>140.06294159492799</v>
      </c>
      <c r="C1397">
        <v>356.55551031345101</v>
      </c>
    </row>
    <row r="1398" spans="1:3" x14ac:dyDescent="0.25">
      <c r="A1398" t="s">
        <v>238</v>
      </c>
      <c r="B1398">
        <v>141.39361747303099</v>
      </c>
      <c r="C1398">
        <v>671.65015272146502</v>
      </c>
    </row>
    <row r="1399" spans="1:3" x14ac:dyDescent="0.25">
      <c r="A1399" t="s">
        <v>454</v>
      </c>
      <c r="B1399">
        <v>142.17431304885301</v>
      </c>
      <c r="C1399">
        <v>560.58453937881995</v>
      </c>
    </row>
    <row r="1400" spans="1:3" x14ac:dyDescent="0.25">
      <c r="A1400" t="s">
        <v>452</v>
      </c>
      <c r="B1400">
        <v>142.295652291256</v>
      </c>
      <c r="C1400">
        <v>322.72511956946698</v>
      </c>
    </row>
    <row r="1401" spans="1:3" x14ac:dyDescent="0.25">
      <c r="A1401" t="s">
        <v>1235</v>
      </c>
      <c r="B1401">
        <v>144.32420887506001</v>
      </c>
      <c r="C1401">
        <v>880.68367353666304</v>
      </c>
    </row>
    <row r="1402" spans="1:3" x14ac:dyDescent="0.25">
      <c r="A1402" t="s">
        <v>2161</v>
      </c>
      <c r="B1402">
        <v>144.42106662709801</v>
      </c>
      <c r="C1402">
        <v>391.46720748924503</v>
      </c>
    </row>
    <row r="1403" spans="1:3" x14ac:dyDescent="0.25">
      <c r="A1403" t="s">
        <v>973</v>
      </c>
      <c r="B1403">
        <v>144.69366008115</v>
      </c>
      <c r="C1403">
        <v>640.08322290054605</v>
      </c>
    </row>
    <row r="1404" spans="1:3" x14ac:dyDescent="0.25">
      <c r="A1404" t="s">
        <v>310</v>
      </c>
      <c r="B1404">
        <v>145.919998120782</v>
      </c>
      <c r="C1404">
        <v>564.64325259731197</v>
      </c>
    </row>
    <row r="1405" spans="1:3" x14ac:dyDescent="0.25">
      <c r="A1405" t="s">
        <v>1418</v>
      </c>
      <c r="B1405">
        <v>147.57413665057501</v>
      </c>
      <c r="C1405">
        <v>704.62653774716603</v>
      </c>
    </row>
    <row r="1406" spans="1:3" x14ac:dyDescent="0.25">
      <c r="A1406" t="s">
        <v>1951</v>
      </c>
      <c r="B1406">
        <v>154.56383886674399</v>
      </c>
      <c r="C1406">
        <v>862.820943853676</v>
      </c>
    </row>
    <row r="1407" spans="1:3" x14ac:dyDescent="0.25">
      <c r="A1407" t="s">
        <v>2931</v>
      </c>
      <c r="B1407">
        <v>154.73644138057799</v>
      </c>
      <c r="C1407">
        <v>732.49546156211397</v>
      </c>
    </row>
    <row r="1408" spans="1:3" x14ac:dyDescent="0.25">
      <c r="A1408" t="s">
        <v>74</v>
      </c>
      <c r="B1408">
        <v>156.74051996998799</v>
      </c>
      <c r="C1408">
        <v>401.40040669227602</v>
      </c>
    </row>
    <row r="1409" spans="1:3" x14ac:dyDescent="0.25">
      <c r="A1409" t="s">
        <v>46</v>
      </c>
      <c r="B1409">
        <v>158.68773528908201</v>
      </c>
      <c r="C1409">
        <v>707.47431024495404</v>
      </c>
    </row>
    <row r="1410" spans="1:3" x14ac:dyDescent="0.25">
      <c r="A1410" t="s">
        <v>1798</v>
      </c>
      <c r="B1410">
        <v>159.8829995271</v>
      </c>
      <c r="C1410">
        <v>494.19469501832998</v>
      </c>
    </row>
    <row r="1411" spans="1:3" x14ac:dyDescent="0.25">
      <c r="A1411" t="s">
        <v>781</v>
      </c>
      <c r="B1411">
        <v>160.09452771769401</v>
      </c>
      <c r="C1411">
        <v>1889.72336574417</v>
      </c>
    </row>
    <row r="1412" spans="1:3" x14ac:dyDescent="0.25">
      <c r="A1412" t="s">
        <v>2249</v>
      </c>
      <c r="B1412">
        <v>165.974560529185</v>
      </c>
      <c r="C1412">
        <v>357.45256243618098</v>
      </c>
    </row>
    <row r="1413" spans="1:3" x14ac:dyDescent="0.25">
      <c r="A1413" t="s">
        <v>448</v>
      </c>
      <c r="B1413">
        <v>167.412957231337</v>
      </c>
      <c r="C1413">
        <v>1002.9526741691</v>
      </c>
    </row>
    <row r="1414" spans="1:3" x14ac:dyDescent="0.25">
      <c r="A1414" t="s">
        <v>2229</v>
      </c>
      <c r="B1414">
        <v>167.690728071949</v>
      </c>
      <c r="C1414">
        <v>962.07412197557505</v>
      </c>
    </row>
    <row r="1415" spans="1:3" x14ac:dyDescent="0.25">
      <c r="A1415" t="s">
        <v>2259</v>
      </c>
      <c r="B1415">
        <v>167.94179490507</v>
      </c>
      <c r="C1415">
        <v>762.64037781479999</v>
      </c>
    </row>
    <row r="1416" spans="1:3" x14ac:dyDescent="0.25">
      <c r="A1416" t="s">
        <v>740</v>
      </c>
      <c r="B1416">
        <v>168.728680013249</v>
      </c>
      <c r="C1416">
        <v>431.05572879397403</v>
      </c>
    </row>
    <row r="1417" spans="1:3" x14ac:dyDescent="0.25">
      <c r="A1417" t="s">
        <v>2227</v>
      </c>
      <c r="B1417">
        <v>170.66952258050401</v>
      </c>
      <c r="C1417">
        <v>2354.1114464826601</v>
      </c>
    </row>
    <row r="1418" spans="1:3" x14ac:dyDescent="0.25">
      <c r="A1418" t="s">
        <v>512</v>
      </c>
      <c r="B1418">
        <v>173.96288605235199</v>
      </c>
      <c r="C1418">
        <v>581.47773375435997</v>
      </c>
    </row>
    <row r="1419" spans="1:3" x14ac:dyDescent="0.25">
      <c r="A1419" t="s">
        <v>821</v>
      </c>
      <c r="B1419">
        <v>174.11813371558</v>
      </c>
      <c r="C1419">
        <v>649.30133333210597</v>
      </c>
    </row>
    <row r="1420" spans="1:3" x14ac:dyDescent="0.25">
      <c r="A1420" t="s">
        <v>1079</v>
      </c>
      <c r="B1420">
        <v>175.462191941019</v>
      </c>
      <c r="C1420">
        <v>803.86791232186397</v>
      </c>
    </row>
    <row r="1421" spans="1:3" x14ac:dyDescent="0.25">
      <c r="A1421" t="s">
        <v>1792</v>
      </c>
      <c r="B1421">
        <v>176.481506526478</v>
      </c>
      <c r="C1421">
        <v>1132.6449835298199</v>
      </c>
    </row>
    <row r="1422" spans="1:3" x14ac:dyDescent="0.25">
      <c r="A1422" t="s">
        <v>2185</v>
      </c>
      <c r="B1422">
        <v>178.48224686929601</v>
      </c>
      <c r="C1422">
        <v>340.93978337643199</v>
      </c>
    </row>
    <row r="1423" spans="1:3" x14ac:dyDescent="0.25">
      <c r="A1423" t="s">
        <v>2698</v>
      </c>
      <c r="B1423">
        <v>179.72681866457299</v>
      </c>
      <c r="C1423">
        <v>922.21122045769698</v>
      </c>
    </row>
    <row r="1424" spans="1:3" x14ac:dyDescent="0.25">
      <c r="A1424" t="s">
        <v>1223</v>
      </c>
      <c r="B1424">
        <v>183.88043279355699</v>
      </c>
      <c r="C1424">
        <v>306.16800871411903</v>
      </c>
    </row>
    <row r="1425" spans="1:3" x14ac:dyDescent="0.25">
      <c r="A1425" t="s">
        <v>1001</v>
      </c>
      <c r="B1425">
        <v>184.82180860769401</v>
      </c>
      <c r="C1425">
        <v>616.41936668276799</v>
      </c>
    </row>
    <row r="1426" spans="1:3" x14ac:dyDescent="0.25">
      <c r="A1426" t="s">
        <v>1159</v>
      </c>
      <c r="B1426">
        <v>189.17478776065801</v>
      </c>
      <c r="C1426">
        <v>935.62001374598697</v>
      </c>
    </row>
    <row r="1427" spans="1:3" x14ac:dyDescent="0.25">
      <c r="A1427" t="s">
        <v>1023</v>
      </c>
      <c r="B1427">
        <v>190.06605493014899</v>
      </c>
      <c r="C1427">
        <v>491.28517264914302</v>
      </c>
    </row>
    <row r="1428" spans="1:3" x14ac:dyDescent="0.25">
      <c r="A1428" t="s">
        <v>1772</v>
      </c>
      <c r="B1428">
        <v>193.915315883109</v>
      </c>
      <c r="C1428">
        <v>455.58494627914399</v>
      </c>
    </row>
    <row r="1429" spans="1:3" x14ac:dyDescent="0.25">
      <c r="A1429" t="s">
        <v>376</v>
      </c>
      <c r="B1429">
        <v>199.156638085856</v>
      </c>
      <c r="C1429">
        <v>625.32623486489604</v>
      </c>
    </row>
    <row r="1430" spans="1:3" x14ac:dyDescent="0.25">
      <c r="A1430" t="s">
        <v>120</v>
      </c>
      <c r="B1430">
        <v>208.11251526642101</v>
      </c>
      <c r="C1430">
        <v>527.65604746758004</v>
      </c>
    </row>
    <row r="1431" spans="1:3" x14ac:dyDescent="0.25">
      <c r="A1431" t="s">
        <v>688</v>
      </c>
      <c r="B1431">
        <v>216.89007975706599</v>
      </c>
      <c r="C1431">
        <v>789.331104804446</v>
      </c>
    </row>
    <row r="1432" spans="1:3" x14ac:dyDescent="0.25">
      <c r="A1432" t="s">
        <v>1091</v>
      </c>
      <c r="B1432">
        <v>218.86572246177599</v>
      </c>
      <c r="C1432">
        <v>1339.57564956637</v>
      </c>
    </row>
    <row r="1433" spans="1:3" x14ac:dyDescent="0.25">
      <c r="A1433" t="s">
        <v>1634</v>
      </c>
      <c r="B1433">
        <v>219.00820166558199</v>
      </c>
      <c r="C1433">
        <v>1085.3466486023001</v>
      </c>
    </row>
    <row r="1434" spans="1:3" x14ac:dyDescent="0.25">
      <c r="A1434" t="s">
        <v>2592</v>
      </c>
      <c r="B1434">
        <v>220.15835604513899</v>
      </c>
      <c r="C1434">
        <v>221.208090181741</v>
      </c>
    </row>
    <row r="1435" spans="1:3" x14ac:dyDescent="0.25">
      <c r="A1435" t="s">
        <v>1065</v>
      </c>
      <c r="B1435">
        <v>223.58222547772101</v>
      </c>
      <c r="C1435">
        <v>668.80818126909401</v>
      </c>
    </row>
    <row r="1436" spans="1:3" x14ac:dyDescent="0.25">
      <c r="A1436" t="s">
        <v>1285</v>
      </c>
      <c r="B1436">
        <v>225.814284220937</v>
      </c>
      <c r="C1436">
        <v>780.44295422194398</v>
      </c>
    </row>
    <row r="1437" spans="1:3" x14ac:dyDescent="0.25">
      <c r="A1437" t="s">
        <v>84</v>
      </c>
      <c r="B1437">
        <v>225.93556857412199</v>
      </c>
      <c r="C1437">
        <v>445.32816500947399</v>
      </c>
    </row>
    <row r="1438" spans="1:3" x14ac:dyDescent="0.25">
      <c r="A1438" t="s">
        <v>1175</v>
      </c>
      <c r="B1438">
        <v>232.089752624168</v>
      </c>
      <c r="C1438">
        <v>1017.82337086973</v>
      </c>
    </row>
    <row r="1439" spans="1:3" x14ac:dyDescent="0.25">
      <c r="A1439" t="s">
        <v>2117</v>
      </c>
      <c r="B1439">
        <v>233.39634879683101</v>
      </c>
      <c r="C1439">
        <v>1842.093544247</v>
      </c>
    </row>
    <row r="1440" spans="1:3" x14ac:dyDescent="0.25">
      <c r="A1440" t="s">
        <v>1824</v>
      </c>
      <c r="B1440">
        <v>234.85522686738301</v>
      </c>
      <c r="C1440">
        <v>378.62948066241398</v>
      </c>
    </row>
    <row r="1441" spans="1:3" x14ac:dyDescent="0.25">
      <c r="A1441" t="s">
        <v>1077</v>
      </c>
      <c r="B1441">
        <v>239.52714519956501</v>
      </c>
      <c r="C1441">
        <v>1311.1426293064001</v>
      </c>
    </row>
    <row r="1442" spans="1:3" x14ac:dyDescent="0.25">
      <c r="A1442" t="s">
        <v>1197</v>
      </c>
      <c r="B1442">
        <v>244.870242968084</v>
      </c>
      <c r="C1442">
        <v>2244.64748225024</v>
      </c>
    </row>
    <row r="1443" spans="1:3" x14ac:dyDescent="0.25">
      <c r="A1443" t="s">
        <v>1714</v>
      </c>
      <c r="B1443">
        <v>246.21028872619999</v>
      </c>
      <c r="C1443">
        <v>499.01217277464798</v>
      </c>
    </row>
    <row r="1444" spans="1:3" x14ac:dyDescent="0.25">
      <c r="A1444" t="s">
        <v>893</v>
      </c>
      <c r="B1444">
        <v>247.10120580190301</v>
      </c>
      <c r="C1444">
        <v>531.94544724664001</v>
      </c>
    </row>
    <row r="1445" spans="1:3" x14ac:dyDescent="0.25">
      <c r="A1445" t="s">
        <v>2387</v>
      </c>
      <c r="B1445">
        <v>250.08403806928101</v>
      </c>
      <c r="C1445">
        <v>875.68154368440401</v>
      </c>
    </row>
    <row r="1446" spans="1:3" x14ac:dyDescent="0.25">
      <c r="A1446" t="s">
        <v>869</v>
      </c>
      <c r="B1446">
        <v>252.30624992722599</v>
      </c>
      <c r="C1446">
        <v>982.60835792480202</v>
      </c>
    </row>
    <row r="1447" spans="1:3" x14ac:dyDescent="0.25">
      <c r="A1447" t="s">
        <v>1546</v>
      </c>
      <c r="B1447">
        <v>255.81308511236199</v>
      </c>
      <c r="C1447">
        <v>661.89780314990503</v>
      </c>
    </row>
    <row r="1448" spans="1:3" x14ac:dyDescent="0.25">
      <c r="A1448" t="s">
        <v>965</v>
      </c>
      <c r="B1448">
        <v>258.89977558812899</v>
      </c>
      <c r="C1448">
        <v>941.88054197586496</v>
      </c>
    </row>
    <row r="1449" spans="1:3" x14ac:dyDescent="0.25">
      <c r="A1449" t="s">
        <v>422</v>
      </c>
      <c r="B1449">
        <v>262.83971055662801</v>
      </c>
      <c r="C1449">
        <v>446.70738914606801</v>
      </c>
    </row>
    <row r="1450" spans="1:3" x14ac:dyDescent="0.25">
      <c r="A1450" t="s">
        <v>1011</v>
      </c>
      <c r="B1450">
        <v>265.78853396591899</v>
      </c>
      <c r="C1450">
        <v>1318.5132979975599</v>
      </c>
    </row>
    <row r="1451" spans="1:3" x14ac:dyDescent="0.25">
      <c r="A1451" t="s">
        <v>144</v>
      </c>
      <c r="B1451">
        <v>266.41603230937801</v>
      </c>
      <c r="C1451">
        <v>1935.9737835492499</v>
      </c>
    </row>
    <row r="1452" spans="1:3" x14ac:dyDescent="0.25">
      <c r="A1452" t="s">
        <v>282</v>
      </c>
      <c r="B1452">
        <v>281.747631114245</v>
      </c>
      <c r="C1452">
        <v>994.11016231306996</v>
      </c>
    </row>
    <row r="1453" spans="1:3" x14ac:dyDescent="0.25">
      <c r="A1453" t="s">
        <v>232</v>
      </c>
      <c r="B1453">
        <v>284.94237018093497</v>
      </c>
      <c r="C1453">
        <v>826.43697378150796</v>
      </c>
    </row>
    <row r="1454" spans="1:3" x14ac:dyDescent="0.25">
      <c r="A1454" t="s">
        <v>2129</v>
      </c>
      <c r="B1454">
        <v>290.12098173229799</v>
      </c>
      <c r="C1454">
        <v>618.67711078654997</v>
      </c>
    </row>
    <row r="1455" spans="1:3" x14ac:dyDescent="0.25">
      <c r="A1455" t="s">
        <v>240</v>
      </c>
      <c r="B1455">
        <v>290.755525929464</v>
      </c>
      <c r="C1455">
        <v>1508.68487796828</v>
      </c>
    </row>
    <row r="1456" spans="1:3" x14ac:dyDescent="0.25">
      <c r="A1456" t="s">
        <v>284</v>
      </c>
      <c r="B1456">
        <v>295.62052731747201</v>
      </c>
      <c r="C1456">
        <v>1510.6119339325801</v>
      </c>
    </row>
    <row r="1457" spans="1:3" x14ac:dyDescent="0.25">
      <c r="A1457" t="s">
        <v>895</v>
      </c>
      <c r="B1457">
        <v>303.81884000162802</v>
      </c>
      <c r="C1457">
        <v>950.36053142957405</v>
      </c>
    </row>
    <row r="1458" spans="1:3" x14ac:dyDescent="0.25">
      <c r="A1458" t="s">
        <v>1752</v>
      </c>
      <c r="B1458">
        <v>307.81747712352802</v>
      </c>
      <c r="C1458">
        <v>571.16663389892994</v>
      </c>
    </row>
    <row r="1459" spans="1:3" x14ac:dyDescent="0.25">
      <c r="A1459" t="s">
        <v>1063</v>
      </c>
      <c r="B1459">
        <v>320.82783178320602</v>
      </c>
      <c r="C1459">
        <v>981.746556137688</v>
      </c>
    </row>
    <row r="1460" spans="1:3" x14ac:dyDescent="0.25">
      <c r="A1460" t="s">
        <v>292</v>
      </c>
      <c r="B1460">
        <v>347.33189537180698</v>
      </c>
      <c r="C1460">
        <v>963.57490617502003</v>
      </c>
    </row>
    <row r="1461" spans="1:3" x14ac:dyDescent="0.25">
      <c r="A1461" t="s">
        <v>2325</v>
      </c>
      <c r="B1461">
        <v>400.92818687996902</v>
      </c>
      <c r="C1461">
        <v>2564.6752264363799</v>
      </c>
    </row>
    <row r="1462" spans="1:3" x14ac:dyDescent="0.25">
      <c r="A1462" t="s">
        <v>176</v>
      </c>
      <c r="B1462">
        <v>401.31483062270303</v>
      </c>
      <c r="C1462">
        <v>996.21055592542496</v>
      </c>
    </row>
    <row r="1463" spans="1:3" x14ac:dyDescent="0.25">
      <c r="A1463" t="s">
        <v>98</v>
      </c>
      <c r="B1463">
        <v>406.25959259093202</v>
      </c>
      <c r="C1463">
        <v>2302.9151251459798</v>
      </c>
    </row>
    <row r="1464" spans="1:3" x14ac:dyDescent="0.25">
      <c r="A1464" t="s">
        <v>931</v>
      </c>
      <c r="B1464">
        <v>418.96603596062198</v>
      </c>
      <c r="C1464">
        <v>681.99438032854698</v>
      </c>
    </row>
    <row r="1465" spans="1:3" x14ac:dyDescent="0.25">
      <c r="A1465" t="s">
        <v>1095</v>
      </c>
      <c r="B1465">
        <v>467.22745587123501</v>
      </c>
      <c r="C1465">
        <v>1029.5538823976899</v>
      </c>
    </row>
    <row r="1466" spans="1:3" x14ac:dyDescent="0.25">
      <c r="A1466" t="s">
        <v>1143</v>
      </c>
      <c r="B1466">
        <v>468.61626070710201</v>
      </c>
      <c r="C1466">
        <v>1512.7788601449899</v>
      </c>
    </row>
    <row r="1467" spans="1:3" x14ac:dyDescent="0.25">
      <c r="A1467" t="s">
        <v>704</v>
      </c>
      <c r="B1467">
        <v>531.62142082212802</v>
      </c>
      <c r="C1467">
        <v>729.80204105066196</v>
      </c>
    </row>
    <row r="1468" spans="1:3" x14ac:dyDescent="0.25">
      <c r="A1468" t="s">
        <v>1492</v>
      </c>
      <c r="B1468">
        <v>540.98883793568803</v>
      </c>
      <c r="C1468">
        <v>3092.5126441756001</v>
      </c>
    </row>
    <row r="1469" spans="1:3" x14ac:dyDescent="0.25">
      <c r="A1469" t="s">
        <v>825</v>
      </c>
      <c r="B1469">
        <v>732.16122339860203</v>
      </c>
      <c r="C1469">
        <v>1485.8798608135201</v>
      </c>
    </row>
    <row r="1470" spans="1:3" x14ac:dyDescent="0.25">
      <c r="A1470" t="s">
        <v>2217</v>
      </c>
      <c r="B1470">
        <v>1082.89540933539</v>
      </c>
      <c r="C1470">
        <v>6444.5078771843901</v>
      </c>
    </row>
    <row r="1471" spans="1:3" x14ac:dyDescent="0.25">
      <c r="A1471" t="s">
        <v>1361</v>
      </c>
      <c r="B1471">
        <v>2310.4918290143401</v>
      </c>
      <c r="C1471">
        <v>1643.7609677898799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final--&gt;</vt:lpstr>
      <vt:lpstr>combined</vt:lpstr>
      <vt:lpstr>parts --&gt;</vt:lpstr>
      <vt:lpstr>original</vt:lpstr>
      <vt:lpstr>piwebapi_edit</vt:lpstr>
      <vt:lpstr>car_edit</vt:lpstr>
      <vt:lpstr>reference--&gt;</vt:lpstr>
      <vt:lpstr>Major_CAR</vt:lpstr>
      <vt:lpstr>piwebapi_90d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Carole F</dc:creator>
  <cp:lastModifiedBy>Jones, D. Craig</cp:lastModifiedBy>
  <dcterms:created xsi:type="dcterms:W3CDTF">2025-05-07T18:23:02Z</dcterms:created>
  <dcterms:modified xsi:type="dcterms:W3CDTF">2025-05-13T10:41:29Z</dcterms:modified>
</cp:coreProperties>
</file>