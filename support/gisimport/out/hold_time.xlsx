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inancial Services\Corporate Planning\Hydraulic Model Files\R Library\gisimport\out\"/>
    </mc:Choice>
  </mc:AlternateContent>
  <xr:revisionPtr revIDLastSave="0" documentId="8_{F5CB203C-8BAF-4732-86D2-238C8DBC0451}" xr6:coauthVersionLast="47" xr6:coauthVersionMax="47" xr10:uidLastSave="{00000000-0000-0000-0000-000000000000}"/>
  <bookViews>
    <workbookView xWindow="23880" yWindow="-120" windowWidth="24240" windowHeight="13140" tabRatio="685" xr2:uid="{5D1012E3-CB5E-4C4E-955B-0D6947BA2D09}"/>
  </bookViews>
  <sheets>
    <sheet name="Summary" sheetId="6" r:id="rId1"/>
    <sheet name="In Sages (141)" sheetId="1" r:id="rId2"/>
    <sheet name="with Hold Time (122)" sheetId="2" r:id="rId3"/>
    <sheet name="Under 50 GPM (17)" sheetId="5" r:id="rId4"/>
    <sheet name="50 - 100 GPM (34)" sheetId="3" r:id="rId5"/>
    <sheet name="Over 100 GPM (71)" sheetId="4" r:id="rId6"/>
    <sheet name="Less than 2 HR (17)" sheetId="7" r:id="rId7"/>
  </sheets>
  <definedNames>
    <definedName name="_xlnm._FilterDatabase" localSheetId="4" hidden="1">'50 - 100 GPM (34)'!$A$1:$H$1048488</definedName>
    <definedName name="_xlnm._FilterDatabase" localSheetId="1" hidden="1">'In Sages (141)'!$A$1:$J$143</definedName>
    <definedName name="_xlnm._FilterDatabase" localSheetId="5" hidden="1">'Over 100 GPM (71)'!$A$1:$H$1048525</definedName>
    <definedName name="_xlnm._FilterDatabase" localSheetId="3" hidden="1">'Under 50 GPM (17)'!$A$1:$H$1048471</definedName>
    <definedName name="_xlnm._FilterDatabase" localSheetId="2" hidden="1">'with Hold Time (122)'!$A$1:$H$123</definedName>
  </definedNames>
  <calcPr calcId="0"/>
</workbook>
</file>

<file path=xl/calcChain.xml><?xml version="1.0" encoding="utf-8"?>
<calcChain xmlns="http://schemas.openxmlformats.org/spreadsheetml/2006/main">
  <c r="F6" i="6" l="1"/>
  <c r="B6" i="6"/>
  <c r="C6" i="6"/>
  <c r="D5" i="6"/>
  <c r="D3" i="6"/>
  <c r="D6" i="6" s="1"/>
</calcChain>
</file>

<file path=xl/sharedStrings.xml><?xml version="1.0" encoding="utf-8"?>
<sst xmlns="http://schemas.openxmlformats.org/spreadsheetml/2006/main" count="897" uniqueCount="286">
  <si>
    <t>AvailNumber</t>
  </si>
  <si>
    <t>Name</t>
  </si>
  <si>
    <t>ADF (GPD)</t>
  </si>
  <si>
    <t>year</t>
  </si>
  <si>
    <t>PF</t>
  </si>
  <si>
    <t>PHF (GPM)</t>
  </si>
  <si>
    <t>V_gal</t>
  </si>
  <si>
    <t>hold_time_hr</t>
  </si>
  <si>
    <t>2016-1071</t>
  </si>
  <si>
    <t>Mill Creek Forest</t>
  </si>
  <si>
    <t>2017-0098</t>
  </si>
  <si>
    <t>Grand Creek North</t>
  </si>
  <si>
    <t>2017-0258</t>
  </si>
  <si>
    <t>Concourse Crossing Phase 1 &amp; 2</t>
  </si>
  <si>
    <t>2017-0399</t>
  </si>
  <si>
    <t>Creekside at Timuqana (2015-0102)</t>
  </si>
  <si>
    <t>NA</t>
  </si>
  <si>
    <t>2017-0425</t>
  </si>
  <si>
    <t>Cecil Airport East Development Area Phase 2</t>
  </si>
  <si>
    <t>2017-1848</t>
  </si>
  <si>
    <t>Annie's Walk</t>
  </si>
  <si>
    <t>2017-2385</t>
  </si>
  <si>
    <t>Nassau Station</t>
  </si>
  <si>
    <t>2018-0119</t>
  </si>
  <si>
    <t>Bradley Pond</t>
  </si>
  <si>
    <t>2018-0839</t>
  </si>
  <si>
    <t>Victory Crossings</t>
  </si>
  <si>
    <t>2018-1272</t>
  </si>
  <si>
    <t>Rivertown - Parcel 21 Phase 1 &amp; 2 (The Arbor) (removed Parcel 22 3/19/19)</t>
  </si>
  <si>
    <t>2018-1473</t>
  </si>
  <si>
    <t>Blair Estates</t>
  </si>
  <si>
    <t>2018-1786</t>
  </si>
  <si>
    <t>Natural Park S/D</t>
  </si>
  <si>
    <t>2018-1818</t>
  </si>
  <si>
    <t>Scarlet Oaks</t>
  </si>
  <si>
    <t>2018-1913</t>
  </si>
  <si>
    <t>Old Town (Anderson-Greenbriar PUD)</t>
  </si>
  <si>
    <t>2018-2198</t>
  </si>
  <si>
    <t>Camfield Landing Residential Subdivision</t>
  </si>
  <si>
    <t>2018-2244</t>
  </si>
  <si>
    <t>The Fountains at St Johns CR 210</t>
  </si>
  <si>
    <t>2018-2250</t>
  </si>
  <si>
    <t>Jacks Road</t>
  </si>
  <si>
    <t>2018-2354</t>
  </si>
  <si>
    <t>South Park Townhomes</t>
  </si>
  <si>
    <t>2018-2702</t>
  </si>
  <si>
    <t>Shoppes at River Town</t>
  </si>
  <si>
    <t>2018-2746</t>
  </si>
  <si>
    <t>Olde Manarin Estates / Hood Rd Subd</t>
  </si>
  <si>
    <t>2018-2772</t>
  </si>
  <si>
    <t>Hampton Lakes - Phase 5</t>
  </si>
  <si>
    <t>2018-3039</t>
  </si>
  <si>
    <t>Yellow Bluff Road</t>
  </si>
  <si>
    <t>2018-3323</t>
  </si>
  <si>
    <t>Shearwater Phase 2E</t>
  </si>
  <si>
    <t>2019-0386</t>
  </si>
  <si>
    <t>Azalea Hills / Gillespie</t>
  </si>
  <si>
    <t>2019-0441</t>
  </si>
  <si>
    <t>Dunns River Subdivision / Faye Rd</t>
  </si>
  <si>
    <t>2019-0531</t>
  </si>
  <si>
    <t>Blackrock Cove</t>
  </si>
  <si>
    <t>2019-0756</t>
  </si>
  <si>
    <t>Durbin Creek Crossing</t>
  </si>
  <si>
    <t>2019-0802</t>
  </si>
  <si>
    <t>Tamaya Parcel B/B-1</t>
  </si>
  <si>
    <t>2019-0983</t>
  </si>
  <si>
    <t>Sunbeam Townhomes</t>
  </si>
  <si>
    <t>2019-1005</t>
  </si>
  <si>
    <t>Yellow Bluff Road Residential</t>
  </si>
  <si>
    <t>2019-1112</t>
  </si>
  <si>
    <t>Rivergate - Arlington Expressway - Multi-Family Site</t>
  </si>
  <si>
    <t>2019-1190</t>
  </si>
  <si>
    <t>Enclave at Mill Creek</t>
  </si>
  <si>
    <t>2019-1219</t>
  </si>
  <si>
    <t>River Landing/TMV PHase 6</t>
  </si>
  <si>
    <t>2019-1224</t>
  </si>
  <si>
    <t>RiverTown The Haven (Parcel 26)</t>
  </si>
  <si>
    <t>2019-1374</t>
  </si>
  <si>
    <t>Gentle Woods fka Autumn Wood</t>
  </si>
  <si>
    <t>2019-1551</t>
  </si>
  <si>
    <t>Deep Creek Phase 2</t>
  </si>
  <si>
    <t>2019-1740</t>
  </si>
  <si>
    <t>Sapp Road Subdivision</t>
  </si>
  <si>
    <t>2019-1776</t>
  </si>
  <si>
    <t>Crossroads FKA Middlebourne</t>
  </si>
  <si>
    <t>2019-1868</t>
  </si>
  <si>
    <t>Hudson Grove Preserve New Berlin Rd</t>
  </si>
  <si>
    <t>2019-2002</t>
  </si>
  <si>
    <t>Walkers Ridge S/D</t>
  </si>
  <si>
    <t>2019-2151</t>
  </si>
  <si>
    <t>Wells Creek West Phase Two</t>
  </si>
  <si>
    <t>2019-2566</t>
  </si>
  <si>
    <t>Crosswater Village Phase 6</t>
  </si>
  <si>
    <t>2019-2905</t>
  </si>
  <si>
    <t>SEQ Phase 1</t>
  </si>
  <si>
    <t>2019-3087</t>
  </si>
  <si>
    <t>Stillwater Subdivision</t>
  </si>
  <si>
    <t>2019-3169</t>
  </si>
  <si>
    <t>Oakleaf Parcel 9</t>
  </si>
  <si>
    <t>2019-3253</t>
  </si>
  <si>
    <t>Girvin Road aka Palmetto Bluff</t>
  </si>
  <si>
    <t>2019-3800</t>
  </si>
  <si>
    <t>Edison Parcel E8 Single Family</t>
  </si>
  <si>
    <t>2019-4249</t>
  </si>
  <si>
    <t>Wells Creek Phase 2</t>
  </si>
  <si>
    <t>2020-0195</t>
  </si>
  <si>
    <t>Rivertown - Parcel 1</t>
  </si>
  <si>
    <t>2020-0510</t>
  </si>
  <si>
    <t>Marietta Estates</t>
  </si>
  <si>
    <t>2020-0649</t>
  </si>
  <si>
    <t>Longleaf Phase 6A</t>
  </si>
  <si>
    <t>2020-1065</t>
  </si>
  <si>
    <t>Edison E-8 Townhomes</t>
  </si>
  <si>
    <t>2020-1280</t>
  </si>
  <si>
    <t>Monterey Pines Phases 3</t>
  </si>
  <si>
    <t>2020-1589</t>
  </si>
  <si>
    <t>Copper Ridge Subdivision</t>
  </si>
  <si>
    <t>2019-3212</t>
  </si>
  <si>
    <t>Arbors at Lem Turner Phase 1</t>
  </si>
  <si>
    <t>2020-2839</t>
  </si>
  <si>
    <t>Rivertown Parcel 47</t>
  </si>
  <si>
    <t>2019-0477</t>
  </si>
  <si>
    <t>Bridgewater</t>
  </si>
  <si>
    <t>2020-2934</t>
  </si>
  <si>
    <t>2018-2174 Shearwater Phase 2D</t>
  </si>
  <si>
    <t>2019-3147</t>
  </si>
  <si>
    <t>Old Gainesville Way</t>
  </si>
  <si>
    <t>2020-3283</t>
  </si>
  <si>
    <t>Exline Estates</t>
  </si>
  <si>
    <t>2020-0922</t>
  </si>
  <si>
    <t>Wells Creek Phase 3</t>
  </si>
  <si>
    <t>2018-3184</t>
  </si>
  <si>
    <t>Sawyer Preserve</t>
  </si>
  <si>
    <t>2019-1266</t>
  </si>
  <si>
    <t>Garden Street Estates</t>
  </si>
  <si>
    <t>2020-0662</t>
  </si>
  <si>
    <t>Wildlight Phase 1C2 and 1C3</t>
  </si>
  <si>
    <t>2019-4181</t>
  </si>
  <si>
    <t>Terrell Pappy</t>
  </si>
  <si>
    <t>2019-3606</t>
  </si>
  <si>
    <t>Amelia Concourse Crossing Phase 3</t>
  </si>
  <si>
    <t>2020-3764</t>
  </si>
  <si>
    <t>Trout River Duplexes</t>
  </si>
  <si>
    <t>2019-3517</t>
  </si>
  <si>
    <t>Love's Travel Stop Duval Road</t>
  </si>
  <si>
    <t>2021-0578</t>
  </si>
  <si>
    <t>Percy Oaks</t>
  </si>
  <si>
    <t>2021-0815</t>
  </si>
  <si>
    <t>Westlake SET East</t>
  </si>
  <si>
    <t>2021-0981</t>
  </si>
  <si>
    <t>Stonecrest Subdivision</t>
  </si>
  <si>
    <t>2020-0720</t>
  </si>
  <si>
    <t>Kendall Town Multi-Family Site</t>
  </si>
  <si>
    <t>2020-3171</t>
  </si>
  <si>
    <t>South Village Phase 1</t>
  </si>
  <si>
    <t>2020-2308</t>
  </si>
  <si>
    <t>Main St Subdivision</t>
  </si>
  <si>
    <t>2020-2973</t>
  </si>
  <si>
    <t>Big Cypress PUD</t>
  </si>
  <si>
    <t>2021-1498</t>
  </si>
  <si>
    <t>Morgans Walk</t>
  </si>
  <si>
    <t>2020-2849</t>
  </si>
  <si>
    <t>Miner Road Subdivision</t>
  </si>
  <si>
    <t>2020-2869</t>
  </si>
  <si>
    <t>Liberty Square South Townhomes</t>
  </si>
  <si>
    <t>2020-0710</t>
  </si>
  <si>
    <t>Jones Road Parcel</t>
  </si>
  <si>
    <t>2021-0656</t>
  </si>
  <si>
    <t>Palmetto Cove</t>
  </si>
  <si>
    <t>2020-4176</t>
  </si>
  <si>
    <t>Cope's Landing</t>
  </si>
  <si>
    <t>2021-2212</t>
  </si>
  <si>
    <t>Dunn's Crossing Unit 4</t>
  </si>
  <si>
    <t>2021-2351</t>
  </si>
  <si>
    <t>Shearwater - Phase 3E Lots</t>
  </si>
  <si>
    <t>2021-2447</t>
  </si>
  <si>
    <t>Bridgewater Phase 2</t>
  </si>
  <si>
    <t>2018-2042</t>
  </si>
  <si>
    <t>330 A1A North</t>
  </si>
  <si>
    <t>2021-1821</t>
  </si>
  <si>
    <t>Rivertown Settlement (Parcel 29)</t>
  </si>
  <si>
    <t>2021-1407</t>
  </si>
  <si>
    <t>Palm Crest at Nocatee</t>
  </si>
  <si>
    <t>2020-1861</t>
  </si>
  <si>
    <t>Radio Lane</t>
  </si>
  <si>
    <t>2020-2433</t>
  </si>
  <si>
    <t>Wildlight Phase 7</t>
  </si>
  <si>
    <t>2021-0170</t>
  </si>
  <si>
    <t>Pecan Park</t>
  </si>
  <si>
    <t>2020-2817</t>
  </si>
  <si>
    <t>Powers Avenue Project</t>
  </si>
  <si>
    <t>2021-3395</t>
  </si>
  <si>
    <t>2021-1167</t>
  </si>
  <si>
    <t>Old Kings</t>
  </si>
  <si>
    <t>2021-2934</t>
  </si>
  <si>
    <t>Samaritan</t>
  </si>
  <si>
    <t>2021-3699</t>
  </si>
  <si>
    <t>River City Station Townhomes</t>
  </si>
  <si>
    <t>2021-0083</t>
  </si>
  <si>
    <t>Tamaya Parcel F</t>
  </si>
  <si>
    <t>2018-2701</t>
  </si>
  <si>
    <t>Villages of Westport Phase 4</t>
  </si>
  <si>
    <t>2021-4411</t>
  </si>
  <si>
    <t>Rivertown Bluff (Parcel 35)</t>
  </si>
  <si>
    <t>2021-0649</t>
  </si>
  <si>
    <t>Coral Ridge at Nocatee</t>
  </si>
  <si>
    <t>2021-0985</t>
  </si>
  <si>
    <t>Deep Creek Phase 3</t>
  </si>
  <si>
    <t>2021-2635</t>
  </si>
  <si>
    <t>ETown Parcel E-10</t>
  </si>
  <si>
    <t>2020-2881</t>
  </si>
  <si>
    <t>Sadler Trace (fka Bethel Towns)</t>
  </si>
  <si>
    <t>2020-3485</t>
  </si>
  <si>
    <t>Baymeadows Circle West Townhomes</t>
  </si>
  <si>
    <t>2020-3176</t>
  </si>
  <si>
    <t>Ashers Landing</t>
  </si>
  <si>
    <t>2021-2231</t>
  </si>
  <si>
    <t>Dupont MF Site</t>
  </si>
  <si>
    <t>2021-0628</t>
  </si>
  <si>
    <t>Austin Park West Development</t>
  </si>
  <si>
    <t>2021-1104</t>
  </si>
  <si>
    <t>Beackwalk Industrial North</t>
  </si>
  <si>
    <t>2022-0832</t>
  </si>
  <si>
    <t>Crosswater Phase 7</t>
  </si>
  <si>
    <t>2021-4949</t>
  </si>
  <si>
    <t>Three Rivers Units 10 and 15</t>
  </si>
  <si>
    <t>2021-0951</t>
  </si>
  <si>
    <t>Wingate Landing</t>
  </si>
  <si>
    <t>2020-3302</t>
  </si>
  <si>
    <t>Fountains North at St. Johns</t>
  </si>
  <si>
    <t>2022-1599</t>
  </si>
  <si>
    <t>Old Saint Augustine Road Townhomes</t>
  </si>
  <si>
    <t>2020-2300</t>
  </si>
  <si>
    <t>Belfort LANDING</t>
  </si>
  <si>
    <t>2021-1142</t>
  </si>
  <si>
    <t>Hawkes Meadow</t>
  </si>
  <si>
    <t>2022-2117</t>
  </si>
  <si>
    <t>New Berlin Road Parcel</t>
  </si>
  <si>
    <t>2020-2736</t>
  </si>
  <si>
    <t>Saddle Oaks Phase 1</t>
  </si>
  <si>
    <t>2022-2507</t>
  </si>
  <si>
    <t>Watersong Phase 4</t>
  </si>
  <si>
    <t>2021-0271</t>
  </si>
  <si>
    <t>Normandy Towns</t>
  </si>
  <si>
    <t>2021-3819</t>
  </si>
  <si>
    <t>OWENS ROAD RESIDENTIAL DEVELOPMENT</t>
  </si>
  <si>
    <t>2021-3269</t>
  </si>
  <si>
    <t>Soutel Drive</t>
  </si>
  <si>
    <t>2021-2917</t>
  </si>
  <si>
    <t>GOCA Charter School</t>
  </si>
  <si>
    <t>2021-2236</t>
  </si>
  <si>
    <t>Ramona Blvd Townhomes</t>
  </si>
  <si>
    <t>2021-5330</t>
  </si>
  <si>
    <t>Old Kings Road Residential</t>
  </si>
  <si>
    <t>2021-4413</t>
  </si>
  <si>
    <t>New Berlin Townhomes</t>
  </si>
  <si>
    <t>2021-3610</t>
  </si>
  <si>
    <t>Simpler Landing</t>
  </si>
  <si>
    <t>2021-1551</t>
  </si>
  <si>
    <t>Rivertown Parcel 19 Phase 1</t>
  </si>
  <si>
    <t>2021-2205</t>
  </si>
  <si>
    <t>Normandy Property - Bellbrook</t>
  </si>
  <si>
    <t>2022-1199</t>
  </si>
  <si>
    <t>Seabrook Village Phase 2 &amp; 3</t>
  </si>
  <si>
    <t>2021-6105</t>
  </si>
  <si>
    <t>Oak Creek Preserve</t>
  </si>
  <si>
    <t>2022-0458</t>
  </si>
  <si>
    <t>Britton Lane Townhomes</t>
  </si>
  <si>
    <t>2019-3760</t>
  </si>
  <si>
    <t>River Glen Phases 3-5</t>
  </si>
  <si>
    <t>2022-3574</t>
  </si>
  <si>
    <t>Saddle Oaks Phase 2</t>
  </si>
  <si>
    <t>2021-2315</t>
  </si>
  <si>
    <t>Darby Subdivision</t>
  </si>
  <si>
    <t>2022-0497</t>
  </si>
  <si>
    <t>Shearwater-Phase 3H</t>
  </si>
  <si>
    <t>2023-3019</t>
  </si>
  <si>
    <t>Landings at St. Johns – Phase 1</t>
  </si>
  <si>
    <t>Range</t>
  </si>
  <si>
    <t>&lt; 50 GPM</t>
  </si>
  <si>
    <t>50 - 100 GPM</t>
  </si>
  <si>
    <t>over 100 GPM</t>
  </si>
  <si>
    <t>Current</t>
  </si>
  <si>
    <t>Total</t>
  </si>
  <si>
    <t xml:space="preserve"> Proposed</t>
  </si>
  <si>
    <t>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</si>
</sst>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applyFill="1" applyBorder="1" applyAlignment="1">
      <alignment horizontal="center"/>
    </xf>
    <xf numFmtId="3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E64FF-316B-4FB0-A690-DDAACEB80FB3}">
  <sheetPr>
    <tabColor rgb="FFFFFF00"/>
  </sheetPr>
  <dimension ref="A2:F6"/>
  <sheetViews>
    <sheetView tabSelected="1" workbookViewId="0">
      <selection activeCell="A2" sqref="A2:F6"/>
    </sheetView>
  </sheetViews>
  <sheetFormatPr defaultRowHeight="15" x14ac:dyDescent="0.25"/>
  <cols>
    <col min="1" max="1" width="12.5703125" bestFit="1" customWidth="1"/>
    <col min="2" max="4" width="13" customWidth="1"/>
    <col min="5" max="5" width="3.140625" customWidth="1"/>
    <col min="6" max="6" width="9.85546875" bestFit="1" customWidth="1"/>
  </cols>
  <sheetData>
    <row r="2" spans="1:6" x14ac:dyDescent="0.25">
      <c r="A2" s="4" t="s">
        <v>278</v>
      </c>
      <c r="B2" s="4" t="s">
        <v>283</v>
      </c>
      <c r="C2" s="4" t="s">
        <v>282</v>
      </c>
      <c r="D2" s="4" t="s">
        <v>284</v>
      </c>
      <c r="E2" s="3"/>
    </row>
    <row r="3" spans="1:6" x14ac:dyDescent="0.25">
      <c r="A3" s="3" t="s">
        <v>279</v>
      </c>
      <c r="B3" s="3">
        <v>17</v>
      </c>
      <c r="C3" s="3">
        <v>0</v>
      </c>
      <c r="D3" s="3">
        <f>COUNTIF('Under 50 GPM (17)'!H:H,"&lt;2")</f>
        <v>1</v>
      </c>
      <c r="E3" s="3"/>
    </row>
    <row r="4" spans="1:6" x14ac:dyDescent="0.25">
      <c r="A4" s="3" t="s">
        <v>280</v>
      </c>
      <c r="B4" s="3">
        <v>34</v>
      </c>
      <c r="C4" s="3">
        <v>0</v>
      </c>
      <c r="D4" s="3">
        <v>4</v>
      </c>
      <c r="E4" s="3"/>
    </row>
    <row r="5" spans="1:6" x14ac:dyDescent="0.25">
      <c r="A5" s="4" t="s">
        <v>281</v>
      </c>
      <c r="B5" s="4">
        <v>71</v>
      </c>
      <c r="C5" s="4">
        <v>71</v>
      </c>
      <c r="D5" s="4">
        <f>COUNTIF('Over 100 GPM (71)'!H:H,"&lt;2")</f>
        <v>12</v>
      </c>
      <c r="F5" s="3" t="s">
        <v>285</v>
      </c>
    </row>
    <row r="6" spans="1:6" x14ac:dyDescent="0.25">
      <c r="A6" s="6" t="s">
        <v>283</v>
      </c>
      <c r="B6" s="3">
        <f>SUM(B3:B5)</f>
        <v>122</v>
      </c>
      <c r="C6" s="3">
        <f>SUM(C3:C5)</f>
        <v>71</v>
      </c>
      <c r="D6" s="3">
        <f>SUM(D3:D5)</f>
        <v>17</v>
      </c>
      <c r="F6" s="5">
        <f>1-D6/C6</f>
        <v>0.76056338028169013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6416A-783C-47B3-AF56-5C6861FE7968}">
  <sheetPr>
    <tabColor theme="0" tint="-0.249977111117893"/>
  </sheetPr>
  <dimension ref="A1:H142"/>
  <sheetViews>
    <sheetView topLeftCell="A111" workbookViewId="0">
      <selection activeCell="G129" sqref="G129"/>
    </sheetView>
  </sheetViews>
  <sheetFormatPr defaultRowHeight="15" x14ac:dyDescent="0.25"/>
  <cols>
    <col min="3" max="3" width="9.28515625" style="2" bestFit="1" customWidth="1"/>
    <col min="4" max="6" width="9.28515625" style="1" bestFit="1" customWidth="1"/>
    <col min="7" max="7" width="12.7109375" style="1" bestFit="1" customWidth="1"/>
    <col min="8" max="8" width="9.28515625" style="1" bestFit="1" customWidth="1"/>
  </cols>
  <sheetData>
    <row r="1" spans="1:8" x14ac:dyDescent="0.25">
      <c r="A1" t="s">
        <v>0</v>
      </c>
      <c r="B1" t="s">
        <v>1</v>
      </c>
      <c r="C1" s="2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2024</v>
      </c>
      <c r="D2" s="1">
        <v>106750</v>
      </c>
      <c r="E2" s="1">
        <v>3.7815312356376798</v>
      </c>
      <c r="F2" s="1">
        <v>280.33226347522401</v>
      </c>
      <c r="G2" s="1">
        <v>72547.254722222206</v>
      </c>
      <c r="H2" s="1">
        <v>4.3131707247956497</v>
      </c>
    </row>
    <row r="3" spans="1:8" x14ac:dyDescent="0.25">
      <c r="A3" t="s">
        <v>10</v>
      </c>
      <c r="B3" t="s">
        <v>11</v>
      </c>
      <c r="C3" s="2">
        <v>2022</v>
      </c>
      <c r="D3" s="1">
        <v>74640</v>
      </c>
      <c r="E3" s="1">
        <v>3.87832235031633</v>
      </c>
      <c r="F3" s="1">
        <v>201.02637515806299</v>
      </c>
      <c r="G3" s="1">
        <v>26153.293611111101</v>
      </c>
      <c r="H3" s="1">
        <v>2.1683136180967399</v>
      </c>
    </row>
    <row r="4" spans="1:8" x14ac:dyDescent="0.25">
      <c r="A4" t="s">
        <v>12</v>
      </c>
      <c r="B4" t="s">
        <v>13</v>
      </c>
      <c r="C4" s="2">
        <v>2022</v>
      </c>
      <c r="D4" s="1">
        <v>46250</v>
      </c>
      <c r="E4" s="1">
        <v>3.99140599477942</v>
      </c>
      <c r="F4" s="1">
        <v>128.19619948510299</v>
      </c>
      <c r="G4" s="1">
        <v>33298.4555555556</v>
      </c>
      <c r="H4" s="1">
        <v>4.3291007181827599</v>
      </c>
    </row>
    <row r="5" spans="1:8" x14ac:dyDescent="0.25">
      <c r="A5" t="s">
        <v>14</v>
      </c>
      <c r="B5" t="s">
        <v>15</v>
      </c>
      <c r="C5" s="2">
        <v>2020</v>
      </c>
      <c r="D5" s="1">
        <v>13750</v>
      </c>
      <c r="E5" s="1">
        <v>4.2030676790564598</v>
      </c>
      <c r="F5" s="1">
        <v>40.133458740990498</v>
      </c>
      <c r="G5" s="1" t="s">
        <v>16</v>
      </c>
      <c r="H5" s="1" t="s">
        <v>16</v>
      </c>
    </row>
    <row r="6" spans="1:8" x14ac:dyDescent="0.25">
      <c r="A6" t="s">
        <v>17</v>
      </c>
      <c r="B6" t="s">
        <v>18</v>
      </c>
      <c r="C6" s="2">
        <v>2022</v>
      </c>
      <c r="D6" s="1">
        <v>60742</v>
      </c>
      <c r="E6" s="1">
        <v>3.9292554215281799</v>
      </c>
      <c r="F6" s="1">
        <v>165.74363389893401</v>
      </c>
      <c r="G6" s="1">
        <v>199839531.22694501</v>
      </c>
      <c r="H6" s="1">
        <v>12</v>
      </c>
    </row>
    <row r="7" spans="1:8" x14ac:dyDescent="0.25">
      <c r="A7" t="s">
        <v>19</v>
      </c>
      <c r="B7" t="s">
        <v>20</v>
      </c>
      <c r="C7" s="2">
        <v>2020</v>
      </c>
      <c r="D7" s="1">
        <v>28100</v>
      </c>
      <c r="E7" s="1">
        <v>4.09044337189445</v>
      </c>
      <c r="F7" s="1">
        <v>79.820457465440199</v>
      </c>
      <c r="G7" s="1" t="s">
        <v>16</v>
      </c>
      <c r="H7" s="1" t="s">
        <v>16</v>
      </c>
    </row>
    <row r="8" spans="1:8" x14ac:dyDescent="0.25">
      <c r="A8" t="s">
        <v>21</v>
      </c>
      <c r="B8" t="s">
        <v>22</v>
      </c>
      <c r="C8" s="2">
        <v>2021</v>
      </c>
      <c r="D8" s="1">
        <v>47400</v>
      </c>
      <c r="E8" s="1">
        <v>3.98604456346047</v>
      </c>
      <c r="F8" s="1">
        <v>131.20730021390699</v>
      </c>
      <c r="G8" s="1">
        <v>20256.660555555602</v>
      </c>
      <c r="H8" s="1">
        <v>2.5731114709993501</v>
      </c>
    </row>
    <row r="9" spans="1:8" x14ac:dyDescent="0.25">
      <c r="A9" t="s">
        <v>23</v>
      </c>
      <c r="B9" t="s">
        <v>24</v>
      </c>
      <c r="C9" s="2">
        <v>2021</v>
      </c>
      <c r="D9" s="1">
        <v>51450</v>
      </c>
      <c r="E9" s="1">
        <v>3.9678078363216902</v>
      </c>
      <c r="F9" s="1">
        <v>141.76646748524399</v>
      </c>
      <c r="G9" s="1">
        <v>29102.8177777778</v>
      </c>
      <c r="H9" s="1">
        <v>3.4214505839573799</v>
      </c>
    </row>
    <row r="10" spans="1:8" x14ac:dyDescent="0.25">
      <c r="A10" t="s">
        <v>25</v>
      </c>
      <c r="B10" t="s">
        <v>26</v>
      </c>
      <c r="C10" s="2">
        <v>2022</v>
      </c>
      <c r="D10" s="1">
        <v>21000</v>
      </c>
      <c r="E10" s="1">
        <v>4.1402402803712404</v>
      </c>
      <c r="F10" s="1">
        <v>60.378504088747199</v>
      </c>
      <c r="G10" s="1">
        <v>13052.853055555601</v>
      </c>
      <c r="H10" s="1">
        <v>3.6030629478028202</v>
      </c>
    </row>
    <row r="11" spans="1:8" x14ac:dyDescent="0.25">
      <c r="A11" t="s">
        <v>27</v>
      </c>
      <c r="B11" t="s">
        <v>28</v>
      </c>
      <c r="C11" s="2">
        <v>2020</v>
      </c>
      <c r="D11" s="1">
        <v>73500</v>
      </c>
      <c r="E11" s="1">
        <v>3.8822469872494199</v>
      </c>
      <c r="F11" s="1">
        <v>198.15635664085599</v>
      </c>
      <c r="G11" s="1">
        <v>49348.602764416697</v>
      </c>
      <c r="H11" s="1">
        <v>4.1506451101690196</v>
      </c>
    </row>
    <row r="12" spans="1:8" x14ac:dyDescent="0.25">
      <c r="A12" t="s">
        <v>29</v>
      </c>
      <c r="B12" t="s">
        <v>30</v>
      </c>
      <c r="C12" s="2">
        <v>2022</v>
      </c>
      <c r="D12" s="1">
        <v>14000</v>
      </c>
      <c r="E12" s="1">
        <v>4.2006103189480797</v>
      </c>
      <c r="F12" s="1">
        <v>40.839266989773002</v>
      </c>
      <c r="G12" s="1">
        <v>12533.1244444444</v>
      </c>
      <c r="H12" s="1">
        <v>5.1148177429265997</v>
      </c>
    </row>
    <row r="13" spans="1:8" x14ac:dyDescent="0.25">
      <c r="A13" t="s">
        <v>31</v>
      </c>
      <c r="B13" t="s">
        <v>32</v>
      </c>
      <c r="C13" s="2">
        <v>2021</v>
      </c>
      <c r="D13" s="1">
        <v>19250</v>
      </c>
      <c r="E13" s="1">
        <v>4.1540423804412798</v>
      </c>
      <c r="F13" s="1">
        <v>55.531469321871299</v>
      </c>
      <c r="G13" s="1">
        <v>9291.0513888888909</v>
      </c>
      <c r="H13" s="1">
        <v>2.7885243875672598</v>
      </c>
    </row>
    <row r="14" spans="1:8" x14ac:dyDescent="0.25">
      <c r="A14" t="s">
        <v>33</v>
      </c>
      <c r="B14" t="s">
        <v>34</v>
      </c>
      <c r="C14" s="2">
        <v>2020</v>
      </c>
      <c r="D14" s="1">
        <v>22400</v>
      </c>
      <c r="E14" s="1">
        <v>4.1296900762505304</v>
      </c>
      <c r="F14" s="1">
        <v>64.2396234083417</v>
      </c>
      <c r="G14" s="1" t="s">
        <v>16</v>
      </c>
      <c r="H14" s="1" t="s">
        <v>16</v>
      </c>
    </row>
    <row r="15" spans="1:8" x14ac:dyDescent="0.25">
      <c r="A15" t="s">
        <v>35</v>
      </c>
      <c r="B15" t="s">
        <v>36</v>
      </c>
      <c r="C15" s="2">
        <v>2023</v>
      </c>
      <c r="D15" s="1">
        <v>59360</v>
      </c>
      <c r="E15" s="1">
        <v>3.9347309066891301</v>
      </c>
      <c r="F15" s="1">
        <v>162.198351820185</v>
      </c>
      <c r="G15" s="1">
        <v>38112.5088888889</v>
      </c>
      <c r="H15" s="1">
        <v>3.9162449824747898</v>
      </c>
    </row>
    <row r="16" spans="1:8" x14ac:dyDescent="0.25">
      <c r="A16" t="s">
        <v>37</v>
      </c>
      <c r="B16" t="s">
        <v>38</v>
      </c>
      <c r="C16" s="2">
        <v>2020</v>
      </c>
      <c r="D16" s="1">
        <v>10150</v>
      </c>
      <c r="E16" s="1">
        <v>4.2417983425995702</v>
      </c>
      <c r="F16" s="1">
        <v>29.898786928740002</v>
      </c>
      <c r="G16" s="1" t="s">
        <v>16</v>
      </c>
      <c r="H16" s="1" t="s">
        <v>16</v>
      </c>
    </row>
    <row r="17" spans="1:8" x14ac:dyDescent="0.25">
      <c r="A17" t="s">
        <v>39</v>
      </c>
      <c r="B17" t="s">
        <v>40</v>
      </c>
      <c r="C17" s="2">
        <v>2020</v>
      </c>
      <c r="D17" s="1">
        <v>27900</v>
      </c>
      <c r="E17" s="1">
        <v>4.09173315425884</v>
      </c>
      <c r="F17" s="1">
        <v>79.277329863765004</v>
      </c>
      <c r="G17" s="1" t="s">
        <v>16</v>
      </c>
      <c r="H17" s="1" t="s">
        <v>16</v>
      </c>
    </row>
    <row r="18" spans="1:8" x14ac:dyDescent="0.25">
      <c r="A18" t="s">
        <v>41</v>
      </c>
      <c r="B18" t="s">
        <v>42</v>
      </c>
      <c r="C18" s="2">
        <v>2023</v>
      </c>
      <c r="D18" s="1">
        <v>52150</v>
      </c>
      <c r="E18" s="1">
        <v>3.96475149620872</v>
      </c>
      <c r="F18" s="1">
        <v>143.584576755059</v>
      </c>
      <c r="G18" s="1">
        <v>22197.081666666701</v>
      </c>
      <c r="H18" s="1">
        <v>2.5765396916008001</v>
      </c>
    </row>
    <row r="19" spans="1:8" x14ac:dyDescent="0.25">
      <c r="A19" t="s">
        <v>43</v>
      </c>
      <c r="B19" t="s">
        <v>44</v>
      </c>
      <c r="C19" s="2">
        <v>2021</v>
      </c>
      <c r="D19" s="1">
        <v>33000</v>
      </c>
      <c r="E19" s="1">
        <v>4.0604730245594602</v>
      </c>
      <c r="F19" s="1">
        <v>93.052506812820994</v>
      </c>
      <c r="G19" s="1">
        <v>14271.576111111101</v>
      </c>
      <c r="H19" s="1">
        <v>2.5561869314312702</v>
      </c>
    </row>
    <row r="20" spans="1:8" x14ac:dyDescent="0.25">
      <c r="A20" t="s">
        <v>45</v>
      </c>
      <c r="B20" t="s">
        <v>46</v>
      </c>
      <c r="C20" s="2">
        <v>2021</v>
      </c>
      <c r="D20" s="1">
        <v>18565</v>
      </c>
      <c r="E20" s="1">
        <v>4.1596494989432404</v>
      </c>
      <c r="F20" s="1">
        <v>53.627703436028703</v>
      </c>
      <c r="G20" s="1" t="s">
        <v>16</v>
      </c>
      <c r="H20" s="1" t="s">
        <v>16</v>
      </c>
    </row>
    <row r="21" spans="1:8" x14ac:dyDescent="0.25">
      <c r="A21" t="s">
        <v>47</v>
      </c>
      <c r="B21" t="s">
        <v>48</v>
      </c>
      <c r="C21" s="2">
        <v>2022</v>
      </c>
      <c r="D21" s="1">
        <v>29050</v>
      </c>
      <c r="E21" s="1">
        <v>4.0843930572075102</v>
      </c>
      <c r="F21" s="1">
        <v>82.396957161026506</v>
      </c>
      <c r="G21" s="1">
        <v>13896.2288888889</v>
      </c>
      <c r="H21" s="1">
        <v>2.8108297053032798</v>
      </c>
    </row>
    <row r="22" spans="1:8" x14ac:dyDescent="0.25">
      <c r="A22" t="s">
        <v>49</v>
      </c>
      <c r="B22" t="s">
        <v>50</v>
      </c>
      <c r="C22" s="2">
        <v>2020</v>
      </c>
      <c r="D22" s="1">
        <v>67550</v>
      </c>
      <c r="E22" s="1">
        <v>3.9034269970742299</v>
      </c>
      <c r="F22" s="1">
        <v>183.10867614747499</v>
      </c>
      <c r="G22" s="1" t="s">
        <v>16</v>
      </c>
      <c r="H22" s="1" t="s">
        <v>16</v>
      </c>
    </row>
    <row r="23" spans="1:8" x14ac:dyDescent="0.25">
      <c r="A23" t="s">
        <v>51</v>
      </c>
      <c r="B23" t="s">
        <v>52</v>
      </c>
      <c r="C23" s="2">
        <v>2021</v>
      </c>
      <c r="D23" s="1">
        <v>10500</v>
      </c>
      <c r="E23" s="1">
        <v>4.2377150997870103</v>
      </c>
      <c r="F23" s="1">
        <v>30.900005935946901</v>
      </c>
      <c r="G23" s="1">
        <v>7247.0148611111099</v>
      </c>
      <c r="H23" s="1">
        <v>3.9088530037467502</v>
      </c>
    </row>
    <row r="24" spans="1:8" x14ac:dyDescent="0.25">
      <c r="A24" t="s">
        <v>53</v>
      </c>
      <c r="B24" t="s">
        <v>54</v>
      </c>
      <c r="C24" s="2">
        <v>2020</v>
      </c>
      <c r="D24" s="1">
        <v>36960</v>
      </c>
      <c r="E24" s="1">
        <v>4.0382291479425003</v>
      </c>
      <c r="F24" s="1">
        <v>103.647881463857</v>
      </c>
      <c r="G24" s="1" t="s">
        <v>16</v>
      </c>
      <c r="H24" s="1" t="s">
        <v>16</v>
      </c>
    </row>
    <row r="25" spans="1:8" x14ac:dyDescent="0.25">
      <c r="A25" t="s">
        <v>55</v>
      </c>
      <c r="B25" t="s">
        <v>56</v>
      </c>
      <c r="C25" s="2">
        <v>2021</v>
      </c>
      <c r="D25" s="1">
        <v>32550</v>
      </c>
      <c r="E25" s="1">
        <v>4.06310472280878</v>
      </c>
      <c r="F25" s="1">
        <v>91.843096338490199</v>
      </c>
      <c r="G25" s="1">
        <v>24200.952777777798</v>
      </c>
      <c r="H25" s="1">
        <v>4.3917205434408304</v>
      </c>
    </row>
    <row r="26" spans="1:8" x14ac:dyDescent="0.25">
      <c r="A26" t="s">
        <v>57</v>
      </c>
      <c r="B26" t="s">
        <v>58</v>
      </c>
      <c r="C26" s="2">
        <v>2021</v>
      </c>
      <c r="D26" s="1">
        <v>17500</v>
      </c>
      <c r="E26" s="1">
        <v>4.1686179977416398</v>
      </c>
      <c r="F26" s="1">
        <v>50.660288166999102</v>
      </c>
      <c r="G26" s="1">
        <v>12982.274722222201</v>
      </c>
      <c r="H26" s="1">
        <v>4.2710227912070602</v>
      </c>
    </row>
    <row r="27" spans="1:8" x14ac:dyDescent="0.25">
      <c r="A27" t="s">
        <v>59</v>
      </c>
      <c r="B27" t="s">
        <v>60</v>
      </c>
      <c r="C27" s="2">
        <v>2024</v>
      </c>
      <c r="D27" s="1">
        <v>77800</v>
      </c>
      <c r="E27" s="1">
        <v>3.86765187492629</v>
      </c>
      <c r="F27" s="1">
        <v>208.96063602032299</v>
      </c>
      <c r="G27" s="1">
        <v>0</v>
      </c>
      <c r="H27" s="1">
        <v>0</v>
      </c>
    </row>
    <row r="28" spans="1:8" x14ac:dyDescent="0.25">
      <c r="A28" t="s">
        <v>61</v>
      </c>
      <c r="B28" t="s">
        <v>62</v>
      </c>
      <c r="C28" s="2">
        <v>2021</v>
      </c>
      <c r="D28" s="1">
        <v>120075</v>
      </c>
      <c r="E28" s="1">
        <v>3.7473673710547999</v>
      </c>
      <c r="F28" s="1">
        <v>312.47578963847502</v>
      </c>
      <c r="G28" s="1" t="s">
        <v>16</v>
      </c>
      <c r="H28" s="1" t="s">
        <v>16</v>
      </c>
    </row>
    <row r="29" spans="1:8" x14ac:dyDescent="0.25">
      <c r="A29" t="s">
        <v>63</v>
      </c>
      <c r="B29" t="s">
        <v>64</v>
      </c>
      <c r="C29" s="2">
        <v>2021</v>
      </c>
      <c r="D29" s="1">
        <v>60760</v>
      </c>
      <c r="E29" s="1">
        <v>3.9291846527411698</v>
      </c>
      <c r="F29" s="1">
        <v>165.78976354205099</v>
      </c>
      <c r="G29" s="1">
        <v>25072.097777777799</v>
      </c>
      <c r="H29" s="1">
        <v>2.5204710313149601</v>
      </c>
    </row>
    <row r="30" spans="1:8" x14ac:dyDescent="0.25">
      <c r="A30" t="s">
        <v>65</v>
      </c>
      <c r="B30" t="s">
        <v>66</v>
      </c>
      <c r="C30" s="2">
        <v>2022</v>
      </c>
      <c r="D30" s="1">
        <v>39600</v>
      </c>
      <c r="E30" s="1">
        <v>4.0242249215182504</v>
      </c>
      <c r="F30" s="1">
        <v>110.666185341752</v>
      </c>
      <c r="G30" s="1">
        <v>29585.3772222222</v>
      </c>
      <c r="H30" s="1">
        <v>4.4556484787800796</v>
      </c>
    </row>
    <row r="31" spans="1:8" x14ac:dyDescent="0.25">
      <c r="A31" t="s">
        <v>67</v>
      </c>
      <c r="B31" t="s">
        <v>68</v>
      </c>
      <c r="C31" s="2">
        <v>2021</v>
      </c>
      <c r="D31" s="1">
        <v>25200</v>
      </c>
      <c r="E31" s="1">
        <v>4.1097317613102504</v>
      </c>
      <c r="F31" s="1">
        <v>71.920305822929294</v>
      </c>
      <c r="G31" s="1">
        <v>13594.058055555601</v>
      </c>
      <c r="H31" s="1">
        <v>3.15025960564014</v>
      </c>
    </row>
    <row r="32" spans="1:8" x14ac:dyDescent="0.25">
      <c r="A32" t="s">
        <v>69</v>
      </c>
      <c r="B32" t="s">
        <v>70</v>
      </c>
      <c r="C32" s="2">
        <v>2021</v>
      </c>
      <c r="D32" s="1">
        <v>47500</v>
      </c>
      <c r="E32" s="1">
        <v>3.9855823429009201</v>
      </c>
      <c r="F32" s="1">
        <v>131.46886200541201</v>
      </c>
      <c r="G32" s="1">
        <v>21888.350416666701</v>
      </c>
      <c r="H32" s="1">
        <v>2.7748459575375302</v>
      </c>
    </row>
    <row r="33" spans="1:8" x14ac:dyDescent="0.25">
      <c r="A33" t="s">
        <v>71</v>
      </c>
      <c r="B33" t="s">
        <v>72</v>
      </c>
      <c r="C33" s="2">
        <v>2021</v>
      </c>
      <c r="D33" s="1">
        <v>18200</v>
      </c>
      <c r="E33" s="1">
        <v>4.1626878162753602</v>
      </c>
      <c r="F33" s="1">
        <v>52.611748789035701</v>
      </c>
      <c r="G33" s="1">
        <v>5742.0748611111103</v>
      </c>
      <c r="H33" s="1">
        <v>1.81900905953404</v>
      </c>
    </row>
    <row r="34" spans="1:8" x14ac:dyDescent="0.25">
      <c r="A34" t="s">
        <v>73</v>
      </c>
      <c r="B34" t="s">
        <v>74</v>
      </c>
      <c r="C34" s="2">
        <v>2022</v>
      </c>
      <c r="D34" s="1">
        <v>29120</v>
      </c>
      <c r="E34" s="1">
        <v>4.0839521137572596</v>
      </c>
      <c r="F34" s="1">
        <v>82.586587189313505</v>
      </c>
      <c r="G34" s="1">
        <v>48986.7043611111</v>
      </c>
      <c r="H34" s="1">
        <v>9.8859282175402807</v>
      </c>
    </row>
    <row r="35" spans="1:8" x14ac:dyDescent="0.25">
      <c r="A35" t="s">
        <v>75</v>
      </c>
      <c r="B35" t="s">
        <v>76</v>
      </c>
      <c r="C35" s="2">
        <v>2021</v>
      </c>
      <c r="D35" s="1">
        <v>93450</v>
      </c>
      <c r="E35" s="1">
        <v>3.8187756379672302</v>
      </c>
      <c r="F35" s="1">
        <v>247.822627338915</v>
      </c>
      <c r="G35" s="1">
        <v>33673.775361111097</v>
      </c>
      <c r="H35" s="1">
        <v>2.2646422377902198</v>
      </c>
    </row>
    <row r="36" spans="1:8" x14ac:dyDescent="0.25">
      <c r="A36" t="s">
        <v>77</v>
      </c>
      <c r="B36" t="s">
        <v>78</v>
      </c>
      <c r="C36" s="2">
        <v>2022</v>
      </c>
      <c r="D36" s="1">
        <v>41300</v>
      </c>
      <c r="E36" s="1">
        <v>4.0155186599529502</v>
      </c>
      <c r="F36" s="1">
        <v>115.167306011151</v>
      </c>
      <c r="G36" s="1">
        <v>13101.4131944444</v>
      </c>
      <c r="H36" s="1">
        <v>1.8959971726084499</v>
      </c>
    </row>
    <row r="37" spans="1:8" x14ac:dyDescent="0.25">
      <c r="A37" t="s">
        <v>79</v>
      </c>
      <c r="B37" t="s">
        <v>80</v>
      </c>
      <c r="C37" s="2">
        <v>2021</v>
      </c>
      <c r="D37" s="1">
        <v>71960</v>
      </c>
      <c r="E37" s="1">
        <v>3.8876146152030602</v>
      </c>
      <c r="F37" s="1">
        <v>194.272741465286</v>
      </c>
      <c r="G37" s="1" t="s">
        <v>16</v>
      </c>
      <c r="H37" s="1" t="s">
        <v>16</v>
      </c>
    </row>
    <row r="38" spans="1:8" x14ac:dyDescent="0.25">
      <c r="A38" t="s">
        <v>81</v>
      </c>
      <c r="B38" t="s">
        <v>82</v>
      </c>
      <c r="C38" s="2">
        <v>2022</v>
      </c>
      <c r="D38" s="1">
        <v>16800</v>
      </c>
      <c r="E38" s="1">
        <v>4.1746909784652999</v>
      </c>
      <c r="F38" s="1">
        <v>48.704728082095201</v>
      </c>
      <c r="G38" s="1">
        <v>16299.0973611111</v>
      </c>
      <c r="H38" s="1">
        <v>5.57752056899482</v>
      </c>
    </row>
    <row r="39" spans="1:8" x14ac:dyDescent="0.25">
      <c r="A39" t="s">
        <v>83</v>
      </c>
      <c r="B39" t="s">
        <v>84</v>
      </c>
      <c r="C39" s="2">
        <v>2022</v>
      </c>
      <c r="D39" s="1">
        <v>113750</v>
      </c>
      <c r="E39" s="1">
        <v>3.7632289113277699</v>
      </c>
      <c r="F39" s="1">
        <v>297.26895046078698</v>
      </c>
      <c r="G39" s="1" t="s">
        <v>16</v>
      </c>
      <c r="H39" s="1" t="s">
        <v>16</v>
      </c>
    </row>
    <row r="40" spans="1:8" x14ac:dyDescent="0.25">
      <c r="A40" t="s">
        <v>85</v>
      </c>
      <c r="B40" t="s">
        <v>86</v>
      </c>
      <c r="C40" s="2">
        <v>2021</v>
      </c>
      <c r="D40" s="1">
        <v>34650</v>
      </c>
      <c r="E40" s="1">
        <v>4.0510112699686101</v>
      </c>
      <c r="F40" s="1">
        <v>97.477458683619602</v>
      </c>
      <c r="G40" s="1">
        <v>15437.9333333333</v>
      </c>
      <c r="H40" s="1">
        <v>2.6395732137826702</v>
      </c>
    </row>
    <row r="41" spans="1:8" x14ac:dyDescent="0.25">
      <c r="A41" t="s">
        <v>87</v>
      </c>
      <c r="B41" t="s">
        <v>88</v>
      </c>
      <c r="C41" s="2">
        <v>2020</v>
      </c>
      <c r="D41" s="1">
        <v>38850</v>
      </c>
      <c r="E41" s="1">
        <v>4.0281415915409404</v>
      </c>
      <c r="F41" s="1">
        <v>108.675903355115</v>
      </c>
      <c r="G41" s="1" t="s">
        <v>16</v>
      </c>
      <c r="H41" s="1" t="s">
        <v>16</v>
      </c>
    </row>
    <row r="42" spans="1:8" x14ac:dyDescent="0.25">
      <c r="A42" t="s">
        <v>89</v>
      </c>
      <c r="B42" t="s">
        <v>90</v>
      </c>
      <c r="C42" s="2">
        <v>2021</v>
      </c>
      <c r="D42" s="1">
        <v>49000</v>
      </c>
      <c r="E42" s="1">
        <v>3.9787234042553199</v>
      </c>
      <c r="F42" s="1">
        <v>135.38711583924399</v>
      </c>
      <c r="G42" s="1">
        <v>30286.414861111101</v>
      </c>
      <c r="H42" s="1">
        <v>3.72837236312707</v>
      </c>
    </row>
    <row r="43" spans="1:8" x14ac:dyDescent="0.25">
      <c r="A43" t="s">
        <v>91</v>
      </c>
      <c r="B43" t="s">
        <v>92</v>
      </c>
      <c r="C43" s="2">
        <v>2021</v>
      </c>
      <c r="D43" s="1">
        <v>92960</v>
      </c>
      <c r="E43" s="1">
        <v>3.8202166307213301</v>
      </c>
      <c r="F43" s="1">
        <v>246.616206938788</v>
      </c>
      <c r="G43" s="1">
        <v>70397.670555555596</v>
      </c>
      <c r="H43" s="1">
        <v>4.75757260166798</v>
      </c>
    </row>
    <row r="44" spans="1:8" x14ac:dyDescent="0.25">
      <c r="A44" t="s">
        <v>93</v>
      </c>
      <c r="B44" t="s">
        <v>94</v>
      </c>
      <c r="C44" s="2">
        <v>2022</v>
      </c>
      <c r="D44" s="1">
        <v>136080</v>
      </c>
      <c r="E44" s="1">
        <v>3.7097473523151701</v>
      </c>
      <c r="F44" s="1">
        <v>350.57112479378299</v>
      </c>
      <c r="G44" s="1">
        <v>156984.243055556</v>
      </c>
      <c r="H44" s="1">
        <v>7.4632617060659898</v>
      </c>
    </row>
    <row r="45" spans="1:8" x14ac:dyDescent="0.25">
      <c r="A45" t="s">
        <v>93</v>
      </c>
      <c r="B45" t="s">
        <v>94</v>
      </c>
      <c r="C45" s="2">
        <v>2023</v>
      </c>
      <c r="D45" s="1">
        <v>136080</v>
      </c>
      <c r="E45" s="1">
        <v>3.7097473523151701</v>
      </c>
      <c r="F45" s="1">
        <v>350.57112479378299</v>
      </c>
      <c r="G45" s="1">
        <v>156984.243055556</v>
      </c>
      <c r="H45" s="1">
        <v>7.4632617060659898</v>
      </c>
    </row>
    <row r="46" spans="1:8" x14ac:dyDescent="0.25">
      <c r="A46" t="s">
        <v>95</v>
      </c>
      <c r="B46" t="s">
        <v>96</v>
      </c>
      <c r="C46" s="2">
        <v>2021</v>
      </c>
      <c r="D46" s="1">
        <v>84700</v>
      </c>
      <c r="E46" s="1">
        <v>3.84533990572</v>
      </c>
      <c r="F46" s="1">
        <v>226.18075695450301</v>
      </c>
      <c r="G46" s="1">
        <v>93791.750833333397</v>
      </c>
      <c r="H46" s="1">
        <v>6.9112680860673903</v>
      </c>
    </row>
    <row r="47" spans="1:8" x14ac:dyDescent="0.25">
      <c r="A47" t="s">
        <v>95</v>
      </c>
      <c r="B47" t="s">
        <v>96</v>
      </c>
      <c r="C47" s="2">
        <v>2023</v>
      </c>
      <c r="D47" s="1">
        <v>84700</v>
      </c>
      <c r="E47" s="1">
        <v>3.84533990572</v>
      </c>
      <c r="F47" s="1">
        <v>226.18075695450301</v>
      </c>
      <c r="G47" s="1">
        <v>93791.750833333397</v>
      </c>
      <c r="H47" s="1">
        <v>6.9112680860673903</v>
      </c>
    </row>
    <row r="48" spans="1:8" x14ac:dyDescent="0.25">
      <c r="A48" t="s">
        <v>95</v>
      </c>
      <c r="B48" t="s">
        <v>96</v>
      </c>
      <c r="C48" s="2">
        <v>2023</v>
      </c>
      <c r="D48" s="1">
        <v>84700</v>
      </c>
      <c r="E48" s="1">
        <v>3.84533990572</v>
      </c>
      <c r="F48" s="1">
        <v>226.18075695450301</v>
      </c>
      <c r="G48" s="1">
        <v>93791.750833333397</v>
      </c>
      <c r="H48" s="1">
        <v>6.9112680860673903</v>
      </c>
    </row>
    <row r="49" spans="1:8" x14ac:dyDescent="0.25">
      <c r="A49" t="s">
        <v>97</v>
      </c>
      <c r="B49" t="s">
        <v>98</v>
      </c>
      <c r="C49" s="2">
        <v>2021</v>
      </c>
      <c r="D49" s="1">
        <v>58500</v>
      </c>
      <c r="E49" s="1">
        <v>3.9381809290596901</v>
      </c>
      <c r="F49" s="1">
        <v>159.98860024305</v>
      </c>
      <c r="G49" s="1">
        <v>20424.111111111099</v>
      </c>
      <c r="H49" s="1">
        <v>2.1276631668426602</v>
      </c>
    </row>
    <row r="50" spans="1:8" x14ac:dyDescent="0.25">
      <c r="A50" t="s">
        <v>99</v>
      </c>
      <c r="B50" t="s">
        <v>100</v>
      </c>
      <c r="C50" s="2">
        <v>2021</v>
      </c>
      <c r="D50" s="1">
        <v>26250</v>
      </c>
      <c r="E50" s="1">
        <v>4.1025979007992603</v>
      </c>
      <c r="F50" s="1">
        <v>74.786940899986405</v>
      </c>
      <c r="G50" s="1">
        <v>16813.029305555599</v>
      </c>
      <c r="H50" s="1">
        <v>3.7468728058730298</v>
      </c>
    </row>
    <row r="51" spans="1:8" x14ac:dyDescent="0.25">
      <c r="A51" t="s">
        <v>101</v>
      </c>
      <c r="B51" t="s">
        <v>102</v>
      </c>
      <c r="C51" s="2">
        <v>2022</v>
      </c>
      <c r="D51" s="1">
        <v>40950</v>
      </c>
      <c r="E51" s="1">
        <v>4.0172921854183903</v>
      </c>
      <c r="F51" s="1">
        <v>114.241746522835</v>
      </c>
      <c r="G51" s="1">
        <v>29339.351805555601</v>
      </c>
      <c r="H51" s="1">
        <v>4.2803021806176398</v>
      </c>
    </row>
    <row r="52" spans="1:8" x14ac:dyDescent="0.25">
      <c r="A52" t="s">
        <v>103</v>
      </c>
      <c r="B52" t="s">
        <v>104</v>
      </c>
      <c r="C52" s="2">
        <v>2021</v>
      </c>
      <c r="D52" s="1">
        <v>45200</v>
      </c>
      <c r="E52" s="1">
        <v>3.9963768757509599</v>
      </c>
      <c r="F52" s="1">
        <v>125.441829711072</v>
      </c>
      <c r="G52" s="1">
        <v>7709.88</v>
      </c>
      <c r="H52" s="1">
        <v>1.02436324706015</v>
      </c>
    </row>
    <row r="53" spans="1:8" x14ac:dyDescent="0.25">
      <c r="A53" t="s">
        <v>105</v>
      </c>
      <c r="B53" t="s">
        <v>106</v>
      </c>
      <c r="C53" s="2">
        <v>2023</v>
      </c>
      <c r="D53" s="1">
        <v>83750</v>
      </c>
      <c r="E53" s="1">
        <v>3.8483361152576299</v>
      </c>
      <c r="F53" s="1">
        <v>223.81815948113001</v>
      </c>
      <c r="G53" s="1">
        <v>8955.8434722222191</v>
      </c>
      <c r="H53" s="1">
        <v>0.66689878165562799</v>
      </c>
    </row>
    <row r="54" spans="1:8" x14ac:dyDescent="0.25">
      <c r="A54" t="s">
        <v>107</v>
      </c>
      <c r="B54" t="s">
        <v>108</v>
      </c>
      <c r="C54" s="2">
        <v>2023</v>
      </c>
      <c r="D54" s="1">
        <v>70000</v>
      </c>
      <c r="E54" s="1">
        <v>3.8945594528446401</v>
      </c>
      <c r="F54" s="1">
        <v>189.31886229105899</v>
      </c>
      <c r="G54" s="1">
        <v>29025.111111111099</v>
      </c>
      <c r="H54" s="1">
        <v>2.55522268620087</v>
      </c>
    </row>
    <row r="55" spans="1:8" x14ac:dyDescent="0.25">
      <c r="A55" t="s">
        <v>109</v>
      </c>
      <c r="B55" t="s">
        <v>110</v>
      </c>
      <c r="C55" s="2">
        <v>2024</v>
      </c>
      <c r="D55" s="1">
        <v>10500</v>
      </c>
      <c r="E55" s="1">
        <v>4.2377150997870103</v>
      </c>
      <c r="F55" s="1">
        <v>30.900005935946901</v>
      </c>
      <c r="G55" s="1" t="s">
        <v>16</v>
      </c>
      <c r="H55" s="1" t="s">
        <v>16</v>
      </c>
    </row>
    <row r="56" spans="1:8" x14ac:dyDescent="0.25">
      <c r="A56" t="s">
        <v>111</v>
      </c>
      <c r="B56" t="s">
        <v>112</v>
      </c>
      <c r="C56" s="2">
        <v>2021</v>
      </c>
      <c r="D56" s="1">
        <v>28750</v>
      </c>
      <c r="E56" s="1">
        <v>4.0862902971306596</v>
      </c>
      <c r="F56" s="1">
        <v>81.583920862851699</v>
      </c>
      <c r="G56" s="1">
        <v>14829.5705555556</v>
      </c>
      <c r="H56" s="1">
        <v>3.0295125147852602</v>
      </c>
    </row>
    <row r="57" spans="1:8" x14ac:dyDescent="0.25">
      <c r="A57" t="s">
        <v>113</v>
      </c>
      <c r="B57" t="s">
        <v>114</v>
      </c>
      <c r="C57" s="2">
        <v>2021</v>
      </c>
      <c r="D57" s="1">
        <v>48720</v>
      </c>
      <c r="E57" s="1">
        <v>3.9799933032525101</v>
      </c>
      <c r="F57" s="1">
        <v>134.656440093377</v>
      </c>
      <c r="G57" s="1">
        <v>21583.444444444402</v>
      </c>
      <c r="H57" s="1">
        <v>2.6714212393007402</v>
      </c>
    </row>
    <row r="58" spans="1:8" x14ac:dyDescent="0.25">
      <c r="A58" t="s">
        <v>115</v>
      </c>
      <c r="B58" t="s">
        <v>116</v>
      </c>
      <c r="C58" s="2">
        <v>2023</v>
      </c>
      <c r="D58" s="1">
        <v>98350</v>
      </c>
      <c r="E58" s="1">
        <v>3.80464691566729</v>
      </c>
      <c r="F58" s="1">
        <v>259.85210010824801</v>
      </c>
      <c r="G58" s="1">
        <v>51698.622638888897</v>
      </c>
      <c r="H58" s="1">
        <v>3.3159005075933798</v>
      </c>
    </row>
    <row r="59" spans="1:8" x14ac:dyDescent="0.25">
      <c r="A59" t="s">
        <v>117</v>
      </c>
      <c r="B59" t="s">
        <v>118</v>
      </c>
      <c r="C59" s="2">
        <v>2023</v>
      </c>
      <c r="D59" s="1">
        <v>56000</v>
      </c>
      <c r="E59" s="1">
        <v>3.9484041008441002</v>
      </c>
      <c r="F59" s="1">
        <v>153.54904836616001</v>
      </c>
      <c r="G59" s="1">
        <v>17627.611111111099</v>
      </c>
      <c r="H59" s="1">
        <v>1.91335290999607</v>
      </c>
    </row>
    <row r="60" spans="1:8" x14ac:dyDescent="0.25">
      <c r="A60" t="s">
        <v>119</v>
      </c>
      <c r="B60" t="s">
        <v>120</v>
      </c>
      <c r="C60" s="2">
        <v>2025</v>
      </c>
      <c r="D60" s="1">
        <v>74900</v>
      </c>
      <c r="E60" s="1">
        <v>3.8774329517333599</v>
      </c>
      <c r="F60" s="1">
        <v>201.680366725575</v>
      </c>
      <c r="G60" s="1">
        <v>12873.4370833333</v>
      </c>
      <c r="H60" s="1">
        <v>1.0638481484624001</v>
      </c>
    </row>
    <row r="61" spans="1:8" x14ac:dyDescent="0.25">
      <c r="A61" t="s">
        <v>119</v>
      </c>
      <c r="B61" t="s">
        <v>120</v>
      </c>
      <c r="C61" s="2">
        <v>2024</v>
      </c>
      <c r="D61" s="1">
        <v>74900</v>
      </c>
      <c r="E61" s="1">
        <v>3.8774329517333599</v>
      </c>
      <c r="F61" s="1">
        <v>201.680366725575</v>
      </c>
      <c r="G61" s="1">
        <v>12873.4370833333</v>
      </c>
      <c r="H61" s="1">
        <v>1.0638481484624001</v>
      </c>
    </row>
    <row r="62" spans="1:8" x14ac:dyDescent="0.25">
      <c r="A62" t="s">
        <v>121</v>
      </c>
      <c r="B62" t="s">
        <v>122</v>
      </c>
      <c r="C62" s="2">
        <v>2022</v>
      </c>
      <c r="D62" s="1">
        <v>78720</v>
      </c>
      <c r="E62" s="1">
        <v>3.8646008041137399</v>
      </c>
      <c r="F62" s="1">
        <v>211.26484395821799</v>
      </c>
      <c r="G62" s="1">
        <v>78839690.157222196</v>
      </c>
      <c r="H62" s="1">
        <v>12</v>
      </c>
    </row>
    <row r="63" spans="1:8" x14ac:dyDescent="0.25">
      <c r="A63" t="s">
        <v>123</v>
      </c>
      <c r="B63" t="s">
        <v>124</v>
      </c>
      <c r="C63" s="2">
        <v>2021</v>
      </c>
      <c r="D63" s="1">
        <v>63280</v>
      </c>
      <c r="E63" s="1">
        <v>3.9194113560859001</v>
      </c>
      <c r="F63" s="1">
        <v>172.23635459244201</v>
      </c>
      <c r="G63" s="1" t="s">
        <v>16</v>
      </c>
      <c r="H63" s="1" t="s">
        <v>16</v>
      </c>
    </row>
    <row r="64" spans="1:8" x14ac:dyDescent="0.25">
      <c r="A64" t="s">
        <v>125</v>
      </c>
      <c r="B64" t="s">
        <v>126</v>
      </c>
      <c r="C64" s="2">
        <v>2022</v>
      </c>
      <c r="D64" s="1">
        <v>13650</v>
      </c>
      <c r="E64" s="1">
        <v>4.2040579382522703</v>
      </c>
      <c r="F64" s="1">
        <v>39.8509658730163</v>
      </c>
      <c r="G64" s="1">
        <v>7773.7151388888897</v>
      </c>
      <c r="H64" s="1">
        <v>3.2511613242782098</v>
      </c>
    </row>
    <row r="65" spans="1:8" x14ac:dyDescent="0.25">
      <c r="A65" t="s">
        <v>127</v>
      </c>
      <c r="B65" t="s">
        <v>128</v>
      </c>
      <c r="C65" s="2">
        <v>2021</v>
      </c>
      <c r="D65" s="1">
        <v>21000</v>
      </c>
      <c r="E65" s="1">
        <v>4.1402402803712404</v>
      </c>
      <c r="F65" s="1">
        <v>60.378504088747199</v>
      </c>
      <c r="G65" s="1">
        <v>12324.633750000001</v>
      </c>
      <c r="H65" s="1">
        <v>3.40204789105205</v>
      </c>
    </row>
    <row r="66" spans="1:8" x14ac:dyDescent="0.25">
      <c r="A66" t="s">
        <v>129</v>
      </c>
      <c r="B66" t="s">
        <v>130</v>
      </c>
      <c r="C66" s="2">
        <v>2022</v>
      </c>
      <c r="D66" s="1">
        <v>44800</v>
      </c>
      <c r="E66" s="1">
        <v>3.9982901043478898</v>
      </c>
      <c r="F66" s="1">
        <v>124.39124769082299</v>
      </c>
      <c r="G66" s="1">
        <v>619358152.44916701</v>
      </c>
      <c r="H66" s="1">
        <v>12</v>
      </c>
    </row>
    <row r="67" spans="1:8" x14ac:dyDescent="0.25">
      <c r="A67" t="s">
        <v>131</v>
      </c>
      <c r="B67" t="s">
        <v>132</v>
      </c>
      <c r="C67" s="2">
        <v>2023</v>
      </c>
      <c r="D67" s="1">
        <v>48150</v>
      </c>
      <c r="E67" s="1">
        <v>3.9825931536408099</v>
      </c>
      <c r="F67" s="1">
        <v>133.167958574865</v>
      </c>
      <c r="G67" s="1">
        <v>18674.477361111101</v>
      </c>
      <c r="H67" s="1">
        <v>2.3372085348659701</v>
      </c>
    </row>
    <row r="68" spans="1:8" x14ac:dyDescent="0.25">
      <c r="A68" t="s">
        <v>133</v>
      </c>
      <c r="B68" t="s">
        <v>134</v>
      </c>
      <c r="C68" s="2">
        <v>2022</v>
      </c>
      <c r="D68" s="1">
        <v>73500</v>
      </c>
      <c r="E68" s="1">
        <v>3.8822469872494199</v>
      </c>
      <c r="F68" s="1">
        <v>198.15635664085599</v>
      </c>
      <c r="G68" s="1">
        <v>52526.795277777797</v>
      </c>
      <c r="H68" s="1">
        <v>4.4179586403561402</v>
      </c>
    </row>
    <row r="69" spans="1:8" x14ac:dyDescent="0.25">
      <c r="A69" t="s">
        <v>135</v>
      </c>
      <c r="B69" t="s">
        <v>136</v>
      </c>
      <c r="C69" s="2">
        <v>2021</v>
      </c>
      <c r="D69" s="1">
        <v>43750</v>
      </c>
      <c r="E69" s="1">
        <v>4.0033651669894903</v>
      </c>
      <c r="F69" s="1">
        <v>121.630018094299</v>
      </c>
      <c r="G69" s="1">
        <v>36523.008055555598</v>
      </c>
      <c r="H69" s="1">
        <v>5.0046592976249702</v>
      </c>
    </row>
    <row r="70" spans="1:8" x14ac:dyDescent="0.25">
      <c r="A70" t="s">
        <v>137</v>
      </c>
      <c r="B70" t="s">
        <v>138</v>
      </c>
      <c r="C70" s="2">
        <v>2022</v>
      </c>
      <c r="D70" s="1">
        <v>49350</v>
      </c>
      <c r="E70" s="1">
        <v>3.9771426355255701</v>
      </c>
      <c r="F70" s="1">
        <v>136.299992404991</v>
      </c>
      <c r="G70" s="1">
        <v>19755.04</v>
      </c>
      <c r="H70" s="1">
        <v>2.4156323185136901</v>
      </c>
    </row>
    <row r="71" spans="1:8" x14ac:dyDescent="0.25">
      <c r="A71" t="s">
        <v>139</v>
      </c>
      <c r="B71" t="s">
        <v>140</v>
      </c>
      <c r="C71" s="2">
        <v>2024</v>
      </c>
      <c r="D71" s="1">
        <v>36400</v>
      </c>
      <c r="E71" s="1">
        <v>4.0412805223689503</v>
      </c>
      <c r="F71" s="1">
        <v>102.154590982104</v>
      </c>
      <c r="G71" s="1">
        <v>19582.785</v>
      </c>
      <c r="H71" s="1">
        <v>3.1949591972540601</v>
      </c>
    </row>
    <row r="72" spans="1:8" x14ac:dyDescent="0.25">
      <c r="A72" t="s">
        <v>141</v>
      </c>
      <c r="B72" t="s">
        <v>142</v>
      </c>
      <c r="C72" s="2">
        <v>2022</v>
      </c>
      <c r="D72" s="1">
        <v>45500</v>
      </c>
      <c r="E72" s="1">
        <v>3.9949490965415002</v>
      </c>
      <c r="F72" s="1">
        <v>126.229294369888</v>
      </c>
      <c r="G72" s="1">
        <v>6256.2222222222199</v>
      </c>
      <c r="H72" s="1">
        <v>0.82603939830978301</v>
      </c>
    </row>
    <row r="73" spans="1:8" x14ac:dyDescent="0.25">
      <c r="A73" t="s">
        <v>143</v>
      </c>
      <c r="B73" t="s">
        <v>144</v>
      </c>
      <c r="C73" s="2">
        <v>2023</v>
      </c>
      <c r="D73" s="1">
        <v>10800</v>
      </c>
      <c r="E73" s="1">
        <v>4.2342770272436798</v>
      </c>
      <c r="F73" s="1">
        <v>31.7570777043276</v>
      </c>
      <c r="G73" s="1">
        <v>7229.7488888888902</v>
      </c>
      <c r="H73" s="1">
        <v>3.7942979494739402</v>
      </c>
    </row>
    <row r="74" spans="1:8" x14ac:dyDescent="0.25">
      <c r="A74" t="s">
        <v>145</v>
      </c>
      <c r="B74" t="s">
        <v>146</v>
      </c>
      <c r="C74" s="2">
        <v>2024</v>
      </c>
      <c r="D74" s="1">
        <v>25550</v>
      </c>
      <c r="E74" s="1">
        <v>4.1073339200726604</v>
      </c>
      <c r="F74" s="1">
        <v>72.876653929066904</v>
      </c>
      <c r="G74" s="1">
        <v>14806.1488888889</v>
      </c>
      <c r="H74" s="1">
        <v>3.3861207237689102</v>
      </c>
    </row>
    <row r="75" spans="1:8" x14ac:dyDescent="0.25">
      <c r="A75" t="s">
        <v>147</v>
      </c>
      <c r="B75" t="s">
        <v>148</v>
      </c>
      <c r="C75" s="2">
        <v>2023</v>
      </c>
      <c r="D75" s="1">
        <v>55794</v>
      </c>
      <c r="E75" s="1">
        <v>3.9492597882882801</v>
      </c>
      <c r="F75" s="1">
        <v>153.01736154705301</v>
      </c>
      <c r="G75" s="1">
        <v>27278.0297222222</v>
      </c>
      <c r="H75" s="1">
        <v>2.9711257866899201</v>
      </c>
    </row>
    <row r="76" spans="1:8" x14ac:dyDescent="0.25">
      <c r="A76" t="s">
        <v>149</v>
      </c>
      <c r="B76" t="s">
        <v>150</v>
      </c>
      <c r="C76" s="2">
        <v>2023</v>
      </c>
      <c r="D76" s="1">
        <v>51450</v>
      </c>
      <c r="E76" s="1">
        <v>3.9678078363216902</v>
      </c>
      <c r="F76" s="1">
        <v>141.76646748524399</v>
      </c>
      <c r="G76" s="1">
        <v>26824.107638888901</v>
      </c>
      <c r="H76" s="1">
        <v>3.1535557637752598</v>
      </c>
    </row>
    <row r="77" spans="1:8" x14ac:dyDescent="0.25">
      <c r="A77" t="s">
        <v>151</v>
      </c>
      <c r="B77" t="s">
        <v>152</v>
      </c>
      <c r="C77" s="2">
        <v>2021</v>
      </c>
      <c r="D77" s="1">
        <v>37000</v>
      </c>
      <c r="E77" s="1">
        <v>4.0380123133450097</v>
      </c>
      <c r="F77" s="1">
        <v>103.754483051226</v>
      </c>
      <c r="G77" s="1">
        <v>9644.2955555555509</v>
      </c>
      <c r="H77" s="1">
        <v>1.5492174847028</v>
      </c>
    </row>
    <row r="78" spans="1:8" x14ac:dyDescent="0.25">
      <c r="A78" t="s">
        <v>153</v>
      </c>
      <c r="B78" t="s">
        <v>154</v>
      </c>
      <c r="C78" s="2">
        <v>2023</v>
      </c>
      <c r="D78" s="1">
        <v>99060</v>
      </c>
      <c r="E78" s="1">
        <v>3.8026407025636599</v>
      </c>
      <c r="F78" s="1">
        <v>261.589991663859</v>
      </c>
      <c r="G78" s="1">
        <v>56266.0238888889</v>
      </c>
      <c r="H78" s="1">
        <v>3.5848736369847001</v>
      </c>
    </row>
    <row r="79" spans="1:8" x14ac:dyDescent="0.25">
      <c r="A79" t="s">
        <v>155</v>
      </c>
      <c r="B79" t="s">
        <v>156</v>
      </c>
      <c r="C79" s="2">
        <v>2022</v>
      </c>
      <c r="D79" s="1">
        <v>21000</v>
      </c>
      <c r="E79" s="1">
        <v>4.1402402803712404</v>
      </c>
      <c r="F79" s="1">
        <v>60.378504088747199</v>
      </c>
      <c r="G79" s="1">
        <v>10864.8072222222</v>
      </c>
      <c r="H79" s="1">
        <v>2.99908258913156</v>
      </c>
    </row>
    <row r="80" spans="1:8" x14ac:dyDescent="0.25">
      <c r="A80" t="s">
        <v>157</v>
      </c>
      <c r="B80" t="s">
        <v>158</v>
      </c>
      <c r="C80" s="2">
        <v>2022</v>
      </c>
      <c r="D80" s="1">
        <v>9000</v>
      </c>
      <c r="E80" s="1">
        <v>4.2558139534883699</v>
      </c>
      <c r="F80" s="1">
        <v>26.5988372093023</v>
      </c>
      <c r="G80" s="1">
        <v>16594.211666666699</v>
      </c>
      <c r="H80" s="1">
        <v>10.3978302610808</v>
      </c>
    </row>
    <row r="81" spans="1:8" x14ac:dyDescent="0.25">
      <c r="A81" t="s">
        <v>159</v>
      </c>
      <c r="B81" t="s">
        <v>160</v>
      </c>
      <c r="C81" s="2">
        <v>2023</v>
      </c>
      <c r="D81" s="1">
        <v>14000</v>
      </c>
      <c r="E81" s="1">
        <v>4.2006103189480797</v>
      </c>
      <c r="F81" s="1">
        <v>40.839266989773002</v>
      </c>
      <c r="G81" s="1">
        <v>5717.6283333333304</v>
      </c>
      <c r="H81" s="1">
        <v>2.3333867764918299</v>
      </c>
    </row>
    <row r="82" spans="1:8" x14ac:dyDescent="0.25">
      <c r="A82" t="s">
        <v>161</v>
      </c>
      <c r="B82" t="s">
        <v>162</v>
      </c>
      <c r="C82" s="2">
        <v>2023</v>
      </c>
      <c r="D82" s="1">
        <v>31150</v>
      </c>
      <c r="E82" s="1">
        <v>4.0714404878139696</v>
      </c>
      <c r="F82" s="1">
        <v>88.073174441253698</v>
      </c>
      <c r="G82" s="1">
        <v>31565.350138888902</v>
      </c>
      <c r="H82" s="1">
        <v>5.9733190306702504</v>
      </c>
    </row>
    <row r="83" spans="1:8" x14ac:dyDescent="0.25">
      <c r="A83" t="s">
        <v>163</v>
      </c>
      <c r="B83" t="s">
        <v>164</v>
      </c>
      <c r="C83" s="2">
        <v>2022</v>
      </c>
      <c r="D83" s="1">
        <v>48000</v>
      </c>
      <c r="E83" s="1">
        <v>3.9832806364442201</v>
      </c>
      <c r="F83" s="1">
        <v>132.776021214807</v>
      </c>
      <c r="G83" s="1">
        <v>19026.344166666699</v>
      </c>
      <c r="H83" s="1">
        <v>2.3882756329781301</v>
      </c>
    </row>
    <row r="84" spans="1:8" x14ac:dyDescent="0.25">
      <c r="A84" t="s">
        <v>165</v>
      </c>
      <c r="B84" t="s">
        <v>166</v>
      </c>
      <c r="C84" s="2">
        <v>2023</v>
      </c>
      <c r="D84" s="1">
        <v>18550</v>
      </c>
      <c r="E84" s="1">
        <v>4.15977365513546</v>
      </c>
      <c r="F84" s="1">
        <v>53.585973126918603</v>
      </c>
      <c r="G84" s="1">
        <v>12910.0318055556</v>
      </c>
      <c r="H84" s="1">
        <v>4.0153641746812099</v>
      </c>
    </row>
    <row r="85" spans="1:8" x14ac:dyDescent="0.25">
      <c r="A85" t="s">
        <v>167</v>
      </c>
      <c r="B85" t="s">
        <v>168</v>
      </c>
      <c r="C85" s="2">
        <v>2023</v>
      </c>
      <c r="D85" s="1">
        <v>17080</v>
      </c>
      <c r="E85" s="1">
        <v>4.1722440850114904</v>
      </c>
      <c r="F85" s="1">
        <v>49.487450674997397</v>
      </c>
      <c r="G85" s="1">
        <v>19329.4158333333</v>
      </c>
      <c r="H85" s="1">
        <v>6.5098712130329899</v>
      </c>
    </row>
    <row r="86" spans="1:8" x14ac:dyDescent="0.25">
      <c r="A86" t="s">
        <v>169</v>
      </c>
      <c r="B86" t="s">
        <v>170</v>
      </c>
      <c r="C86" s="2">
        <v>2023</v>
      </c>
      <c r="D86" s="1">
        <v>72100</v>
      </c>
      <c r="E86" s="1">
        <v>3.88712346092034</v>
      </c>
      <c r="F86" s="1">
        <v>194.62611217524801</v>
      </c>
      <c r="G86" s="1">
        <v>56722.472222222197</v>
      </c>
      <c r="H86" s="1">
        <v>4.8573879756987202</v>
      </c>
    </row>
    <row r="87" spans="1:8" x14ac:dyDescent="0.25">
      <c r="A87" t="s">
        <v>171</v>
      </c>
      <c r="B87" t="s">
        <v>172</v>
      </c>
      <c r="C87" s="2">
        <v>2024</v>
      </c>
      <c r="D87" s="1">
        <v>80150</v>
      </c>
      <c r="E87" s="1">
        <v>3.85990627146034</v>
      </c>
      <c r="F87" s="1">
        <v>214.84131087329601</v>
      </c>
      <c r="G87" s="1">
        <v>36405.364444444502</v>
      </c>
      <c r="H87" s="1">
        <v>2.8242057898814101</v>
      </c>
    </row>
    <row r="88" spans="1:8" x14ac:dyDescent="0.25">
      <c r="A88" t="s">
        <v>173</v>
      </c>
      <c r="B88" t="s">
        <v>174</v>
      </c>
      <c r="C88" s="2">
        <v>2023</v>
      </c>
      <c r="D88" s="1">
        <v>22400</v>
      </c>
      <c r="E88" s="1">
        <v>4.1296900762505304</v>
      </c>
      <c r="F88" s="1">
        <v>64.2396234083417</v>
      </c>
      <c r="G88" s="1">
        <v>17940.134999999998</v>
      </c>
      <c r="H88" s="1">
        <v>4.6544832322471903</v>
      </c>
    </row>
    <row r="89" spans="1:8" x14ac:dyDescent="0.25">
      <c r="A89" t="s">
        <v>175</v>
      </c>
      <c r="B89" t="s">
        <v>176</v>
      </c>
      <c r="C89" s="2">
        <v>2024</v>
      </c>
      <c r="D89" s="1">
        <v>93860</v>
      </c>
      <c r="E89" s="1">
        <v>3.8175739369409998</v>
      </c>
      <c r="F89" s="1">
        <v>248.83159008422399</v>
      </c>
      <c r="G89" s="1">
        <v>30325.653333333299</v>
      </c>
      <c r="H89" s="1">
        <v>2.0312033346910598</v>
      </c>
    </row>
    <row r="90" spans="1:8" x14ac:dyDescent="0.25">
      <c r="A90" t="s">
        <v>177</v>
      </c>
      <c r="B90" t="s">
        <v>178</v>
      </c>
      <c r="C90" s="2">
        <v>2023</v>
      </c>
      <c r="D90" s="1">
        <v>17125</v>
      </c>
      <c r="E90" s="1">
        <v>4.1718530600940404</v>
      </c>
      <c r="F90" s="1">
        <v>49.613183093132299</v>
      </c>
      <c r="G90" s="1">
        <v>14301.571250000001</v>
      </c>
      <c r="H90" s="1">
        <v>4.8043585590122797</v>
      </c>
    </row>
    <row r="91" spans="1:8" x14ac:dyDescent="0.25">
      <c r="A91" t="s">
        <v>179</v>
      </c>
      <c r="B91" t="s">
        <v>180</v>
      </c>
      <c r="C91" s="2">
        <v>2023</v>
      </c>
      <c r="D91" s="1">
        <v>41300</v>
      </c>
      <c r="E91" s="1">
        <v>4.0155186599529502</v>
      </c>
      <c r="F91" s="1">
        <v>115.167306011151</v>
      </c>
      <c r="G91" s="1">
        <v>21076.451527777801</v>
      </c>
      <c r="H91" s="1">
        <v>3.0501207703479598</v>
      </c>
    </row>
    <row r="92" spans="1:8" x14ac:dyDescent="0.25">
      <c r="A92" t="s">
        <v>181</v>
      </c>
      <c r="B92" t="s">
        <v>182</v>
      </c>
      <c r="C92" s="2">
        <v>2023</v>
      </c>
      <c r="D92" s="1">
        <v>28000</v>
      </c>
      <c r="E92" s="1">
        <v>4.0910875527365897</v>
      </c>
      <c r="F92" s="1">
        <v>79.548924636544797</v>
      </c>
      <c r="G92" s="1">
        <v>22746.9555555556</v>
      </c>
      <c r="H92" s="1">
        <v>4.7658208788879097</v>
      </c>
    </row>
    <row r="93" spans="1:8" x14ac:dyDescent="0.25">
      <c r="A93" t="s">
        <v>183</v>
      </c>
      <c r="B93" t="s">
        <v>184</v>
      </c>
      <c r="C93" s="2">
        <v>2023</v>
      </c>
      <c r="D93" s="1">
        <v>33600</v>
      </c>
      <c r="E93" s="1">
        <v>4.0569987884406196</v>
      </c>
      <c r="F93" s="1">
        <v>94.663305063614501</v>
      </c>
      <c r="G93" s="1">
        <v>16251.203055555599</v>
      </c>
      <c r="H93" s="1">
        <v>2.86122890044081</v>
      </c>
    </row>
    <row r="94" spans="1:8" x14ac:dyDescent="0.25">
      <c r="A94" t="s">
        <v>185</v>
      </c>
      <c r="B94" t="s">
        <v>186</v>
      </c>
      <c r="C94" s="2">
        <v>2022</v>
      </c>
      <c r="D94" s="1">
        <v>102200</v>
      </c>
      <c r="E94" s="1">
        <v>3.7938868880469898</v>
      </c>
      <c r="F94" s="1">
        <v>269.26058330444602</v>
      </c>
      <c r="G94" s="1">
        <v>81718.521388888897</v>
      </c>
      <c r="H94" s="1">
        <v>5.0582054742915297</v>
      </c>
    </row>
    <row r="95" spans="1:8" x14ac:dyDescent="0.25">
      <c r="A95" t="s">
        <v>187</v>
      </c>
      <c r="B95" t="s">
        <v>188</v>
      </c>
      <c r="C95" s="2">
        <v>2023</v>
      </c>
      <c r="D95" s="1">
        <v>112450</v>
      </c>
      <c r="E95" s="1">
        <v>3.7665663536323102</v>
      </c>
      <c r="F95" s="1">
        <v>294.13221282357898</v>
      </c>
      <c r="G95" s="1">
        <v>43247.415555555497</v>
      </c>
      <c r="H95" s="1">
        <v>2.4505655206544499</v>
      </c>
    </row>
    <row r="96" spans="1:8" x14ac:dyDescent="0.25">
      <c r="A96" t="s">
        <v>189</v>
      </c>
      <c r="B96" t="s">
        <v>190</v>
      </c>
      <c r="C96" s="2">
        <v>2024</v>
      </c>
      <c r="D96" s="1">
        <v>129750</v>
      </c>
      <c r="E96" s="1">
        <v>3.7242237680766999</v>
      </c>
      <c r="F96" s="1">
        <v>335.56807910274398</v>
      </c>
      <c r="G96" s="1">
        <v>48057.917777777802</v>
      </c>
      <c r="H96" s="1">
        <v>2.3868935878464699</v>
      </c>
    </row>
    <row r="97" spans="1:8" x14ac:dyDescent="0.25">
      <c r="A97" t="s">
        <v>191</v>
      </c>
      <c r="B97" t="s">
        <v>134</v>
      </c>
      <c r="C97" s="2">
        <v>2024</v>
      </c>
      <c r="D97" s="1">
        <v>42000</v>
      </c>
      <c r="E97" s="1">
        <v>4.0120001939813204</v>
      </c>
      <c r="F97" s="1">
        <v>117.016672324455</v>
      </c>
      <c r="G97" s="1">
        <v>35891.08</v>
      </c>
      <c r="H97" s="1">
        <v>5.1119610119151604</v>
      </c>
    </row>
    <row r="98" spans="1:8" x14ac:dyDescent="0.25">
      <c r="A98" t="s">
        <v>192</v>
      </c>
      <c r="B98" t="s">
        <v>193</v>
      </c>
      <c r="C98" s="2">
        <v>2023</v>
      </c>
      <c r="D98" s="1">
        <v>29750</v>
      </c>
      <c r="E98" s="1">
        <v>4.0800128336096204</v>
      </c>
      <c r="F98" s="1">
        <v>84.291931805476395</v>
      </c>
      <c r="G98" s="1">
        <v>14179.7563888889</v>
      </c>
      <c r="H98" s="1">
        <v>2.8036998095325898</v>
      </c>
    </row>
    <row r="99" spans="1:8" x14ac:dyDescent="0.25">
      <c r="A99" t="s">
        <v>194</v>
      </c>
      <c r="B99" t="s">
        <v>195</v>
      </c>
      <c r="C99" s="2">
        <v>2023</v>
      </c>
      <c r="D99" s="1">
        <v>35000</v>
      </c>
      <c r="E99" s="1">
        <v>4.0490407861763904</v>
      </c>
      <c r="F99" s="1">
        <v>98.4141857751206</v>
      </c>
      <c r="G99" s="1">
        <v>11552.1365277778</v>
      </c>
      <c r="H99" s="1">
        <v>1.95638065061317</v>
      </c>
    </row>
    <row r="100" spans="1:8" x14ac:dyDescent="0.25">
      <c r="A100" t="s">
        <v>196</v>
      </c>
      <c r="B100" t="s">
        <v>197</v>
      </c>
      <c r="C100" s="2">
        <v>2023</v>
      </c>
      <c r="D100" s="1">
        <v>33500</v>
      </c>
      <c r="E100" s="1">
        <v>4.0575751144619803</v>
      </c>
      <c r="F100" s="1">
        <v>94.394976621164005</v>
      </c>
      <c r="G100" s="1">
        <v>9960.7948611111096</v>
      </c>
      <c r="H100" s="1">
        <v>1.7587084994093201</v>
      </c>
    </row>
    <row r="101" spans="1:8" x14ac:dyDescent="0.25">
      <c r="A101" t="s">
        <v>198</v>
      </c>
      <c r="B101" t="s">
        <v>199</v>
      </c>
      <c r="C101" s="2">
        <v>2023</v>
      </c>
      <c r="D101" s="1">
        <v>34720</v>
      </c>
      <c r="E101" s="1">
        <v>4.0506161758223804</v>
      </c>
      <c r="F101" s="1">
        <v>97.664856683717304</v>
      </c>
      <c r="G101" s="1">
        <v>37119.1965277778</v>
      </c>
      <c r="H101" s="1">
        <v>6.3344512700862303</v>
      </c>
    </row>
    <row r="102" spans="1:8" x14ac:dyDescent="0.25">
      <c r="A102" t="s">
        <v>200</v>
      </c>
      <c r="B102" t="s">
        <v>201</v>
      </c>
      <c r="C102" s="2">
        <v>2024</v>
      </c>
      <c r="D102" s="1">
        <v>72800</v>
      </c>
      <c r="E102" s="1">
        <v>3.88467730197008</v>
      </c>
      <c r="F102" s="1">
        <v>196.392019155154</v>
      </c>
      <c r="G102" s="1">
        <v>44096.026666666701</v>
      </c>
      <c r="H102" s="1">
        <v>3.7421774109729098</v>
      </c>
    </row>
    <row r="103" spans="1:8" x14ac:dyDescent="0.25">
      <c r="A103" t="s">
        <v>202</v>
      </c>
      <c r="B103" t="s">
        <v>203</v>
      </c>
      <c r="C103" s="2">
        <v>2023</v>
      </c>
      <c r="D103" s="1">
        <v>92050</v>
      </c>
      <c r="E103" s="1">
        <v>3.8229068091204699</v>
      </c>
      <c r="F103" s="1">
        <v>244.37400818023499</v>
      </c>
      <c r="G103" s="1">
        <v>41821.650972222204</v>
      </c>
      <c r="H103" s="1">
        <v>2.8522980876494</v>
      </c>
    </row>
    <row r="104" spans="1:8" x14ac:dyDescent="0.25">
      <c r="A104" t="s">
        <v>204</v>
      </c>
      <c r="B104" t="s">
        <v>205</v>
      </c>
      <c r="C104" s="2">
        <v>2023</v>
      </c>
      <c r="D104" s="1">
        <v>50960</v>
      </c>
      <c r="E104" s="1">
        <v>3.9699634453182702</v>
      </c>
      <c r="F104" s="1">
        <v>140.49259525931899</v>
      </c>
      <c r="G104" s="1">
        <v>68762730.966916695</v>
      </c>
      <c r="H104" s="1">
        <v>12</v>
      </c>
    </row>
    <row r="105" spans="1:8" x14ac:dyDescent="0.25">
      <c r="A105" t="s">
        <v>206</v>
      </c>
      <c r="B105" t="s">
        <v>207</v>
      </c>
      <c r="C105" s="2">
        <v>2023</v>
      </c>
      <c r="D105" s="1">
        <v>76700</v>
      </c>
      <c r="E105" s="1">
        <v>3.87133230055443</v>
      </c>
      <c r="F105" s="1">
        <v>206.20221350869801</v>
      </c>
      <c r="G105" s="1">
        <v>42907.847083333298</v>
      </c>
      <c r="H105" s="1">
        <v>3.4681043067079198</v>
      </c>
    </row>
    <row r="106" spans="1:8" x14ac:dyDescent="0.25">
      <c r="A106" t="s">
        <v>208</v>
      </c>
      <c r="B106" t="s">
        <v>209</v>
      </c>
      <c r="C106" s="2">
        <v>2023</v>
      </c>
      <c r="D106" s="1">
        <v>27160</v>
      </c>
      <c r="E106" s="1">
        <v>4.0965555324352501</v>
      </c>
      <c r="F106" s="1">
        <v>77.265589070098201</v>
      </c>
      <c r="G106" s="1">
        <v>15663.4093055556</v>
      </c>
      <c r="H106" s="1">
        <v>3.3786945120216298</v>
      </c>
    </row>
    <row r="107" spans="1:8" x14ac:dyDescent="0.25">
      <c r="A107" t="s">
        <v>210</v>
      </c>
      <c r="B107" t="s">
        <v>211</v>
      </c>
      <c r="C107" s="2">
        <v>2023</v>
      </c>
      <c r="D107" s="1">
        <v>31500</v>
      </c>
      <c r="E107" s="1">
        <v>4.0693350008144504</v>
      </c>
      <c r="F107" s="1">
        <v>89.016703142816198</v>
      </c>
      <c r="G107" s="1">
        <v>903644.56</v>
      </c>
      <c r="H107" s="1">
        <v>12</v>
      </c>
    </row>
    <row r="108" spans="1:8" x14ac:dyDescent="0.25">
      <c r="A108" t="s">
        <v>212</v>
      </c>
      <c r="B108" t="s">
        <v>213</v>
      </c>
      <c r="C108" s="2">
        <v>2023</v>
      </c>
      <c r="D108" s="1">
        <v>28500</v>
      </c>
      <c r="E108" s="1">
        <v>4.0878807014685403</v>
      </c>
      <c r="F108" s="1">
        <v>80.905972216564805</v>
      </c>
      <c r="G108" s="1">
        <v>22465.3733333333</v>
      </c>
      <c r="H108" s="1">
        <v>4.6278770111884198</v>
      </c>
    </row>
    <row r="109" spans="1:8" x14ac:dyDescent="0.25">
      <c r="A109" t="s">
        <v>214</v>
      </c>
      <c r="B109" t="s">
        <v>215</v>
      </c>
      <c r="C109" s="2">
        <v>2023</v>
      </c>
      <c r="D109" s="1">
        <v>45500</v>
      </c>
      <c r="E109" s="1">
        <v>3.9949490965415002</v>
      </c>
      <c r="F109" s="1">
        <v>126.229294369888</v>
      </c>
      <c r="G109" s="1">
        <v>13384.5555555556</v>
      </c>
      <c r="H109" s="1">
        <v>1.7672278613255199</v>
      </c>
    </row>
    <row r="110" spans="1:8" x14ac:dyDescent="0.25">
      <c r="A110" t="s">
        <v>216</v>
      </c>
      <c r="B110" t="s">
        <v>217</v>
      </c>
      <c r="C110" s="2">
        <v>2024</v>
      </c>
      <c r="D110" s="1">
        <v>59030</v>
      </c>
      <c r="E110" s="1">
        <v>3.9360508208013898</v>
      </c>
      <c r="F110" s="1">
        <v>161.350749966602</v>
      </c>
      <c r="G110" s="1">
        <v>11809.742222222199</v>
      </c>
      <c r="H110" s="1">
        <v>1.21988300071601</v>
      </c>
    </row>
    <row r="111" spans="1:8" x14ac:dyDescent="0.25">
      <c r="A111" t="s">
        <v>218</v>
      </c>
      <c r="B111" t="s">
        <v>219</v>
      </c>
      <c r="C111" s="2">
        <v>2024</v>
      </c>
      <c r="D111" s="1">
        <v>16250</v>
      </c>
      <c r="E111" s="1">
        <v>4.1795687183072499</v>
      </c>
      <c r="F111" s="1">
        <v>47.1652719947866</v>
      </c>
      <c r="G111" s="1">
        <v>6762.0662499999999</v>
      </c>
      <c r="H111" s="1">
        <v>2.3894933581454598</v>
      </c>
    </row>
    <row r="112" spans="1:8" x14ac:dyDescent="0.25">
      <c r="A112" t="s">
        <v>220</v>
      </c>
      <c r="B112" t="s">
        <v>221</v>
      </c>
      <c r="C112" s="2">
        <v>2023</v>
      </c>
      <c r="D112" s="1">
        <v>13875</v>
      </c>
      <c r="E112" s="1">
        <v>4.2018357601694101</v>
      </c>
      <c r="F112" s="1">
        <v>40.4864383141323</v>
      </c>
      <c r="G112" s="1">
        <v>149824853.31680599</v>
      </c>
      <c r="H112" s="1">
        <v>12</v>
      </c>
    </row>
    <row r="113" spans="1:8" x14ac:dyDescent="0.25">
      <c r="A113" t="s">
        <v>222</v>
      </c>
      <c r="B113" t="s">
        <v>223</v>
      </c>
      <c r="C113" s="2">
        <v>2024</v>
      </c>
      <c r="D113" s="1">
        <v>58100</v>
      </c>
      <c r="E113" s="1">
        <v>3.9397970140677501</v>
      </c>
      <c r="F113" s="1">
        <v>158.959865637039</v>
      </c>
      <c r="G113" s="1">
        <v>23749.432916666701</v>
      </c>
      <c r="H113" s="1">
        <v>2.4900869182177598</v>
      </c>
    </row>
    <row r="114" spans="1:8" x14ac:dyDescent="0.25">
      <c r="A114" t="s">
        <v>224</v>
      </c>
      <c r="B114" t="s">
        <v>225</v>
      </c>
      <c r="C114" s="2">
        <v>2024</v>
      </c>
      <c r="D114" s="1">
        <v>49280</v>
      </c>
      <c r="E114" s="1">
        <v>3.9774582056155099</v>
      </c>
      <c r="F114" s="1">
        <v>136.11745859217501</v>
      </c>
      <c r="G114" s="1">
        <v>51781.199027777802</v>
      </c>
      <c r="H114" s="1">
        <v>6.3402593078233398</v>
      </c>
    </row>
    <row r="115" spans="1:8" x14ac:dyDescent="0.25">
      <c r="A115" t="s">
        <v>226</v>
      </c>
      <c r="B115" t="s">
        <v>227</v>
      </c>
      <c r="C115" s="2">
        <v>2024</v>
      </c>
      <c r="D115" s="1">
        <v>32200</v>
      </c>
      <c r="E115" s="1">
        <v>4.0651673595418902</v>
      </c>
      <c r="F115" s="1">
        <v>90.901659011978396</v>
      </c>
      <c r="G115" s="1">
        <v>20190.690833333301</v>
      </c>
      <c r="H115" s="1">
        <v>3.70192928871128</v>
      </c>
    </row>
    <row r="116" spans="1:8" x14ac:dyDescent="0.25">
      <c r="A116" t="s">
        <v>228</v>
      </c>
      <c r="B116" t="s">
        <v>229</v>
      </c>
      <c r="C116" s="2">
        <v>2022</v>
      </c>
      <c r="D116" s="1">
        <v>40200</v>
      </c>
      <c r="E116" s="1">
        <v>4.0211254140836896</v>
      </c>
      <c r="F116" s="1">
        <v>112.25641780983599</v>
      </c>
      <c r="G116" s="1">
        <v>29466.6320486111</v>
      </c>
      <c r="H116" s="1">
        <v>4.3748993930615603</v>
      </c>
    </row>
    <row r="117" spans="1:8" x14ac:dyDescent="0.25">
      <c r="A117" t="s">
        <v>230</v>
      </c>
      <c r="B117" t="s">
        <v>231</v>
      </c>
      <c r="C117" s="2">
        <v>2024</v>
      </c>
      <c r="D117" s="1">
        <v>70000</v>
      </c>
      <c r="E117" s="1">
        <v>3.8945594528446401</v>
      </c>
      <c r="F117" s="1">
        <v>189.31886229105899</v>
      </c>
      <c r="G117" s="1">
        <v>25389.7002777778</v>
      </c>
      <c r="H117" s="1">
        <v>2.23517966554081</v>
      </c>
    </row>
    <row r="118" spans="1:8" x14ac:dyDescent="0.25">
      <c r="A118" t="s">
        <v>232</v>
      </c>
      <c r="B118" t="s">
        <v>233</v>
      </c>
      <c r="C118" s="2">
        <v>2023</v>
      </c>
      <c r="D118" s="1">
        <v>11900</v>
      </c>
      <c r="E118" s="1">
        <v>4.2221212312206502</v>
      </c>
      <c r="F118" s="1">
        <v>34.891140730226198</v>
      </c>
      <c r="G118" s="1">
        <v>4212.24444444444</v>
      </c>
      <c r="H118" s="1">
        <v>2.0120888169545101</v>
      </c>
    </row>
    <row r="119" spans="1:8" x14ac:dyDescent="0.25">
      <c r="A119" t="s">
        <v>234</v>
      </c>
      <c r="B119" t="s">
        <v>235</v>
      </c>
      <c r="C119" s="2">
        <v>2024</v>
      </c>
      <c r="D119" s="1">
        <v>54750</v>
      </c>
      <c r="E119" s="1">
        <v>3.9536286030827301</v>
      </c>
      <c r="F119" s="1">
        <v>150.320254179708</v>
      </c>
      <c r="G119" s="1">
        <v>24188.4194444444</v>
      </c>
      <c r="H119" s="1">
        <v>2.6818762799065001</v>
      </c>
    </row>
    <row r="120" spans="1:8" x14ac:dyDescent="0.25">
      <c r="A120" t="s">
        <v>236</v>
      </c>
      <c r="B120" t="s">
        <v>237</v>
      </c>
      <c r="C120" s="2">
        <v>2024</v>
      </c>
      <c r="D120" s="1">
        <v>10000</v>
      </c>
      <c r="E120" s="1">
        <v>4.2435730362115898</v>
      </c>
      <c r="F120" s="1">
        <v>29.469257195913801</v>
      </c>
      <c r="G120" s="1">
        <v>9720.0569444444409</v>
      </c>
      <c r="H120" s="1">
        <v>5.4972864771269903</v>
      </c>
    </row>
    <row r="121" spans="1:8" x14ac:dyDescent="0.25">
      <c r="A121" t="s">
        <v>238</v>
      </c>
      <c r="B121" t="s">
        <v>239</v>
      </c>
      <c r="C121" s="2">
        <v>2024</v>
      </c>
      <c r="D121" s="1">
        <v>35500</v>
      </c>
      <c r="E121" s="1">
        <v>4.0462471907018802</v>
      </c>
      <c r="F121" s="1">
        <v>99.751232826331105</v>
      </c>
      <c r="G121" s="1">
        <v>33010.848194444399</v>
      </c>
      <c r="H121" s="1">
        <v>5.5155288576594996</v>
      </c>
    </row>
    <row r="122" spans="1:8" x14ac:dyDescent="0.25">
      <c r="A122" t="s">
        <v>240</v>
      </c>
      <c r="B122" t="s">
        <v>241</v>
      </c>
      <c r="C122" s="2">
        <v>2025</v>
      </c>
      <c r="D122" s="1">
        <v>43000</v>
      </c>
      <c r="E122" s="1">
        <v>4.0070382829786304</v>
      </c>
      <c r="F122" s="1">
        <v>119.65461539450099</v>
      </c>
      <c r="G122" s="1" t="s">
        <v>16</v>
      </c>
      <c r="H122" s="1" t="s">
        <v>16</v>
      </c>
    </row>
    <row r="123" spans="1:8" x14ac:dyDescent="0.25">
      <c r="A123" t="s">
        <v>242</v>
      </c>
      <c r="B123" t="s">
        <v>243</v>
      </c>
      <c r="C123" s="2">
        <v>2025</v>
      </c>
      <c r="D123" s="1">
        <v>16000</v>
      </c>
      <c r="E123" s="1">
        <v>4.1818181818181799</v>
      </c>
      <c r="F123" s="1">
        <v>46.464646464646499</v>
      </c>
      <c r="G123" s="1">
        <v>5004.5599999999904</v>
      </c>
      <c r="H123" s="1">
        <v>1.7951139130434799</v>
      </c>
    </row>
    <row r="124" spans="1:8" x14ac:dyDescent="0.25">
      <c r="A124" t="s">
        <v>244</v>
      </c>
      <c r="B124" t="s">
        <v>245</v>
      </c>
      <c r="C124" s="2">
        <v>2024</v>
      </c>
      <c r="D124" s="1">
        <v>61500</v>
      </c>
      <c r="E124" s="1">
        <v>3.9262872278875101</v>
      </c>
      <c r="F124" s="1">
        <v>167.68518369102901</v>
      </c>
      <c r="G124" s="1">
        <v>38534.777777777803</v>
      </c>
      <c r="H124" s="1">
        <v>3.8300718176727999</v>
      </c>
    </row>
    <row r="125" spans="1:8" x14ac:dyDescent="0.25">
      <c r="A125" t="s">
        <v>246</v>
      </c>
      <c r="B125" t="s">
        <v>247</v>
      </c>
      <c r="C125" s="2">
        <v>2024</v>
      </c>
      <c r="D125" s="1">
        <v>17250</v>
      </c>
      <c r="E125" s="1">
        <v>4.1707700708233997</v>
      </c>
      <c r="F125" s="1">
        <v>49.962349806738601</v>
      </c>
      <c r="G125" s="1">
        <v>7890.9344444444396</v>
      </c>
      <c r="H125" s="1">
        <v>2.63229360874328</v>
      </c>
    </row>
    <row r="126" spans="1:8" x14ac:dyDescent="0.25">
      <c r="A126" t="s">
        <v>248</v>
      </c>
      <c r="B126" t="s">
        <v>249</v>
      </c>
      <c r="C126" s="2">
        <v>2024</v>
      </c>
      <c r="D126" s="1">
        <v>9475</v>
      </c>
      <c r="E126" s="1">
        <v>4.2499075266308903</v>
      </c>
      <c r="F126" s="1">
        <v>27.963801260297</v>
      </c>
      <c r="G126" s="1">
        <v>41573606.265833303</v>
      </c>
      <c r="H126" s="1">
        <v>12</v>
      </c>
    </row>
    <row r="127" spans="1:8" x14ac:dyDescent="0.25">
      <c r="A127" t="s">
        <v>250</v>
      </c>
      <c r="B127" t="s">
        <v>251</v>
      </c>
      <c r="C127" s="2">
        <v>2025</v>
      </c>
      <c r="D127" s="1">
        <v>21000</v>
      </c>
      <c r="E127" s="1">
        <v>4.1402402803712404</v>
      </c>
      <c r="F127" s="1">
        <v>60.378504088747199</v>
      </c>
      <c r="G127" s="1" t="s">
        <v>16</v>
      </c>
      <c r="H127" s="1" t="s">
        <v>16</v>
      </c>
    </row>
    <row r="128" spans="1:8" x14ac:dyDescent="0.25">
      <c r="A128" t="s">
        <v>252</v>
      </c>
      <c r="B128" t="s">
        <v>253</v>
      </c>
      <c r="C128" s="2">
        <v>2024</v>
      </c>
      <c r="D128" s="1">
        <v>24500</v>
      </c>
      <c r="E128" s="1">
        <v>4.114589244327</v>
      </c>
      <c r="F128" s="1">
        <v>70.005164226396801</v>
      </c>
      <c r="G128" s="1">
        <v>8734.3951388888909</v>
      </c>
      <c r="H128" s="1">
        <v>2.07946447842092</v>
      </c>
    </row>
    <row r="129" spans="1:8" x14ac:dyDescent="0.25">
      <c r="A129" t="s">
        <v>254</v>
      </c>
      <c r="B129" t="s">
        <v>255</v>
      </c>
      <c r="C129" s="2">
        <v>2023</v>
      </c>
      <c r="D129" s="1">
        <v>31800</v>
      </c>
      <c r="E129" s="1">
        <v>4.0675418683376998</v>
      </c>
      <c r="F129" s="1">
        <v>89.824882925790902</v>
      </c>
      <c r="G129" s="1">
        <v>9555.1</v>
      </c>
      <c r="H129" s="1">
        <v>1.7729125992653201</v>
      </c>
    </row>
    <row r="130" spans="1:8" x14ac:dyDescent="0.25">
      <c r="A130" t="s">
        <v>256</v>
      </c>
      <c r="B130" t="s">
        <v>257</v>
      </c>
      <c r="C130" s="2">
        <v>2024</v>
      </c>
      <c r="D130" s="1">
        <v>27600</v>
      </c>
      <c r="E130" s="1">
        <v>4.0936785614045004</v>
      </c>
      <c r="F130" s="1">
        <v>78.462172426919494</v>
      </c>
      <c r="G130" s="1">
        <v>9582.7777777777792</v>
      </c>
      <c r="H130" s="1">
        <v>2.0355409240257898</v>
      </c>
    </row>
    <row r="131" spans="1:8" x14ac:dyDescent="0.25">
      <c r="A131" t="s">
        <v>258</v>
      </c>
      <c r="B131" t="s">
        <v>259</v>
      </c>
      <c r="C131" s="2">
        <v>2024</v>
      </c>
      <c r="D131" s="1">
        <v>37500</v>
      </c>
      <c r="E131" s="1">
        <v>4.0353142976165701</v>
      </c>
      <c r="F131" s="1">
        <v>105.086309833765</v>
      </c>
      <c r="G131" s="1">
        <v>25521.472088888899</v>
      </c>
      <c r="H131" s="1">
        <v>4.0477001126123699</v>
      </c>
    </row>
    <row r="132" spans="1:8" x14ac:dyDescent="0.25">
      <c r="A132" t="s">
        <v>260</v>
      </c>
      <c r="B132" t="s">
        <v>261</v>
      </c>
      <c r="C132" s="2">
        <v>2025</v>
      </c>
      <c r="D132" s="1">
        <v>62500</v>
      </c>
      <c r="E132" s="1">
        <v>3.9224083375226502</v>
      </c>
      <c r="F132" s="1">
        <v>170.24341742719801</v>
      </c>
      <c r="G132" s="1" t="s">
        <v>16</v>
      </c>
      <c r="H132" s="1" t="s">
        <v>16</v>
      </c>
    </row>
    <row r="133" spans="1:8" x14ac:dyDescent="0.25">
      <c r="A133" t="s">
        <v>262</v>
      </c>
      <c r="B133" t="s">
        <v>263</v>
      </c>
      <c r="C133" s="2">
        <v>2025</v>
      </c>
      <c r="D133" s="1">
        <v>105750</v>
      </c>
      <c r="E133" s="1">
        <v>3.7842145115715402</v>
      </c>
      <c r="F133" s="1">
        <v>277.90325319353502</v>
      </c>
      <c r="G133" s="1">
        <v>44948.502222222203</v>
      </c>
      <c r="H133" s="1">
        <v>2.6956924580583901</v>
      </c>
    </row>
    <row r="134" spans="1:8" x14ac:dyDescent="0.25">
      <c r="A134" t="s">
        <v>262</v>
      </c>
      <c r="B134" t="s">
        <v>263</v>
      </c>
      <c r="C134" s="2">
        <v>2024</v>
      </c>
      <c r="D134" s="1">
        <v>105750</v>
      </c>
      <c r="E134" s="1">
        <v>3.7842145115715402</v>
      </c>
      <c r="F134" s="1">
        <v>277.90325319353502</v>
      </c>
      <c r="G134" s="1">
        <v>44948.502222222203</v>
      </c>
      <c r="H134" s="1">
        <v>2.6956924580583901</v>
      </c>
    </row>
    <row r="135" spans="1:8" x14ac:dyDescent="0.25">
      <c r="A135" t="s">
        <v>264</v>
      </c>
      <c r="B135" t="s">
        <v>265</v>
      </c>
      <c r="C135" s="2">
        <v>2024</v>
      </c>
      <c r="D135" s="1">
        <v>10250</v>
      </c>
      <c r="E135" s="1">
        <v>4.24062355928901</v>
      </c>
      <c r="F135" s="1">
        <v>30.1849940852169</v>
      </c>
      <c r="G135" s="1">
        <v>4869.7222222222199</v>
      </c>
      <c r="H135" s="1">
        <v>2.6888207036881999</v>
      </c>
    </row>
    <row r="136" spans="1:8" x14ac:dyDescent="0.25">
      <c r="A136" t="s">
        <v>266</v>
      </c>
      <c r="B136" t="s">
        <v>267</v>
      </c>
      <c r="C136" s="2">
        <v>2024</v>
      </c>
      <c r="D136" s="1">
        <v>28800</v>
      </c>
      <c r="E136" s="1">
        <v>4.0859732431008604</v>
      </c>
      <c r="F136" s="1">
        <v>81.719464862017205</v>
      </c>
      <c r="G136" s="1">
        <v>7940.80666666666</v>
      </c>
      <c r="H136" s="1">
        <v>1.6195257519275801</v>
      </c>
    </row>
    <row r="137" spans="1:8" x14ac:dyDescent="0.25">
      <c r="A137" t="s">
        <v>268</v>
      </c>
      <c r="B137" t="s">
        <v>269</v>
      </c>
      <c r="C137" s="2">
        <v>2023</v>
      </c>
      <c r="D137" s="1">
        <v>127750</v>
      </c>
      <c r="E137" s="1">
        <v>3.72890362522396</v>
      </c>
      <c r="F137" s="1">
        <v>330.810720918306</v>
      </c>
      <c r="G137" s="1">
        <v>66205.662222222207</v>
      </c>
      <c r="H137" s="1">
        <v>3.33552582770192</v>
      </c>
    </row>
    <row r="138" spans="1:8" x14ac:dyDescent="0.25">
      <c r="A138" t="s">
        <v>270</v>
      </c>
      <c r="B138" t="s">
        <v>271</v>
      </c>
      <c r="C138" s="2">
        <v>2024</v>
      </c>
      <c r="D138" s="1">
        <v>157500</v>
      </c>
      <c r="E138" s="1">
        <v>3.6641344501063702</v>
      </c>
      <c r="F138" s="1">
        <v>400.76470548038401</v>
      </c>
      <c r="G138" s="1">
        <v>21093.077777777798</v>
      </c>
      <c r="H138" s="1">
        <v>0.87720123925309901</v>
      </c>
    </row>
    <row r="139" spans="1:8" x14ac:dyDescent="0.25">
      <c r="A139" t="s">
        <v>270</v>
      </c>
      <c r="B139" t="s">
        <v>271</v>
      </c>
      <c r="C139" s="2">
        <v>2025</v>
      </c>
      <c r="D139" s="1">
        <v>157500</v>
      </c>
      <c r="E139" s="1">
        <v>3.6641344501063702</v>
      </c>
      <c r="F139" s="1">
        <v>400.76470548038401</v>
      </c>
      <c r="G139" s="1">
        <v>21093.077777777798</v>
      </c>
      <c r="H139" s="1">
        <v>0.87720123925309901</v>
      </c>
    </row>
    <row r="140" spans="1:8" x14ac:dyDescent="0.25">
      <c r="A140" t="s">
        <v>272</v>
      </c>
      <c r="B140" t="s">
        <v>273</v>
      </c>
      <c r="C140" s="2">
        <v>2024</v>
      </c>
      <c r="D140" s="1">
        <v>43000</v>
      </c>
      <c r="E140" s="1">
        <v>4.0070382829786304</v>
      </c>
      <c r="F140" s="1">
        <v>119.65461539450099</v>
      </c>
      <c r="G140" s="1">
        <v>33898.162499999999</v>
      </c>
      <c r="H140" s="1">
        <v>4.7216680538172202</v>
      </c>
    </row>
    <row r="141" spans="1:8" x14ac:dyDescent="0.25">
      <c r="A141" t="s">
        <v>274</v>
      </c>
      <c r="B141" t="s">
        <v>275</v>
      </c>
      <c r="C141" s="2">
        <v>2024</v>
      </c>
      <c r="D141" s="1">
        <v>33400</v>
      </c>
      <c r="E141" s="1">
        <v>4.0581525191492496</v>
      </c>
      <c r="F141" s="1">
        <v>94.126593152489406</v>
      </c>
      <c r="G141" s="1">
        <v>31601.39</v>
      </c>
      <c r="H141" s="1">
        <v>5.59554760980323</v>
      </c>
    </row>
    <row r="142" spans="1:8" x14ac:dyDescent="0.25">
      <c r="A142" t="s">
        <v>276</v>
      </c>
      <c r="B142" t="s">
        <v>277</v>
      </c>
      <c r="C142" s="2">
        <v>2025</v>
      </c>
      <c r="D142" s="1">
        <v>53300</v>
      </c>
      <c r="E142" s="1">
        <v>3.9597880093664801</v>
      </c>
      <c r="F142" s="1">
        <v>146.56715340224599</v>
      </c>
      <c r="G142" s="1" t="s">
        <v>16</v>
      </c>
      <c r="H142" s="1" t="s">
        <v>16</v>
      </c>
    </row>
  </sheetData>
  <autoFilter ref="A1:J143" xr:uid="{79A6416A-783C-47B3-AF56-5C6861FE796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82A8E-6694-4B75-9A6B-3425728FE82B}">
  <sheetPr>
    <tabColor theme="0" tint="-0.249977111117893"/>
  </sheetPr>
  <dimension ref="A1:H123"/>
  <sheetViews>
    <sheetView workbookViewId="0">
      <selection sqref="A1:H18"/>
    </sheetView>
  </sheetViews>
  <sheetFormatPr defaultRowHeight="15" x14ac:dyDescent="0.25"/>
  <cols>
    <col min="1" max="1" width="12.42578125" bestFit="1" customWidth="1"/>
    <col min="2" max="2" width="61.7109375" customWidth="1"/>
    <col min="4" max="4" width="9.140625" style="7"/>
    <col min="7" max="7" width="12.7109375" bestFit="1" customWidth="1"/>
  </cols>
  <sheetData>
    <row r="1" spans="1:8" x14ac:dyDescent="0.25">
      <c r="A1" t="s">
        <v>0</v>
      </c>
      <c r="B1" t="s">
        <v>1</v>
      </c>
      <c r="C1" s="2" t="s">
        <v>3</v>
      </c>
      <c r="D1" s="7" t="s">
        <v>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105</v>
      </c>
      <c r="B2" t="s">
        <v>106</v>
      </c>
      <c r="C2" s="2">
        <v>2023</v>
      </c>
      <c r="D2" s="1">
        <v>83750</v>
      </c>
      <c r="E2" s="1">
        <v>3.8483361152576299</v>
      </c>
      <c r="F2" s="1">
        <v>223.81815948113001</v>
      </c>
      <c r="G2" s="1">
        <v>8955.8434722222191</v>
      </c>
      <c r="H2" s="1">
        <v>0.66689878165562799</v>
      </c>
    </row>
    <row r="3" spans="1:8" x14ac:dyDescent="0.25">
      <c r="A3" t="s">
        <v>141</v>
      </c>
      <c r="B3" t="s">
        <v>142</v>
      </c>
      <c r="C3" s="2">
        <v>2022</v>
      </c>
      <c r="D3" s="1">
        <v>45500</v>
      </c>
      <c r="E3" s="1">
        <v>3.9949490965415002</v>
      </c>
      <c r="F3" s="1">
        <v>126.229294369888</v>
      </c>
      <c r="G3" s="1">
        <v>6256.2222222222199</v>
      </c>
      <c r="H3" s="1">
        <v>0.82603939830978301</v>
      </c>
    </row>
    <row r="4" spans="1:8" x14ac:dyDescent="0.25">
      <c r="A4" t="s">
        <v>270</v>
      </c>
      <c r="B4" t="s">
        <v>271</v>
      </c>
      <c r="C4" s="2">
        <v>2024</v>
      </c>
      <c r="D4" s="1">
        <v>157500</v>
      </c>
      <c r="E4" s="1">
        <v>3.6641344501063702</v>
      </c>
      <c r="F4" s="1">
        <v>400.76470548038401</v>
      </c>
      <c r="G4" s="1">
        <v>21093.077777777798</v>
      </c>
      <c r="H4" s="1">
        <v>0.87720123925309901</v>
      </c>
    </row>
    <row r="5" spans="1:8" x14ac:dyDescent="0.25">
      <c r="A5" t="s">
        <v>270</v>
      </c>
      <c r="B5" t="s">
        <v>271</v>
      </c>
      <c r="C5" s="2">
        <v>2025</v>
      </c>
      <c r="D5" s="1">
        <v>157500</v>
      </c>
      <c r="E5" s="1">
        <v>3.6641344501063702</v>
      </c>
      <c r="F5" s="1">
        <v>400.76470548038401</v>
      </c>
      <c r="G5" s="1">
        <v>21093.077777777798</v>
      </c>
      <c r="H5" s="1">
        <v>0.87720123925309901</v>
      </c>
    </row>
    <row r="6" spans="1:8" x14ac:dyDescent="0.25">
      <c r="A6" t="s">
        <v>103</v>
      </c>
      <c r="B6" t="s">
        <v>104</v>
      </c>
      <c r="C6" s="2">
        <v>2021</v>
      </c>
      <c r="D6" s="1">
        <v>45200</v>
      </c>
      <c r="E6" s="1">
        <v>3.9963768757509599</v>
      </c>
      <c r="F6" s="1">
        <v>125.441829711072</v>
      </c>
      <c r="G6" s="1">
        <v>7709.88</v>
      </c>
      <c r="H6" s="1">
        <v>1.02436324706015</v>
      </c>
    </row>
    <row r="7" spans="1:8" x14ac:dyDescent="0.25">
      <c r="A7" t="s">
        <v>119</v>
      </c>
      <c r="B7" t="s">
        <v>120</v>
      </c>
      <c r="C7" s="2">
        <v>2025</v>
      </c>
      <c r="D7" s="1">
        <v>74900</v>
      </c>
      <c r="E7" s="1">
        <v>3.8774329517333599</v>
      </c>
      <c r="F7" s="1">
        <v>201.680366725575</v>
      </c>
      <c r="G7" s="1">
        <v>12873.4370833333</v>
      </c>
      <c r="H7" s="1">
        <v>1.0638481484624001</v>
      </c>
    </row>
    <row r="8" spans="1:8" x14ac:dyDescent="0.25">
      <c r="A8" t="s">
        <v>119</v>
      </c>
      <c r="B8" t="s">
        <v>120</v>
      </c>
      <c r="C8" s="2">
        <v>2024</v>
      </c>
      <c r="D8" s="1">
        <v>74900</v>
      </c>
      <c r="E8" s="1">
        <v>3.8774329517333599</v>
      </c>
      <c r="F8" s="1">
        <v>201.680366725575</v>
      </c>
      <c r="G8" s="1">
        <v>12873.4370833333</v>
      </c>
      <c r="H8" s="1">
        <v>1.0638481484624001</v>
      </c>
    </row>
    <row r="9" spans="1:8" x14ac:dyDescent="0.25">
      <c r="A9" t="s">
        <v>216</v>
      </c>
      <c r="B9" t="s">
        <v>217</v>
      </c>
      <c r="C9" s="2">
        <v>2024</v>
      </c>
      <c r="D9" s="1">
        <v>59030</v>
      </c>
      <c r="E9" s="1">
        <v>3.9360508208013898</v>
      </c>
      <c r="F9" s="1">
        <v>161.350749966602</v>
      </c>
      <c r="G9" s="1">
        <v>11809.742222222199</v>
      </c>
      <c r="H9" s="1">
        <v>1.21988300071601</v>
      </c>
    </row>
    <row r="10" spans="1:8" x14ac:dyDescent="0.25">
      <c r="A10" t="s">
        <v>151</v>
      </c>
      <c r="B10" t="s">
        <v>152</v>
      </c>
      <c r="C10" s="2">
        <v>2021</v>
      </c>
      <c r="D10" s="1">
        <v>37000</v>
      </c>
      <c r="E10" s="1">
        <v>4.0380123133450097</v>
      </c>
      <c r="F10" s="1">
        <v>103.754483051226</v>
      </c>
      <c r="G10" s="1">
        <v>9644.2955555555509</v>
      </c>
      <c r="H10" s="1">
        <v>1.5492174847028</v>
      </c>
    </row>
    <row r="11" spans="1:8" x14ac:dyDescent="0.25">
      <c r="A11" t="s">
        <v>266</v>
      </c>
      <c r="B11" t="s">
        <v>267</v>
      </c>
      <c r="C11" s="2">
        <v>2024</v>
      </c>
      <c r="D11" s="1">
        <v>28800</v>
      </c>
      <c r="E11" s="1">
        <v>4.0859732431008604</v>
      </c>
      <c r="F11" s="1">
        <v>81.719464862017205</v>
      </c>
      <c r="G11" s="1">
        <v>7940.80666666666</v>
      </c>
      <c r="H11" s="1">
        <v>1.6195257519275801</v>
      </c>
    </row>
    <row r="12" spans="1:8" x14ac:dyDescent="0.25">
      <c r="A12" t="s">
        <v>196</v>
      </c>
      <c r="B12" t="s">
        <v>197</v>
      </c>
      <c r="C12" s="2">
        <v>2023</v>
      </c>
      <c r="D12" s="1">
        <v>33500</v>
      </c>
      <c r="E12" s="1">
        <v>4.0575751144619803</v>
      </c>
      <c r="F12" s="1">
        <v>94.394976621164005</v>
      </c>
      <c r="G12" s="1">
        <v>9960.7948611111096</v>
      </c>
      <c r="H12" s="1">
        <v>1.7587084994093201</v>
      </c>
    </row>
    <row r="13" spans="1:8" x14ac:dyDescent="0.25">
      <c r="A13" t="s">
        <v>214</v>
      </c>
      <c r="B13" t="s">
        <v>215</v>
      </c>
      <c r="C13" s="2">
        <v>2023</v>
      </c>
      <c r="D13" s="1">
        <v>45500</v>
      </c>
      <c r="E13" s="1">
        <v>3.9949490965415002</v>
      </c>
      <c r="F13" s="1">
        <v>126.229294369888</v>
      </c>
      <c r="G13" s="1">
        <v>13384.5555555556</v>
      </c>
      <c r="H13" s="1">
        <v>1.7672278613255199</v>
      </c>
    </row>
    <row r="14" spans="1:8" x14ac:dyDescent="0.25">
      <c r="A14" t="s">
        <v>254</v>
      </c>
      <c r="B14" t="s">
        <v>255</v>
      </c>
      <c r="C14" s="2">
        <v>2023</v>
      </c>
      <c r="D14" s="1">
        <v>31800</v>
      </c>
      <c r="E14" s="1">
        <v>4.0675418683376998</v>
      </c>
      <c r="F14" s="1">
        <v>89.824882925790902</v>
      </c>
      <c r="G14" s="1">
        <v>9555.1</v>
      </c>
      <c r="H14" s="1">
        <v>1.7729125992653201</v>
      </c>
    </row>
    <row r="15" spans="1:8" x14ac:dyDescent="0.25">
      <c r="A15" t="s">
        <v>242</v>
      </c>
      <c r="B15" t="s">
        <v>243</v>
      </c>
      <c r="C15" s="2">
        <v>2025</v>
      </c>
      <c r="D15" s="7">
        <v>16000</v>
      </c>
      <c r="E15" s="1">
        <v>4.1818181818181799</v>
      </c>
      <c r="F15" s="1">
        <v>46.464646464646499</v>
      </c>
      <c r="G15" s="1">
        <v>5004.5599999999904</v>
      </c>
      <c r="H15" s="1">
        <v>1.7951139130434799</v>
      </c>
    </row>
    <row r="16" spans="1:8" x14ac:dyDescent="0.25">
      <c r="A16" t="s">
        <v>71</v>
      </c>
      <c r="B16" t="s">
        <v>72</v>
      </c>
      <c r="C16" s="2">
        <v>2021</v>
      </c>
      <c r="D16" s="1">
        <v>18200</v>
      </c>
      <c r="E16" s="1">
        <v>4.1626878162753602</v>
      </c>
      <c r="F16" s="1">
        <v>52.611748789035701</v>
      </c>
      <c r="G16" s="1">
        <v>5742.0748611111103</v>
      </c>
      <c r="H16" s="1">
        <v>1.81900905953404</v>
      </c>
    </row>
    <row r="17" spans="1:8" x14ac:dyDescent="0.25">
      <c r="A17" t="s">
        <v>77</v>
      </c>
      <c r="B17" t="s">
        <v>78</v>
      </c>
      <c r="C17" s="2">
        <v>2022</v>
      </c>
      <c r="D17" s="1">
        <v>41300</v>
      </c>
      <c r="E17" s="1">
        <v>4.0155186599529502</v>
      </c>
      <c r="F17" s="1">
        <v>115.167306011151</v>
      </c>
      <c r="G17" s="1">
        <v>13101.4131944444</v>
      </c>
      <c r="H17" s="1">
        <v>1.8959971726084499</v>
      </c>
    </row>
    <row r="18" spans="1:8" x14ac:dyDescent="0.25">
      <c r="A18" t="s">
        <v>117</v>
      </c>
      <c r="B18" t="s">
        <v>118</v>
      </c>
      <c r="C18" s="2">
        <v>2023</v>
      </c>
      <c r="D18" s="1">
        <v>56000</v>
      </c>
      <c r="E18" s="1">
        <v>3.9484041008441002</v>
      </c>
      <c r="F18" s="1">
        <v>153.54904836616001</v>
      </c>
      <c r="G18" s="1">
        <v>17627.611111111099</v>
      </c>
      <c r="H18" s="1">
        <v>1.91335290999607</v>
      </c>
    </row>
    <row r="19" spans="1:8" x14ac:dyDescent="0.25">
      <c r="A19" t="s">
        <v>194</v>
      </c>
      <c r="B19" t="s">
        <v>195</v>
      </c>
      <c r="C19" s="2">
        <v>2023</v>
      </c>
      <c r="D19" s="1">
        <v>35000</v>
      </c>
      <c r="E19" s="1">
        <v>4.0490407861763904</v>
      </c>
      <c r="F19" s="1">
        <v>98.4141857751206</v>
      </c>
      <c r="G19" s="1">
        <v>11552.1365277778</v>
      </c>
      <c r="H19" s="1">
        <v>1.95638065061317</v>
      </c>
    </row>
    <row r="20" spans="1:8" x14ac:dyDescent="0.25">
      <c r="A20" t="s">
        <v>232</v>
      </c>
      <c r="B20" t="s">
        <v>233</v>
      </c>
      <c r="C20" s="2">
        <v>2023</v>
      </c>
      <c r="D20" s="7">
        <v>11900</v>
      </c>
      <c r="E20" s="1">
        <v>4.2221212312206502</v>
      </c>
      <c r="F20" s="1">
        <v>34.891140730226198</v>
      </c>
      <c r="G20" s="1">
        <v>4212.24444444444</v>
      </c>
      <c r="H20" s="1">
        <v>2.0120888169545101</v>
      </c>
    </row>
    <row r="21" spans="1:8" x14ac:dyDescent="0.25">
      <c r="A21" t="s">
        <v>175</v>
      </c>
      <c r="B21" t="s">
        <v>176</v>
      </c>
      <c r="C21" s="2">
        <v>2024</v>
      </c>
      <c r="D21" s="1">
        <v>93860</v>
      </c>
      <c r="E21" s="1">
        <v>3.8175739369409998</v>
      </c>
      <c r="F21" s="1">
        <v>248.83159008422399</v>
      </c>
      <c r="G21" s="1">
        <v>30325.653333333299</v>
      </c>
      <c r="H21" s="1">
        <v>2.0312033346910598</v>
      </c>
    </row>
    <row r="22" spans="1:8" x14ac:dyDescent="0.25">
      <c r="A22" t="s">
        <v>256</v>
      </c>
      <c r="B22" t="s">
        <v>257</v>
      </c>
      <c r="C22" s="2">
        <v>2024</v>
      </c>
      <c r="D22" s="1">
        <v>27600</v>
      </c>
      <c r="E22" s="1">
        <v>4.0936785614045004</v>
      </c>
      <c r="F22" s="1">
        <v>78.462172426919494</v>
      </c>
      <c r="G22" s="1">
        <v>9582.7777777777792</v>
      </c>
      <c r="H22" s="1">
        <v>2.0355409240257898</v>
      </c>
    </row>
    <row r="23" spans="1:8" x14ac:dyDescent="0.25">
      <c r="A23" t="s">
        <v>252</v>
      </c>
      <c r="B23" t="s">
        <v>253</v>
      </c>
      <c r="C23" s="2">
        <v>2024</v>
      </c>
      <c r="D23" s="1">
        <v>24500</v>
      </c>
      <c r="E23" s="1">
        <v>4.114589244327</v>
      </c>
      <c r="F23" s="1">
        <v>70.005164226396801</v>
      </c>
      <c r="G23" s="1">
        <v>8734.3951388888909</v>
      </c>
      <c r="H23" s="1">
        <v>2.07946447842092</v>
      </c>
    </row>
    <row r="24" spans="1:8" x14ac:dyDescent="0.25">
      <c r="A24" t="s">
        <v>97</v>
      </c>
      <c r="B24" t="s">
        <v>98</v>
      </c>
      <c r="C24" s="2">
        <v>2021</v>
      </c>
      <c r="D24" s="1">
        <v>58500</v>
      </c>
      <c r="E24" s="1">
        <v>3.9381809290596901</v>
      </c>
      <c r="F24" s="1">
        <v>159.98860024305</v>
      </c>
      <c r="G24" s="1">
        <v>20424.111111111099</v>
      </c>
      <c r="H24" s="1">
        <v>2.1276631668426602</v>
      </c>
    </row>
    <row r="25" spans="1:8" x14ac:dyDescent="0.25">
      <c r="A25" t="s">
        <v>10</v>
      </c>
      <c r="B25" t="s">
        <v>11</v>
      </c>
      <c r="C25" s="2">
        <v>2022</v>
      </c>
      <c r="D25" s="1">
        <v>74640</v>
      </c>
      <c r="E25" s="1">
        <v>3.87832235031633</v>
      </c>
      <c r="F25" s="1">
        <v>201.02637515806299</v>
      </c>
      <c r="G25" s="1">
        <v>26153.293611111101</v>
      </c>
      <c r="H25" s="1">
        <v>2.1683136180967399</v>
      </c>
    </row>
    <row r="26" spans="1:8" x14ac:dyDescent="0.25">
      <c r="A26" t="s">
        <v>230</v>
      </c>
      <c r="B26" t="s">
        <v>231</v>
      </c>
      <c r="C26" s="2">
        <v>2024</v>
      </c>
      <c r="D26" s="1">
        <v>70000</v>
      </c>
      <c r="E26" s="1">
        <v>3.8945594528446401</v>
      </c>
      <c r="F26" s="1">
        <v>189.31886229105899</v>
      </c>
      <c r="G26" s="1">
        <v>25389.7002777778</v>
      </c>
      <c r="H26" s="1">
        <v>2.23517966554081</v>
      </c>
    </row>
    <row r="27" spans="1:8" x14ac:dyDescent="0.25">
      <c r="A27" t="s">
        <v>75</v>
      </c>
      <c r="B27" t="s">
        <v>76</v>
      </c>
      <c r="C27" s="2">
        <v>2021</v>
      </c>
      <c r="D27" s="1">
        <v>93450</v>
      </c>
      <c r="E27" s="1">
        <v>3.8187756379672302</v>
      </c>
      <c r="F27" s="1">
        <v>247.822627338915</v>
      </c>
      <c r="G27" s="1">
        <v>33673.775361111097</v>
      </c>
      <c r="H27" s="1">
        <v>2.2646422377902198</v>
      </c>
    </row>
    <row r="28" spans="1:8" x14ac:dyDescent="0.25">
      <c r="A28" t="s">
        <v>159</v>
      </c>
      <c r="B28" t="s">
        <v>160</v>
      </c>
      <c r="C28" s="2">
        <v>2023</v>
      </c>
      <c r="D28" s="7">
        <v>14000</v>
      </c>
      <c r="E28" s="1">
        <v>4.2006103189480797</v>
      </c>
      <c r="F28" s="1">
        <v>40.839266989773002</v>
      </c>
      <c r="G28" s="1">
        <v>5717.6283333333304</v>
      </c>
      <c r="H28" s="1">
        <v>2.3333867764918299</v>
      </c>
    </row>
    <row r="29" spans="1:8" x14ac:dyDescent="0.25">
      <c r="A29" t="s">
        <v>131</v>
      </c>
      <c r="B29" t="s">
        <v>132</v>
      </c>
      <c r="C29" s="2">
        <v>2023</v>
      </c>
      <c r="D29" s="1">
        <v>48150</v>
      </c>
      <c r="E29" s="1">
        <v>3.9825931536408099</v>
      </c>
      <c r="F29" s="1">
        <v>133.167958574865</v>
      </c>
      <c r="G29" s="1">
        <v>18674.477361111101</v>
      </c>
      <c r="H29" s="1">
        <v>2.3372085348659701</v>
      </c>
    </row>
    <row r="30" spans="1:8" x14ac:dyDescent="0.25">
      <c r="A30" t="s">
        <v>189</v>
      </c>
      <c r="B30" t="s">
        <v>190</v>
      </c>
      <c r="C30" s="2">
        <v>2024</v>
      </c>
      <c r="D30" s="1">
        <v>129750</v>
      </c>
      <c r="E30" s="1">
        <v>3.7242237680766999</v>
      </c>
      <c r="F30" s="1">
        <v>335.56807910274398</v>
      </c>
      <c r="G30" s="1">
        <v>48057.917777777802</v>
      </c>
      <c r="H30" s="1">
        <v>2.3868935878464699</v>
      </c>
    </row>
    <row r="31" spans="1:8" x14ac:dyDescent="0.25">
      <c r="A31" t="s">
        <v>163</v>
      </c>
      <c r="B31" t="s">
        <v>164</v>
      </c>
      <c r="C31" s="2">
        <v>2022</v>
      </c>
      <c r="D31" s="1">
        <v>48000</v>
      </c>
      <c r="E31" s="1">
        <v>3.9832806364442201</v>
      </c>
      <c r="F31" s="1">
        <v>132.776021214807</v>
      </c>
      <c r="G31" s="1">
        <v>19026.344166666699</v>
      </c>
      <c r="H31" s="1">
        <v>2.3882756329781301</v>
      </c>
    </row>
    <row r="32" spans="1:8" x14ac:dyDescent="0.25">
      <c r="A32" t="s">
        <v>218</v>
      </c>
      <c r="B32" t="s">
        <v>219</v>
      </c>
      <c r="C32" s="2">
        <v>2024</v>
      </c>
      <c r="D32" s="7">
        <v>16250</v>
      </c>
      <c r="E32" s="1">
        <v>4.1795687183072499</v>
      </c>
      <c r="F32" s="1">
        <v>47.1652719947866</v>
      </c>
      <c r="G32" s="1">
        <v>6762.0662499999999</v>
      </c>
      <c r="H32" s="1">
        <v>2.3894933581454598</v>
      </c>
    </row>
    <row r="33" spans="1:8" x14ac:dyDescent="0.25">
      <c r="A33" t="s">
        <v>137</v>
      </c>
      <c r="B33" t="s">
        <v>138</v>
      </c>
      <c r="C33" s="2">
        <v>2022</v>
      </c>
      <c r="D33" s="1">
        <v>49350</v>
      </c>
      <c r="E33" s="1">
        <v>3.9771426355255701</v>
      </c>
      <c r="F33" s="1">
        <v>136.299992404991</v>
      </c>
      <c r="G33" s="1">
        <v>19755.04</v>
      </c>
      <c r="H33" s="1">
        <v>2.4156323185136901</v>
      </c>
    </row>
    <row r="34" spans="1:8" x14ac:dyDescent="0.25">
      <c r="A34" t="s">
        <v>187</v>
      </c>
      <c r="B34" t="s">
        <v>188</v>
      </c>
      <c r="C34" s="2">
        <v>2023</v>
      </c>
      <c r="D34" s="1">
        <v>112450</v>
      </c>
      <c r="E34" s="1">
        <v>3.7665663536323102</v>
      </c>
      <c r="F34" s="1">
        <v>294.13221282357898</v>
      </c>
      <c r="G34" s="1">
        <v>43247.415555555497</v>
      </c>
      <c r="H34" s="1">
        <v>2.4505655206544499</v>
      </c>
    </row>
    <row r="35" spans="1:8" x14ac:dyDescent="0.25">
      <c r="A35" t="s">
        <v>222</v>
      </c>
      <c r="B35" t="s">
        <v>223</v>
      </c>
      <c r="C35" s="2">
        <v>2024</v>
      </c>
      <c r="D35" s="1">
        <v>58100</v>
      </c>
      <c r="E35" s="1">
        <v>3.9397970140677501</v>
      </c>
      <c r="F35" s="1">
        <v>158.959865637039</v>
      </c>
      <c r="G35" s="1">
        <v>23749.432916666701</v>
      </c>
      <c r="H35" s="1">
        <v>2.4900869182177598</v>
      </c>
    </row>
    <row r="36" spans="1:8" x14ac:dyDescent="0.25">
      <c r="A36" t="s">
        <v>63</v>
      </c>
      <c r="B36" t="s">
        <v>64</v>
      </c>
      <c r="C36" s="2">
        <v>2021</v>
      </c>
      <c r="D36" s="1">
        <v>60760</v>
      </c>
      <c r="E36" s="1">
        <v>3.9291846527411698</v>
      </c>
      <c r="F36" s="1">
        <v>165.78976354205099</v>
      </c>
      <c r="G36" s="1">
        <v>25072.097777777799</v>
      </c>
      <c r="H36" s="1">
        <v>2.5204710313149601</v>
      </c>
    </row>
    <row r="37" spans="1:8" x14ac:dyDescent="0.25">
      <c r="A37" t="s">
        <v>107</v>
      </c>
      <c r="B37" t="s">
        <v>108</v>
      </c>
      <c r="C37" s="2">
        <v>2023</v>
      </c>
      <c r="D37" s="1">
        <v>70000</v>
      </c>
      <c r="E37" s="1">
        <v>3.8945594528446401</v>
      </c>
      <c r="F37" s="1">
        <v>189.31886229105899</v>
      </c>
      <c r="G37" s="1">
        <v>29025.111111111099</v>
      </c>
      <c r="H37" s="1">
        <v>2.55522268620087</v>
      </c>
    </row>
    <row r="38" spans="1:8" x14ac:dyDescent="0.25">
      <c r="A38" t="s">
        <v>43</v>
      </c>
      <c r="B38" t="s">
        <v>44</v>
      </c>
      <c r="C38" s="2">
        <v>2021</v>
      </c>
      <c r="D38" s="1">
        <v>33000</v>
      </c>
      <c r="E38" s="1">
        <v>4.0604730245594602</v>
      </c>
      <c r="F38" s="1">
        <v>93.052506812820994</v>
      </c>
      <c r="G38" s="1">
        <v>14271.576111111101</v>
      </c>
      <c r="H38" s="1">
        <v>2.5561869314312702</v>
      </c>
    </row>
    <row r="39" spans="1:8" x14ac:dyDescent="0.25">
      <c r="A39" t="s">
        <v>21</v>
      </c>
      <c r="B39" t="s">
        <v>22</v>
      </c>
      <c r="C39" s="2">
        <v>2021</v>
      </c>
      <c r="D39" s="1">
        <v>47400</v>
      </c>
      <c r="E39" s="1">
        <v>3.98604456346047</v>
      </c>
      <c r="F39" s="1">
        <v>131.20730021390699</v>
      </c>
      <c r="G39" s="1">
        <v>20256.660555555602</v>
      </c>
      <c r="H39" s="1">
        <v>2.5731114709993501</v>
      </c>
    </row>
    <row r="40" spans="1:8" x14ac:dyDescent="0.25">
      <c r="A40" t="s">
        <v>41</v>
      </c>
      <c r="B40" t="s">
        <v>42</v>
      </c>
      <c r="C40" s="2">
        <v>2023</v>
      </c>
      <c r="D40" s="1">
        <v>52150</v>
      </c>
      <c r="E40" s="1">
        <v>3.96475149620872</v>
      </c>
      <c r="F40" s="1">
        <v>143.584576755059</v>
      </c>
      <c r="G40" s="1">
        <v>22197.081666666701</v>
      </c>
      <c r="H40" s="1">
        <v>2.5765396916008001</v>
      </c>
    </row>
    <row r="41" spans="1:8" x14ac:dyDescent="0.25">
      <c r="A41" t="s">
        <v>246</v>
      </c>
      <c r="B41" t="s">
        <v>247</v>
      </c>
      <c r="C41" s="2">
        <v>2024</v>
      </c>
      <c r="D41" s="7">
        <v>17250</v>
      </c>
      <c r="E41" s="1">
        <v>4.1707700708233997</v>
      </c>
      <c r="F41" s="1">
        <v>49.962349806738601</v>
      </c>
      <c r="G41" s="1">
        <v>7890.9344444444396</v>
      </c>
      <c r="H41" s="1">
        <v>2.63229360874328</v>
      </c>
    </row>
    <row r="42" spans="1:8" x14ac:dyDescent="0.25">
      <c r="A42" t="s">
        <v>85</v>
      </c>
      <c r="B42" t="s">
        <v>86</v>
      </c>
      <c r="C42" s="2">
        <v>2021</v>
      </c>
      <c r="D42" s="1">
        <v>34650</v>
      </c>
      <c r="E42" s="1">
        <v>4.0510112699686101</v>
      </c>
      <c r="F42" s="1">
        <v>97.477458683619602</v>
      </c>
      <c r="G42" s="1">
        <v>15437.9333333333</v>
      </c>
      <c r="H42" s="1">
        <v>2.6395732137826702</v>
      </c>
    </row>
    <row r="43" spans="1:8" x14ac:dyDescent="0.25">
      <c r="A43" t="s">
        <v>113</v>
      </c>
      <c r="B43" t="s">
        <v>114</v>
      </c>
      <c r="C43" s="2">
        <v>2021</v>
      </c>
      <c r="D43" s="1">
        <v>48720</v>
      </c>
      <c r="E43" s="1">
        <v>3.9799933032525101</v>
      </c>
      <c r="F43" s="1">
        <v>134.656440093377</v>
      </c>
      <c r="G43" s="1">
        <v>21583.444444444402</v>
      </c>
      <c r="H43" s="1">
        <v>2.6714212393007402</v>
      </c>
    </row>
    <row r="44" spans="1:8" x14ac:dyDescent="0.25">
      <c r="A44" t="s">
        <v>234</v>
      </c>
      <c r="B44" t="s">
        <v>235</v>
      </c>
      <c r="C44" s="2">
        <v>2024</v>
      </c>
      <c r="D44" s="1">
        <v>54750</v>
      </c>
      <c r="E44" s="1">
        <v>3.9536286030827301</v>
      </c>
      <c r="F44" s="1">
        <v>150.320254179708</v>
      </c>
      <c r="G44" s="1">
        <v>24188.4194444444</v>
      </c>
      <c r="H44" s="1">
        <v>2.6818762799065001</v>
      </c>
    </row>
    <row r="45" spans="1:8" x14ac:dyDescent="0.25">
      <c r="A45" t="s">
        <v>264</v>
      </c>
      <c r="B45" t="s">
        <v>265</v>
      </c>
      <c r="C45" s="2">
        <v>2024</v>
      </c>
      <c r="D45" s="7">
        <v>10250</v>
      </c>
      <c r="E45" s="1">
        <v>4.24062355928901</v>
      </c>
      <c r="F45" s="1">
        <v>30.1849940852169</v>
      </c>
      <c r="G45" s="1">
        <v>4869.7222222222199</v>
      </c>
      <c r="H45" s="1">
        <v>2.6888207036881999</v>
      </c>
    </row>
    <row r="46" spans="1:8" x14ac:dyDescent="0.25">
      <c r="A46" t="s">
        <v>262</v>
      </c>
      <c r="B46" t="s">
        <v>263</v>
      </c>
      <c r="C46" s="2">
        <v>2025</v>
      </c>
      <c r="D46" s="1">
        <v>105750</v>
      </c>
      <c r="E46" s="1">
        <v>3.7842145115715402</v>
      </c>
      <c r="F46" s="1">
        <v>277.90325319353502</v>
      </c>
      <c r="G46" s="1">
        <v>44948.502222222203</v>
      </c>
      <c r="H46" s="1">
        <v>2.6956924580583901</v>
      </c>
    </row>
    <row r="47" spans="1:8" x14ac:dyDescent="0.25">
      <c r="A47" t="s">
        <v>262</v>
      </c>
      <c r="B47" t="s">
        <v>263</v>
      </c>
      <c r="C47" s="2">
        <v>2024</v>
      </c>
      <c r="D47" s="1">
        <v>105750</v>
      </c>
      <c r="E47" s="1">
        <v>3.7842145115715402</v>
      </c>
      <c r="F47" s="1">
        <v>277.90325319353502</v>
      </c>
      <c r="G47" s="1">
        <v>44948.502222222203</v>
      </c>
      <c r="H47" s="1">
        <v>2.6956924580583901</v>
      </c>
    </row>
    <row r="48" spans="1:8" x14ac:dyDescent="0.25">
      <c r="A48" t="s">
        <v>69</v>
      </c>
      <c r="B48" t="s">
        <v>70</v>
      </c>
      <c r="C48" s="2">
        <v>2021</v>
      </c>
      <c r="D48" s="1">
        <v>47500</v>
      </c>
      <c r="E48" s="1">
        <v>3.9855823429009201</v>
      </c>
      <c r="F48" s="1">
        <v>131.46886200541201</v>
      </c>
      <c r="G48" s="1">
        <v>21888.350416666701</v>
      </c>
      <c r="H48" s="1">
        <v>2.7748459575375302</v>
      </c>
    </row>
    <row r="49" spans="1:8" x14ac:dyDescent="0.25">
      <c r="A49" t="s">
        <v>31</v>
      </c>
      <c r="B49" t="s">
        <v>32</v>
      </c>
      <c r="C49" s="2">
        <v>2021</v>
      </c>
      <c r="D49" s="1">
        <v>19250</v>
      </c>
      <c r="E49" s="1">
        <v>4.1540423804412798</v>
      </c>
      <c r="F49" s="1">
        <v>55.531469321871299</v>
      </c>
      <c r="G49" s="1">
        <v>9291.0513888888909</v>
      </c>
      <c r="H49" s="1">
        <v>2.7885243875672598</v>
      </c>
    </row>
    <row r="50" spans="1:8" x14ac:dyDescent="0.25">
      <c r="A50" t="s">
        <v>192</v>
      </c>
      <c r="B50" t="s">
        <v>193</v>
      </c>
      <c r="C50" s="2">
        <v>2023</v>
      </c>
      <c r="D50" s="1">
        <v>29750</v>
      </c>
      <c r="E50" s="1">
        <v>4.0800128336096204</v>
      </c>
      <c r="F50" s="1">
        <v>84.291931805476395</v>
      </c>
      <c r="G50" s="1">
        <v>14179.7563888889</v>
      </c>
      <c r="H50" s="1">
        <v>2.8036998095325898</v>
      </c>
    </row>
    <row r="51" spans="1:8" x14ac:dyDescent="0.25">
      <c r="A51" t="s">
        <v>47</v>
      </c>
      <c r="B51" t="s">
        <v>48</v>
      </c>
      <c r="C51" s="2">
        <v>2022</v>
      </c>
      <c r="D51" s="1">
        <v>29050</v>
      </c>
      <c r="E51" s="1">
        <v>4.0843930572075102</v>
      </c>
      <c r="F51" s="1">
        <v>82.396957161026506</v>
      </c>
      <c r="G51" s="1">
        <v>13896.2288888889</v>
      </c>
      <c r="H51" s="1">
        <v>2.8108297053032798</v>
      </c>
    </row>
    <row r="52" spans="1:8" x14ac:dyDescent="0.25">
      <c r="A52" t="s">
        <v>171</v>
      </c>
      <c r="B52" t="s">
        <v>172</v>
      </c>
      <c r="C52" s="2">
        <v>2024</v>
      </c>
      <c r="D52" s="1">
        <v>80150</v>
      </c>
      <c r="E52" s="1">
        <v>3.85990627146034</v>
      </c>
      <c r="F52" s="1">
        <v>214.84131087329601</v>
      </c>
      <c r="G52" s="1">
        <v>36405.364444444502</v>
      </c>
      <c r="H52" s="1">
        <v>2.8242057898814101</v>
      </c>
    </row>
    <row r="53" spans="1:8" x14ac:dyDescent="0.25">
      <c r="A53" t="s">
        <v>202</v>
      </c>
      <c r="B53" t="s">
        <v>203</v>
      </c>
      <c r="C53" s="2">
        <v>2023</v>
      </c>
      <c r="D53" s="1">
        <v>92050</v>
      </c>
      <c r="E53" s="1">
        <v>3.8229068091204699</v>
      </c>
      <c r="F53" s="1">
        <v>244.37400818023499</v>
      </c>
      <c r="G53" s="1">
        <v>41821.650972222204</v>
      </c>
      <c r="H53" s="1">
        <v>2.8522980876494</v>
      </c>
    </row>
    <row r="54" spans="1:8" x14ac:dyDescent="0.25">
      <c r="A54" t="s">
        <v>183</v>
      </c>
      <c r="B54" t="s">
        <v>184</v>
      </c>
      <c r="C54" s="2">
        <v>2023</v>
      </c>
      <c r="D54" s="1">
        <v>33600</v>
      </c>
      <c r="E54" s="1">
        <v>4.0569987884406196</v>
      </c>
      <c r="F54" s="1">
        <v>94.663305063614501</v>
      </c>
      <c r="G54" s="1">
        <v>16251.203055555599</v>
      </c>
      <c r="H54" s="1">
        <v>2.86122890044081</v>
      </c>
    </row>
    <row r="55" spans="1:8" x14ac:dyDescent="0.25">
      <c r="A55" t="s">
        <v>147</v>
      </c>
      <c r="B55" t="s">
        <v>148</v>
      </c>
      <c r="C55" s="2">
        <v>2023</v>
      </c>
      <c r="D55" s="1">
        <v>55794</v>
      </c>
      <c r="E55" s="1">
        <v>3.9492597882882801</v>
      </c>
      <c r="F55" s="1">
        <v>153.01736154705301</v>
      </c>
      <c r="G55" s="1">
        <v>27278.0297222222</v>
      </c>
      <c r="H55" s="1">
        <v>2.9711257866899201</v>
      </c>
    </row>
    <row r="56" spans="1:8" x14ac:dyDescent="0.25">
      <c r="A56" t="s">
        <v>155</v>
      </c>
      <c r="B56" t="s">
        <v>156</v>
      </c>
      <c r="C56" s="2">
        <v>2022</v>
      </c>
      <c r="D56" s="1">
        <v>21000</v>
      </c>
      <c r="E56" s="1">
        <v>4.1402402803712404</v>
      </c>
      <c r="F56" s="1">
        <v>60.378504088747199</v>
      </c>
      <c r="G56" s="1">
        <v>10864.8072222222</v>
      </c>
      <c r="H56" s="1">
        <v>2.99908258913156</v>
      </c>
    </row>
    <row r="57" spans="1:8" x14ac:dyDescent="0.25">
      <c r="A57" t="s">
        <v>111</v>
      </c>
      <c r="B57" t="s">
        <v>112</v>
      </c>
      <c r="C57" s="2">
        <v>2021</v>
      </c>
      <c r="D57" s="1">
        <v>28750</v>
      </c>
      <c r="E57" s="1">
        <v>4.0862902971306596</v>
      </c>
      <c r="F57" s="1">
        <v>81.583920862851699</v>
      </c>
      <c r="G57" s="1">
        <v>14829.5705555556</v>
      </c>
      <c r="H57" s="1">
        <v>3.0295125147852602</v>
      </c>
    </row>
    <row r="58" spans="1:8" x14ac:dyDescent="0.25">
      <c r="A58" t="s">
        <v>179</v>
      </c>
      <c r="B58" t="s">
        <v>180</v>
      </c>
      <c r="C58" s="2">
        <v>2023</v>
      </c>
      <c r="D58" s="1">
        <v>41300</v>
      </c>
      <c r="E58" s="1">
        <v>4.0155186599529502</v>
      </c>
      <c r="F58" s="1">
        <v>115.167306011151</v>
      </c>
      <c r="G58" s="1">
        <v>21076.451527777801</v>
      </c>
      <c r="H58" s="1">
        <v>3.0501207703479598</v>
      </c>
    </row>
    <row r="59" spans="1:8" x14ac:dyDescent="0.25">
      <c r="A59" t="s">
        <v>67</v>
      </c>
      <c r="B59" t="s">
        <v>68</v>
      </c>
      <c r="C59" s="2">
        <v>2021</v>
      </c>
      <c r="D59" s="1">
        <v>25200</v>
      </c>
      <c r="E59" s="1">
        <v>4.1097317613102504</v>
      </c>
      <c r="F59" s="1">
        <v>71.920305822929294</v>
      </c>
      <c r="G59" s="1">
        <v>13594.058055555601</v>
      </c>
      <c r="H59" s="1">
        <v>3.15025960564014</v>
      </c>
    </row>
    <row r="60" spans="1:8" x14ac:dyDescent="0.25">
      <c r="A60" t="s">
        <v>149</v>
      </c>
      <c r="B60" t="s">
        <v>150</v>
      </c>
      <c r="C60" s="2">
        <v>2023</v>
      </c>
      <c r="D60" s="1">
        <v>51450</v>
      </c>
      <c r="E60" s="1">
        <v>3.9678078363216902</v>
      </c>
      <c r="F60" s="1">
        <v>141.76646748524399</v>
      </c>
      <c r="G60" s="1">
        <v>26824.107638888901</v>
      </c>
      <c r="H60" s="1">
        <v>3.1535557637752598</v>
      </c>
    </row>
    <row r="61" spans="1:8" x14ac:dyDescent="0.25">
      <c r="A61" t="s">
        <v>139</v>
      </c>
      <c r="B61" t="s">
        <v>140</v>
      </c>
      <c r="C61" s="2">
        <v>2024</v>
      </c>
      <c r="D61" s="1">
        <v>36400</v>
      </c>
      <c r="E61" s="1">
        <v>4.0412805223689503</v>
      </c>
      <c r="F61" s="1">
        <v>102.154590982104</v>
      </c>
      <c r="G61" s="1">
        <v>19582.785</v>
      </c>
      <c r="H61" s="1">
        <v>3.1949591972540601</v>
      </c>
    </row>
    <row r="62" spans="1:8" x14ac:dyDescent="0.25">
      <c r="A62" t="s">
        <v>125</v>
      </c>
      <c r="B62" t="s">
        <v>126</v>
      </c>
      <c r="C62" s="2">
        <v>2022</v>
      </c>
      <c r="D62" s="7">
        <v>13650</v>
      </c>
      <c r="E62" s="1">
        <v>4.2040579382522703</v>
      </c>
      <c r="F62" s="1">
        <v>39.8509658730163</v>
      </c>
      <c r="G62" s="1">
        <v>7773.7151388888897</v>
      </c>
      <c r="H62" s="1">
        <v>3.2511613242782098</v>
      </c>
    </row>
    <row r="63" spans="1:8" x14ac:dyDescent="0.25">
      <c r="A63" t="s">
        <v>115</v>
      </c>
      <c r="B63" t="s">
        <v>116</v>
      </c>
      <c r="C63" s="2">
        <v>2023</v>
      </c>
      <c r="D63" s="1">
        <v>98350</v>
      </c>
      <c r="E63" s="1">
        <v>3.80464691566729</v>
      </c>
      <c r="F63" s="1">
        <v>259.85210010824801</v>
      </c>
      <c r="G63" s="1">
        <v>51698.622638888897</v>
      </c>
      <c r="H63" s="1">
        <v>3.3159005075933798</v>
      </c>
    </row>
    <row r="64" spans="1:8" x14ac:dyDescent="0.25">
      <c r="A64" t="s">
        <v>268</v>
      </c>
      <c r="B64" t="s">
        <v>269</v>
      </c>
      <c r="C64" s="2">
        <v>2023</v>
      </c>
      <c r="D64" s="1">
        <v>127750</v>
      </c>
      <c r="E64" s="1">
        <v>3.72890362522396</v>
      </c>
      <c r="F64" s="1">
        <v>330.810720918306</v>
      </c>
      <c r="G64" s="1">
        <v>66205.662222222207</v>
      </c>
      <c r="H64" s="1">
        <v>3.33552582770192</v>
      </c>
    </row>
    <row r="65" spans="1:8" x14ac:dyDescent="0.25">
      <c r="A65" t="s">
        <v>208</v>
      </c>
      <c r="B65" t="s">
        <v>209</v>
      </c>
      <c r="C65" s="2">
        <v>2023</v>
      </c>
      <c r="D65" s="1">
        <v>27160</v>
      </c>
      <c r="E65" s="1">
        <v>4.0965555324352501</v>
      </c>
      <c r="F65" s="1">
        <v>77.265589070098201</v>
      </c>
      <c r="G65" s="1">
        <v>15663.4093055556</v>
      </c>
      <c r="H65" s="1">
        <v>3.3786945120216298</v>
      </c>
    </row>
    <row r="66" spans="1:8" x14ac:dyDescent="0.25">
      <c r="A66" t="s">
        <v>145</v>
      </c>
      <c r="B66" t="s">
        <v>146</v>
      </c>
      <c r="C66" s="2">
        <v>2024</v>
      </c>
      <c r="D66" s="1">
        <v>25550</v>
      </c>
      <c r="E66" s="1">
        <v>4.1073339200726604</v>
      </c>
      <c r="F66" s="1">
        <v>72.876653929066904</v>
      </c>
      <c r="G66" s="1">
        <v>14806.1488888889</v>
      </c>
      <c r="H66" s="1">
        <v>3.3861207237689102</v>
      </c>
    </row>
    <row r="67" spans="1:8" x14ac:dyDescent="0.25">
      <c r="A67" t="s">
        <v>127</v>
      </c>
      <c r="B67" t="s">
        <v>128</v>
      </c>
      <c r="C67" s="2">
        <v>2021</v>
      </c>
      <c r="D67" s="1">
        <v>21000</v>
      </c>
      <c r="E67" s="1">
        <v>4.1402402803712404</v>
      </c>
      <c r="F67" s="1">
        <v>60.378504088747199</v>
      </c>
      <c r="G67" s="1">
        <v>12324.633750000001</v>
      </c>
      <c r="H67" s="1">
        <v>3.40204789105205</v>
      </c>
    </row>
    <row r="68" spans="1:8" x14ac:dyDescent="0.25">
      <c r="A68" t="s">
        <v>23</v>
      </c>
      <c r="B68" t="s">
        <v>24</v>
      </c>
      <c r="C68" s="2">
        <v>2021</v>
      </c>
      <c r="D68" s="1">
        <v>51450</v>
      </c>
      <c r="E68" s="1">
        <v>3.9678078363216902</v>
      </c>
      <c r="F68" s="1">
        <v>141.76646748524399</v>
      </c>
      <c r="G68" s="1">
        <v>29102.8177777778</v>
      </c>
      <c r="H68" s="1">
        <v>3.4214505839573799</v>
      </c>
    </row>
    <row r="69" spans="1:8" x14ac:dyDescent="0.25">
      <c r="A69" t="s">
        <v>206</v>
      </c>
      <c r="B69" t="s">
        <v>207</v>
      </c>
      <c r="C69" s="2">
        <v>2023</v>
      </c>
      <c r="D69" s="1">
        <v>76700</v>
      </c>
      <c r="E69" s="1">
        <v>3.87133230055443</v>
      </c>
      <c r="F69" s="1">
        <v>206.20221350869801</v>
      </c>
      <c r="G69" s="1">
        <v>42907.847083333298</v>
      </c>
      <c r="H69" s="1">
        <v>3.4681043067079198</v>
      </c>
    </row>
    <row r="70" spans="1:8" x14ac:dyDescent="0.25">
      <c r="A70" t="s">
        <v>153</v>
      </c>
      <c r="B70" t="s">
        <v>154</v>
      </c>
      <c r="C70" s="2">
        <v>2023</v>
      </c>
      <c r="D70" s="1">
        <v>99060</v>
      </c>
      <c r="E70" s="1">
        <v>3.8026407025636599</v>
      </c>
      <c r="F70" s="1">
        <v>261.589991663859</v>
      </c>
      <c r="G70" s="1">
        <v>56266.0238888889</v>
      </c>
      <c r="H70" s="1">
        <v>3.5848736369847001</v>
      </c>
    </row>
    <row r="71" spans="1:8" x14ac:dyDescent="0.25">
      <c r="A71" t="s">
        <v>25</v>
      </c>
      <c r="B71" t="s">
        <v>26</v>
      </c>
      <c r="C71" s="2">
        <v>2022</v>
      </c>
      <c r="D71" s="1">
        <v>21000</v>
      </c>
      <c r="E71" s="1">
        <v>4.1402402803712404</v>
      </c>
      <c r="F71" s="1">
        <v>60.378504088747199</v>
      </c>
      <c r="G71" s="1">
        <v>13052.853055555601</v>
      </c>
      <c r="H71" s="1">
        <v>3.6030629478028202</v>
      </c>
    </row>
    <row r="72" spans="1:8" x14ac:dyDescent="0.25">
      <c r="A72" t="s">
        <v>226</v>
      </c>
      <c r="B72" t="s">
        <v>227</v>
      </c>
      <c r="C72" s="2">
        <v>2024</v>
      </c>
      <c r="D72" s="1">
        <v>32200</v>
      </c>
      <c r="E72" s="1">
        <v>4.0651673595418902</v>
      </c>
      <c r="F72" s="1">
        <v>90.901659011978396</v>
      </c>
      <c r="G72" s="1">
        <v>20190.690833333301</v>
      </c>
      <c r="H72" s="1">
        <v>3.70192928871128</v>
      </c>
    </row>
    <row r="73" spans="1:8" x14ac:dyDescent="0.25">
      <c r="A73" t="s">
        <v>89</v>
      </c>
      <c r="B73" t="s">
        <v>90</v>
      </c>
      <c r="C73" s="2">
        <v>2021</v>
      </c>
      <c r="D73" s="1">
        <v>49000</v>
      </c>
      <c r="E73" s="1">
        <v>3.9787234042553199</v>
      </c>
      <c r="F73" s="1">
        <v>135.38711583924399</v>
      </c>
      <c r="G73" s="1">
        <v>30286.414861111101</v>
      </c>
      <c r="H73" s="1">
        <v>3.72837236312707</v>
      </c>
    </row>
    <row r="74" spans="1:8" x14ac:dyDescent="0.25">
      <c r="A74" t="s">
        <v>200</v>
      </c>
      <c r="B74" t="s">
        <v>201</v>
      </c>
      <c r="C74" s="2">
        <v>2024</v>
      </c>
      <c r="D74" s="1">
        <v>72800</v>
      </c>
      <c r="E74" s="1">
        <v>3.88467730197008</v>
      </c>
      <c r="F74" s="1">
        <v>196.392019155154</v>
      </c>
      <c r="G74" s="1">
        <v>44096.026666666701</v>
      </c>
      <c r="H74" s="1">
        <v>3.7421774109729098</v>
      </c>
    </row>
    <row r="75" spans="1:8" x14ac:dyDescent="0.25">
      <c r="A75" t="s">
        <v>99</v>
      </c>
      <c r="B75" t="s">
        <v>100</v>
      </c>
      <c r="C75" s="2">
        <v>2021</v>
      </c>
      <c r="D75" s="1">
        <v>26250</v>
      </c>
      <c r="E75" s="1">
        <v>4.1025979007992603</v>
      </c>
      <c r="F75" s="1">
        <v>74.786940899986405</v>
      </c>
      <c r="G75" s="1">
        <v>16813.029305555599</v>
      </c>
      <c r="H75" s="1">
        <v>3.7468728058730298</v>
      </c>
    </row>
    <row r="76" spans="1:8" x14ac:dyDescent="0.25">
      <c r="A76" t="s">
        <v>143</v>
      </c>
      <c r="B76" t="s">
        <v>144</v>
      </c>
      <c r="C76" s="2">
        <v>2023</v>
      </c>
      <c r="D76" s="7">
        <v>10800</v>
      </c>
      <c r="E76" s="1">
        <v>4.2342770272436798</v>
      </c>
      <c r="F76" s="1">
        <v>31.7570777043276</v>
      </c>
      <c r="G76" s="1">
        <v>7229.7488888888902</v>
      </c>
      <c r="H76" s="1">
        <v>3.7942979494739402</v>
      </c>
    </row>
    <row r="77" spans="1:8" x14ac:dyDescent="0.25">
      <c r="A77" t="s">
        <v>244</v>
      </c>
      <c r="B77" t="s">
        <v>245</v>
      </c>
      <c r="C77" s="2">
        <v>2024</v>
      </c>
      <c r="D77" s="1">
        <v>61500</v>
      </c>
      <c r="E77" s="1">
        <v>3.9262872278875101</v>
      </c>
      <c r="F77" s="1">
        <v>167.68518369102901</v>
      </c>
      <c r="G77" s="1">
        <v>38534.777777777803</v>
      </c>
      <c r="H77" s="1">
        <v>3.8300718176727999</v>
      </c>
    </row>
    <row r="78" spans="1:8" x14ac:dyDescent="0.25">
      <c r="A78" t="s">
        <v>51</v>
      </c>
      <c r="B78" t="s">
        <v>52</v>
      </c>
      <c r="C78" s="2">
        <v>2021</v>
      </c>
      <c r="D78" s="7">
        <v>10500</v>
      </c>
      <c r="E78" s="1">
        <v>4.2377150997870103</v>
      </c>
      <c r="F78" s="1">
        <v>30.900005935946901</v>
      </c>
      <c r="G78" s="1">
        <v>7247.0148611111099</v>
      </c>
      <c r="H78" s="1">
        <v>3.9088530037467502</v>
      </c>
    </row>
    <row r="79" spans="1:8" x14ac:dyDescent="0.25">
      <c r="A79" t="s">
        <v>35</v>
      </c>
      <c r="B79" t="s">
        <v>36</v>
      </c>
      <c r="C79" s="2">
        <v>2023</v>
      </c>
      <c r="D79" s="1">
        <v>59360</v>
      </c>
      <c r="E79" s="1">
        <v>3.9347309066891301</v>
      </c>
      <c r="F79" s="1">
        <v>162.198351820185</v>
      </c>
      <c r="G79" s="1">
        <v>38112.5088888889</v>
      </c>
      <c r="H79" s="1">
        <v>3.9162449824747898</v>
      </c>
    </row>
    <row r="80" spans="1:8" x14ac:dyDescent="0.25">
      <c r="A80" t="s">
        <v>165</v>
      </c>
      <c r="B80" t="s">
        <v>166</v>
      </c>
      <c r="C80" s="2">
        <v>2023</v>
      </c>
      <c r="D80" s="1">
        <v>18550</v>
      </c>
      <c r="E80" s="1">
        <v>4.15977365513546</v>
      </c>
      <c r="F80" s="1">
        <v>53.585973126918603</v>
      </c>
      <c r="G80" s="1">
        <v>12910.0318055556</v>
      </c>
      <c r="H80" s="1">
        <v>4.0153641746812099</v>
      </c>
    </row>
    <row r="81" spans="1:8" x14ac:dyDescent="0.25">
      <c r="A81" t="s">
        <v>258</v>
      </c>
      <c r="B81" t="s">
        <v>259</v>
      </c>
      <c r="C81" s="2">
        <v>2024</v>
      </c>
      <c r="D81" s="1">
        <v>37500</v>
      </c>
      <c r="E81" s="1">
        <v>4.0353142976165701</v>
      </c>
      <c r="F81" s="1">
        <v>105.086309833765</v>
      </c>
      <c r="G81" s="1">
        <v>25521.472088888899</v>
      </c>
      <c r="H81" s="1">
        <v>4.0477001126123699</v>
      </c>
    </row>
    <row r="82" spans="1:8" x14ac:dyDescent="0.25">
      <c r="A82" t="s">
        <v>27</v>
      </c>
      <c r="B82" t="s">
        <v>28</v>
      </c>
      <c r="C82" s="2">
        <v>2020</v>
      </c>
      <c r="D82" s="1">
        <v>73500</v>
      </c>
      <c r="E82" s="1">
        <v>3.8822469872494199</v>
      </c>
      <c r="F82" s="1">
        <v>198.15635664085599</v>
      </c>
      <c r="G82" s="1">
        <v>49348.602764416697</v>
      </c>
      <c r="H82" s="1">
        <v>4.1506451101690196</v>
      </c>
    </row>
    <row r="83" spans="1:8" x14ac:dyDescent="0.25">
      <c r="A83" t="s">
        <v>57</v>
      </c>
      <c r="B83" t="s">
        <v>58</v>
      </c>
      <c r="C83" s="2">
        <v>2021</v>
      </c>
      <c r="D83" s="1">
        <v>17500</v>
      </c>
      <c r="E83" s="1">
        <v>4.1686179977416398</v>
      </c>
      <c r="F83" s="1">
        <v>50.660288166999102</v>
      </c>
      <c r="G83" s="1">
        <v>12982.274722222201</v>
      </c>
      <c r="H83" s="1">
        <v>4.2710227912070602</v>
      </c>
    </row>
    <row r="84" spans="1:8" x14ac:dyDescent="0.25">
      <c r="A84" t="s">
        <v>101</v>
      </c>
      <c r="B84" t="s">
        <v>102</v>
      </c>
      <c r="C84" s="2">
        <v>2022</v>
      </c>
      <c r="D84" s="1">
        <v>40950</v>
      </c>
      <c r="E84" s="1">
        <v>4.0172921854183903</v>
      </c>
      <c r="F84" s="1">
        <v>114.241746522835</v>
      </c>
      <c r="G84" s="1">
        <v>29339.351805555601</v>
      </c>
      <c r="H84" s="1">
        <v>4.2803021806176398</v>
      </c>
    </row>
    <row r="85" spans="1:8" x14ac:dyDescent="0.25">
      <c r="A85" t="s">
        <v>8</v>
      </c>
      <c r="B85" t="s">
        <v>9</v>
      </c>
      <c r="C85" s="2">
        <v>2024</v>
      </c>
      <c r="D85" s="1">
        <v>106750</v>
      </c>
      <c r="E85" s="1">
        <v>3.7815312356376798</v>
      </c>
      <c r="F85" s="1">
        <v>280.33226347522401</v>
      </c>
      <c r="G85" s="1">
        <v>72547.254722222206</v>
      </c>
      <c r="H85" s="1">
        <v>4.3131707247956497</v>
      </c>
    </row>
    <row r="86" spans="1:8" x14ac:dyDescent="0.25">
      <c r="A86" t="s">
        <v>12</v>
      </c>
      <c r="B86" t="s">
        <v>13</v>
      </c>
      <c r="C86" s="2">
        <v>2022</v>
      </c>
      <c r="D86" s="1">
        <v>46250</v>
      </c>
      <c r="E86" s="1">
        <v>3.99140599477942</v>
      </c>
      <c r="F86" s="1">
        <v>128.19619948510299</v>
      </c>
      <c r="G86" s="1">
        <v>33298.4555555556</v>
      </c>
      <c r="H86" s="1">
        <v>4.3291007181827599</v>
      </c>
    </row>
    <row r="87" spans="1:8" x14ac:dyDescent="0.25">
      <c r="A87" t="s">
        <v>228</v>
      </c>
      <c r="B87" t="s">
        <v>229</v>
      </c>
      <c r="C87" s="2">
        <v>2022</v>
      </c>
      <c r="D87" s="1">
        <v>40200</v>
      </c>
      <c r="E87" s="1">
        <v>4.0211254140836896</v>
      </c>
      <c r="F87" s="1">
        <v>112.25641780983599</v>
      </c>
      <c r="G87" s="1">
        <v>29466.6320486111</v>
      </c>
      <c r="H87" s="1">
        <v>4.3748993930615603</v>
      </c>
    </row>
    <row r="88" spans="1:8" x14ac:dyDescent="0.25">
      <c r="A88" t="s">
        <v>55</v>
      </c>
      <c r="B88" t="s">
        <v>56</v>
      </c>
      <c r="C88" s="2">
        <v>2021</v>
      </c>
      <c r="D88" s="1">
        <v>32550</v>
      </c>
      <c r="E88" s="1">
        <v>4.06310472280878</v>
      </c>
      <c r="F88" s="1">
        <v>91.843096338490199</v>
      </c>
      <c r="G88" s="1">
        <v>24200.952777777798</v>
      </c>
      <c r="H88" s="1">
        <v>4.3917205434408304</v>
      </c>
    </row>
    <row r="89" spans="1:8" x14ac:dyDescent="0.25">
      <c r="A89" t="s">
        <v>133</v>
      </c>
      <c r="B89" t="s">
        <v>134</v>
      </c>
      <c r="C89" s="2">
        <v>2022</v>
      </c>
      <c r="D89" s="1">
        <v>73500</v>
      </c>
      <c r="E89" s="1">
        <v>3.8822469872494199</v>
      </c>
      <c r="F89" s="1">
        <v>198.15635664085599</v>
      </c>
      <c r="G89" s="1">
        <v>52526.795277777797</v>
      </c>
      <c r="H89" s="1">
        <v>4.4179586403561402</v>
      </c>
    </row>
    <row r="90" spans="1:8" x14ac:dyDescent="0.25">
      <c r="A90" t="s">
        <v>65</v>
      </c>
      <c r="B90" t="s">
        <v>66</v>
      </c>
      <c r="C90" s="2">
        <v>2022</v>
      </c>
      <c r="D90" s="1">
        <v>39600</v>
      </c>
      <c r="E90" s="1">
        <v>4.0242249215182504</v>
      </c>
      <c r="F90" s="1">
        <v>110.666185341752</v>
      </c>
      <c r="G90" s="1">
        <v>29585.3772222222</v>
      </c>
      <c r="H90" s="1">
        <v>4.4556484787800796</v>
      </c>
    </row>
    <row r="91" spans="1:8" x14ac:dyDescent="0.25">
      <c r="A91" t="s">
        <v>212</v>
      </c>
      <c r="B91" t="s">
        <v>213</v>
      </c>
      <c r="C91" s="2">
        <v>2023</v>
      </c>
      <c r="D91" s="1">
        <v>28500</v>
      </c>
      <c r="E91" s="1">
        <v>4.0878807014685403</v>
      </c>
      <c r="F91" s="1">
        <v>80.905972216564805</v>
      </c>
      <c r="G91" s="1">
        <v>22465.3733333333</v>
      </c>
      <c r="H91" s="1">
        <v>4.6278770111884198</v>
      </c>
    </row>
    <row r="92" spans="1:8" x14ac:dyDescent="0.25">
      <c r="A92" t="s">
        <v>173</v>
      </c>
      <c r="B92" t="s">
        <v>174</v>
      </c>
      <c r="C92" s="2">
        <v>2023</v>
      </c>
      <c r="D92" s="1">
        <v>22400</v>
      </c>
      <c r="E92" s="1">
        <v>4.1296900762505304</v>
      </c>
      <c r="F92" s="1">
        <v>64.2396234083417</v>
      </c>
      <c r="G92" s="1">
        <v>17940.134999999998</v>
      </c>
      <c r="H92" s="1">
        <v>4.6544832322471903</v>
      </c>
    </row>
    <row r="93" spans="1:8" x14ac:dyDescent="0.25">
      <c r="A93" t="s">
        <v>272</v>
      </c>
      <c r="B93" t="s">
        <v>273</v>
      </c>
      <c r="C93" s="2">
        <v>2024</v>
      </c>
      <c r="D93" s="1">
        <v>43000</v>
      </c>
      <c r="E93" s="1">
        <v>4.0070382829786304</v>
      </c>
      <c r="F93" s="1">
        <v>119.65461539450099</v>
      </c>
      <c r="G93" s="1">
        <v>33898.162499999999</v>
      </c>
      <c r="H93" s="1">
        <v>4.7216680538172202</v>
      </c>
    </row>
    <row r="94" spans="1:8" x14ac:dyDescent="0.25">
      <c r="A94" t="s">
        <v>91</v>
      </c>
      <c r="B94" t="s">
        <v>92</v>
      </c>
      <c r="C94" s="2">
        <v>2021</v>
      </c>
      <c r="D94" s="1">
        <v>92960</v>
      </c>
      <c r="E94" s="1">
        <v>3.8202166307213301</v>
      </c>
      <c r="F94" s="1">
        <v>246.616206938788</v>
      </c>
      <c r="G94" s="1">
        <v>70397.670555555596</v>
      </c>
      <c r="H94" s="1">
        <v>4.75757260166798</v>
      </c>
    </row>
    <row r="95" spans="1:8" x14ac:dyDescent="0.25">
      <c r="A95" t="s">
        <v>181</v>
      </c>
      <c r="B95" t="s">
        <v>182</v>
      </c>
      <c r="C95" s="2">
        <v>2023</v>
      </c>
      <c r="D95" s="1">
        <v>28000</v>
      </c>
      <c r="E95" s="1">
        <v>4.0910875527365897</v>
      </c>
      <c r="F95" s="1">
        <v>79.548924636544797</v>
      </c>
      <c r="G95" s="1">
        <v>22746.9555555556</v>
      </c>
      <c r="H95" s="1">
        <v>4.7658208788879097</v>
      </c>
    </row>
    <row r="96" spans="1:8" x14ac:dyDescent="0.25">
      <c r="A96" t="s">
        <v>177</v>
      </c>
      <c r="B96" t="s">
        <v>178</v>
      </c>
      <c r="C96" s="2">
        <v>2023</v>
      </c>
      <c r="D96" s="7">
        <v>17125</v>
      </c>
      <c r="E96" s="1">
        <v>4.1718530600940404</v>
      </c>
      <c r="F96" s="1">
        <v>49.613183093132299</v>
      </c>
      <c r="G96" s="1">
        <v>14301.571250000001</v>
      </c>
      <c r="H96" s="1">
        <v>4.8043585590122797</v>
      </c>
    </row>
    <row r="97" spans="1:8" x14ac:dyDescent="0.25">
      <c r="A97" t="s">
        <v>169</v>
      </c>
      <c r="B97" t="s">
        <v>170</v>
      </c>
      <c r="C97" s="2">
        <v>2023</v>
      </c>
      <c r="D97" s="1">
        <v>72100</v>
      </c>
      <c r="E97" s="1">
        <v>3.88712346092034</v>
      </c>
      <c r="F97" s="1">
        <v>194.62611217524801</v>
      </c>
      <c r="G97" s="1">
        <v>56722.472222222197</v>
      </c>
      <c r="H97" s="1">
        <v>4.8573879756987202</v>
      </c>
    </row>
    <row r="98" spans="1:8" x14ac:dyDescent="0.25">
      <c r="A98" t="s">
        <v>135</v>
      </c>
      <c r="B98" t="s">
        <v>136</v>
      </c>
      <c r="C98" s="2">
        <v>2021</v>
      </c>
      <c r="D98" s="1">
        <v>43750</v>
      </c>
      <c r="E98" s="1">
        <v>4.0033651669894903</v>
      </c>
      <c r="F98" s="1">
        <v>121.630018094299</v>
      </c>
      <c r="G98" s="1">
        <v>36523.008055555598</v>
      </c>
      <c r="H98" s="1">
        <v>5.0046592976249702</v>
      </c>
    </row>
    <row r="99" spans="1:8" x14ac:dyDescent="0.25">
      <c r="A99" t="s">
        <v>185</v>
      </c>
      <c r="B99" t="s">
        <v>186</v>
      </c>
      <c r="C99" s="2">
        <v>2022</v>
      </c>
      <c r="D99" s="1">
        <v>102200</v>
      </c>
      <c r="E99" s="1">
        <v>3.7938868880469898</v>
      </c>
      <c r="F99" s="1">
        <v>269.26058330444602</v>
      </c>
      <c r="G99" s="1">
        <v>81718.521388888897</v>
      </c>
      <c r="H99" s="1">
        <v>5.0582054742915297</v>
      </c>
    </row>
    <row r="100" spans="1:8" x14ac:dyDescent="0.25">
      <c r="A100" t="s">
        <v>191</v>
      </c>
      <c r="B100" t="s">
        <v>134</v>
      </c>
      <c r="C100" s="2">
        <v>2024</v>
      </c>
      <c r="D100" s="1">
        <v>42000</v>
      </c>
      <c r="E100" s="1">
        <v>4.0120001939813204</v>
      </c>
      <c r="F100" s="1">
        <v>117.016672324455</v>
      </c>
      <c r="G100" s="1">
        <v>35891.08</v>
      </c>
      <c r="H100" s="1">
        <v>5.1119610119151604</v>
      </c>
    </row>
    <row r="101" spans="1:8" x14ac:dyDescent="0.25">
      <c r="A101" t="s">
        <v>29</v>
      </c>
      <c r="B101" t="s">
        <v>30</v>
      </c>
      <c r="C101" s="2">
        <v>2022</v>
      </c>
      <c r="D101" s="7">
        <v>14000</v>
      </c>
      <c r="E101" s="1">
        <v>4.2006103189480797</v>
      </c>
      <c r="F101" s="1">
        <v>40.839266989773002</v>
      </c>
      <c r="G101" s="1">
        <v>12533.1244444444</v>
      </c>
      <c r="H101" s="1">
        <v>5.1148177429265997</v>
      </c>
    </row>
    <row r="102" spans="1:8" x14ac:dyDescent="0.25">
      <c r="A102" t="s">
        <v>236</v>
      </c>
      <c r="B102" t="s">
        <v>237</v>
      </c>
      <c r="C102" s="2">
        <v>2024</v>
      </c>
      <c r="D102" s="7">
        <v>10000</v>
      </c>
      <c r="E102" s="1">
        <v>4.2435730362115898</v>
      </c>
      <c r="F102" s="1">
        <v>29.469257195913801</v>
      </c>
      <c r="G102" s="1">
        <v>9720.0569444444409</v>
      </c>
      <c r="H102" s="1">
        <v>5.4972864771269903</v>
      </c>
    </row>
    <row r="103" spans="1:8" x14ac:dyDescent="0.25">
      <c r="A103" t="s">
        <v>238</v>
      </c>
      <c r="B103" t="s">
        <v>239</v>
      </c>
      <c r="C103" s="2">
        <v>2024</v>
      </c>
      <c r="D103" s="1">
        <v>35500</v>
      </c>
      <c r="E103" s="1">
        <v>4.0462471907018802</v>
      </c>
      <c r="F103" s="1">
        <v>99.751232826331105</v>
      </c>
      <c r="G103" s="1">
        <v>33010.848194444399</v>
      </c>
      <c r="H103" s="1">
        <v>5.5155288576594996</v>
      </c>
    </row>
    <row r="104" spans="1:8" x14ac:dyDescent="0.25">
      <c r="A104" t="s">
        <v>81</v>
      </c>
      <c r="B104" t="s">
        <v>82</v>
      </c>
      <c r="C104" s="2">
        <v>2022</v>
      </c>
      <c r="D104" s="7">
        <v>16800</v>
      </c>
      <c r="E104" s="1">
        <v>4.1746909784652999</v>
      </c>
      <c r="F104" s="1">
        <v>48.704728082095201</v>
      </c>
      <c r="G104" s="1">
        <v>16299.0973611111</v>
      </c>
      <c r="H104" s="1">
        <v>5.57752056899482</v>
      </c>
    </row>
    <row r="105" spans="1:8" x14ac:dyDescent="0.25">
      <c r="A105" t="s">
        <v>274</v>
      </c>
      <c r="B105" t="s">
        <v>275</v>
      </c>
      <c r="C105" s="2">
        <v>2024</v>
      </c>
      <c r="D105" s="1">
        <v>33400</v>
      </c>
      <c r="E105" s="1">
        <v>4.0581525191492496</v>
      </c>
      <c r="F105" s="1">
        <v>94.126593152489406</v>
      </c>
      <c r="G105" s="1">
        <v>31601.39</v>
      </c>
      <c r="H105" s="1">
        <v>5.59554760980323</v>
      </c>
    </row>
    <row r="106" spans="1:8" x14ac:dyDescent="0.25">
      <c r="A106" t="s">
        <v>161</v>
      </c>
      <c r="B106" t="s">
        <v>162</v>
      </c>
      <c r="C106" s="2">
        <v>2023</v>
      </c>
      <c r="D106" s="1">
        <v>31150</v>
      </c>
      <c r="E106" s="1">
        <v>4.0714404878139696</v>
      </c>
      <c r="F106" s="1">
        <v>88.073174441253698</v>
      </c>
      <c r="G106" s="1">
        <v>31565.350138888902</v>
      </c>
      <c r="H106" s="1">
        <v>5.9733190306702504</v>
      </c>
    </row>
    <row r="107" spans="1:8" x14ac:dyDescent="0.25">
      <c r="A107" t="s">
        <v>198</v>
      </c>
      <c r="B107" t="s">
        <v>199</v>
      </c>
      <c r="C107" s="2">
        <v>2023</v>
      </c>
      <c r="D107" s="1">
        <v>34720</v>
      </c>
      <c r="E107" s="1">
        <v>4.0506161758223804</v>
      </c>
      <c r="F107" s="1">
        <v>97.664856683717304</v>
      </c>
      <c r="G107" s="1">
        <v>37119.1965277778</v>
      </c>
      <c r="H107" s="1">
        <v>6.3344512700862303</v>
      </c>
    </row>
    <row r="108" spans="1:8" x14ac:dyDescent="0.25">
      <c r="A108" t="s">
        <v>224</v>
      </c>
      <c r="B108" t="s">
        <v>225</v>
      </c>
      <c r="C108" s="2">
        <v>2024</v>
      </c>
      <c r="D108" s="1">
        <v>49280</v>
      </c>
      <c r="E108" s="1">
        <v>3.9774582056155099</v>
      </c>
      <c r="F108" s="1">
        <v>136.11745859217501</v>
      </c>
      <c r="G108" s="1">
        <v>51781.199027777802</v>
      </c>
      <c r="H108" s="1">
        <v>6.3402593078233398</v>
      </c>
    </row>
    <row r="109" spans="1:8" x14ac:dyDescent="0.25">
      <c r="A109" t="s">
        <v>167</v>
      </c>
      <c r="B109" t="s">
        <v>168</v>
      </c>
      <c r="C109" s="2">
        <v>2023</v>
      </c>
      <c r="D109" s="7">
        <v>17080</v>
      </c>
      <c r="E109" s="1">
        <v>4.1722440850114904</v>
      </c>
      <c r="F109" s="1">
        <v>49.487450674997397</v>
      </c>
      <c r="G109" s="1">
        <v>19329.4158333333</v>
      </c>
      <c r="H109" s="1">
        <v>6.5098712130329899</v>
      </c>
    </row>
    <row r="110" spans="1:8" x14ac:dyDescent="0.25">
      <c r="A110" t="s">
        <v>95</v>
      </c>
      <c r="B110" t="s">
        <v>96</v>
      </c>
      <c r="C110" s="2">
        <v>2021</v>
      </c>
      <c r="D110" s="1">
        <v>84700</v>
      </c>
      <c r="E110" s="1">
        <v>3.84533990572</v>
      </c>
      <c r="F110" s="1">
        <v>226.18075695450301</v>
      </c>
      <c r="G110" s="1">
        <v>93791.750833333397</v>
      </c>
      <c r="H110" s="1">
        <v>6.9112680860673903</v>
      </c>
    </row>
    <row r="111" spans="1:8" x14ac:dyDescent="0.25">
      <c r="A111" t="s">
        <v>95</v>
      </c>
      <c r="B111" t="s">
        <v>96</v>
      </c>
      <c r="C111" s="2">
        <v>2023</v>
      </c>
      <c r="D111" s="1">
        <v>84700</v>
      </c>
      <c r="E111" s="1">
        <v>3.84533990572</v>
      </c>
      <c r="F111" s="1">
        <v>226.18075695450301</v>
      </c>
      <c r="G111" s="1">
        <v>93791.750833333397</v>
      </c>
      <c r="H111" s="1">
        <v>6.9112680860673903</v>
      </c>
    </row>
    <row r="112" spans="1:8" x14ac:dyDescent="0.25">
      <c r="A112" t="s">
        <v>95</v>
      </c>
      <c r="B112" t="s">
        <v>96</v>
      </c>
      <c r="C112" s="2">
        <v>2023</v>
      </c>
      <c r="D112" s="1">
        <v>84700</v>
      </c>
      <c r="E112" s="1">
        <v>3.84533990572</v>
      </c>
      <c r="F112" s="1">
        <v>226.18075695450301</v>
      </c>
      <c r="G112" s="1">
        <v>93791.750833333397</v>
      </c>
      <c r="H112" s="1">
        <v>6.9112680860673903</v>
      </c>
    </row>
    <row r="113" spans="1:8" x14ac:dyDescent="0.25">
      <c r="A113" t="s">
        <v>93</v>
      </c>
      <c r="B113" t="s">
        <v>94</v>
      </c>
      <c r="C113" s="2">
        <v>2022</v>
      </c>
      <c r="D113" s="1">
        <v>136080</v>
      </c>
      <c r="E113" s="1">
        <v>3.7097473523151701</v>
      </c>
      <c r="F113" s="1">
        <v>350.57112479378299</v>
      </c>
      <c r="G113" s="1">
        <v>156984.243055556</v>
      </c>
      <c r="H113" s="1">
        <v>7.4632617060659898</v>
      </c>
    </row>
    <row r="114" spans="1:8" x14ac:dyDescent="0.25">
      <c r="A114" t="s">
        <v>93</v>
      </c>
      <c r="B114" t="s">
        <v>94</v>
      </c>
      <c r="C114" s="2">
        <v>2023</v>
      </c>
      <c r="D114" s="1">
        <v>136080</v>
      </c>
      <c r="E114" s="1">
        <v>3.7097473523151701</v>
      </c>
      <c r="F114" s="1">
        <v>350.57112479378299</v>
      </c>
      <c r="G114" s="1">
        <v>156984.243055556</v>
      </c>
      <c r="H114" s="1">
        <v>7.4632617060659898</v>
      </c>
    </row>
    <row r="115" spans="1:8" x14ac:dyDescent="0.25">
      <c r="A115" t="s">
        <v>73</v>
      </c>
      <c r="B115" t="s">
        <v>74</v>
      </c>
      <c r="C115" s="2">
        <v>2022</v>
      </c>
      <c r="D115" s="1">
        <v>29120</v>
      </c>
      <c r="E115" s="1">
        <v>4.0839521137572596</v>
      </c>
      <c r="F115" s="1">
        <v>82.586587189313505</v>
      </c>
      <c r="G115" s="1">
        <v>48986.7043611111</v>
      </c>
      <c r="H115" s="1">
        <v>9.8859282175402807</v>
      </c>
    </row>
    <row r="116" spans="1:8" x14ac:dyDescent="0.25">
      <c r="A116" t="s">
        <v>157</v>
      </c>
      <c r="B116" t="s">
        <v>158</v>
      </c>
      <c r="C116" s="2">
        <v>2022</v>
      </c>
      <c r="D116" s="7">
        <v>9000</v>
      </c>
      <c r="E116" s="1">
        <v>4.2558139534883699</v>
      </c>
      <c r="F116" s="1">
        <v>26.5988372093023</v>
      </c>
      <c r="G116" s="1">
        <v>16594.211666666699</v>
      </c>
      <c r="H116" s="1">
        <v>10.3978302610808</v>
      </c>
    </row>
    <row r="117" spans="1:8" x14ac:dyDescent="0.25">
      <c r="A117" t="s">
        <v>17</v>
      </c>
      <c r="B117" t="s">
        <v>18</v>
      </c>
      <c r="C117" s="2">
        <v>2022</v>
      </c>
      <c r="D117" s="1">
        <v>60742</v>
      </c>
      <c r="E117" s="1">
        <v>3.9292554215281799</v>
      </c>
      <c r="F117" s="1">
        <v>165.74363389893401</v>
      </c>
      <c r="G117" s="1">
        <v>199839531.22694501</v>
      </c>
      <c r="H117" s="1">
        <v>12</v>
      </c>
    </row>
    <row r="118" spans="1:8" x14ac:dyDescent="0.25">
      <c r="A118" t="s">
        <v>121</v>
      </c>
      <c r="B118" t="s">
        <v>122</v>
      </c>
      <c r="C118" s="2">
        <v>2022</v>
      </c>
      <c r="D118" s="1">
        <v>78720</v>
      </c>
      <c r="E118" s="1">
        <v>3.8646008041137399</v>
      </c>
      <c r="F118" s="1">
        <v>211.26484395821799</v>
      </c>
      <c r="G118" s="1">
        <v>78839690.157222196</v>
      </c>
      <c r="H118" s="1">
        <v>12</v>
      </c>
    </row>
    <row r="119" spans="1:8" x14ac:dyDescent="0.25">
      <c r="A119" t="s">
        <v>129</v>
      </c>
      <c r="B119" t="s">
        <v>130</v>
      </c>
      <c r="C119" s="2">
        <v>2022</v>
      </c>
      <c r="D119" s="1">
        <v>44800</v>
      </c>
      <c r="E119" s="1">
        <v>3.9982901043478898</v>
      </c>
      <c r="F119" s="1">
        <v>124.39124769082299</v>
      </c>
      <c r="G119" s="1">
        <v>619358152.44916701</v>
      </c>
      <c r="H119" s="1">
        <v>12</v>
      </c>
    </row>
    <row r="120" spans="1:8" x14ac:dyDescent="0.25">
      <c r="A120" t="s">
        <v>204</v>
      </c>
      <c r="B120" t="s">
        <v>205</v>
      </c>
      <c r="C120" s="2">
        <v>2023</v>
      </c>
      <c r="D120" s="1">
        <v>50960</v>
      </c>
      <c r="E120" s="1">
        <v>3.9699634453182702</v>
      </c>
      <c r="F120" s="1">
        <v>140.49259525931899</v>
      </c>
      <c r="G120" s="1">
        <v>68762730.966916695</v>
      </c>
      <c r="H120" s="1">
        <v>12</v>
      </c>
    </row>
    <row r="121" spans="1:8" x14ac:dyDescent="0.25">
      <c r="A121" t="s">
        <v>210</v>
      </c>
      <c r="B121" t="s">
        <v>211</v>
      </c>
      <c r="C121" s="2">
        <v>2023</v>
      </c>
      <c r="D121" s="1">
        <v>31500</v>
      </c>
      <c r="E121" s="1">
        <v>4.0693350008144504</v>
      </c>
      <c r="F121" s="1">
        <v>89.016703142816198</v>
      </c>
      <c r="G121" s="1">
        <v>903644.56</v>
      </c>
      <c r="H121" s="1">
        <v>12</v>
      </c>
    </row>
    <row r="122" spans="1:8" x14ac:dyDescent="0.25">
      <c r="A122" t="s">
        <v>220</v>
      </c>
      <c r="B122" t="s">
        <v>221</v>
      </c>
      <c r="C122" s="2">
        <v>2023</v>
      </c>
      <c r="D122" s="7">
        <v>13875</v>
      </c>
      <c r="E122" s="1">
        <v>4.2018357601694101</v>
      </c>
      <c r="F122" s="1">
        <v>40.4864383141323</v>
      </c>
      <c r="G122" s="1">
        <v>149824853.31680599</v>
      </c>
      <c r="H122" s="1">
        <v>12</v>
      </c>
    </row>
    <row r="123" spans="1:8" x14ac:dyDescent="0.25">
      <c r="A123" t="s">
        <v>248</v>
      </c>
      <c r="B123" t="s">
        <v>249</v>
      </c>
      <c r="C123" s="2">
        <v>2024</v>
      </c>
      <c r="D123" s="7">
        <v>9475</v>
      </c>
      <c r="E123" s="1">
        <v>4.2499075266308903</v>
      </c>
      <c r="F123" s="1">
        <v>27.963801260297</v>
      </c>
      <c r="G123" s="1">
        <v>41573606.265833303</v>
      </c>
      <c r="H123" s="1">
        <v>12</v>
      </c>
    </row>
  </sheetData>
  <autoFilter ref="A1:H123" xr:uid="{7DE82A8E-6694-4B75-9A6B-3425728FE82B}">
    <sortState xmlns:xlrd2="http://schemas.microsoft.com/office/spreadsheetml/2017/richdata2" ref="A2:H123">
      <sortCondition ref="H1:H12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87F88-06D3-452E-B8EB-1071C60B0507}">
  <sheetPr>
    <tabColor theme="3" tint="0.749992370372631"/>
  </sheetPr>
  <dimension ref="A1:H18"/>
  <sheetViews>
    <sheetView workbookViewId="0">
      <selection activeCell="D1" sqref="D1:D1048576"/>
    </sheetView>
  </sheetViews>
  <sheetFormatPr defaultRowHeight="15" x14ac:dyDescent="0.25"/>
  <cols>
    <col min="1" max="1" width="12.42578125" bestFit="1" customWidth="1"/>
    <col min="2" max="2" width="28.140625" bestFit="1" customWidth="1"/>
    <col min="3" max="3" width="5" bestFit="1" customWidth="1"/>
    <col min="4" max="4" width="10" style="7" bestFit="1" customWidth="1"/>
    <col min="5" max="5" width="3.5703125" bestFit="1" customWidth="1"/>
    <col min="6" max="6" width="10.28515625" bestFit="1" customWidth="1"/>
    <col min="7" max="7" width="12.7109375" bestFit="1" customWidth="1"/>
    <col min="8" max="8" width="12.42578125" bestFit="1" customWidth="1"/>
  </cols>
  <sheetData>
    <row r="1" spans="1:8" x14ac:dyDescent="0.25">
      <c r="A1" t="s">
        <v>0</v>
      </c>
      <c r="B1" t="s">
        <v>1</v>
      </c>
      <c r="C1" s="2" t="s">
        <v>3</v>
      </c>
      <c r="D1" s="7" t="s">
        <v>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242</v>
      </c>
      <c r="B2" t="s">
        <v>243</v>
      </c>
      <c r="C2" s="2">
        <v>2025</v>
      </c>
      <c r="D2" s="7">
        <v>16000</v>
      </c>
      <c r="E2" s="1">
        <v>4.1818181818181799</v>
      </c>
      <c r="F2" s="1">
        <v>46.464646464646499</v>
      </c>
      <c r="G2" s="1">
        <v>5004.5599999999904</v>
      </c>
      <c r="H2" s="1">
        <v>1.7951139130434799</v>
      </c>
    </row>
    <row r="3" spans="1:8" x14ac:dyDescent="0.25">
      <c r="A3" t="s">
        <v>232</v>
      </c>
      <c r="B3" t="s">
        <v>233</v>
      </c>
      <c r="C3" s="2">
        <v>2023</v>
      </c>
      <c r="D3" s="7">
        <v>11900</v>
      </c>
      <c r="E3" s="1">
        <v>4.2221212312206502</v>
      </c>
      <c r="F3" s="1">
        <v>34.891140730226198</v>
      </c>
      <c r="G3" s="1">
        <v>4212.24444444444</v>
      </c>
      <c r="H3" s="1">
        <v>2.0120888169545101</v>
      </c>
    </row>
    <row r="4" spans="1:8" x14ac:dyDescent="0.25">
      <c r="A4" t="s">
        <v>159</v>
      </c>
      <c r="B4" t="s">
        <v>160</v>
      </c>
      <c r="C4" s="2">
        <v>2023</v>
      </c>
      <c r="D4" s="7">
        <v>14000</v>
      </c>
      <c r="E4" s="1">
        <v>4.2006103189480797</v>
      </c>
      <c r="F4" s="1">
        <v>40.839266989773002</v>
      </c>
      <c r="G4" s="1">
        <v>5717.6283333333304</v>
      </c>
      <c r="H4" s="1">
        <v>2.3333867764918299</v>
      </c>
    </row>
    <row r="5" spans="1:8" x14ac:dyDescent="0.25">
      <c r="A5" t="s">
        <v>218</v>
      </c>
      <c r="B5" t="s">
        <v>219</v>
      </c>
      <c r="C5" s="2">
        <v>2024</v>
      </c>
      <c r="D5" s="7">
        <v>16250</v>
      </c>
      <c r="E5" s="1">
        <v>4.1795687183072499</v>
      </c>
      <c r="F5" s="1">
        <v>47.1652719947866</v>
      </c>
      <c r="G5" s="1">
        <v>6762.0662499999999</v>
      </c>
      <c r="H5" s="1">
        <v>2.3894933581454598</v>
      </c>
    </row>
    <row r="6" spans="1:8" x14ac:dyDescent="0.25">
      <c r="A6" t="s">
        <v>246</v>
      </c>
      <c r="B6" t="s">
        <v>247</v>
      </c>
      <c r="C6" s="2">
        <v>2024</v>
      </c>
      <c r="D6" s="7">
        <v>17250</v>
      </c>
      <c r="E6" s="1">
        <v>4.1707700708233997</v>
      </c>
      <c r="F6" s="1">
        <v>49.962349806738601</v>
      </c>
      <c r="G6" s="1">
        <v>7890.9344444444396</v>
      </c>
      <c r="H6" s="1">
        <v>2.63229360874328</v>
      </c>
    </row>
    <row r="7" spans="1:8" x14ac:dyDescent="0.25">
      <c r="A7" t="s">
        <v>264</v>
      </c>
      <c r="B7" t="s">
        <v>265</v>
      </c>
      <c r="C7" s="2">
        <v>2024</v>
      </c>
      <c r="D7" s="7">
        <v>10250</v>
      </c>
      <c r="E7" s="1">
        <v>4.24062355928901</v>
      </c>
      <c r="F7" s="1">
        <v>30.1849940852169</v>
      </c>
      <c r="G7" s="1">
        <v>4869.7222222222199</v>
      </c>
      <c r="H7" s="1">
        <v>2.6888207036881999</v>
      </c>
    </row>
    <row r="8" spans="1:8" x14ac:dyDescent="0.25">
      <c r="A8" t="s">
        <v>125</v>
      </c>
      <c r="B8" t="s">
        <v>126</v>
      </c>
      <c r="C8" s="2">
        <v>2022</v>
      </c>
      <c r="D8" s="7">
        <v>13650</v>
      </c>
      <c r="E8" s="1">
        <v>4.2040579382522703</v>
      </c>
      <c r="F8" s="1">
        <v>39.8509658730163</v>
      </c>
      <c r="G8" s="1">
        <v>7773.7151388888897</v>
      </c>
      <c r="H8" s="1">
        <v>3.2511613242782098</v>
      </c>
    </row>
    <row r="9" spans="1:8" x14ac:dyDescent="0.25">
      <c r="A9" t="s">
        <v>143</v>
      </c>
      <c r="B9" t="s">
        <v>144</v>
      </c>
      <c r="C9" s="2">
        <v>2023</v>
      </c>
      <c r="D9" s="7">
        <v>10800</v>
      </c>
      <c r="E9" s="1">
        <v>4.2342770272436798</v>
      </c>
      <c r="F9" s="1">
        <v>31.7570777043276</v>
      </c>
      <c r="G9" s="1">
        <v>7229.7488888888902</v>
      </c>
      <c r="H9" s="1">
        <v>3.7942979494739402</v>
      </c>
    </row>
    <row r="10" spans="1:8" x14ac:dyDescent="0.25">
      <c r="A10" t="s">
        <v>51</v>
      </c>
      <c r="B10" t="s">
        <v>52</v>
      </c>
      <c r="C10" s="2">
        <v>2021</v>
      </c>
      <c r="D10" s="7">
        <v>10500</v>
      </c>
      <c r="E10" s="1">
        <v>4.2377150997870103</v>
      </c>
      <c r="F10" s="1">
        <v>30.900005935946901</v>
      </c>
      <c r="G10" s="1">
        <v>7247.0148611111099</v>
      </c>
      <c r="H10" s="1">
        <v>3.9088530037467502</v>
      </c>
    </row>
    <row r="11" spans="1:8" x14ac:dyDescent="0.25">
      <c r="A11" t="s">
        <v>177</v>
      </c>
      <c r="B11" t="s">
        <v>178</v>
      </c>
      <c r="C11" s="2">
        <v>2023</v>
      </c>
      <c r="D11" s="7">
        <v>17125</v>
      </c>
      <c r="E11" s="1">
        <v>4.1718530600940404</v>
      </c>
      <c r="F11" s="1">
        <v>49.613183093132299</v>
      </c>
      <c r="G11" s="1">
        <v>14301.571250000001</v>
      </c>
      <c r="H11" s="1">
        <v>4.8043585590122797</v>
      </c>
    </row>
    <row r="12" spans="1:8" x14ac:dyDescent="0.25">
      <c r="A12" t="s">
        <v>29</v>
      </c>
      <c r="B12" t="s">
        <v>30</v>
      </c>
      <c r="C12" s="2">
        <v>2022</v>
      </c>
      <c r="D12" s="7">
        <v>14000</v>
      </c>
      <c r="E12" s="1">
        <v>4.2006103189480797</v>
      </c>
      <c r="F12" s="1">
        <v>40.839266989773002</v>
      </c>
      <c r="G12" s="1">
        <v>12533.1244444444</v>
      </c>
      <c r="H12" s="1">
        <v>5.1148177429265997</v>
      </c>
    </row>
    <row r="13" spans="1:8" x14ac:dyDescent="0.25">
      <c r="A13" t="s">
        <v>236</v>
      </c>
      <c r="B13" t="s">
        <v>237</v>
      </c>
      <c r="C13" s="2">
        <v>2024</v>
      </c>
      <c r="D13" s="7">
        <v>10000</v>
      </c>
      <c r="E13" s="1">
        <v>4.2435730362115898</v>
      </c>
      <c r="F13" s="1">
        <v>29.469257195913801</v>
      </c>
      <c r="G13" s="1">
        <v>9720.0569444444409</v>
      </c>
      <c r="H13" s="1">
        <v>5.4972864771269903</v>
      </c>
    </row>
    <row r="14" spans="1:8" x14ac:dyDescent="0.25">
      <c r="A14" t="s">
        <v>81</v>
      </c>
      <c r="B14" t="s">
        <v>82</v>
      </c>
      <c r="C14" s="2">
        <v>2022</v>
      </c>
      <c r="D14" s="7">
        <v>16800</v>
      </c>
      <c r="E14" s="1">
        <v>4.1746909784652999</v>
      </c>
      <c r="F14" s="1">
        <v>48.704728082095201</v>
      </c>
      <c r="G14" s="1">
        <v>16299.0973611111</v>
      </c>
      <c r="H14" s="1">
        <v>5.57752056899482</v>
      </c>
    </row>
    <row r="15" spans="1:8" x14ac:dyDescent="0.25">
      <c r="A15" t="s">
        <v>167</v>
      </c>
      <c r="B15" t="s">
        <v>168</v>
      </c>
      <c r="C15" s="2">
        <v>2023</v>
      </c>
      <c r="D15" s="7">
        <v>17080</v>
      </c>
      <c r="E15" s="1">
        <v>4.1722440850114904</v>
      </c>
      <c r="F15" s="1">
        <v>49.487450674997397</v>
      </c>
      <c r="G15" s="1">
        <v>19329.4158333333</v>
      </c>
      <c r="H15" s="1">
        <v>6.5098712130329899</v>
      </c>
    </row>
    <row r="16" spans="1:8" x14ac:dyDescent="0.25">
      <c r="A16" t="s">
        <v>157</v>
      </c>
      <c r="B16" t="s">
        <v>158</v>
      </c>
      <c r="C16" s="2">
        <v>2022</v>
      </c>
      <c r="D16" s="7">
        <v>9000</v>
      </c>
      <c r="E16" s="1">
        <v>4.2558139534883699</v>
      </c>
      <c r="F16" s="1">
        <v>26.5988372093023</v>
      </c>
      <c r="G16" s="1">
        <v>16594.211666666699</v>
      </c>
      <c r="H16" s="1">
        <v>10.3978302610808</v>
      </c>
    </row>
    <row r="17" spans="1:8" x14ac:dyDescent="0.25">
      <c r="A17" t="s">
        <v>220</v>
      </c>
      <c r="B17" t="s">
        <v>221</v>
      </c>
      <c r="C17" s="2">
        <v>2023</v>
      </c>
      <c r="D17" s="7">
        <v>13875</v>
      </c>
      <c r="E17" s="1">
        <v>4.2018357601694101</v>
      </c>
      <c r="F17" s="1">
        <v>40.4864383141323</v>
      </c>
      <c r="G17" s="1">
        <v>149824853.31680599</v>
      </c>
      <c r="H17" s="1">
        <v>12</v>
      </c>
    </row>
    <row r="18" spans="1:8" x14ac:dyDescent="0.25">
      <c r="A18" t="s">
        <v>248</v>
      </c>
      <c r="B18" t="s">
        <v>249</v>
      </c>
      <c r="C18" s="2">
        <v>2024</v>
      </c>
      <c r="D18" s="7">
        <v>9475</v>
      </c>
      <c r="E18" s="1">
        <v>4.2499075266308903</v>
      </c>
      <c r="F18" s="1">
        <v>27.963801260297</v>
      </c>
      <c r="G18" s="1">
        <v>41573606.265833303</v>
      </c>
      <c r="H18" s="1">
        <v>12</v>
      </c>
    </row>
  </sheetData>
  <autoFilter ref="A1:H1048471" xr:uid="{04B87F88-06D3-452E-B8EB-1071C60B0507}">
    <sortState xmlns:xlrd2="http://schemas.microsoft.com/office/spreadsheetml/2017/richdata2" ref="A2:H1048471">
      <sortCondition ref="H1:H104847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C72E7-5DBB-4AF1-AD85-870AAEA13104}">
  <sheetPr>
    <tabColor theme="3" tint="0.749992370372631"/>
  </sheetPr>
  <dimension ref="A1:H35"/>
  <sheetViews>
    <sheetView workbookViewId="0">
      <selection activeCell="H2" sqref="H2:H5"/>
    </sheetView>
  </sheetViews>
  <sheetFormatPr defaultRowHeight="15" x14ac:dyDescent="0.25"/>
  <cols>
    <col min="1" max="1" width="14.7109375" bestFit="1" customWidth="1"/>
    <col min="2" max="2" width="34.85546875" bestFit="1" customWidth="1"/>
    <col min="4" max="4" width="9.140625" style="7"/>
  </cols>
  <sheetData>
    <row r="1" spans="1:8" x14ac:dyDescent="0.25">
      <c r="A1" t="s">
        <v>0</v>
      </c>
      <c r="B1" t="s">
        <v>1</v>
      </c>
      <c r="C1" s="2" t="s">
        <v>3</v>
      </c>
      <c r="D1" s="7" t="s">
        <v>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266</v>
      </c>
      <c r="B2" t="s">
        <v>267</v>
      </c>
      <c r="C2" s="2">
        <v>2024</v>
      </c>
      <c r="D2" s="7">
        <v>28800</v>
      </c>
      <c r="E2" s="1">
        <v>4.0859732431008604</v>
      </c>
      <c r="F2" s="1">
        <v>81.719464862017205</v>
      </c>
      <c r="G2" s="1">
        <v>7940.80666666666</v>
      </c>
      <c r="H2" s="1">
        <v>1.6195257519275801</v>
      </c>
    </row>
    <row r="3" spans="1:8" x14ac:dyDescent="0.25">
      <c r="A3" t="s">
        <v>196</v>
      </c>
      <c r="B3" t="s">
        <v>197</v>
      </c>
      <c r="C3" s="2">
        <v>2023</v>
      </c>
      <c r="D3" s="7">
        <v>33500</v>
      </c>
      <c r="E3" s="1">
        <v>4.0575751144619803</v>
      </c>
      <c r="F3" s="1">
        <v>94.394976621164005</v>
      </c>
      <c r="G3" s="1">
        <v>9960.7948611111096</v>
      </c>
      <c r="H3" s="1">
        <v>1.7587084994093201</v>
      </c>
    </row>
    <row r="4" spans="1:8" x14ac:dyDescent="0.25">
      <c r="A4" t="s">
        <v>254</v>
      </c>
      <c r="B4" t="s">
        <v>255</v>
      </c>
      <c r="C4" s="2">
        <v>2023</v>
      </c>
      <c r="D4" s="7">
        <v>31800</v>
      </c>
      <c r="E4" s="1">
        <v>4.0675418683376998</v>
      </c>
      <c r="F4" s="1">
        <v>89.824882925790902</v>
      </c>
      <c r="G4" s="1">
        <v>9555.1</v>
      </c>
      <c r="H4" s="1">
        <v>1.7729125992653201</v>
      </c>
    </row>
    <row r="5" spans="1:8" x14ac:dyDescent="0.25">
      <c r="A5" t="s">
        <v>71</v>
      </c>
      <c r="B5" t="s">
        <v>72</v>
      </c>
      <c r="C5" s="2">
        <v>2021</v>
      </c>
      <c r="D5" s="7">
        <v>18200</v>
      </c>
      <c r="E5" s="1">
        <v>4.1626878162753602</v>
      </c>
      <c r="F5" s="1">
        <v>52.611748789035701</v>
      </c>
      <c r="G5" s="1">
        <v>5742.0748611111103</v>
      </c>
      <c r="H5" s="1">
        <v>1.81900905953404</v>
      </c>
    </row>
    <row r="6" spans="1:8" x14ac:dyDescent="0.25">
      <c r="A6" t="s">
        <v>194</v>
      </c>
      <c r="B6" t="s">
        <v>195</v>
      </c>
      <c r="C6" s="2">
        <v>2023</v>
      </c>
      <c r="D6" s="7">
        <v>35000</v>
      </c>
      <c r="E6" s="1">
        <v>4.0490407861763904</v>
      </c>
      <c r="F6" s="1">
        <v>98.4141857751206</v>
      </c>
      <c r="G6" s="1">
        <v>11552.1365277778</v>
      </c>
      <c r="H6" s="1">
        <v>1.95638065061317</v>
      </c>
    </row>
    <row r="7" spans="1:8" x14ac:dyDescent="0.25">
      <c r="A7" t="s">
        <v>256</v>
      </c>
      <c r="B7" t="s">
        <v>257</v>
      </c>
      <c r="C7" s="2">
        <v>2024</v>
      </c>
      <c r="D7" s="7">
        <v>27600</v>
      </c>
      <c r="E7" s="1">
        <v>4.0936785614045004</v>
      </c>
      <c r="F7" s="1">
        <v>78.462172426919494</v>
      </c>
      <c r="G7" s="1">
        <v>9582.7777777777792</v>
      </c>
      <c r="H7" s="1">
        <v>2.0355409240257898</v>
      </c>
    </row>
    <row r="8" spans="1:8" x14ac:dyDescent="0.25">
      <c r="A8" t="s">
        <v>252</v>
      </c>
      <c r="B8" t="s">
        <v>253</v>
      </c>
      <c r="C8" s="2">
        <v>2024</v>
      </c>
      <c r="D8" s="7">
        <v>24500</v>
      </c>
      <c r="E8" s="1">
        <v>4.114589244327</v>
      </c>
      <c r="F8" s="1">
        <v>70.005164226396801</v>
      </c>
      <c r="G8" s="1">
        <v>8734.3951388888909</v>
      </c>
      <c r="H8" s="1">
        <v>2.07946447842092</v>
      </c>
    </row>
    <row r="9" spans="1:8" x14ac:dyDescent="0.25">
      <c r="A9" t="s">
        <v>43</v>
      </c>
      <c r="B9" t="s">
        <v>44</v>
      </c>
      <c r="C9" s="2">
        <v>2021</v>
      </c>
      <c r="D9" s="7">
        <v>33000</v>
      </c>
      <c r="E9" s="1">
        <v>4.0604730245594602</v>
      </c>
      <c r="F9" s="1">
        <v>93.052506812820994</v>
      </c>
      <c r="G9" s="1">
        <v>14271.576111111101</v>
      </c>
      <c r="H9" s="1">
        <v>2.5561869314312702</v>
      </c>
    </row>
    <row r="10" spans="1:8" x14ac:dyDescent="0.25">
      <c r="A10" t="s">
        <v>85</v>
      </c>
      <c r="B10" t="s">
        <v>86</v>
      </c>
      <c r="C10" s="2">
        <v>2021</v>
      </c>
      <c r="D10" s="7">
        <v>34650</v>
      </c>
      <c r="E10" s="1">
        <v>4.0510112699686101</v>
      </c>
      <c r="F10" s="1">
        <v>97.477458683619602</v>
      </c>
      <c r="G10" s="1">
        <v>15437.9333333333</v>
      </c>
      <c r="H10" s="1">
        <v>2.6395732137826702</v>
      </c>
    </row>
    <row r="11" spans="1:8" x14ac:dyDescent="0.25">
      <c r="A11" t="s">
        <v>31</v>
      </c>
      <c r="B11" t="s">
        <v>32</v>
      </c>
      <c r="C11" s="2">
        <v>2021</v>
      </c>
      <c r="D11" s="7">
        <v>19250</v>
      </c>
      <c r="E11" s="1">
        <v>4.1540423804412798</v>
      </c>
      <c r="F11" s="1">
        <v>55.531469321871299</v>
      </c>
      <c r="G11" s="1">
        <v>9291.0513888888909</v>
      </c>
      <c r="H11" s="1">
        <v>2.7885243875672598</v>
      </c>
    </row>
    <row r="12" spans="1:8" x14ac:dyDescent="0.25">
      <c r="A12" t="s">
        <v>192</v>
      </c>
      <c r="B12" t="s">
        <v>193</v>
      </c>
      <c r="C12" s="2">
        <v>2023</v>
      </c>
      <c r="D12" s="7">
        <v>29750</v>
      </c>
      <c r="E12" s="1">
        <v>4.0800128336096204</v>
      </c>
      <c r="F12" s="1">
        <v>84.291931805476395</v>
      </c>
      <c r="G12" s="1">
        <v>14179.7563888889</v>
      </c>
      <c r="H12" s="1">
        <v>2.8036998095325898</v>
      </c>
    </row>
    <row r="13" spans="1:8" x14ac:dyDescent="0.25">
      <c r="A13" t="s">
        <v>47</v>
      </c>
      <c r="B13" t="s">
        <v>48</v>
      </c>
      <c r="C13" s="2">
        <v>2022</v>
      </c>
      <c r="D13" s="7">
        <v>29050</v>
      </c>
      <c r="E13" s="1">
        <v>4.0843930572075102</v>
      </c>
      <c r="F13" s="1">
        <v>82.396957161026506</v>
      </c>
      <c r="G13" s="1">
        <v>13896.2288888889</v>
      </c>
      <c r="H13" s="1">
        <v>2.8108297053032798</v>
      </c>
    </row>
    <row r="14" spans="1:8" x14ac:dyDescent="0.25">
      <c r="A14" t="s">
        <v>183</v>
      </c>
      <c r="B14" t="s">
        <v>184</v>
      </c>
      <c r="C14" s="2">
        <v>2023</v>
      </c>
      <c r="D14" s="7">
        <v>33600</v>
      </c>
      <c r="E14" s="1">
        <v>4.0569987884406196</v>
      </c>
      <c r="F14" s="1">
        <v>94.663305063614501</v>
      </c>
      <c r="G14" s="1">
        <v>16251.203055555599</v>
      </c>
      <c r="H14" s="1">
        <v>2.86122890044081</v>
      </c>
    </row>
    <row r="15" spans="1:8" x14ac:dyDescent="0.25">
      <c r="A15" t="s">
        <v>155</v>
      </c>
      <c r="B15" t="s">
        <v>156</v>
      </c>
      <c r="C15" s="2">
        <v>2022</v>
      </c>
      <c r="D15" s="7">
        <v>21000</v>
      </c>
      <c r="E15" s="1">
        <v>4.1402402803712404</v>
      </c>
      <c r="F15" s="1">
        <v>60.378504088747199</v>
      </c>
      <c r="G15" s="1">
        <v>10864.8072222222</v>
      </c>
      <c r="H15" s="1">
        <v>2.99908258913156</v>
      </c>
    </row>
    <row r="16" spans="1:8" x14ac:dyDescent="0.25">
      <c r="A16" t="s">
        <v>111</v>
      </c>
      <c r="B16" t="s">
        <v>112</v>
      </c>
      <c r="C16" s="2">
        <v>2021</v>
      </c>
      <c r="D16" s="7">
        <v>28750</v>
      </c>
      <c r="E16" s="1">
        <v>4.0862902971306596</v>
      </c>
      <c r="F16" s="1">
        <v>81.583920862851699</v>
      </c>
      <c r="G16" s="1">
        <v>14829.5705555556</v>
      </c>
      <c r="H16" s="1">
        <v>3.0295125147852602</v>
      </c>
    </row>
    <row r="17" spans="1:8" x14ac:dyDescent="0.25">
      <c r="A17" t="s">
        <v>67</v>
      </c>
      <c r="B17" t="s">
        <v>68</v>
      </c>
      <c r="C17" s="2">
        <v>2021</v>
      </c>
      <c r="D17" s="7">
        <v>25200</v>
      </c>
      <c r="E17" s="1">
        <v>4.1097317613102504</v>
      </c>
      <c r="F17" s="1">
        <v>71.920305822929294</v>
      </c>
      <c r="G17" s="1">
        <v>13594.058055555601</v>
      </c>
      <c r="H17" s="1">
        <v>3.15025960564014</v>
      </c>
    </row>
    <row r="18" spans="1:8" x14ac:dyDescent="0.25">
      <c r="A18" t="s">
        <v>208</v>
      </c>
      <c r="B18" t="s">
        <v>209</v>
      </c>
      <c r="C18" s="2">
        <v>2023</v>
      </c>
      <c r="D18" s="7">
        <v>27160</v>
      </c>
      <c r="E18" s="1">
        <v>4.0965555324352501</v>
      </c>
      <c r="F18" s="1">
        <v>77.265589070098201</v>
      </c>
      <c r="G18" s="1">
        <v>15663.4093055556</v>
      </c>
      <c r="H18" s="1">
        <v>3.3786945120216298</v>
      </c>
    </row>
    <row r="19" spans="1:8" x14ac:dyDescent="0.25">
      <c r="A19" t="s">
        <v>145</v>
      </c>
      <c r="B19" t="s">
        <v>146</v>
      </c>
      <c r="C19" s="2">
        <v>2024</v>
      </c>
      <c r="D19" s="7">
        <v>25550</v>
      </c>
      <c r="E19" s="1">
        <v>4.1073339200726604</v>
      </c>
      <c r="F19" s="1">
        <v>72.876653929066904</v>
      </c>
      <c r="G19" s="1">
        <v>14806.1488888889</v>
      </c>
      <c r="H19" s="1">
        <v>3.3861207237689102</v>
      </c>
    </row>
    <row r="20" spans="1:8" x14ac:dyDescent="0.25">
      <c r="A20" t="s">
        <v>127</v>
      </c>
      <c r="B20" t="s">
        <v>128</v>
      </c>
      <c r="C20" s="2">
        <v>2021</v>
      </c>
      <c r="D20" s="7">
        <v>21000</v>
      </c>
      <c r="E20" s="1">
        <v>4.1402402803712404</v>
      </c>
      <c r="F20" s="1">
        <v>60.378504088747199</v>
      </c>
      <c r="G20" s="1">
        <v>12324.633750000001</v>
      </c>
      <c r="H20" s="1">
        <v>3.40204789105205</v>
      </c>
    </row>
    <row r="21" spans="1:8" x14ac:dyDescent="0.25">
      <c r="A21" t="s">
        <v>25</v>
      </c>
      <c r="B21" t="s">
        <v>26</v>
      </c>
      <c r="C21" s="2">
        <v>2022</v>
      </c>
      <c r="D21" s="7">
        <v>21000</v>
      </c>
      <c r="E21" s="1">
        <v>4.1402402803712404</v>
      </c>
      <c r="F21" s="1">
        <v>60.378504088747199</v>
      </c>
      <c r="G21" s="1">
        <v>13052.853055555601</v>
      </c>
      <c r="H21" s="1">
        <v>3.6030629478028202</v>
      </c>
    </row>
    <row r="22" spans="1:8" x14ac:dyDescent="0.25">
      <c r="A22" t="s">
        <v>226</v>
      </c>
      <c r="B22" t="s">
        <v>227</v>
      </c>
      <c r="C22" s="2">
        <v>2024</v>
      </c>
      <c r="D22" s="7">
        <v>32200</v>
      </c>
      <c r="E22" s="1">
        <v>4.0651673595418902</v>
      </c>
      <c r="F22" s="1">
        <v>90.901659011978396</v>
      </c>
      <c r="G22" s="1">
        <v>20190.690833333301</v>
      </c>
      <c r="H22" s="1">
        <v>3.70192928871128</v>
      </c>
    </row>
    <row r="23" spans="1:8" x14ac:dyDescent="0.25">
      <c r="A23" t="s">
        <v>99</v>
      </c>
      <c r="B23" t="s">
        <v>100</v>
      </c>
      <c r="C23" s="2">
        <v>2021</v>
      </c>
      <c r="D23" s="7">
        <v>26250</v>
      </c>
      <c r="E23" s="1">
        <v>4.1025979007992603</v>
      </c>
      <c r="F23" s="1">
        <v>74.786940899986405</v>
      </c>
      <c r="G23" s="1">
        <v>16813.029305555599</v>
      </c>
      <c r="H23" s="1">
        <v>3.7468728058730298</v>
      </c>
    </row>
    <row r="24" spans="1:8" x14ac:dyDescent="0.25">
      <c r="A24" t="s">
        <v>165</v>
      </c>
      <c r="B24" t="s">
        <v>166</v>
      </c>
      <c r="C24" s="2">
        <v>2023</v>
      </c>
      <c r="D24" s="7">
        <v>18550</v>
      </c>
      <c r="E24" s="1">
        <v>4.15977365513546</v>
      </c>
      <c r="F24" s="1">
        <v>53.585973126918603</v>
      </c>
      <c r="G24" s="1">
        <v>12910.0318055556</v>
      </c>
      <c r="H24" s="1">
        <v>4.0153641746812099</v>
      </c>
    </row>
    <row r="25" spans="1:8" x14ac:dyDescent="0.25">
      <c r="A25" t="s">
        <v>57</v>
      </c>
      <c r="B25" t="s">
        <v>58</v>
      </c>
      <c r="C25" s="2">
        <v>2021</v>
      </c>
      <c r="D25" s="7">
        <v>17500</v>
      </c>
      <c r="E25" s="1">
        <v>4.1686179977416398</v>
      </c>
      <c r="F25" s="1">
        <v>50.660288166999102</v>
      </c>
      <c r="G25" s="1">
        <v>12982.274722222201</v>
      </c>
      <c r="H25" s="1">
        <v>4.2710227912070602</v>
      </c>
    </row>
    <row r="26" spans="1:8" x14ac:dyDescent="0.25">
      <c r="A26" t="s">
        <v>55</v>
      </c>
      <c r="B26" t="s">
        <v>56</v>
      </c>
      <c r="C26" s="2">
        <v>2021</v>
      </c>
      <c r="D26" s="7">
        <v>32550</v>
      </c>
      <c r="E26" s="1">
        <v>4.06310472280878</v>
      </c>
      <c r="F26" s="1">
        <v>91.843096338490199</v>
      </c>
      <c r="G26" s="1">
        <v>24200.952777777798</v>
      </c>
      <c r="H26" s="1">
        <v>4.3917205434408304</v>
      </c>
    </row>
    <row r="27" spans="1:8" x14ac:dyDescent="0.25">
      <c r="A27" t="s">
        <v>212</v>
      </c>
      <c r="B27" t="s">
        <v>213</v>
      </c>
      <c r="C27" s="2">
        <v>2023</v>
      </c>
      <c r="D27" s="7">
        <v>28500</v>
      </c>
      <c r="E27" s="1">
        <v>4.0878807014685403</v>
      </c>
      <c r="F27" s="1">
        <v>80.905972216564805</v>
      </c>
      <c r="G27" s="1">
        <v>22465.3733333333</v>
      </c>
      <c r="H27" s="1">
        <v>4.6278770111884198</v>
      </c>
    </row>
    <row r="28" spans="1:8" x14ac:dyDescent="0.25">
      <c r="A28" t="s">
        <v>173</v>
      </c>
      <c r="B28" t="s">
        <v>174</v>
      </c>
      <c r="C28" s="2">
        <v>2023</v>
      </c>
      <c r="D28" s="7">
        <v>22400</v>
      </c>
      <c r="E28" s="1">
        <v>4.1296900762505304</v>
      </c>
      <c r="F28" s="1">
        <v>64.2396234083417</v>
      </c>
      <c r="G28" s="1">
        <v>17940.134999999998</v>
      </c>
      <c r="H28" s="1">
        <v>4.6544832322471903</v>
      </c>
    </row>
    <row r="29" spans="1:8" x14ac:dyDescent="0.25">
      <c r="A29" t="s">
        <v>181</v>
      </c>
      <c r="B29" t="s">
        <v>182</v>
      </c>
      <c r="C29" s="2">
        <v>2023</v>
      </c>
      <c r="D29" s="7">
        <v>28000</v>
      </c>
      <c r="E29" s="1">
        <v>4.0910875527365897</v>
      </c>
      <c r="F29" s="1">
        <v>79.548924636544797</v>
      </c>
      <c r="G29" s="1">
        <v>22746.9555555556</v>
      </c>
      <c r="H29" s="1">
        <v>4.7658208788879097</v>
      </c>
    </row>
    <row r="30" spans="1:8" x14ac:dyDescent="0.25">
      <c r="A30" t="s">
        <v>238</v>
      </c>
      <c r="B30" t="s">
        <v>239</v>
      </c>
      <c r="C30" s="2">
        <v>2024</v>
      </c>
      <c r="D30" s="7">
        <v>35500</v>
      </c>
      <c r="E30" s="1">
        <v>4.0462471907018802</v>
      </c>
      <c r="F30" s="1">
        <v>99.751232826331105</v>
      </c>
      <c r="G30" s="1">
        <v>33010.848194444399</v>
      </c>
      <c r="H30" s="1">
        <v>5.5155288576594996</v>
      </c>
    </row>
    <row r="31" spans="1:8" x14ac:dyDescent="0.25">
      <c r="A31" t="s">
        <v>274</v>
      </c>
      <c r="B31" t="s">
        <v>275</v>
      </c>
      <c r="C31" s="2">
        <v>2024</v>
      </c>
      <c r="D31" s="7">
        <v>33400</v>
      </c>
      <c r="E31" s="1">
        <v>4.0581525191492496</v>
      </c>
      <c r="F31" s="1">
        <v>94.126593152489406</v>
      </c>
      <c r="G31" s="1">
        <v>31601.39</v>
      </c>
      <c r="H31" s="1">
        <v>5.59554760980323</v>
      </c>
    </row>
    <row r="32" spans="1:8" x14ac:dyDescent="0.25">
      <c r="A32" t="s">
        <v>161</v>
      </c>
      <c r="B32" t="s">
        <v>162</v>
      </c>
      <c r="C32" s="2">
        <v>2023</v>
      </c>
      <c r="D32" s="7">
        <v>31150</v>
      </c>
      <c r="E32" s="1">
        <v>4.0714404878139696</v>
      </c>
      <c r="F32" s="1">
        <v>88.073174441253698</v>
      </c>
      <c r="G32" s="1">
        <v>31565.350138888902</v>
      </c>
      <c r="H32" s="1">
        <v>5.9733190306702504</v>
      </c>
    </row>
    <row r="33" spans="1:8" x14ac:dyDescent="0.25">
      <c r="A33" t="s">
        <v>198</v>
      </c>
      <c r="B33" t="s">
        <v>199</v>
      </c>
      <c r="C33" s="2">
        <v>2023</v>
      </c>
      <c r="D33" s="7">
        <v>34720</v>
      </c>
      <c r="E33" s="1">
        <v>4.0506161758223804</v>
      </c>
      <c r="F33" s="1">
        <v>97.664856683717304</v>
      </c>
      <c r="G33" s="1">
        <v>37119.1965277778</v>
      </c>
      <c r="H33" s="1">
        <v>6.3344512700862303</v>
      </c>
    </row>
    <row r="34" spans="1:8" x14ac:dyDescent="0.25">
      <c r="A34" t="s">
        <v>73</v>
      </c>
      <c r="B34" t="s">
        <v>74</v>
      </c>
      <c r="C34" s="2">
        <v>2022</v>
      </c>
      <c r="D34" s="7">
        <v>29120</v>
      </c>
      <c r="E34" s="1">
        <v>4.0839521137572596</v>
      </c>
      <c r="F34" s="1">
        <v>82.586587189313505</v>
      </c>
      <c r="G34" s="1">
        <v>48986.7043611111</v>
      </c>
      <c r="H34" s="1">
        <v>9.8859282175402807</v>
      </c>
    </row>
    <row r="35" spans="1:8" x14ac:dyDescent="0.25">
      <c r="A35" t="s">
        <v>210</v>
      </c>
      <c r="B35" t="s">
        <v>211</v>
      </c>
      <c r="C35" s="2">
        <v>2023</v>
      </c>
      <c r="D35" s="7">
        <v>31500</v>
      </c>
      <c r="E35" s="1">
        <v>4.0693350008144504</v>
      </c>
      <c r="F35" s="1">
        <v>89.016703142816198</v>
      </c>
      <c r="G35" s="1">
        <v>903644.56</v>
      </c>
      <c r="H35" s="1">
        <v>12</v>
      </c>
    </row>
  </sheetData>
  <autoFilter ref="A1:H1048488" xr:uid="{242C72E7-5DBB-4AF1-AD85-870AAEA13104}">
    <sortState xmlns:xlrd2="http://schemas.microsoft.com/office/spreadsheetml/2017/richdata2" ref="A2:H1048488">
      <sortCondition ref="H1:H1048488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BB4C-174C-48CA-96D0-B8E53AE2FB19}">
  <sheetPr>
    <tabColor theme="3" tint="0.749992370372631"/>
  </sheetPr>
  <dimension ref="A1:H72"/>
  <sheetViews>
    <sheetView workbookViewId="0">
      <selection activeCell="H2" sqref="H2:H13"/>
    </sheetView>
  </sheetViews>
  <sheetFormatPr defaultRowHeight="15" x14ac:dyDescent="0.25"/>
  <cols>
    <col min="1" max="1" width="12.42578125" bestFit="1" customWidth="1"/>
    <col min="2" max="2" width="66.42578125" bestFit="1" customWidth="1"/>
    <col min="3" max="3" width="5" bestFit="1" customWidth="1"/>
    <col min="4" max="4" width="10" style="7" bestFit="1" customWidth="1"/>
    <col min="5" max="5" width="3.5703125" bestFit="1" customWidth="1"/>
    <col min="6" max="6" width="10.28515625" bestFit="1" customWidth="1"/>
    <col min="7" max="7" width="12.7109375" bestFit="1" customWidth="1"/>
    <col min="8" max="8" width="12.42578125" bestFit="1" customWidth="1"/>
  </cols>
  <sheetData>
    <row r="1" spans="1:8" x14ac:dyDescent="0.25">
      <c r="A1" t="s">
        <v>0</v>
      </c>
      <c r="B1" t="s">
        <v>1</v>
      </c>
      <c r="C1" s="2" t="s">
        <v>3</v>
      </c>
      <c r="D1" s="7" t="s">
        <v>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105</v>
      </c>
      <c r="B2" t="s">
        <v>106</v>
      </c>
      <c r="C2" s="2">
        <v>2023</v>
      </c>
      <c r="D2" s="7">
        <v>83750</v>
      </c>
      <c r="E2" s="1">
        <v>3.8483361152576299</v>
      </c>
      <c r="F2" s="1">
        <v>223.81815948113001</v>
      </c>
      <c r="G2" s="1">
        <v>8955.8434722222191</v>
      </c>
      <c r="H2" s="1">
        <v>0.66689878165562799</v>
      </c>
    </row>
    <row r="3" spans="1:8" x14ac:dyDescent="0.25">
      <c r="A3" t="s">
        <v>141</v>
      </c>
      <c r="B3" t="s">
        <v>142</v>
      </c>
      <c r="C3" s="2">
        <v>2022</v>
      </c>
      <c r="D3" s="7">
        <v>45500</v>
      </c>
      <c r="E3" s="1">
        <v>3.9949490965415002</v>
      </c>
      <c r="F3" s="1">
        <v>126.229294369888</v>
      </c>
      <c r="G3" s="1">
        <v>6256.2222222222199</v>
      </c>
      <c r="H3" s="1">
        <v>0.82603939830978301</v>
      </c>
    </row>
    <row r="4" spans="1:8" x14ac:dyDescent="0.25">
      <c r="A4" t="s">
        <v>270</v>
      </c>
      <c r="B4" t="s">
        <v>271</v>
      </c>
      <c r="C4" s="2">
        <v>2024</v>
      </c>
      <c r="D4" s="7">
        <v>157500</v>
      </c>
      <c r="E4" s="1">
        <v>3.6641344501063702</v>
      </c>
      <c r="F4" s="1">
        <v>400.76470548038401</v>
      </c>
      <c r="G4" s="1">
        <v>21093.077777777798</v>
      </c>
      <c r="H4" s="1">
        <v>0.87720123925309901</v>
      </c>
    </row>
    <row r="5" spans="1:8" x14ac:dyDescent="0.25">
      <c r="A5" t="s">
        <v>270</v>
      </c>
      <c r="B5" t="s">
        <v>271</v>
      </c>
      <c r="C5" s="2">
        <v>2025</v>
      </c>
      <c r="D5" s="7">
        <v>157500</v>
      </c>
      <c r="E5" s="1">
        <v>3.6641344501063702</v>
      </c>
      <c r="F5" s="1">
        <v>400.76470548038401</v>
      </c>
      <c r="G5" s="1">
        <v>21093.077777777798</v>
      </c>
      <c r="H5" s="1">
        <v>0.87720123925309901</v>
      </c>
    </row>
    <row r="6" spans="1:8" x14ac:dyDescent="0.25">
      <c r="A6" t="s">
        <v>103</v>
      </c>
      <c r="B6" t="s">
        <v>104</v>
      </c>
      <c r="C6" s="2">
        <v>2021</v>
      </c>
      <c r="D6" s="7">
        <v>45200</v>
      </c>
      <c r="E6" s="1">
        <v>3.9963768757509599</v>
      </c>
      <c r="F6" s="1">
        <v>125.441829711072</v>
      </c>
      <c r="G6" s="1">
        <v>7709.88</v>
      </c>
      <c r="H6" s="1">
        <v>1.02436324706015</v>
      </c>
    </row>
    <row r="7" spans="1:8" x14ac:dyDescent="0.25">
      <c r="A7" t="s">
        <v>119</v>
      </c>
      <c r="B7" t="s">
        <v>120</v>
      </c>
      <c r="C7" s="2">
        <v>2025</v>
      </c>
      <c r="D7" s="7">
        <v>74900</v>
      </c>
      <c r="E7" s="1">
        <v>3.8774329517333599</v>
      </c>
      <c r="F7" s="1">
        <v>201.680366725575</v>
      </c>
      <c r="G7" s="1">
        <v>12873.4370833333</v>
      </c>
      <c r="H7" s="1">
        <v>1.0638481484624001</v>
      </c>
    </row>
    <row r="8" spans="1:8" x14ac:dyDescent="0.25">
      <c r="A8" t="s">
        <v>119</v>
      </c>
      <c r="B8" t="s">
        <v>120</v>
      </c>
      <c r="C8" s="2">
        <v>2024</v>
      </c>
      <c r="D8" s="7">
        <v>74900</v>
      </c>
      <c r="E8" s="1">
        <v>3.8774329517333599</v>
      </c>
      <c r="F8" s="1">
        <v>201.680366725575</v>
      </c>
      <c r="G8" s="1">
        <v>12873.4370833333</v>
      </c>
      <c r="H8" s="1">
        <v>1.0638481484624001</v>
      </c>
    </row>
    <row r="9" spans="1:8" x14ac:dyDescent="0.25">
      <c r="A9" t="s">
        <v>216</v>
      </c>
      <c r="B9" t="s">
        <v>217</v>
      </c>
      <c r="C9" s="2">
        <v>2024</v>
      </c>
      <c r="D9" s="7">
        <v>59030</v>
      </c>
      <c r="E9" s="1">
        <v>3.9360508208013898</v>
      </c>
      <c r="F9" s="1">
        <v>161.350749966602</v>
      </c>
      <c r="G9" s="1">
        <v>11809.742222222199</v>
      </c>
      <c r="H9" s="1">
        <v>1.21988300071601</v>
      </c>
    </row>
    <row r="10" spans="1:8" x14ac:dyDescent="0.25">
      <c r="A10" t="s">
        <v>151</v>
      </c>
      <c r="B10" t="s">
        <v>152</v>
      </c>
      <c r="C10" s="2">
        <v>2021</v>
      </c>
      <c r="D10" s="7">
        <v>37000</v>
      </c>
      <c r="E10" s="1">
        <v>4.0380123133450097</v>
      </c>
      <c r="F10" s="1">
        <v>103.754483051226</v>
      </c>
      <c r="G10" s="1">
        <v>9644.2955555555509</v>
      </c>
      <c r="H10" s="1">
        <v>1.5492174847028</v>
      </c>
    </row>
    <row r="11" spans="1:8" x14ac:dyDescent="0.25">
      <c r="A11" t="s">
        <v>214</v>
      </c>
      <c r="B11" t="s">
        <v>215</v>
      </c>
      <c r="C11" s="2">
        <v>2023</v>
      </c>
      <c r="D11" s="7">
        <v>45500</v>
      </c>
      <c r="E11" s="1">
        <v>3.9949490965415002</v>
      </c>
      <c r="F11" s="1">
        <v>126.229294369888</v>
      </c>
      <c r="G11" s="1">
        <v>13384.5555555556</v>
      </c>
      <c r="H11" s="1">
        <v>1.7672278613255199</v>
      </c>
    </row>
    <row r="12" spans="1:8" x14ac:dyDescent="0.25">
      <c r="A12" t="s">
        <v>77</v>
      </c>
      <c r="B12" t="s">
        <v>78</v>
      </c>
      <c r="C12" s="2">
        <v>2022</v>
      </c>
      <c r="D12" s="7">
        <v>41300</v>
      </c>
      <c r="E12" s="1">
        <v>4.0155186599529502</v>
      </c>
      <c r="F12" s="1">
        <v>115.167306011151</v>
      </c>
      <c r="G12" s="1">
        <v>13101.4131944444</v>
      </c>
      <c r="H12" s="1">
        <v>1.8959971726084499</v>
      </c>
    </row>
    <row r="13" spans="1:8" x14ac:dyDescent="0.25">
      <c r="A13" t="s">
        <v>117</v>
      </c>
      <c r="B13" t="s">
        <v>118</v>
      </c>
      <c r="C13" s="2">
        <v>2023</v>
      </c>
      <c r="D13" s="7">
        <v>56000</v>
      </c>
      <c r="E13" s="1">
        <v>3.9484041008441002</v>
      </c>
      <c r="F13" s="1">
        <v>153.54904836616001</v>
      </c>
      <c r="G13" s="1">
        <v>17627.611111111099</v>
      </c>
      <c r="H13" s="1">
        <v>1.91335290999607</v>
      </c>
    </row>
    <row r="14" spans="1:8" x14ac:dyDescent="0.25">
      <c r="A14" t="s">
        <v>175</v>
      </c>
      <c r="B14" t="s">
        <v>176</v>
      </c>
      <c r="C14" s="2">
        <v>2024</v>
      </c>
      <c r="D14" s="7">
        <v>93860</v>
      </c>
      <c r="E14" s="1">
        <v>3.8175739369409998</v>
      </c>
      <c r="F14" s="1">
        <v>248.83159008422399</v>
      </c>
      <c r="G14" s="1">
        <v>30325.653333333299</v>
      </c>
      <c r="H14" s="1">
        <v>2.0312033346910598</v>
      </c>
    </row>
    <row r="15" spans="1:8" x14ac:dyDescent="0.25">
      <c r="A15" t="s">
        <v>97</v>
      </c>
      <c r="B15" t="s">
        <v>98</v>
      </c>
      <c r="C15" s="2">
        <v>2021</v>
      </c>
      <c r="D15" s="7">
        <v>58500</v>
      </c>
      <c r="E15" s="1">
        <v>3.9381809290596901</v>
      </c>
      <c r="F15" s="1">
        <v>159.98860024305</v>
      </c>
      <c r="G15" s="1">
        <v>20424.111111111099</v>
      </c>
      <c r="H15" s="1">
        <v>2.1276631668426602</v>
      </c>
    </row>
    <row r="16" spans="1:8" x14ac:dyDescent="0.25">
      <c r="A16" t="s">
        <v>10</v>
      </c>
      <c r="B16" t="s">
        <v>11</v>
      </c>
      <c r="C16" s="2">
        <v>2022</v>
      </c>
      <c r="D16" s="7">
        <v>74640</v>
      </c>
      <c r="E16" s="1">
        <v>3.87832235031633</v>
      </c>
      <c r="F16" s="1">
        <v>201.02637515806299</v>
      </c>
      <c r="G16" s="1">
        <v>26153.293611111101</v>
      </c>
      <c r="H16" s="1">
        <v>2.1683136180967399</v>
      </c>
    </row>
    <row r="17" spans="1:8" x14ac:dyDescent="0.25">
      <c r="A17" t="s">
        <v>230</v>
      </c>
      <c r="B17" t="s">
        <v>231</v>
      </c>
      <c r="C17" s="2">
        <v>2024</v>
      </c>
      <c r="D17" s="7">
        <v>70000</v>
      </c>
      <c r="E17" s="1">
        <v>3.8945594528446401</v>
      </c>
      <c r="F17" s="1">
        <v>189.31886229105899</v>
      </c>
      <c r="G17" s="1">
        <v>25389.7002777778</v>
      </c>
      <c r="H17" s="1">
        <v>2.23517966554081</v>
      </c>
    </row>
    <row r="18" spans="1:8" x14ac:dyDescent="0.25">
      <c r="A18" t="s">
        <v>75</v>
      </c>
      <c r="B18" t="s">
        <v>76</v>
      </c>
      <c r="C18" s="2">
        <v>2021</v>
      </c>
      <c r="D18" s="7">
        <v>93450</v>
      </c>
      <c r="E18" s="1">
        <v>3.8187756379672302</v>
      </c>
      <c r="F18" s="1">
        <v>247.822627338915</v>
      </c>
      <c r="G18" s="1">
        <v>33673.775361111097</v>
      </c>
      <c r="H18" s="1">
        <v>2.2646422377902198</v>
      </c>
    </row>
    <row r="19" spans="1:8" x14ac:dyDescent="0.25">
      <c r="A19" t="s">
        <v>131</v>
      </c>
      <c r="B19" t="s">
        <v>132</v>
      </c>
      <c r="C19" s="2">
        <v>2023</v>
      </c>
      <c r="D19" s="7">
        <v>48150</v>
      </c>
      <c r="E19" s="1">
        <v>3.9825931536408099</v>
      </c>
      <c r="F19" s="1">
        <v>133.167958574865</v>
      </c>
      <c r="G19" s="1">
        <v>18674.477361111101</v>
      </c>
      <c r="H19" s="1">
        <v>2.3372085348659701</v>
      </c>
    </row>
    <row r="20" spans="1:8" x14ac:dyDescent="0.25">
      <c r="A20" t="s">
        <v>189</v>
      </c>
      <c r="B20" t="s">
        <v>190</v>
      </c>
      <c r="C20" s="2">
        <v>2024</v>
      </c>
      <c r="D20" s="7">
        <v>129750</v>
      </c>
      <c r="E20" s="1">
        <v>3.7242237680766999</v>
      </c>
      <c r="F20" s="1">
        <v>335.56807910274398</v>
      </c>
      <c r="G20" s="1">
        <v>48057.917777777802</v>
      </c>
      <c r="H20" s="1">
        <v>2.3868935878464699</v>
      </c>
    </row>
    <row r="21" spans="1:8" x14ac:dyDescent="0.25">
      <c r="A21" t="s">
        <v>163</v>
      </c>
      <c r="B21" t="s">
        <v>164</v>
      </c>
      <c r="C21" s="2">
        <v>2022</v>
      </c>
      <c r="D21" s="7">
        <v>48000</v>
      </c>
      <c r="E21" s="1">
        <v>3.9832806364442201</v>
      </c>
      <c r="F21" s="1">
        <v>132.776021214807</v>
      </c>
      <c r="G21" s="1">
        <v>19026.344166666699</v>
      </c>
      <c r="H21" s="1">
        <v>2.3882756329781301</v>
      </c>
    </row>
    <row r="22" spans="1:8" x14ac:dyDescent="0.25">
      <c r="A22" t="s">
        <v>137</v>
      </c>
      <c r="B22" t="s">
        <v>138</v>
      </c>
      <c r="C22" s="2">
        <v>2022</v>
      </c>
      <c r="D22" s="7">
        <v>49350</v>
      </c>
      <c r="E22" s="1">
        <v>3.9771426355255701</v>
      </c>
      <c r="F22" s="1">
        <v>136.299992404991</v>
      </c>
      <c r="G22" s="1">
        <v>19755.04</v>
      </c>
      <c r="H22" s="1">
        <v>2.4156323185136901</v>
      </c>
    </row>
    <row r="23" spans="1:8" x14ac:dyDescent="0.25">
      <c r="A23" t="s">
        <v>187</v>
      </c>
      <c r="B23" t="s">
        <v>188</v>
      </c>
      <c r="C23" s="2">
        <v>2023</v>
      </c>
      <c r="D23" s="7">
        <v>112450</v>
      </c>
      <c r="E23" s="1">
        <v>3.7665663536323102</v>
      </c>
      <c r="F23" s="1">
        <v>294.13221282357898</v>
      </c>
      <c r="G23" s="1">
        <v>43247.415555555497</v>
      </c>
      <c r="H23" s="1">
        <v>2.4505655206544499</v>
      </c>
    </row>
    <row r="24" spans="1:8" x14ac:dyDescent="0.25">
      <c r="A24" t="s">
        <v>222</v>
      </c>
      <c r="B24" t="s">
        <v>223</v>
      </c>
      <c r="C24" s="2">
        <v>2024</v>
      </c>
      <c r="D24" s="7">
        <v>58100</v>
      </c>
      <c r="E24" s="1">
        <v>3.9397970140677501</v>
      </c>
      <c r="F24" s="1">
        <v>158.959865637039</v>
      </c>
      <c r="G24" s="1">
        <v>23749.432916666701</v>
      </c>
      <c r="H24" s="1">
        <v>2.4900869182177598</v>
      </c>
    </row>
    <row r="25" spans="1:8" x14ac:dyDescent="0.25">
      <c r="A25" t="s">
        <v>63</v>
      </c>
      <c r="B25" t="s">
        <v>64</v>
      </c>
      <c r="C25" s="2">
        <v>2021</v>
      </c>
      <c r="D25" s="7">
        <v>60760</v>
      </c>
      <c r="E25" s="1">
        <v>3.9291846527411698</v>
      </c>
      <c r="F25" s="1">
        <v>165.78976354205099</v>
      </c>
      <c r="G25" s="1">
        <v>25072.097777777799</v>
      </c>
      <c r="H25" s="1">
        <v>2.5204710313149601</v>
      </c>
    </row>
    <row r="26" spans="1:8" x14ac:dyDescent="0.25">
      <c r="A26" t="s">
        <v>107</v>
      </c>
      <c r="B26" t="s">
        <v>108</v>
      </c>
      <c r="C26" s="2">
        <v>2023</v>
      </c>
      <c r="D26" s="7">
        <v>70000</v>
      </c>
      <c r="E26" s="1">
        <v>3.8945594528446401</v>
      </c>
      <c r="F26" s="1">
        <v>189.31886229105899</v>
      </c>
      <c r="G26" s="1">
        <v>29025.111111111099</v>
      </c>
      <c r="H26" s="1">
        <v>2.55522268620087</v>
      </c>
    </row>
    <row r="27" spans="1:8" x14ac:dyDescent="0.25">
      <c r="A27" t="s">
        <v>21</v>
      </c>
      <c r="B27" t="s">
        <v>22</v>
      </c>
      <c r="C27" s="2">
        <v>2021</v>
      </c>
      <c r="D27" s="7">
        <v>47400</v>
      </c>
      <c r="E27" s="1">
        <v>3.98604456346047</v>
      </c>
      <c r="F27" s="1">
        <v>131.20730021390699</v>
      </c>
      <c r="G27" s="1">
        <v>20256.660555555602</v>
      </c>
      <c r="H27" s="1">
        <v>2.5731114709993501</v>
      </c>
    </row>
    <row r="28" spans="1:8" x14ac:dyDescent="0.25">
      <c r="A28" t="s">
        <v>41</v>
      </c>
      <c r="B28" t="s">
        <v>42</v>
      </c>
      <c r="C28" s="2">
        <v>2023</v>
      </c>
      <c r="D28" s="7">
        <v>52150</v>
      </c>
      <c r="E28" s="1">
        <v>3.96475149620872</v>
      </c>
      <c r="F28" s="1">
        <v>143.584576755059</v>
      </c>
      <c r="G28" s="1">
        <v>22197.081666666701</v>
      </c>
      <c r="H28" s="1">
        <v>2.5765396916008001</v>
      </c>
    </row>
    <row r="29" spans="1:8" x14ac:dyDescent="0.25">
      <c r="A29" t="s">
        <v>113</v>
      </c>
      <c r="B29" t="s">
        <v>114</v>
      </c>
      <c r="C29" s="2">
        <v>2021</v>
      </c>
      <c r="D29" s="7">
        <v>48720</v>
      </c>
      <c r="E29" s="1">
        <v>3.9799933032525101</v>
      </c>
      <c r="F29" s="1">
        <v>134.656440093377</v>
      </c>
      <c r="G29" s="1">
        <v>21583.444444444402</v>
      </c>
      <c r="H29" s="1">
        <v>2.6714212393007402</v>
      </c>
    </row>
    <row r="30" spans="1:8" x14ac:dyDescent="0.25">
      <c r="A30" t="s">
        <v>234</v>
      </c>
      <c r="B30" t="s">
        <v>235</v>
      </c>
      <c r="C30" s="2">
        <v>2024</v>
      </c>
      <c r="D30" s="7">
        <v>54750</v>
      </c>
      <c r="E30" s="1">
        <v>3.9536286030827301</v>
      </c>
      <c r="F30" s="1">
        <v>150.320254179708</v>
      </c>
      <c r="G30" s="1">
        <v>24188.4194444444</v>
      </c>
      <c r="H30" s="1">
        <v>2.6818762799065001</v>
      </c>
    </row>
    <row r="31" spans="1:8" x14ac:dyDescent="0.25">
      <c r="A31" t="s">
        <v>262</v>
      </c>
      <c r="B31" t="s">
        <v>263</v>
      </c>
      <c r="C31" s="2">
        <v>2025</v>
      </c>
      <c r="D31" s="7">
        <v>105750</v>
      </c>
      <c r="E31" s="1">
        <v>3.7842145115715402</v>
      </c>
      <c r="F31" s="1">
        <v>277.90325319353502</v>
      </c>
      <c r="G31" s="1">
        <v>44948.502222222203</v>
      </c>
      <c r="H31" s="1">
        <v>2.6956924580583901</v>
      </c>
    </row>
    <row r="32" spans="1:8" x14ac:dyDescent="0.25">
      <c r="A32" t="s">
        <v>262</v>
      </c>
      <c r="B32" t="s">
        <v>263</v>
      </c>
      <c r="C32" s="2">
        <v>2024</v>
      </c>
      <c r="D32" s="7">
        <v>105750</v>
      </c>
      <c r="E32" s="1">
        <v>3.7842145115715402</v>
      </c>
      <c r="F32" s="1">
        <v>277.90325319353502</v>
      </c>
      <c r="G32" s="1">
        <v>44948.502222222203</v>
      </c>
      <c r="H32" s="1">
        <v>2.6956924580583901</v>
      </c>
    </row>
    <row r="33" spans="1:8" x14ac:dyDescent="0.25">
      <c r="A33" t="s">
        <v>69</v>
      </c>
      <c r="B33" t="s">
        <v>70</v>
      </c>
      <c r="C33" s="2">
        <v>2021</v>
      </c>
      <c r="D33" s="7">
        <v>47500</v>
      </c>
      <c r="E33" s="1">
        <v>3.9855823429009201</v>
      </c>
      <c r="F33" s="1">
        <v>131.46886200541201</v>
      </c>
      <c r="G33" s="1">
        <v>21888.350416666701</v>
      </c>
      <c r="H33" s="1">
        <v>2.7748459575375302</v>
      </c>
    </row>
    <row r="34" spans="1:8" x14ac:dyDescent="0.25">
      <c r="A34" t="s">
        <v>171</v>
      </c>
      <c r="B34" t="s">
        <v>172</v>
      </c>
      <c r="C34" s="2">
        <v>2024</v>
      </c>
      <c r="D34" s="7">
        <v>80150</v>
      </c>
      <c r="E34" s="1">
        <v>3.85990627146034</v>
      </c>
      <c r="F34" s="1">
        <v>214.84131087329601</v>
      </c>
      <c r="G34" s="1">
        <v>36405.364444444502</v>
      </c>
      <c r="H34" s="1">
        <v>2.8242057898814101</v>
      </c>
    </row>
    <row r="35" spans="1:8" x14ac:dyDescent="0.25">
      <c r="A35" t="s">
        <v>202</v>
      </c>
      <c r="B35" t="s">
        <v>203</v>
      </c>
      <c r="C35" s="2">
        <v>2023</v>
      </c>
      <c r="D35" s="7">
        <v>92050</v>
      </c>
      <c r="E35" s="1">
        <v>3.8229068091204699</v>
      </c>
      <c r="F35" s="1">
        <v>244.37400818023499</v>
      </c>
      <c r="G35" s="1">
        <v>41821.650972222204</v>
      </c>
      <c r="H35" s="1">
        <v>2.8522980876494</v>
      </c>
    </row>
    <row r="36" spans="1:8" x14ac:dyDescent="0.25">
      <c r="A36" t="s">
        <v>147</v>
      </c>
      <c r="B36" t="s">
        <v>148</v>
      </c>
      <c r="C36" s="2">
        <v>2023</v>
      </c>
      <c r="D36" s="7">
        <v>55794</v>
      </c>
      <c r="E36" s="1">
        <v>3.9492597882882801</v>
      </c>
      <c r="F36" s="1">
        <v>153.01736154705301</v>
      </c>
      <c r="G36" s="1">
        <v>27278.0297222222</v>
      </c>
      <c r="H36" s="1">
        <v>2.9711257866899201</v>
      </c>
    </row>
    <row r="37" spans="1:8" x14ac:dyDescent="0.25">
      <c r="A37" t="s">
        <v>179</v>
      </c>
      <c r="B37" t="s">
        <v>180</v>
      </c>
      <c r="C37" s="2">
        <v>2023</v>
      </c>
      <c r="D37" s="7">
        <v>41300</v>
      </c>
      <c r="E37" s="1">
        <v>4.0155186599529502</v>
      </c>
      <c r="F37" s="1">
        <v>115.167306011151</v>
      </c>
      <c r="G37" s="1">
        <v>21076.451527777801</v>
      </c>
      <c r="H37" s="1">
        <v>3.0501207703479598</v>
      </c>
    </row>
    <row r="38" spans="1:8" x14ac:dyDescent="0.25">
      <c r="A38" t="s">
        <v>149</v>
      </c>
      <c r="B38" t="s">
        <v>150</v>
      </c>
      <c r="C38" s="2">
        <v>2023</v>
      </c>
      <c r="D38" s="7">
        <v>51450</v>
      </c>
      <c r="E38" s="1">
        <v>3.9678078363216902</v>
      </c>
      <c r="F38" s="1">
        <v>141.76646748524399</v>
      </c>
      <c r="G38" s="1">
        <v>26824.107638888901</v>
      </c>
      <c r="H38" s="1">
        <v>3.1535557637752598</v>
      </c>
    </row>
    <row r="39" spans="1:8" x14ac:dyDescent="0.25">
      <c r="A39" t="s">
        <v>139</v>
      </c>
      <c r="B39" t="s">
        <v>140</v>
      </c>
      <c r="C39" s="2">
        <v>2024</v>
      </c>
      <c r="D39" s="7">
        <v>36400</v>
      </c>
      <c r="E39" s="1">
        <v>4.0412805223689503</v>
      </c>
      <c r="F39" s="1">
        <v>102.154590982104</v>
      </c>
      <c r="G39" s="1">
        <v>19582.785</v>
      </c>
      <c r="H39" s="1">
        <v>3.1949591972540601</v>
      </c>
    </row>
    <row r="40" spans="1:8" x14ac:dyDescent="0.25">
      <c r="A40" t="s">
        <v>115</v>
      </c>
      <c r="B40" t="s">
        <v>116</v>
      </c>
      <c r="C40" s="2">
        <v>2023</v>
      </c>
      <c r="D40" s="7">
        <v>98350</v>
      </c>
      <c r="E40" s="1">
        <v>3.80464691566729</v>
      </c>
      <c r="F40" s="1">
        <v>259.85210010824801</v>
      </c>
      <c r="G40" s="1">
        <v>51698.622638888897</v>
      </c>
      <c r="H40" s="1">
        <v>3.3159005075933798</v>
      </c>
    </row>
    <row r="41" spans="1:8" x14ac:dyDescent="0.25">
      <c r="A41" t="s">
        <v>268</v>
      </c>
      <c r="B41" t="s">
        <v>269</v>
      </c>
      <c r="C41" s="2">
        <v>2023</v>
      </c>
      <c r="D41" s="7">
        <v>127750</v>
      </c>
      <c r="E41" s="1">
        <v>3.72890362522396</v>
      </c>
      <c r="F41" s="1">
        <v>330.810720918306</v>
      </c>
      <c r="G41" s="1">
        <v>66205.662222222207</v>
      </c>
      <c r="H41" s="1">
        <v>3.33552582770192</v>
      </c>
    </row>
    <row r="42" spans="1:8" x14ac:dyDescent="0.25">
      <c r="A42" t="s">
        <v>23</v>
      </c>
      <c r="B42" t="s">
        <v>24</v>
      </c>
      <c r="C42" s="2">
        <v>2021</v>
      </c>
      <c r="D42" s="7">
        <v>51450</v>
      </c>
      <c r="E42" s="1">
        <v>3.9678078363216902</v>
      </c>
      <c r="F42" s="1">
        <v>141.76646748524399</v>
      </c>
      <c r="G42" s="1">
        <v>29102.8177777778</v>
      </c>
      <c r="H42" s="1">
        <v>3.4214505839573799</v>
      </c>
    </row>
    <row r="43" spans="1:8" x14ac:dyDescent="0.25">
      <c r="A43" t="s">
        <v>206</v>
      </c>
      <c r="B43" t="s">
        <v>207</v>
      </c>
      <c r="C43" s="2">
        <v>2023</v>
      </c>
      <c r="D43" s="7">
        <v>76700</v>
      </c>
      <c r="E43" s="1">
        <v>3.87133230055443</v>
      </c>
      <c r="F43" s="1">
        <v>206.20221350869801</v>
      </c>
      <c r="G43" s="1">
        <v>42907.847083333298</v>
      </c>
      <c r="H43" s="1">
        <v>3.4681043067079198</v>
      </c>
    </row>
    <row r="44" spans="1:8" x14ac:dyDescent="0.25">
      <c r="A44" t="s">
        <v>153</v>
      </c>
      <c r="B44" t="s">
        <v>154</v>
      </c>
      <c r="C44" s="2">
        <v>2023</v>
      </c>
      <c r="D44" s="7">
        <v>99060</v>
      </c>
      <c r="E44" s="1">
        <v>3.8026407025636599</v>
      </c>
      <c r="F44" s="1">
        <v>261.589991663859</v>
      </c>
      <c r="G44" s="1">
        <v>56266.0238888889</v>
      </c>
      <c r="H44" s="1">
        <v>3.5848736369847001</v>
      </c>
    </row>
    <row r="45" spans="1:8" x14ac:dyDescent="0.25">
      <c r="A45" t="s">
        <v>89</v>
      </c>
      <c r="B45" t="s">
        <v>90</v>
      </c>
      <c r="C45" s="2">
        <v>2021</v>
      </c>
      <c r="D45" s="7">
        <v>49000</v>
      </c>
      <c r="E45" s="1">
        <v>3.9787234042553199</v>
      </c>
      <c r="F45" s="1">
        <v>135.38711583924399</v>
      </c>
      <c r="G45" s="1">
        <v>30286.414861111101</v>
      </c>
      <c r="H45" s="1">
        <v>3.72837236312707</v>
      </c>
    </row>
    <row r="46" spans="1:8" x14ac:dyDescent="0.25">
      <c r="A46" t="s">
        <v>200</v>
      </c>
      <c r="B46" t="s">
        <v>201</v>
      </c>
      <c r="C46" s="2">
        <v>2024</v>
      </c>
      <c r="D46" s="7">
        <v>72800</v>
      </c>
      <c r="E46" s="1">
        <v>3.88467730197008</v>
      </c>
      <c r="F46" s="1">
        <v>196.392019155154</v>
      </c>
      <c r="G46" s="1">
        <v>44096.026666666701</v>
      </c>
      <c r="H46" s="1">
        <v>3.7421774109729098</v>
      </c>
    </row>
    <row r="47" spans="1:8" x14ac:dyDescent="0.25">
      <c r="A47" t="s">
        <v>244</v>
      </c>
      <c r="B47" t="s">
        <v>245</v>
      </c>
      <c r="C47" s="2">
        <v>2024</v>
      </c>
      <c r="D47" s="7">
        <v>61500</v>
      </c>
      <c r="E47" s="1">
        <v>3.9262872278875101</v>
      </c>
      <c r="F47" s="1">
        <v>167.68518369102901</v>
      </c>
      <c r="G47" s="1">
        <v>38534.777777777803</v>
      </c>
      <c r="H47" s="1">
        <v>3.8300718176727999</v>
      </c>
    </row>
    <row r="48" spans="1:8" x14ac:dyDescent="0.25">
      <c r="A48" t="s">
        <v>35</v>
      </c>
      <c r="B48" t="s">
        <v>36</v>
      </c>
      <c r="C48" s="2">
        <v>2023</v>
      </c>
      <c r="D48" s="7">
        <v>59360</v>
      </c>
      <c r="E48" s="1">
        <v>3.9347309066891301</v>
      </c>
      <c r="F48" s="1">
        <v>162.198351820185</v>
      </c>
      <c r="G48" s="1">
        <v>38112.5088888889</v>
      </c>
      <c r="H48" s="1">
        <v>3.9162449824747898</v>
      </c>
    </row>
    <row r="49" spans="1:8" x14ac:dyDescent="0.25">
      <c r="A49" t="s">
        <v>258</v>
      </c>
      <c r="B49" t="s">
        <v>259</v>
      </c>
      <c r="C49" s="2">
        <v>2024</v>
      </c>
      <c r="D49" s="7">
        <v>37500</v>
      </c>
      <c r="E49" s="1">
        <v>4.0353142976165701</v>
      </c>
      <c r="F49" s="1">
        <v>105.086309833765</v>
      </c>
      <c r="G49" s="1">
        <v>25521.472088888899</v>
      </c>
      <c r="H49" s="1">
        <v>4.0477001126123699</v>
      </c>
    </row>
    <row r="50" spans="1:8" x14ac:dyDescent="0.25">
      <c r="A50" t="s">
        <v>27</v>
      </c>
      <c r="B50" t="s">
        <v>28</v>
      </c>
      <c r="C50" s="2">
        <v>2020</v>
      </c>
      <c r="D50" s="7">
        <v>73500</v>
      </c>
      <c r="E50" s="1">
        <v>3.8822469872494199</v>
      </c>
      <c r="F50" s="1">
        <v>198.15635664085599</v>
      </c>
      <c r="G50" s="1">
        <v>49348.602764416697</v>
      </c>
      <c r="H50" s="1">
        <v>4.1506451101690196</v>
      </c>
    </row>
    <row r="51" spans="1:8" x14ac:dyDescent="0.25">
      <c r="A51" t="s">
        <v>101</v>
      </c>
      <c r="B51" t="s">
        <v>102</v>
      </c>
      <c r="C51" s="2">
        <v>2022</v>
      </c>
      <c r="D51" s="7">
        <v>40950</v>
      </c>
      <c r="E51" s="1">
        <v>4.0172921854183903</v>
      </c>
      <c r="F51" s="1">
        <v>114.241746522835</v>
      </c>
      <c r="G51" s="1">
        <v>29339.351805555601</v>
      </c>
      <c r="H51" s="1">
        <v>4.2803021806176398</v>
      </c>
    </row>
    <row r="52" spans="1:8" x14ac:dyDescent="0.25">
      <c r="A52" t="s">
        <v>8</v>
      </c>
      <c r="B52" t="s">
        <v>9</v>
      </c>
      <c r="C52" s="2">
        <v>2024</v>
      </c>
      <c r="D52" s="7">
        <v>106750</v>
      </c>
      <c r="E52" s="1">
        <v>3.7815312356376798</v>
      </c>
      <c r="F52" s="1">
        <v>280.33226347522401</v>
      </c>
      <c r="G52" s="1">
        <v>72547.254722222206</v>
      </c>
      <c r="H52" s="1">
        <v>4.3131707247956497</v>
      </c>
    </row>
    <row r="53" spans="1:8" x14ac:dyDescent="0.25">
      <c r="A53" t="s">
        <v>12</v>
      </c>
      <c r="B53" t="s">
        <v>13</v>
      </c>
      <c r="C53" s="2">
        <v>2022</v>
      </c>
      <c r="D53" s="7">
        <v>46250</v>
      </c>
      <c r="E53" s="1">
        <v>3.99140599477942</v>
      </c>
      <c r="F53" s="1">
        <v>128.19619948510299</v>
      </c>
      <c r="G53" s="1">
        <v>33298.4555555556</v>
      </c>
      <c r="H53" s="1">
        <v>4.3291007181827599</v>
      </c>
    </row>
    <row r="54" spans="1:8" x14ac:dyDescent="0.25">
      <c r="A54" t="s">
        <v>228</v>
      </c>
      <c r="B54" t="s">
        <v>229</v>
      </c>
      <c r="C54" s="2">
        <v>2022</v>
      </c>
      <c r="D54" s="7">
        <v>40200</v>
      </c>
      <c r="E54" s="1">
        <v>4.0211254140836896</v>
      </c>
      <c r="F54" s="1">
        <v>112.25641780983599</v>
      </c>
      <c r="G54" s="1">
        <v>29466.6320486111</v>
      </c>
      <c r="H54" s="1">
        <v>4.3748993930615603</v>
      </c>
    </row>
    <row r="55" spans="1:8" x14ac:dyDescent="0.25">
      <c r="A55" t="s">
        <v>133</v>
      </c>
      <c r="B55" t="s">
        <v>134</v>
      </c>
      <c r="C55" s="2">
        <v>2022</v>
      </c>
      <c r="D55" s="7">
        <v>73500</v>
      </c>
      <c r="E55" s="1">
        <v>3.8822469872494199</v>
      </c>
      <c r="F55" s="1">
        <v>198.15635664085599</v>
      </c>
      <c r="G55" s="1">
        <v>52526.795277777797</v>
      </c>
      <c r="H55" s="1">
        <v>4.4179586403561402</v>
      </c>
    </row>
    <row r="56" spans="1:8" x14ac:dyDescent="0.25">
      <c r="A56" t="s">
        <v>65</v>
      </c>
      <c r="B56" t="s">
        <v>66</v>
      </c>
      <c r="C56" s="2">
        <v>2022</v>
      </c>
      <c r="D56" s="7">
        <v>39600</v>
      </c>
      <c r="E56" s="1">
        <v>4.0242249215182504</v>
      </c>
      <c r="F56" s="1">
        <v>110.666185341752</v>
      </c>
      <c r="G56" s="1">
        <v>29585.3772222222</v>
      </c>
      <c r="H56" s="1">
        <v>4.4556484787800796</v>
      </c>
    </row>
    <row r="57" spans="1:8" x14ac:dyDescent="0.25">
      <c r="A57" t="s">
        <v>272</v>
      </c>
      <c r="B57" t="s">
        <v>273</v>
      </c>
      <c r="C57" s="2">
        <v>2024</v>
      </c>
      <c r="D57" s="7">
        <v>43000</v>
      </c>
      <c r="E57" s="1">
        <v>4.0070382829786304</v>
      </c>
      <c r="F57" s="1">
        <v>119.65461539450099</v>
      </c>
      <c r="G57" s="1">
        <v>33898.162499999999</v>
      </c>
      <c r="H57" s="1">
        <v>4.7216680538172202</v>
      </c>
    </row>
    <row r="58" spans="1:8" x14ac:dyDescent="0.25">
      <c r="A58" t="s">
        <v>91</v>
      </c>
      <c r="B58" t="s">
        <v>92</v>
      </c>
      <c r="C58" s="2">
        <v>2021</v>
      </c>
      <c r="D58" s="7">
        <v>92960</v>
      </c>
      <c r="E58" s="1">
        <v>3.8202166307213301</v>
      </c>
      <c r="F58" s="1">
        <v>246.616206938788</v>
      </c>
      <c r="G58" s="1">
        <v>70397.670555555596</v>
      </c>
      <c r="H58" s="1">
        <v>4.75757260166798</v>
      </c>
    </row>
    <row r="59" spans="1:8" x14ac:dyDescent="0.25">
      <c r="A59" t="s">
        <v>169</v>
      </c>
      <c r="B59" t="s">
        <v>170</v>
      </c>
      <c r="C59" s="2">
        <v>2023</v>
      </c>
      <c r="D59" s="7">
        <v>72100</v>
      </c>
      <c r="E59" s="1">
        <v>3.88712346092034</v>
      </c>
      <c r="F59" s="1">
        <v>194.62611217524801</v>
      </c>
      <c r="G59" s="1">
        <v>56722.472222222197</v>
      </c>
      <c r="H59" s="1">
        <v>4.8573879756987202</v>
      </c>
    </row>
    <row r="60" spans="1:8" x14ac:dyDescent="0.25">
      <c r="A60" t="s">
        <v>135</v>
      </c>
      <c r="B60" t="s">
        <v>136</v>
      </c>
      <c r="C60" s="2">
        <v>2021</v>
      </c>
      <c r="D60" s="7">
        <v>43750</v>
      </c>
      <c r="E60" s="1">
        <v>4.0033651669894903</v>
      </c>
      <c r="F60" s="1">
        <v>121.630018094299</v>
      </c>
      <c r="G60" s="1">
        <v>36523.008055555598</v>
      </c>
      <c r="H60" s="1">
        <v>5.0046592976249702</v>
      </c>
    </row>
    <row r="61" spans="1:8" x14ac:dyDescent="0.25">
      <c r="A61" t="s">
        <v>185</v>
      </c>
      <c r="B61" t="s">
        <v>186</v>
      </c>
      <c r="C61" s="2">
        <v>2022</v>
      </c>
      <c r="D61" s="7">
        <v>102200</v>
      </c>
      <c r="E61" s="1">
        <v>3.7938868880469898</v>
      </c>
      <c r="F61" s="1">
        <v>269.26058330444602</v>
      </c>
      <c r="G61" s="1">
        <v>81718.521388888897</v>
      </c>
      <c r="H61" s="1">
        <v>5.0582054742915297</v>
      </c>
    </row>
    <row r="62" spans="1:8" x14ac:dyDescent="0.25">
      <c r="A62" t="s">
        <v>191</v>
      </c>
      <c r="B62" t="s">
        <v>134</v>
      </c>
      <c r="C62" s="2">
        <v>2024</v>
      </c>
      <c r="D62" s="7">
        <v>42000</v>
      </c>
      <c r="E62" s="1">
        <v>4.0120001939813204</v>
      </c>
      <c r="F62" s="1">
        <v>117.016672324455</v>
      </c>
      <c r="G62" s="1">
        <v>35891.08</v>
      </c>
      <c r="H62" s="1">
        <v>5.1119610119151604</v>
      </c>
    </row>
    <row r="63" spans="1:8" x14ac:dyDescent="0.25">
      <c r="A63" t="s">
        <v>224</v>
      </c>
      <c r="B63" t="s">
        <v>225</v>
      </c>
      <c r="C63" s="2">
        <v>2024</v>
      </c>
      <c r="D63" s="7">
        <v>49280</v>
      </c>
      <c r="E63" s="1">
        <v>3.9774582056155099</v>
      </c>
      <c r="F63" s="1">
        <v>136.11745859217501</v>
      </c>
      <c r="G63" s="1">
        <v>51781.199027777802</v>
      </c>
      <c r="H63" s="1">
        <v>6.3402593078233398</v>
      </c>
    </row>
    <row r="64" spans="1:8" x14ac:dyDescent="0.25">
      <c r="A64" t="s">
        <v>95</v>
      </c>
      <c r="B64" t="s">
        <v>96</v>
      </c>
      <c r="C64" s="2">
        <v>2021</v>
      </c>
      <c r="D64" s="7">
        <v>84700</v>
      </c>
      <c r="E64" s="1">
        <v>3.84533990572</v>
      </c>
      <c r="F64" s="1">
        <v>226.18075695450301</v>
      </c>
      <c r="G64" s="1">
        <v>93791.750833333397</v>
      </c>
      <c r="H64" s="1">
        <v>6.9112680860673903</v>
      </c>
    </row>
    <row r="65" spans="1:8" x14ac:dyDescent="0.25">
      <c r="A65" t="s">
        <v>95</v>
      </c>
      <c r="B65" t="s">
        <v>96</v>
      </c>
      <c r="C65" s="2">
        <v>2023</v>
      </c>
      <c r="D65" s="7">
        <v>84700</v>
      </c>
      <c r="E65" s="1">
        <v>3.84533990572</v>
      </c>
      <c r="F65" s="1">
        <v>226.18075695450301</v>
      </c>
      <c r="G65" s="1">
        <v>93791.750833333397</v>
      </c>
      <c r="H65" s="1">
        <v>6.9112680860673903</v>
      </c>
    </row>
    <row r="66" spans="1:8" x14ac:dyDescent="0.25">
      <c r="A66" t="s">
        <v>95</v>
      </c>
      <c r="B66" t="s">
        <v>96</v>
      </c>
      <c r="C66" s="2">
        <v>2023</v>
      </c>
      <c r="D66" s="7">
        <v>84700</v>
      </c>
      <c r="E66" s="1">
        <v>3.84533990572</v>
      </c>
      <c r="F66" s="1">
        <v>226.18075695450301</v>
      </c>
      <c r="G66" s="1">
        <v>93791.750833333397</v>
      </c>
      <c r="H66" s="1">
        <v>6.9112680860673903</v>
      </c>
    </row>
    <row r="67" spans="1:8" x14ac:dyDescent="0.25">
      <c r="A67" t="s">
        <v>93</v>
      </c>
      <c r="B67" t="s">
        <v>94</v>
      </c>
      <c r="C67" s="2">
        <v>2022</v>
      </c>
      <c r="D67" s="7">
        <v>136080</v>
      </c>
      <c r="E67" s="1">
        <v>3.7097473523151701</v>
      </c>
      <c r="F67" s="1">
        <v>350.57112479378299</v>
      </c>
      <c r="G67" s="1">
        <v>156984.243055556</v>
      </c>
      <c r="H67" s="1">
        <v>7.4632617060659898</v>
      </c>
    </row>
    <row r="68" spans="1:8" x14ac:dyDescent="0.25">
      <c r="A68" t="s">
        <v>93</v>
      </c>
      <c r="B68" t="s">
        <v>94</v>
      </c>
      <c r="C68" s="2">
        <v>2023</v>
      </c>
      <c r="D68" s="7">
        <v>136080</v>
      </c>
      <c r="E68" s="1">
        <v>3.7097473523151701</v>
      </c>
      <c r="F68" s="1">
        <v>350.57112479378299</v>
      </c>
      <c r="G68" s="1">
        <v>156984.243055556</v>
      </c>
      <c r="H68" s="1">
        <v>7.4632617060659898</v>
      </c>
    </row>
    <row r="69" spans="1:8" x14ac:dyDescent="0.25">
      <c r="A69" t="s">
        <v>17</v>
      </c>
      <c r="B69" t="s">
        <v>18</v>
      </c>
      <c r="C69" s="2">
        <v>2022</v>
      </c>
      <c r="D69" s="7">
        <v>60742</v>
      </c>
      <c r="E69" s="1">
        <v>3.9292554215281799</v>
      </c>
      <c r="F69" s="1">
        <v>165.74363389893401</v>
      </c>
      <c r="G69" s="1">
        <v>199839531.22694501</v>
      </c>
      <c r="H69" s="1">
        <v>12</v>
      </c>
    </row>
    <row r="70" spans="1:8" x14ac:dyDescent="0.25">
      <c r="A70" t="s">
        <v>121</v>
      </c>
      <c r="B70" t="s">
        <v>122</v>
      </c>
      <c r="C70" s="2">
        <v>2022</v>
      </c>
      <c r="D70" s="7">
        <v>78720</v>
      </c>
      <c r="E70" s="1">
        <v>3.8646008041137399</v>
      </c>
      <c r="F70" s="1">
        <v>211.26484395821799</v>
      </c>
      <c r="G70" s="1">
        <v>78839690.157222196</v>
      </c>
      <c r="H70" s="1">
        <v>12</v>
      </c>
    </row>
    <row r="71" spans="1:8" x14ac:dyDescent="0.25">
      <c r="A71" t="s">
        <v>129</v>
      </c>
      <c r="B71" t="s">
        <v>130</v>
      </c>
      <c r="C71" s="2">
        <v>2022</v>
      </c>
      <c r="D71" s="7">
        <v>44800</v>
      </c>
      <c r="E71" s="1">
        <v>3.9982901043478898</v>
      </c>
      <c r="F71" s="1">
        <v>124.39124769082299</v>
      </c>
      <c r="G71" s="1">
        <v>619358152.44916701</v>
      </c>
      <c r="H71" s="1">
        <v>12</v>
      </c>
    </row>
    <row r="72" spans="1:8" x14ac:dyDescent="0.25">
      <c r="A72" t="s">
        <v>204</v>
      </c>
      <c r="B72" t="s">
        <v>205</v>
      </c>
      <c r="C72" s="2">
        <v>2023</v>
      </c>
      <c r="D72" s="7">
        <v>50960</v>
      </c>
      <c r="E72" s="1">
        <v>3.9699634453182702</v>
      </c>
      <c r="F72" s="1">
        <v>140.49259525931899</v>
      </c>
      <c r="G72" s="1">
        <v>68762730.966916695</v>
      </c>
      <c r="H72" s="1">
        <v>12</v>
      </c>
    </row>
  </sheetData>
  <autoFilter ref="A1:H1048525" xr:uid="{4D67BB4C-174C-48CA-96D0-B8E53AE2FB19}">
    <sortState xmlns:xlrd2="http://schemas.microsoft.com/office/spreadsheetml/2017/richdata2" ref="A2:H1048525">
      <sortCondition ref="H1:H1048525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84389-B239-4934-8CBF-5F70C074FC90}">
  <sheetPr>
    <tabColor theme="5" tint="0.59999389629810485"/>
  </sheetPr>
  <dimension ref="A1:H18"/>
  <sheetViews>
    <sheetView workbookViewId="0">
      <selection activeCell="K30" sqref="K3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s="2" t="s">
        <v>3</v>
      </c>
      <c r="D1" s="7" t="s">
        <v>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105</v>
      </c>
      <c r="B2" t="s">
        <v>106</v>
      </c>
      <c r="C2" s="2">
        <v>2023</v>
      </c>
      <c r="D2" s="1">
        <v>83750</v>
      </c>
      <c r="E2" s="1">
        <v>3.8483361152576299</v>
      </c>
      <c r="F2" s="1">
        <v>223.81815948113001</v>
      </c>
      <c r="G2" s="1">
        <v>8955.8434722222191</v>
      </c>
      <c r="H2" s="1">
        <v>0.66689878165562799</v>
      </c>
    </row>
    <row r="3" spans="1:8" x14ac:dyDescent="0.25">
      <c r="A3" t="s">
        <v>141</v>
      </c>
      <c r="B3" t="s">
        <v>142</v>
      </c>
      <c r="C3" s="2">
        <v>2022</v>
      </c>
      <c r="D3" s="1">
        <v>45500</v>
      </c>
      <c r="E3" s="1">
        <v>3.9949490965415002</v>
      </c>
      <c r="F3" s="1">
        <v>126.229294369888</v>
      </c>
      <c r="G3" s="1">
        <v>6256.2222222222199</v>
      </c>
      <c r="H3" s="1">
        <v>0.82603939830978301</v>
      </c>
    </row>
    <row r="4" spans="1:8" x14ac:dyDescent="0.25">
      <c r="A4" t="s">
        <v>270</v>
      </c>
      <c r="B4" t="s">
        <v>271</v>
      </c>
      <c r="C4" s="2">
        <v>2024</v>
      </c>
      <c r="D4" s="1">
        <v>157500</v>
      </c>
      <c r="E4" s="1">
        <v>3.6641344501063702</v>
      </c>
      <c r="F4" s="1">
        <v>400.76470548038401</v>
      </c>
      <c r="G4" s="1">
        <v>21093.077777777798</v>
      </c>
      <c r="H4" s="1">
        <v>0.87720123925309901</v>
      </c>
    </row>
    <row r="5" spans="1:8" x14ac:dyDescent="0.25">
      <c r="A5" t="s">
        <v>270</v>
      </c>
      <c r="B5" t="s">
        <v>271</v>
      </c>
      <c r="C5" s="2">
        <v>2025</v>
      </c>
      <c r="D5" s="1">
        <v>157500</v>
      </c>
      <c r="E5" s="1">
        <v>3.6641344501063702</v>
      </c>
      <c r="F5" s="1">
        <v>400.76470548038401</v>
      </c>
      <c r="G5" s="1">
        <v>21093.077777777798</v>
      </c>
      <c r="H5" s="1">
        <v>0.87720123925309901</v>
      </c>
    </row>
    <row r="6" spans="1:8" x14ac:dyDescent="0.25">
      <c r="A6" t="s">
        <v>103</v>
      </c>
      <c r="B6" t="s">
        <v>104</v>
      </c>
      <c r="C6" s="2">
        <v>2021</v>
      </c>
      <c r="D6" s="1">
        <v>45200</v>
      </c>
      <c r="E6" s="1">
        <v>3.9963768757509599</v>
      </c>
      <c r="F6" s="1">
        <v>125.441829711072</v>
      </c>
      <c r="G6" s="1">
        <v>7709.88</v>
      </c>
      <c r="H6" s="1">
        <v>1.02436324706015</v>
      </c>
    </row>
    <row r="7" spans="1:8" x14ac:dyDescent="0.25">
      <c r="A7" t="s">
        <v>119</v>
      </c>
      <c r="B7" t="s">
        <v>120</v>
      </c>
      <c r="C7" s="2">
        <v>2025</v>
      </c>
      <c r="D7" s="1">
        <v>74900</v>
      </c>
      <c r="E7" s="1">
        <v>3.8774329517333599</v>
      </c>
      <c r="F7" s="1">
        <v>201.680366725575</v>
      </c>
      <c r="G7" s="1">
        <v>12873.4370833333</v>
      </c>
      <c r="H7" s="1">
        <v>1.0638481484624001</v>
      </c>
    </row>
    <row r="8" spans="1:8" x14ac:dyDescent="0.25">
      <c r="A8" t="s">
        <v>119</v>
      </c>
      <c r="B8" t="s">
        <v>120</v>
      </c>
      <c r="C8" s="2">
        <v>2024</v>
      </c>
      <c r="D8" s="1">
        <v>74900</v>
      </c>
      <c r="E8" s="1">
        <v>3.8774329517333599</v>
      </c>
      <c r="F8" s="1">
        <v>201.680366725575</v>
      </c>
      <c r="G8" s="1">
        <v>12873.4370833333</v>
      </c>
      <c r="H8" s="1">
        <v>1.0638481484624001</v>
      </c>
    </row>
    <row r="9" spans="1:8" x14ac:dyDescent="0.25">
      <c r="A9" t="s">
        <v>216</v>
      </c>
      <c r="B9" t="s">
        <v>217</v>
      </c>
      <c r="C9" s="2">
        <v>2024</v>
      </c>
      <c r="D9" s="1">
        <v>59030</v>
      </c>
      <c r="E9" s="1">
        <v>3.9360508208013898</v>
      </c>
      <c r="F9" s="1">
        <v>161.350749966602</v>
      </c>
      <c r="G9" s="1">
        <v>11809.742222222199</v>
      </c>
      <c r="H9" s="1">
        <v>1.21988300071601</v>
      </c>
    </row>
    <row r="10" spans="1:8" x14ac:dyDescent="0.25">
      <c r="A10" t="s">
        <v>151</v>
      </c>
      <c r="B10" t="s">
        <v>152</v>
      </c>
      <c r="C10" s="2">
        <v>2021</v>
      </c>
      <c r="D10" s="1">
        <v>37000</v>
      </c>
      <c r="E10" s="1">
        <v>4.0380123133450097</v>
      </c>
      <c r="F10" s="1">
        <v>103.754483051226</v>
      </c>
      <c r="G10" s="1">
        <v>9644.2955555555509</v>
      </c>
      <c r="H10" s="1">
        <v>1.5492174847028</v>
      </c>
    </row>
    <row r="11" spans="1:8" x14ac:dyDescent="0.25">
      <c r="A11" t="s">
        <v>266</v>
      </c>
      <c r="B11" t="s">
        <v>267</v>
      </c>
      <c r="C11" s="2">
        <v>2024</v>
      </c>
      <c r="D11" s="1">
        <v>28800</v>
      </c>
      <c r="E11" s="1">
        <v>4.0859732431008604</v>
      </c>
      <c r="F11" s="1">
        <v>81.719464862017205</v>
      </c>
      <c r="G11" s="1">
        <v>7940.80666666666</v>
      </c>
      <c r="H11" s="1">
        <v>1.6195257519275801</v>
      </c>
    </row>
    <row r="12" spans="1:8" x14ac:dyDescent="0.25">
      <c r="A12" t="s">
        <v>196</v>
      </c>
      <c r="B12" t="s">
        <v>197</v>
      </c>
      <c r="C12" s="2">
        <v>2023</v>
      </c>
      <c r="D12" s="1">
        <v>33500</v>
      </c>
      <c r="E12" s="1">
        <v>4.0575751144619803</v>
      </c>
      <c r="F12" s="1">
        <v>94.394976621164005</v>
      </c>
      <c r="G12" s="1">
        <v>9960.7948611111096</v>
      </c>
      <c r="H12" s="1">
        <v>1.7587084994093201</v>
      </c>
    </row>
    <row r="13" spans="1:8" x14ac:dyDescent="0.25">
      <c r="A13" t="s">
        <v>214</v>
      </c>
      <c r="B13" t="s">
        <v>215</v>
      </c>
      <c r="C13" s="2">
        <v>2023</v>
      </c>
      <c r="D13" s="1">
        <v>45500</v>
      </c>
      <c r="E13" s="1">
        <v>3.9949490965415002</v>
      </c>
      <c r="F13" s="1">
        <v>126.229294369888</v>
      </c>
      <c r="G13" s="1">
        <v>13384.5555555556</v>
      </c>
      <c r="H13" s="1">
        <v>1.7672278613255199</v>
      </c>
    </row>
    <row r="14" spans="1:8" x14ac:dyDescent="0.25">
      <c r="A14" t="s">
        <v>254</v>
      </c>
      <c r="B14" t="s">
        <v>255</v>
      </c>
      <c r="C14" s="2">
        <v>2023</v>
      </c>
      <c r="D14" s="1">
        <v>31800</v>
      </c>
      <c r="E14" s="1">
        <v>4.0675418683376998</v>
      </c>
      <c r="F14" s="1">
        <v>89.824882925790902</v>
      </c>
      <c r="G14" s="1">
        <v>9555.1</v>
      </c>
      <c r="H14" s="1">
        <v>1.7729125992653201</v>
      </c>
    </row>
    <row r="15" spans="1:8" x14ac:dyDescent="0.25">
      <c r="A15" t="s">
        <v>242</v>
      </c>
      <c r="B15" t="s">
        <v>243</v>
      </c>
      <c r="C15" s="2">
        <v>2025</v>
      </c>
      <c r="D15" s="7">
        <v>16000</v>
      </c>
      <c r="E15" s="1">
        <v>4.1818181818181799</v>
      </c>
      <c r="F15" s="1">
        <v>46.464646464646499</v>
      </c>
      <c r="G15" s="1">
        <v>5004.5599999999904</v>
      </c>
      <c r="H15" s="1">
        <v>1.7951139130434799</v>
      </c>
    </row>
    <row r="16" spans="1:8" x14ac:dyDescent="0.25">
      <c r="A16" t="s">
        <v>71</v>
      </c>
      <c r="B16" t="s">
        <v>72</v>
      </c>
      <c r="C16" s="2">
        <v>2021</v>
      </c>
      <c r="D16" s="1">
        <v>18200</v>
      </c>
      <c r="E16" s="1">
        <v>4.1626878162753602</v>
      </c>
      <c r="F16" s="1">
        <v>52.611748789035701</v>
      </c>
      <c r="G16" s="1">
        <v>5742.0748611111103</v>
      </c>
      <c r="H16" s="1">
        <v>1.81900905953404</v>
      </c>
    </row>
    <row r="17" spans="1:8" x14ac:dyDescent="0.25">
      <c r="A17" t="s">
        <v>77</v>
      </c>
      <c r="B17" t="s">
        <v>78</v>
      </c>
      <c r="C17" s="2">
        <v>2022</v>
      </c>
      <c r="D17" s="1">
        <v>41300</v>
      </c>
      <c r="E17" s="1">
        <v>4.0155186599529502</v>
      </c>
      <c r="F17" s="1">
        <v>115.167306011151</v>
      </c>
      <c r="G17" s="1">
        <v>13101.4131944444</v>
      </c>
      <c r="H17" s="1">
        <v>1.8959971726084499</v>
      </c>
    </row>
    <row r="18" spans="1:8" x14ac:dyDescent="0.25">
      <c r="A18" t="s">
        <v>117</v>
      </c>
      <c r="B18" t="s">
        <v>118</v>
      </c>
      <c r="C18" s="2">
        <v>2023</v>
      </c>
      <c r="D18" s="1">
        <v>56000</v>
      </c>
      <c r="E18" s="1">
        <v>3.9484041008441002</v>
      </c>
      <c r="F18" s="1">
        <v>153.54904836616001</v>
      </c>
      <c r="G18" s="1">
        <v>17627.611111111099</v>
      </c>
      <c r="H18" s="1">
        <v>1.91335290999607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 Sages (141)</vt:lpstr>
      <vt:lpstr>with Hold Time (122)</vt:lpstr>
      <vt:lpstr>Under 50 GPM (17)</vt:lpstr>
      <vt:lpstr>50 - 100 GPM (34)</vt:lpstr>
      <vt:lpstr>Over 100 GPM (71)</vt:lpstr>
      <vt:lpstr>Less than 2 HR (17)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Jones, D. Craig</cp:lastModifiedBy>
  <dcterms:created xsi:type="dcterms:W3CDTF">2025-04-16T14:43:18Z</dcterms:created>
  <dcterms:modified xsi:type="dcterms:W3CDTF">2025-04-16T14:43:18Z</dcterms:modified>
</cp:coreProperties>
</file>